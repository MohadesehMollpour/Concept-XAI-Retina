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8.xml" ContentType="application/vnd.openxmlformats-officedocument.spreadsheetml.table+xml"/>
  <Override PartName="/xl/worksheets/sheet28.xml" ContentType="application/vnd.openxmlformats-officedocument.spreadsheetml.worksheet+xml"/>
  <Override PartName="/xl/tables/table9.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10.xml" ContentType="application/vnd.openxmlformats-officedocument.spreadsheetml.table+xml"/>
  <Override PartName="/xl/worksheets/sheet31.xml" ContentType="application/vnd.openxmlformats-officedocument.spreadsheetml.worksheet+xml"/>
  <Override PartName="/xl/tables/table11.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12.xml" ContentType="application/vnd.openxmlformats-officedocument.spreadsheetml.table+xml"/>
  <Override PartName="/xl/worksheets/sheet34.xml" ContentType="application/vnd.openxmlformats-officedocument.spreadsheetml.worksheet+xml"/>
  <Override PartName="/xl/tables/table13.xml" ContentType="application/vnd.openxmlformats-officedocument.spreadsheetml.table+xml"/>
  <Override PartName="/xl/worksheets/sheet3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5240178022084306" /></Relationships>
</file>

<file path=xl/workbook.xml><?xml version="1.0" encoding="utf-8"?>
<x:workbook xmlns:x="http://schemas.openxmlformats.org/spreadsheetml/2006/main">
  <x:sheets>
    <x:sheet xmlns:r="http://schemas.openxmlformats.org/officeDocument/2006/relationships" name="R1 Dashboard" sheetId="1" r:id="R9fef669e25604d2d"/>
    <x:sheet xmlns:r="http://schemas.openxmlformats.org/officeDocument/2006/relationships" name="Search Summary" sheetId="2" r:id="R331457045b914cec"/>
    <x:sheet xmlns:r="http://schemas.openxmlformats.org/officeDocument/2006/relationships" name="Full Search Strings" sheetId="3" r:id="R0cebef2127e34e0e"/>
    <x:sheet xmlns:r="http://schemas.openxmlformats.org/officeDocument/2006/relationships" name="Master Records" sheetId="4" r:id="Rc738e449b35d41e2"/>
    <x:sheet xmlns:r="http://schemas.openxmlformats.org/officeDocument/2006/relationships" name="Deduplication Log" sheetId="5" r:id="R31b4c8600dee410f"/>
    <x:sheet xmlns:r="http://schemas.openxmlformats.org/officeDocument/2006/relationships" name="Screening Codebook" sheetId="6" r:id="Rb4e193a905664ac4"/>
    <x:sheet xmlns:r="http://schemas.openxmlformats.org/officeDocument/2006/relationships" name="Full-Text Exclusions" sheetId="7" r:id="R13018643fcd640b7"/>
    <x:sheet xmlns:r="http://schemas.openxmlformats.org/officeDocument/2006/relationships" name="Author Verification" sheetId="8" r:id="R7f6a2ea663124d0f"/>
    <x:sheet xmlns:r="http://schemas.openxmlformats.org/officeDocument/2006/relationships" name="PRISMA Counts" sheetId="9" r:id="Rd2fdb9239dc24d73"/>
    <x:sheet xmlns:r="http://schemas.openxmlformats.org/officeDocument/2006/relationships" name="PRISMA Flow" sheetId="10" r:id="Ra5c5b00ee177445f"/>
    <x:sheet xmlns:r="http://schemas.openxmlformats.org/officeDocument/2006/relationships" name="Methodology Draft" sheetId="11" r:id="Rf66c9b39df214983"/>
    <x:sheet xmlns:r="http://schemas.openxmlformats.org/officeDocument/2006/relationships" name="Evidence Inventory" sheetId="13" r:id="Rcaa4616dc1894a6a"/>
    <x:sheet xmlns:r="http://schemas.openxmlformats.org/officeDocument/2006/relationships" name="arXiv Unique Records" sheetId="14" r:id="Rcab6f39be4bb44ba"/>
    <x:sheet xmlns:r="http://schemas.openxmlformats.org/officeDocument/2006/relationships" name="Lists" sheetId="15" r:id="Rfe6b90317e4148d2"/>
    <x:sheet xmlns:r="http://schemas.openxmlformats.org/officeDocument/2006/relationships" name="GS Screening Capture" sheetId="16" r:id="Ra027b6b5a2a14efa"/>
    <x:sheet xmlns:r="http://schemas.openxmlformats.org/officeDocument/2006/relationships" name="arXiv Recheck Log" sheetId="17" r:id="Rb89c14e9f98147c6"/>
    <x:sheet xmlns:r="http://schemas.openxmlformats.org/officeDocument/2006/relationships" name="R1 Complete Status" sheetId="18" r:id="R516c677db86a428e"/>
    <x:sheet xmlns:r="http://schemas.openxmlformats.org/officeDocument/2006/relationships" name="Quality Assessment Tool" sheetId="19" r:id="R3926bc3ca83d4a43"/>
    <x:sheet xmlns:r="http://schemas.openxmlformats.org/officeDocument/2006/relationships" name="Operational Definitions" sheetId="20" r:id="R48cf5b4d3f8e4566"/>
    <x:sheet xmlns:r="http://schemas.openxmlformats.org/officeDocument/2006/relationships" name="Clinical Validation" sheetId="21" r:id="R54722dda3e4d409f"/>
    <x:sheet xmlns:r="http://schemas.openxmlformats.org/officeDocument/2006/relationships" name="Modality Synthesis" sheetId="22" r:id="R79c3a3c43c76452f"/>
    <x:sheet xmlns:r="http://schemas.openxmlformats.org/officeDocument/2006/relationships" name="Segmentation &amp; Radiomics" sheetId="23" r:id="R7c661f9e87cb49d7"/>
    <x:sheet xmlns:r="http://schemas.openxmlformats.org/officeDocument/2006/relationships" name="Evidence Table Template" sheetId="24" r:id="R6d7414082b824c34"/>
    <x:sheet xmlns:r="http://schemas.openxmlformats.org/officeDocument/2006/relationships" name="Claim Corrections" sheetId="25" r:id="Rbae44c4effa148ab"/>
    <x:sheet xmlns:r="http://schemas.openxmlformats.org/officeDocument/2006/relationships" name="Reviewer1 Full Response" sheetId="26" r:id="R4366245da5444006"/>
    <x:sheet xmlns:r="http://schemas.openxmlformats.org/officeDocument/2006/relationships" name="Human Verification Required" sheetId="27" r:id="Re051e9eec42846f5"/>
    <x:sheet xmlns:r="http://schemas.openxmlformats.org/officeDocument/2006/relationships" name="AI-Assisted Screening" sheetId="28" r:id="R1f6c1ce935794b0c"/>
    <x:sheet xmlns:r="http://schemas.openxmlformats.org/officeDocument/2006/relationships" name="Full-Text Retrieval Log" sheetId="29" r:id="R9f0f8ae8500e46cb"/>
    <x:sheet xmlns:r="http://schemas.openxmlformats.org/officeDocument/2006/relationships" name="Abstract Rationale Audit" sheetId="30" r:id="R664e3863d2e8494f"/>
    <x:sheet xmlns:r="http://schemas.openxmlformats.org/officeDocument/2006/relationships" name="Data Extraction 109" sheetId="31" r:id="Ra937bbc8885445d8"/>
    <x:sheet xmlns:r="http://schemas.openxmlformats.org/officeDocument/2006/relationships" name="Abstract Evidence 109" sheetId="32" r:id="Rd10e4f5c7f8b434c"/>
    <x:sheet xmlns:r="http://schemas.openxmlformats.org/officeDocument/2006/relationships" name="Final Revision Dashboard" sheetId="33" r:id="R7c17a80b0e984984"/>
    <x:sheet xmlns:r="http://schemas.openxmlformats.org/officeDocument/2006/relationships" name="Quality Appraisal 109" sheetId="34" r:id="Ra497178d1cf14256"/>
    <x:sheet xmlns:r="http://schemas.openxmlformats.org/officeDocument/2006/relationships" name="Evidence Table Final" sheetId="35" r:id="R25bac663018c49f4"/>
    <x:sheet xmlns:r="http://schemas.openxmlformats.org/officeDocument/2006/relationships" name="Evidence Synthesis Final" sheetId="36" r:id="R96b3f14f25794ea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
    <x:numFmt numFmtId="202" formatCode="0"/>
    <x:numFmt numFmtId="203" formatCode="0.0%"/>
  </x:numFmts>
  <x:fonts count="68">
    <x:font>
      <x:sz val="11"/>
      <x:name val="Carlito"/>
    </x:font>
    <x:font>
      <x:b/>
      <x:sz val="11"/>
      <x:color rgb="FFFFFFFF"/>
      <x:name val="Carlito"/>
    </x:font>
    <x:font>
      <x:b/>
      <x:sz val="15"/>
      <x:color rgb="FFFFFFFF"/>
      <x:name val="Carlito"/>
    </x:font>
    <x:font>
      <x:b/>
      <x:sz val="11"/>
      <x:color rgb="FF9C0006"/>
      <x:name val="Carlito"/>
    </x:font>
    <x:font>
      <x:b/>
      <x:sz val="11"/>
      <x:color rgb="FF17365D"/>
      <x:name val="Carlito"/>
    </x:font>
    <x:font>
      <x:b/>
      <x:sz val="18"/>
      <x:name val="Carlito"/>
    </x:font>
    <x:font>
      <x:i/>
      <x:sz val="11"/>
      <x:color rgb="FF595959"/>
      <x:name val="Carlito"/>
    </x:font>
    <x:font>
      <x:b/>
      <x:sz val="10"/>
      <x:color rgb="FFFFFFFF"/>
      <x:name val="Aptos"/>
    </x:font>
    <x:font>
      <x:sz val="10"/>
      <x:name val="Aptos"/>
    </x:font>
    <x:font>
      <x:b/>
      <x:sz val="10"/>
      <x:color rgb="FF17365D"/>
      <x:name val="Aptos"/>
    </x:font>
    <x:font>
      <x:b/>
      <x:sz val="10"/>
      <x:color rgb="FF9C0006"/>
      <x:name val="Aptos"/>
    </x:font>
    <x:font>
      <x:b/>
      <x:sz val="10"/>
      <x:name val="Aptos"/>
    </x:font>
    <x:font>
      <x:i/>
      <x:sz val="10"/>
      <x:color rgb="FF595959"/>
      <x:name val="Aptos"/>
    </x:font>
    <x:font>
      <x:b/>
      <x:sz val="15"/>
      <x:color rgb="FFFFFFFF"/>
      <x:name val="Aptos"/>
    </x:font>
    <x:font>
      <x:b/>
      <x:sz val="14"/>
      <x:color rgb="FFFFFFFF"/>
      <x:name val="Carlito"/>
    </x:font>
    <x:font>
      <x:b/>
      <x:sz val="11"/>
      <x:name val="Carlito"/>
    </x:font>
    <x:font>
      <x:b/>
      <x:sz val="14"/>
      <x:color rgb="FFFFFFFF"/>
      <x:name val="Aptos"/>
    </x:font>
    <x:font>
      <x:b/>
      <x:sz val="14"/>
      <x:color rgb="FF17365D"/>
      <x:name val="Carlito"/>
    </x:font>
    <x:font>
      <x:sz val="11"/>
      <x:color rgb="FF843C0C"/>
      <x:name val="Carlito"/>
    </x:font>
    <x:font>
      <x:sz val="11"/>
      <x:color rgb="FF375623"/>
      <x:name val="Carlito"/>
    </x:font>
    <x:font>
      <x:sz val="11"/>
      <x:color rgb="FF7F6000"/>
      <x:name val="Carlito"/>
    </x:font>
    <x:font>
      <x:b/>
      <x:sz val="14"/>
      <x:color rgb="FF17365D"/>
      <x:name val="Aptos"/>
    </x:font>
    <x:font>
      <x:sz val="10"/>
      <x:color rgb="FF7F6000"/>
      <x:name val="Aptos"/>
    </x:font>
    <x:font>
      <x:b/>
      <x:sz val="12"/>
      <x:color rgb="FFFFFFFF"/>
      <x:name val="Aptos"/>
    </x:font>
    <x:font>
      <x:b/>
      <x:sz val="10"/>
      <x:color rgb="FF1F1F1F"/>
      <x:name val="Aptos"/>
    </x:font>
    <x:font>
      <x:i/>
      <x:sz val="10"/>
      <x:name val="Aptos"/>
    </x:font>
    <x:font>
      <x:b/>
      <x:sz val="11"/>
      <x:color rgb="FF7F6000"/>
      <x:name val="Carlito"/>
    </x:font>
    <x:font>
      <x:sz val="11"/>
      <x:color rgb="FF17365D"/>
      <x:name val="Carlito"/>
    </x:font>
    <x:font>
      <x:b/>
      <x:sz val="10"/>
      <x:color rgb="FF1F4E78"/>
      <x:name val="Aptos"/>
    </x:font>
    <x:font>
      <x:sz val="10"/>
      <x:color rgb="FF375623"/>
      <x:name val="Aptos"/>
    </x:font>
    <x:font>
      <x:i/>
      <x:sz val="11"/>
      <x:color rgb="FF17324D"/>
      <x:name val="Carlito"/>
    </x:font>
    <x:font>
      <x:b/>
      <x:sz val="10"/>
      <x:color rgb="FF8A3B12"/>
      <x:name val="Aptos"/>
    </x:font>
    <x:font>
      <x:b/>
      <x:sz val="13"/>
      <x:color rgb="FFFFFFFF"/>
      <x:name val="Carlito"/>
    </x:font>
    <x:font>
      <x:b/>
      <x:sz val="10"/>
      <x:color rgb="FF9C2F13"/>
      <x:name val="Aptos"/>
    </x:font>
    <x:font>
      <x:sz val="10"/>
      <x:color rgb="FF17324D"/>
      <x:name val="Aptos"/>
    </x:font>
    <x:font>
      <x:b/>
      <x:sz val="10"/>
      <x:color rgb="FF17324D"/>
      <x:name val="Aptos"/>
    </x:font>
    <x:font>
      <x:i/>
      <x:sz val="10"/>
      <x:color rgb="FF17324D"/>
      <x:name val="Aptos"/>
    </x:font>
    <x:font>
      <x:b/>
      <x:sz val="10"/>
      <x:color rgb="FF27632A"/>
      <x:name val="Aptos"/>
    </x:font>
    <x:font>
      <x:b/>
      <x:sz val="16"/>
      <x:color rgb="FFFFFFFF"/>
      <x:name val="Carlito"/>
    </x:font>
    <x:font>
      <x:b/>
      <x:sz val="11"/>
      <x:color rgb="FF17324D"/>
      <x:name val="Carlito"/>
    </x:font>
    <x:font>
      <x:b/>
      <x:sz val="18"/>
      <x:color rgb="FF123B5D"/>
      <x:name val="Carlito"/>
    </x:font>
    <x:font>
      <x:b/>
      <x:sz val="11"/>
      <x:color rgb="FF27632A"/>
      <x:name val="Carlito"/>
    </x:font>
    <x:font>
      <x:b/>
      <x:sz val="18"/>
      <x:color rgb="FF27632A"/>
      <x:name val="Carlito"/>
    </x:font>
    <x:font>
      <x:sz val="10"/>
      <x:color rgb="FF17324D"/>
      <x:name val="Carlito"/>
    </x:font>
    <x:font>
      <x:b/>
      <x:sz val="12"/>
      <x:color rgb="FF27632A"/>
      <x:name val="Carlito"/>
    </x:font>
    <x:font>
      <x:i/>
      <x:sz val="10"/>
      <x:color rgb="FF17324D"/>
      <x:name val="Carlito"/>
    </x:font>
    <x:font>
      <x:b/>
      <x:sz val="10"/>
      <x:color rgb="FF27632A"/>
      <x:name val="Carlito"/>
    </x:font>
    <x:font>
      <x:b/>
      <x:sz val="12"/>
      <x:color rgb="FF123B5D"/>
      <x:name val="Carlito"/>
    </x:font>
    <x:font>
      <x:i/>
      <x:sz val="10"/>
      <x:color rgb="FF8A3B12"/>
      <x:name val="Carlito"/>
    </x:font>
    <x:font>
      <x:sz val="10"/>
      <x:color rgb="FF243447"/>
      <x:name val="Aptos"/>
    </x:font>
    <x:font>
      <x:b/>
      <x:sz val="10"/>
      <x:color rgb="FFFFFFFF"/>
      <x:name val="Carlito"/>
    </x:font>
    <x:font>
      <x:sz val="10"/>
      <x:name val="Carlito"/>
    </x:font>
    <x:font>
      <x:b/>
      <x:sz val="17"/>
      <x:color rgb="FFFFFFFF"/>
      <x:name val="Aptos Display"/>
    </x:font>
    <x:font>
      <x:b/>
      <x:sz val="16"/>
      <x:color rgb="FF123B5D"/>
      <x:name val="Aptos Display"/>
    </x:font>
    <x:font>
      <x:b/>
      <x:sz val="9"/>
      <x:color rgb="FFFFFFFF"/>
      <x:name val="Aptos"/>
    </x:font>
    <x:font>
      <x:b/>
      <x:sz val="9"/>
      <x:color rgb="FF375623"/>
      <x:name val="Aptos"/>
    </x:font>
    <x:font>
      <x:b/>
      <x:sz val="11"/>
      <x:color rgb="FF375623"/>
      <x:name val="Aptos"/>
    </x:font>
    <x:font>
      <x:i/>
      <x:sz val="9"/>
      <x:color rgb="FF7F6000"/>
      <x:name val="Aptos"/>
    </x:font>
    <x:font>
      <x:b/>
      <x:sz val="18"/>
      <x:color rgb="FFFFFFFF"/>
      <x:name val="Aptos Display"/>
    </x:font>
    <x:font>
      <x:b/>
      <x:sz val="11"/>
      <x:color rgb="FF123B5D"/>
      <x:name val="Aptos"/>
    </x:font>
    <x:font>
      <x:b/>
      <x:sz val="9"/>
      <x:color rgb="FFFFFFFF"/>
      <x:name val="Carlito"/>
    </x:font>
    <x:font>
      <x:sz val="9"/>
      <x:name val="Carlito"/>
    </x:font>
    <x:font>
      <x:b/>
      <x:sz val="11"/>
      <x:color rgb="FF123B5D"/>
      <x:name val="Carlito"/>
    </x:font>
    <x:font>
      <x:b/>
      <x:sz val="15"/>
      <x:color rgb="FF123B5D"/>
      <x:name val="Carlito"/>
    </x:font>
    <x:font>
      <x:b/>
      <x:sz val="10"/>
      <x:color rgb="FF17324D"/>
      <x:name val="Carlito"/>
    </x:font>
    <x:font>
      <x:sz val="9"/>
      <x:color rgb="FF35536B"/>
      <x:name val="Carlito"/>
    </x:font>
    <x:font>
      <x:i/>
      <x:sz val="10"/>
      <x:color rgb="FF294E6B"/>
      <x:name val="Aptos"/>
    </x:font>
    <x:font>
      <x:i/>
      <x:sz val="11"/>
      <x:color rgb="FF294E6B"/>
      <x:name val="Carlito"/>
    </x:font>
  </x:fonts>
  <x:fills count="68">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FCE4D6"/>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E7E6E6"/>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F2F2F2"/>
      </x:patternFill>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23B5D"/>
      </x:patternFill>
    </x:fill>
    <x:fill>
      <x:patternFill patternType="solid">
        <x:fgColor rgb="FFDCEAF4"/>
      </x:patternFill>
    </x:fill>
    <x:fill>
      <x:patternFill patternType="solid">
        <x:fgColor rgb="FF1F5B7A"/>
      </x:patternFill>
    </x:fill>
    <x:fill>
      <x:patternFill patternType="solid">
        <x:fgColor rgb="FFFCE8D5"/>
      </x:patternFill>
    </x:fill>
    <x:fill>
      <x:patternFill patternType="solid">
        <x:fgColor rgb="FF123B5D"/>
      </x:patternFill>
    </x:fill>
    <x:fill>
      <x:patternFill patternType="solid">
        <x:fgColor rgb="FF1F5B7A"/>
      </x:patternFill>
    </x:fill>
    <x:fill>
      <x:patternFill patternType="solid">
        <x:fgColor rgb="FFF7FBFD"/>
      </x:patternFill>
    </x:fill>
    <x:fill>
      <x:patternFill patternType="solid">
        <x:fgColor rgb="FFFCE8D5"/>
      </x:patternFill>
    </x:fill>
    <x:fill>
      <x:patternFill patternType="solid">
        <x:fgColor rgb="FF123B5D"/>
      </x:patternFill>
    </x:fill>
    <x:fill>
      <x:patternFill patternType="solid">
        <x:fgColor rgb="FF1F5B7A"/>
      </x:patternFill>
    </x:fill>
    <x:fill>
      <x:patternFill patternType="solid">
        <x:fgColor rgb="FFDCEAF4"/>
      </x:patternFill>
    </x:fill>
    <x:fill>
      <x:patternFill patternType="solid">
        <x:fgColor rgb="FFE2F0D9"/>
      </x:patternFill>
    </x:fill>
    <x:fill>
      <x:patternFill patternType="solid">
        <x:fgColor rgb="FF123B5D"/>
      </x:patternFill>
    </x:fill>
    <x:fill>
      <x:patternFill patternType="solid">
        <x:fgColor rgb="FFDCEAF4"/>
      </x:patternFill>
    </x:fill>
    <x:fill>
      <x:patternFill patternType="solid">
        <x:fgColor rgb="FFE2F0D9"/>
      </x:patternFill>
    </x:fill>
    <x:fill>
      <x:patternFill patternType="solid">
        <x:fgColor rgb="FF1F5B7A"/>
      </x:patternFill>
    </x:fill>
    <x:fill>
      <x:patternFill patternType="solid">
        <x:fgColor rgb="FFFFF2CC"/>
      </x:patternFill>
    </x:fill>
    <x:fill>
      <x:patternFill patternType="solid">
        <x:fgColor rgb="FFE7E6E6"/>
      </x:patternFill>
    </x:fill>
    <x:fill>
      <x:patternFill patternType="solid">
        <x:fgColor rgb="FFFCE8D5"/>
      </x:patternFill>
    </x:fill>
    <x:fill>
      <x:patternFill patternType="solid">
        <x:fgColor rgb="FFFFF8F0"/>
      </x:patternFill>
    </x:fill>
    <x:fill>
      <x:patternFill patternType="solid">
        <x:fgColor rgb="FF123B5D"/>
      </x:patternFill>
    </x:fill>
    <x:fill>
      <x:patternFill patternType="solid">
        <x:fgColor rgb="FFDCEAF4"/>
      </x:patternFill>
    </x:fill>
    <x:fill>
      <x:patternFill patternType="solid">
        <x:fgColor rgb="FF1F5B7A"/>
      </x:patternFill>
    </x:fill>
    <x:fill>
      <x:patternFill patternType="solid">
        <x:fgColor rgb="FF123B5D"/>
      </x:patternFill>
    </x:fill>
    <x:fill>
      <x:patternFill patternType="solid">
        <x:fgColor rgb="FFDCEAF4"/>
      </x:patternFill>
    </x:fill>
    <x:fill>
      <x:patternFill patternType="solid">
        <x:fgColor rgb="FF1F5B7A"/>
      </x:patternFill>
    </x:fill>
    <x:fill>
      <x:patternFill patternType="solid">
        <x:fgColor rgb="FFEAF2F8"/>
      </x:patternFill>
    </x:fill>
    <x:fill>
      <x:patternFill patternType="solid">
        <x:fgColor rgb="FFFFFFFF"/>
      </x:patternFill>
    </x:fill>
    <x:fill>
      <x:patternFill patternType="solid">
        <x:fgColor rgb="FF123B5D"/>
      </x:patternFill>
    </x:fill>
    <x:fill>
      <x:patternFill patternType="solid">
        <x:fgColor rgb="FFDCEAF4"/>
      </x:patternFill>
    </x:fill>
    <x:fill>
      <x:patternFill patternType="solid">
        <x:fgColor rgb="FF1F5B7A"/>
      </x:patternFill>
    </x:fill>
    <x:fill>
      <x:patternFill patternType="solid">
        <x:fgColor rgb="FFEAF2F8"/>
      </x:patternFill>
    </x:fill>
    <x:fill>
      <x:patternFill patternType="solid">
        <x:fgColor rgb="FFE2F0D9"/>
      </x:patternFill>
    </x:fill>
    <x:fill>
      <x:patternFill patternType="solid">
        <x:fgColor rgb="FFFFF2CC"/>
      </x:patternFill>
    </x:fill>
    <x:fill>
      <x:patternFill patternType="solid">
        <x:fgColor rgb="FFEEF1F4"/>
      </x:patternFill>
    </x:fill>
    <x:fill>
      <x:patternFill patternType="solid">
        <x:fgColor rgb="FFEAF3F8"/>
      </x:patternFill>
    </x:fill>
    <x:fill>
      <x:patternFill patternType="solid">
        <x:fgColor rgb="FF1F4E78"/>
      </x:patternFill>
    </x:fill>
  </x:fills>
  <x:borders count="94">
    <x:border/>
    <x:border/>
    <x:border/>
    <x:border/>
    <x:border/>
    <x:border/>
    <x:border/>
    <x:border/>
    <x:border/>
    <x:border/>
    <x:border/>
    <x:border/>
    <x:border/>
    <x:border/>
    <x:border/>
    <x:border/>
    <x:border/>
    <x:border/>
    <x:border/>
    <x:border/>
    <x:border/>
    <x:border/>
    <x:border/>
    <x:border/>
    <x:border/>
    <x:border/>
    <x:border>
      <x:left style="medium">
        <x:color rgb="FFBF9000"/>
      </x:left>
      <x:top style="medium">
        <x:color rgb="FFBF9000"/>
      </x:top>
    </x:border>
    <x:border>
      <x:top style="medium">
        <x:color rgb="FFBF9000"/>
      </x:top>
    </x:border>
    <x:border>
      <x:right style="medium">
        <x:color rgb="FFBF9000"/>
      </x:right>
      <x:top style="medium">
        <x:color rgb="FFBF9000"/>
      </x:top>
    </x:border>
    <x:border>
      <x:left style="medium">
        <x:color rgb="FFBF9000"/>
      </x:left>
      <x:bottom style="medium">
        <x:color rgb="FFBF9000"/>
      </x:bottom>
    </x:border>
    <x:border>
      <x:bottom style="medium">
        <x:color rgb="FFBF9000"/>
      </x:bottom>
    </x:border>
    <x:border>
      <x:right style="medium">
        <x:color rgb="FFBF9000"/>
      </x:right>
      <x:bottom style="medium">
        <x:color rgb="FFBF9000"/>
      </x:bottom>
    </x:border>
    <x:border>
      <x:left style="thin">
        <x:color rgb="FF9EADBA"/>
      </x:left>
      <x:top style="thin">
        <x:color rgb="FF9EADBA"/>
      </x:top>
      <x:bottom style="thin">
        <x:color rgb="FF9EADBA"/>
      </x:bottom>
    </x:border>
    <x:border>
      <x:top style="thin">
        <x:color rgb="FF9EADBA"/>
      </x:top>
      <x:bottom style="thin">
        <x:color rgb="FF9EADBA"/>
      </x:bottom>
    </x:border>
    <x:border>
      <x:right style="thin">
        <x:color rgb="FF9EADBA"/>
      </x:right>
      <x:top style="thin">
        <x:color rgb="FF9EADBA"/>
      </x:top>
      <x:bottom style="thin">
        <x:color rgb="FF9EADBA"/>
      </x:bottom>
    </x:border>
    <x:border>
      <x:left style="thin">
        <x:color rgb="FFD9E1F2"/>
      </x:left>
      <x:right style="thin">
        <x:color rgb="FFD9E1F2"/>
      </x:right>
      <x:top style="thin">
        <x:color rgb="FFD9E1F2"/>
      </x:top>
      <x:bottom style="thin">
        <x:color rgb="FFD9E1F2"/>
      </x:bottom>
    </x:border>
    <x:border>
      <x:left style="thin">
        <x:color rgb="FF9EADBA"/>
      </x:left>
      <x:right style="thin">
        <x:color rgb="FF9EADBA"/>
      </x:right>
      <x:top style="thin">
        <x:color rgb="FF9EADBA"/>
      </x:top>
      <x:bottom style="thin">
        <x:color rgb="FF9EADBA"/>
      </x:bottom>
    </x:border>
    <x:border>
      <x:bottom style="thin">
        <x:color rgb="FFE7E6E6"/>
      </x:bottom>
    </x:border>
    <x:border>
      <x:top style="thin">
        <x:color rgb="FFE7E6E6"/>
      </x:top>
      <x:bottom style="thin">
        <x:color rgb="FFE7E6E6"/>
      </x:bottom>
    </x:border>
    <x:border>
      <x:top style="thin">
        <x:color rgb="FFE7E6E6"/>
      </x:top>
    </x:border>
    <x:border>
      <x:left style="thin">
        <x:color rgb="FFD9E2F3"/>
      </x:left>
      <x:right style="thin">
        <x:color rgb="FFD9E2F3"/>
      </x:right>
      <x:top style="thin">
        <x:color rgb="FFD9E2F3"/>
      </x:top>
      <x:bottom style="thin">
        <x:color rgb="FFD9E2F3"/>
      </x:bottom>
    </x:border>
    <x:border>
      <x:left style="thin">
        <x:color rgb="FFB4C6E7"/>
      </x:left>
      <x:right style="thin">
        <x:color rgb="FFB4C6E7"/>
      </x:right>
      <x:top style="thin">
        <x:color rgb="FFB4C6E7"/>
      </x:top>
      <x:bottom style="thin">
        <x:color rgb="FFB4C6E7"/>
      </x:bottom>
    </x:border>
    <x:border>
      <x:left style="thin">
        <x:color rgb="FFD7E0E8"/>
      </x:left>
      <x:top style="thin">
        <x:color rgb="FFD7E0E8"/>
      </x:top>
    </x:border>
    <x:border>
      <x:top style="thin">
        <x:color rgb="FFD7E0E8"/>
      </x:top>
    </x:border>
    <x:border>
      <x:right style="thin">
        <x:color rgb="FFD7E0E8"/>
      </x:right>
      <x:top style="thin">
        <x:color rgb="FFD7E0E8"/>
      </x:top>
    </x:border>
    <x:border>
      <x:left style="thin">
        <x:color rgb="FFD7E0E8"/>
      </x:left>
    </x:border>
    <x:border>
      <x:right style="thin">
        <x:color rgb="FFD7E0E8"/>
      </x:right>
    </x:border>
    <x:border>
      <x:left style="thin">
        <x:color rgb="FFD7E0E8"/>
      </x:left>
      <x:bottom style="thin">
        <x:color rgb="FFD7E0E8"/>
      </x:bottom>
    </x:border>
    <x:border>
      <x:bottom style="thin">
        <x:color rgb="FFD7E0E8"/>
      </x:bottom>
    </x:border>
    <x:border>
      <x:right style="thin">
        <x:color rgb="FFD7E0E8"/>
      </x:right>
      <x:bottom style="thin">
        <x:color rgb="FFD7E0E8"/>
      </x:bottom>
    </x:border>
    <x:border>
      <x:left style="thin">
        <x:color rgb="FFCAD7E2"/>
      </x:left>
      <x:top style="thin">
        <x:color rgb="FFCAD7E2"/>
      </x:top>
    </x:border>
    <x:border>
      <x:top style="thin">
        <x:color rgb="FFCAD7E2"/>
      </x:top>
    </x:border>
    <x:border>
      <x:right style="thin">
        <x:color rgb="FFCAD7E2"/>
      </x:right>
      <x:top style="thin">
        <x:color rgb="FFCAD7E2"/>
      </x:top>
    </x:border>
    <x:border>
      <x:left style="thin">
        <x:color rgb="FFCAD7E2"/>
      </x:left>
    </x:border>
    <x:border>
      <x:right style="thin">
        <x:color rgb="FFCAD7E2"/>
      </x:right>
    </x:border>
    <x:border>
      <x:left style="thin">
        <x:color rgb="FFCAD7E2"/>
      </x:left>
      <x:right style="thin">
        <x:color rgb="FFB4C6E7"/>
      </x:right>
      <x:top style="thin">
        <x:color rgb="FFB4C6E7"/>
      </x:top>
      <x:bottom style="thin">
        <x:color rgb="FFCAD7E2"/>
      </x:bottom>
    </x:border>
    <x:border>
      <x:left style="thin">
        <x:color rgb="FFB4C6E7"/>
      </x:left>
      <x:right style="thin">
        <x:color rgb="FFB4C6E7"/>
      </x:right>
      <x:top style="thin">
        <x:color rgb="FFB4C6E7"/>
      </x:top>
      <x:bottom style="thin">
        <x:color rgb="FFCAD7E2"/>
      </x:bottom>
    </x:border>
    <x:border>
      <x:left style="thin">
        <x:color rgb="FFB4C6E7"/>
      </x:left>
      <x:right style="thin">
        <x:color rgb="FFCAD7E2"/>
      </x:right>
      <x:top style="thin">
        <x:color rgb="FFB4C6E7"/>
      </x:top>
      <x:bottom style="thin">
        <x:color rgb="FFCAD7E2"/>
      </x:bottom>
    </x:border>
    <x:border>
      <x:left style="thin">
        <x:color rgb="FFCAD7E2"/>
      </x:left>
      <x:bottom style="thin">
        <x:color rgb="FFCAD7E2"/>
      </x:bottom>
    </x:border>
    <x:border>
      <x:right style="thin">
        <x:color rgb="FFCAD7E2"/>
      </x:right>
      <x:bottom style="thin">
        <x:color rgb="FFCAD7E2"/>
      </x:bottom>
    </x:border>
    <x:border>
      <x:left style="thin">
        <x:color rgb="FFCAD7E2"/>
      </x:left>
      <x:right style="thin">
        <x:color rgb="FFCAD7E2"/>
      </x:right>
      <x:bottom style="thin">
        <x:color rgb="FFCAD7E2"/>
      </x:bottom>
    </x:border>
    <x:border>
      <x:right style="thin">
        <x:color rgb="FFCAD7E2"/>
      </x:right>
      <x:top style="thin">
        <x:color rgb="FFCAD7E2"/>
      </x:top>
      <x:bottom style="thin">
        <x:color rgb="FFCAD7E2"/>
      </x:bottom>
    </x:border>
    <x:border>
      <x:left style="thin">
        <x:color rgb="FFCAD7E2"/>
      </x:left>
      <x:right style="thin">
        <x:color rgb="FFCAD7E2"/>
      </x:right>
      <x:top style="thin">
        <x:color rgb="FFCAD7E2"/>
      </x:top>
      <x:bottom style="thin">
        <x:color rgb="FFCAD7E2"/>
      </x:bottom>
    </x:border>
    <x:border>
      <x:left style="thin">
        <x:color rgb="FFCAD7E2"/>
      </x:left>
      <x:top style="thin">
        <x:color rgb="FFCAD7E2"/>
      </x:top>
      <x:bottom style="thin">
        <x:color rgb="FFCAD7E2"/>
      </x:bottom>
    </x:border>
    <x:border>
      <x:left style="thin">
        <x:color rgb="FFCAD7E2"/>
      </x:left>
      <x:right style="thin">
        <x:color rgb="FFCAD7E2"/>
      </x:right>
      <x:top style="thin">
        <x:color rgb="FFCAD7E2"/>
      </x:top>
    </x:border>
    <x:border>
      <x:right style="thin">
        <x:color rgb="FFD9E1E8"/>
      </x:right>
    </x:border>
    <x:border>
      <x:left style="thin">
        <x:color rgb="FFD9E1E8"/>
      </x:left>
      <x:right style="thin">
        <x:color rgb="FFD9E1E8"/>
      </x:right>
    </x:border>
    <x:border>
      <x:left style="thin">
        <x:color rgb="FFD9E1E8"/>
      </x:left>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bottom style="thin">
        <x:color rgb="FFD9E1E8"/>
      </x:bottom>
    </x:border>
    <x:border>
      <x:top style="thin">
        <x:color rgb="FFD9E1E8"/>
      </x:top>
      <x:bottom style="thin">
        <x:color rgb="FFD9E1E8"/>
      </x:bottom>
    </x:border>
    <x:border>
      <x:top style="thin">
        <x:color rgb="FFD9E1E8"/>
      </x:top>
    </x:border>
    <x:border>
      <x:left style="thin">
        <x:color rgb="FFD9E1E8"/>
      </x:left>
      <x:right style="thin">
        <x:color rgb="FFD9E1E8"/>
      </x:right>
      <x:top style="thin">
        <x:color rgb="FFD9E1E8"/>
      </x:top>
      <x:bottom style="thin">
        <x:color rgb="FFD9E1E8"/>
      </x:bottom>
    </x:border>
    <x:border>
      <x:right style="thin">
        <x:color rgb="FFCAD7E2"/>
      </x:right>
      <x:bottom style="thin">
        <x:color rgb="FFCAD7E2"/>
      </x:bottom>
    </x:border>
    <x:border>
      <x:left style="thin">
        <x:color rgb="FFCAD7E2"/>
      </x:left>
      <x:right style="thin">
        <x:color rgb="FFCAD7E2"/>
      </x:right>
      <x:bottom style="thin">
        <x:color rgb="FFCAD7E2"/>
      </x:bottom>
    </x:border>
    <x:border>
      <x:left style="thin">
        <x:color rgb="FFCAD7E2"/>
      </x:left>
      <x:bottom style="thin">
        <x:color rgb="FFCAD7E2"/>
      </x:bottom>
    </x:border>
    <x:border/>
    <x:border>
      <x:right style="thin">
        <x:color rgb="FFCAD7E2"/>
      </x:right>
      <x:bottom style="thin">
        <x:color rgb="FFCAD7E2"/>
      </x:bottom>
    </x:border>
    <x:border>
      <x:left style="thin">
        <x:color rgb="FFCAD7E2"/>
      </x:left>
      <x:bottom style="thin">
        <x:color rgb="FFCAD7E2"/>
      </x:bottom>
    </x:border>
    <x:border>
      <x:right style="thin">
        <x:color rgb="FFCAD7E2"/>
      </x:right>
      <x:top style="thin">
        <x:color rgb="FFCAD7E2"/>
      </x:top>
      <x:bottom style="thin">
        <x:color rgb="FFCAD7E2"/>
      </x:bottom>
    </x:border>
    <x:border>
      <x:left style="thin">
        <x:color rgb="FFCAD7E2"/>
      </x:left>
      <x:top style="thin">
        <x:color rgb="FFCAD7E2"/>
      </x:top>
      <x:bottom style="thin">
        <x:color rgb="FFCAD7E2"/>
      </x:bottom>
    </x:border>
    <x:border>
      <x:right style="thin">
        <x:color rgb="FFCAD7E2"/>
      </x:right>
      <x:top style="thin">
        <x:color rgb="FFCAD7E2"/>
      </x:top>
    </x:border>
    <x:border/>
    <x:border/>
    <x:border>
      <x:right style="thin">
        <x:color rgb="FFCAD7E2"/>
      </x:right>
      <x:top style="thin">
        <x:color rgb="FFCAD7E2"/>
      </x:top>
    </x:border>
    <x:border>
      <x:left style="thin">
        <x:color rgb="FFCAD7E2"/>
      </x:left>
      <x:right style="thin">
        <x:color rgb="FFCAD7E2"/>
      </x:right>
      <x:top style="thin">
        <x:color rgb="FFCAD7E2"/>
      </x:top>
    </x:border>
    <x:border>
      <x:left style="thin">
        <x:color rgb="FFCAD7E2"/>
      </x:left>
      <x:top style="thin">
        <x:color rgb="FFCAD7E2"/>
      </x:top>
    </x:border>
    <x:border/>
    <x:border/>
    <x:border/>
    <x:border/>
    <x:border/>
  </x:borders>
  <x:cellStyleXfs count="1">
    <x:xf numFmtId="0" fontId="0" fillId="0" borderId="0"/>
  </x:cellStyleXfs>
  <x:cellXfs count="11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3" fillId="4" borderId="10" xfId="0" applyNumberFormat="1" applyFont="1" applyFill="1" applyBorder="1"/>
    <x:xf numFmtId="0" fontId="3" fillId="4" borderId="11" xfId="0" applyNumberFormat="1" applyFont="1" applyFill="1" applyBorder="1"/>
    <x:xf numFmtId="0" fontId="3" fillId="4" borderId="12" xfId="0" applyNumberFormat="1" applyFont="1" applyFill="1" applyBorder="1"/>
    <x:xf numFmtId="0" fontId="3" fillId="4" borderId="13" xfId="0" applyNumberFormat="1" applyFont="1" applyFill="1" applyBorder="1"/>
    <x:xf numFmtId="0" fontId="3" fillId="4" borderId="8" xfId="0" applyNumberFormat="1" applyFont="1" applyFill="1" applyBorder="1" applyAlignment="1">
      <x:alignment wrapText="1"/>
    </x:xf>
    <x:xf numFmtId="0" fontId="3" fillId="4" borderId="9" xfId="0" applyNumberFormat="1" applyFont="1" applyFill="1" applyBorder="1" applyAlignment="1">
      <x:alignment wrapText="1"/>
    </x:xf>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3" fillId="4" borderId="13" xfId="0" applyNumberFormat="1" applyFont="1" applyFill="1" applyBorder="1" applyAlignment="1">
      <x:alignment wrapText="1"/>
    </x:xf>
    <x:xf numFmtId="0" fontId="3" fillId="4" borderId="8" xfId="0" applyNumberFormat="1" applyFont="1" applyFill="1" applyBorder="1" applyAlignment="1">
      <x:alignment horizontal="center" wrapText="1"/>
    </x:xf>
    <x:xf numFmtId="0" fontId="3" fillId="4" borderId="9" xfId="0" applyNumberFormat="1" applyFont="1" applyFill="1" applyBorder="1" applyAlignment="1">
      <x:alignment horizontal="center" wrapText="1"/>
    </x:xf>
    <x:xf numFmtId="0" fontId="3" fillId="4" borderId="10" xfId="0" applyNumberFormat="1" applyFont="1" applyFill="1" applyBorder="1" applyAlignment="1">
      <x:alignment horizontal="center" wrapText="1"/>
    </x:xf>
    <x:xf numFmtId="0" fontId="3" fillId="4" borderId="11" xfId="0" applyNumberFormat="1" applyFont="1" applyFill="1" applyBorder="1" applyAlignment="1">
      <x:alignment horizontal="center" wrapText="1"/>
    </x:xf>
    <x:xf numFmtId="0" fontId="3" fillId="4" borderId="12" xfId="0" applyNumberFormat="1" applyFont="1" applyFill="1" applyBorder="1" applyAlignment="1">
      <x:alignment horizontal="center" wrapText="1"/>
    </x:xf>
    <x:xf numFmtId="0" fontId="3" fillId="4" borderId="13" xfId="0" applyNumberFormat="1" applyFont="1" applyFill="1" applyBorder="1" applyAlignment="1">
      <x:alignment horizontal="center" wrapText="1"/>
    </x:xf>
    <x:xf numFmtId="0" fontId="3" fillId="4" borderId="8"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3" fillId="4" borderId="13"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4" xfId="0" applyNumberFormat="1" applyFont="1" applyFill="1" applyBorder="1" applyAlignment="1">
      <x:alignment horizontal="center" wrapText="1"/>
    </x:xf>
    <x:xf numFmtId="0" fontId="4" fillId="5" borderId="14" xfId="0" applyNumberFormat="1" applyFont="1" applyFill="1" applyBorder="1" applyAlignment="1">
      <x:alignment horizontal="center" wrapText="1"/>
    </x:xf>
    <x:xf numFmtId="0" fontId="4" fillId="5" borderId="0" xfId="0" applyNumberFormat="1" applyFont="1" applyFill="1" applyBorder="1" applyAlignment="1">
      <x:alignment horizontal="center" wrapText="1"/>
    </x:xf>
    <x:xf numFmtId="0" fontId="4" fillId="5" borderId="15" xfId="0" applyNumberFormat="1" applyFont="1" applyFill="1" applyBorder="1" applyAlignment="1">
      <x:alignment horizontal="center"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7"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4" fillId="5" borderId="14"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4" fillId="5" borderId="15"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4" fillId="5" borderId="7"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horizontal="center" wrapText="1"/>
    </x:xf>
    <x:xf numFmtId="0" fontId="4" fillId="5" borderId="9" xfId="0" applyNumberFormat="1" applyFont="1" applyFill="1" applyBorder="1" applyAlignment="1">
      <x:alignment horizontal="center" wrapText="1"/>
    </x:xf>
    <x:xf numFmtId="0" fontId="4" fillId="5" borderId="10" xfId="0" applyNumberFormat="1" applyFont="1" applyFill="1" applyBorder="1" applyAlignment="1">
      <x:alignment horizontal="center" wrapText="1"/>
    </x:xf>
    <x:xf numFmtId="0" fontId="4" fillId="5" borderId="16" xfId="0" applyNumberFormat="1" applyFont="1" applyFill="1" applyBorder="1" applyAlignment="1">
      <x:alignment horizontal="center" wrapText="1"/>
    </x:xf>
    <x:xf numFmtId="0" fontId="4" fillId="5" borderId="1" xfId="0" applyNumberFormat="1" applyFont="1" applyFill="1" applyBorder="1" applyAlignment="1">
      <x:alignment horizontal="center" wrapText="1"/>
    </x:xf>
    <x:xf numFmtId="0" fontId="4" fillId="5" borderId="17" xfId="0" applyNumberFormat="1" applyFont="1" applyFill="1" applyBorder="1" applyAlignment="1">
      <x:alignment horizontal="center" wrapText="1"/>
    </x:xf>
    <x:xf numFmtId="0" fontId="4" fillId="5" borderId="11" xfId="0" applyNumberFormat="1" applyFont="1" applyFill="1" applyBorder="1" applyAlignment="1">
      <x:alignment horizontal="center" wrapText="1"/>
    </x:xf>
    <x:xf numFmtId="0" fontId="4" fillId="5" borderId="12" xfId="0" applyNumberFormat="1" applyFont="1" applyFill="1" applyBorder="1" applyAlignment="1">
      <x:alignment horizontal="center" wrapText="1"/>
    </x:xf>
    <x:xf numFmtId="0" fontId="4" fillId="5" borderId="13" xfId="0" applyNumberFormat="1" applyFont="1" applyFill="1" applyBorder="1" applyAlignment="1">
      <x:alignment horizontal="center" wrapText="1"/>
    </x:xf>
    <x:xf numFmtId="0" fontId="4" fillId="5" borderId="8" xfId="0" applyNumberFormat="1" applyFont="1" applyFill="1" applyBorder="1" applyAlignment="1">
      <x:alignment horizontal="center" vertical="center" wrapText="1"/>
    </x:xf>
    <x:xf numFmtId="0" fontId="4" fillId="5" borderId="9" xfId="0" applyNumberFormat="1" applyFont="1" applyFill="1" applyBorder="1" applyAlignment="1">
      <x:alignment horizontal="center" vertical="center" wrapText="1"/>
    </x:xf>
    <x:xf numFmtId="0" fontId="4" fillId="5" borderId="10" xfId="0" applyNumberFormat="1" applyFont="1" applyFill="1" applyBorder="1" applyAlignment="1">
      <x:alignment horizontal="center" vertical="center" wrapText="1"/>
    </x:xf>
    <x:xf numFmtId="0" fontId="4" fillId="5" borderId="16"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0" fontId="4" fillId="5" borderId="17" xfId="0" applyNumberFormat="1" applyFont="1" applyFill="1" applyBorder="1" applyAlignment="1">
      <x:alignment horizontal="center" vertical="center" wrapText="1"/>
    </x:xf>
    <x:xf numFmtId="0" fontId="4" fillId="5" borderId="11" xfId="0" applyNumberFormat="1" applyFont="1" applyFill="1" applyBorder="1" applyAlignment="1">
      <x:alignment horizontal="center" vertical="center" wrapText="1"/>
    </x:xf>
    <x:xf numFmtId="0" fontId="4" fillId="5" borderId="12" xfId="0" applyNumberFormat="1" applyFont="1" applyFill="1" applyBorder="1" applyAlignment="1">
      <x:alignment horizontal="center" vertical="center" wrapText="1"/>
    </x:xf>
    <x:xf numFmtId="0" fontId="4" fillId="5" borderId="13"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14" xfId="0" applyNumberFormat="1" applyFont="1" applyFill="1" applyBorder="1"/>
    <x:xf numFmtId="0" fontId="4" fillId="6" borderId="15"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14"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5"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4" xfId="0" applyNumberFormat="1" applyFont="1" applyFill="1" applyBorder="1" applyAlignment="1">
      <x:alignment horizontal="center" wrapText="1"/>
    </x:xf>
    <x:xf numFmtId="0" fontId="4" fillId="6" borderId="14" xfId="0" applyNumberFormat="1" applyFont="1" applyFill="1" applyBorder="1" applyAlignment="1">
      <x:alignment horizontal="center" wrapText="1"/>
    </x:xf>
    <x:xf numFmtId="0" fontId="4" fillId="6" borderId="0" xfId="0" applyNumberFormat="1" applyFont="1" applyFill="1" applyBorder="1" applyAlignment="1">
      <x:alignment horizontal="center" wrapText="1"/>
    </x:xf>
    <x:xf numFmtId="0" fontId="4" fillId="6" borderId="15" xfId="0" applyNumberFormat="1" applyFont="1" applyFill="1" applyBorder="1" applyAlignment="1">
      <x:alignment horizontal="center" wrapText="1"/>
    </x:xf>
    <x:xf numFmtId="0" fontId="4" fillId="6" borderId="5" xfId="0" applyNumberFormat="1" applyFont="1" applyFill="1" applyBorder="1" applyAlignment="1">
      <x:alignment horizontal="center" wrapText="1"/>
    </x:xf>
    <x:xf numFmtId="0" fontId="4" fillId="6" borderId="6" xfId="0" applyNumberFormat="1" applyFont="1" applyFill="1" applyBorder="1" applyAlignment="1">
      <x:alignment horizontal="center" wrapText="1"/>
    </x:xf>
    <x:xf numFmtId="0" fontId="4" fillId="6" borderId="7" xfId="0" applyNumberFormat="1" applyFont="1" applyFill="1" applyBorder="1" applyAlignment="1">
      <x:alignment horizont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4" fillId="6" borderId="4" xfId="0" applyNumberFormat="1" applyFont="1" applyFill="1" applyBorder="1" applyAlignment="1">
      <x:alignment horizontal="center" vertical="center" wrapText="1"/>
    </x:xf>
    <x:xf numFmtId="0" fontId="4" fillId="6" borderId="14" xfId="0" applyNumberFormat="1" applyFont="1" applyFill="1" applyBorder="1" applyAlignment="1">
      <x:alignment horizontal="center" vertical="center" wrapText="1"/>
    </x:xf>
    <x:xf numFmtId="0" fontId="4" fillId="6" borderId="0" xfId="0" applyNumberFormat="1" applyFont="1" applyFill="1" applyBorder="1" applyAlignment="1">
      <x:alignment horizontal="center" vertical="center" wrapText="1"/>
    </x:xf>
    <x:xf numFmtId="0" fontId="4" fillId="6" borderId="15" xfId="0" applyNumberFormat="1" applyFont="1" applyFill="1" applyBorder="1" applyAlignment="1">
      <x:alignment horizontal="center" vertical="center" wrapText="1"/>
    </x:xf>
    <x:xf numFmtId="0" fontId="4" fillId="6" borderId="5" xfId="0" applyNumberFormat="1" applyFont="1" applyFill="1" applyBorder="1" applyAlignment="1">
      <x:alignment horizontal="center" vertical="center" wrapText="1"/>
    </x:xf>
    <x:xf numFmtId="0" fontId="4" fillId="6" borderId="6" xfId="0" applyNumberFormat="1" applyFont="1" applyFill="1" applyBorder="1" applyAlignment="1">
      <x:alignment horizontal="center" vertical="center" wrapText="1"/>
    </x:xf>
    <x:xf numFmtId="0" fontId="4" fillId="6" borderId="7" xfId="0" applyNumberFormat="1" applyFont="1" applyFill="1" applyBorder="1" applyAlignment="1">
      <x:alignment horizontal="center" vertical="center" wrapText="1"/>
    </x:xf>
    <x:xf numFmtId="0" fontId="0" fillId="6" borderId="1" xfId="0" applyNumberFormat="1" applyFont="1" applyFill="1" applyBorder="1"/>
    <x:xf numFmtId="0" fontId="4" fillId="6" borderId="1"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4" fillId="6" borderId="10" xfId="0" applyNumberFormat="1" applyFont="1" applyFill="1" applyBorder="1"/>
    <x:xf numFmtId="0" fontId="4" fillId="6" borderId="16" xfId="0" applyNumberFormat="1" applyFont="1" applyFill="1" applyBorder="1"/>
    <x:xf numFmtId="0" fontId="4" fillId="6" borderId="17" xfId="0" applyNumberFormat="1" applyFont="1" applyFill="1" applyBorder="1"/>
    <x:xf numFmtId="0" fontId="4" fillId="6" borderId="11" xfId="0" applyNumberFormat="1" applyFont="1" applyFill="1" applyBorder="1"/>
    <x:xf numFmtId="0" fontId="4" fillId="6" borderId="12" xfId="0" applyNumberFormat="1" applyFont="1" applyFill="1" applyBorder="1"/>
    <x:xf numFmtId="0" fontId="4" fillId="6" borderId="13" xfId="0" applyNumberFormat="1" applyFont="1" applyFill="1" applyBorder="1"/>
    <x:xf numFmtId="0" fontId="4" fillId="6" borderId="8"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16" xfId="0" applyNumberFormat="1" applyFont="1" applyFill="1" applyBorder="1" applyAlignment="1">
      <x:alignment wrapText="1"/>
    </x:xf>
    <x:xf numFmtId="0" fontId="4" fillId="6" borderId="1" xfId="0" applyNumberFormat="1" applyFont="1" applyFill="1" applyBorder="1" applyAlignment="1">
      <x:alignment wrapText="1"/>
    </x:xf>
    <x:xf numFmtId="0" fontId="4" fillId="6" borderId="17"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12" xfId="0" applyNumberFormat="1" applyFont="1" applyFill="1" applyBorder="1" applyAlignment="1">
      <x:alignment wrapText="1"/>
    </x:xf>
    <x:xf numFmtId="0" fontId="4" fillId="6" borderId="13" xfId="0" applyNumberFormat="1" applyFont="1" applyFill="1" applyBorder="1" applyAlignment="1">
      <x:alignment wrapText="1"/>
    </x:xf>
    <x:xf numFmtId="0" fontId="4" fillId="6" borderId="8" xfId="0" applyNumberFormat="1" applyFont="1" applyFill="1" applyBorder="1" applyAlignment="1">
      <x:alignment horizontal="center" wrapText="1"/>
    </x:xf>
    <x:xf numFmtId="0" fontId="4" fillId="6" borderId="9" xfId="0" applyNumberFormat="1" applyFont="1" applyFill="1" applyBorder="1" applyAlignment="1">
      <x:alignment horizontal="center" wrapText="1"/>
    </x:xf>
    <x:xf numFmtId="0" fontId="4" fillId="6" borderId="10" xfId="0" applyNumberFormat="1" applyFont="1" applyFill="1" applyBorder="1" applyAlignment="1">
      <x:alignment horizontal="center" wrapText="1"/>
    </x:xf>
    <x:xf numFmtId="0" fontId="4" fillId="6" borderId="16" xfId="0" applyNumberFormat="1" applyFont="1" applyFill="1" applyBorder="1" applyAlignment="1">
      <x:alignment horizontal="center" wrapText="1"/>
    </x:xf>
    <x:xf numFmtId="0" fontId="4" fillId="6" borderId="1" xfId="0" applyNumberFormat="1" applyFont="1" applyFill="1" applyBorder="1" applyAlignment="1">
      <x:alignment horizontal="center" wrapText="1"/>
    </x:xf>
    <x:xf numFmtId="0" fontId="4" fillId="6" borderId="17" xfId="0" applyNumberFormat="1" applyFont="1" applyFill="1" applyBorder="1" applyAlignment="1">
      <x:alignment horizontal="center" wrapText="1"/>
    </x:xf>
    <x:xf numFmtId="0" fontId="4" fillId="6" borderId="11" xfId="0" applyNumberFormat="1" applyFont="1" applyFill="1" applyBorder="1" applyAlignment="1">
      <x:alignment horizontal="center" wrapText="1"/>
    </x:xf>
    <x:xf numFmtId="0" fontId="4" fillId="6" borderId="12" xfId="0" applyNumberFormat="1" applyFont="1" applyFill="1" applyBorder="1" applyAlignment="1">
      <x:alignment horizontal="center" wrapText="1"/>
    </x:xf>
    <x:xf numFmtId="0" fontId="4" fillId="6" borderId="13" xfId="0" applyNumberFormat="1" applyFont="1" applyFill="1" applyBorder="1" applyAlignment="1">
      <x:alignment horizontal="center" wrapText="1"/>
    </x:xf>
    <x:xf numFmtId="0" fontId="4" fillId="6" borderId="8" xfId="0" applyNumberFormat="1" applyFont="1" applyFill="1" applyBorder="1" applyAlignment="1">
      <x:alignment horizontal="center" vertical="center" wrapText="1"/>
    </x:xf>
    <x:xf numFmtId="0" fontId="4" fillId="6" borderId="9" xfId="0" applyNumberFormat="1" applyFont="1" applyFill="1" applyBorder="1" applyAlignment="1">
      <x:alignment horizontal="center" vertical="center" wrapText="1"/>
    </x:xf>
    <x:xf numFmtId="0" fontId="4" fillId="6" borderId="10" xfId="0" applyNumberFormat="1" applyFont="1" applyFill="1" applyBorder="1" applyAlignment="1">
      <x:alignment horizontal="center" vertical="center" wrapText="1"/>
    </x:xf>
    <x:xf numFmtId="0" fontId="4" fillId="6" borderId="16" xfId="0" applyNumberFormat="1" applyFont="1" applyFill="1" applyBorder="1" applyAlignment="1">
      <x:alignment horizontal="center" vertical="center" wrapText="1"/>
    </x:xf>
    <x:xf numFmtId="0" fontId="4" fillId="6" borderId="1" xfId="0" applyNumberFormat="1" applyFont="1" applyFill="1" applyBorder="1" applyAlignment="1">
      <x:alignment horizontal="center" vertical="center" wrapText="1"/>
    </x:xf>
    <x:xf numFmtId="0" fontId="4" fillId="6" borderId="17" xfId="0" applyNumberFormat="1" applyFont="1" applyFill="1" applyBorder="1" applyAlignment="1">
      <x:alignment horizontal="center" vertical="center" wrapText="1"/>
    </x:xf>
    <x:xf numFmtId="0" fontId="4" fillId="6" borderId="11" xfId="0" applyNumberFormat="1" applyFont="1" applyFill="1" applyBorder="1" applyAlignment="1">
      <x:alignment horizontal="center" vertical="center" wrapText="1"/>
    </x:xf>
    <x:xf numFmtId="0" fontId="4" fillId="6" borderId="12" xfId="0" applyNumberFormat="1" applyFont="1" applyFill="1" applyBorder="1" applyAlignment="1">
      <x:alignment horizontal="center" vertical="center" wrapText="1"/>
    </x:xf>
    <x:xf numFmtId="0" fontId="4" fillId="6" borderId="13"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1" xfId="0" applyNumberFormat="1" applyFont="1" applyFill="1" applyBorder="1"/>
    <x:xf numFmtId="0" fontId="5" fillId="0"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2" xfId="0" applyNumberFormat="1" applyFont="1" applyFill="1" applyBorder="1"/>
    <x:xf numFmtId="0" fontId="4" fillId="7" borderId="3" xfId="0" applyNumberFormat="1" applyFont="1" applyFill="1" applyBorder="1"/>
    <x:xf numFmtId="0" fontId="4" fillId="7" borderId="4" xfId="0" applyNumberFormat="1" applyFont="1" applyFill="1" applyBorder="1"/>
    <x:xf numFmtId="0" fontId="4" fillId="7" borderId="14" xfId="0" applyNumberFormat="1" applyFont="1" applyFill="1" applyBorder="1"/>
    <x:xf numFmtId="0" fontId="4" fillId="7" borderId="15" xfId="0" applyNumberFormat="1" applyFont="1" applyFill="1" applyBorder="1"/>
    <x:xf numFmtId="0" fontId="4" fillId="7" borderId="5" xfId="0" applyNumberFormat="1" applyFont="1" applyFill="1" applyBorder="1"/>
    <x:xf numFmtId="0" fontId="4" fillId="7" borderId="6" xfId="0" applyNumberFormat="1" applyFont="1" applyFill="1" applyBorder="1"/>
    <x:xf numFmtId="0" fontId="4" fillId="7" borderId="7" xfId="0" applyNumberFormat="1" applyFont="1" applyFill="1" applyBorder="1"/>
    <x:xf numFmtId="0" fontId="4" fillId="7" borderId="2" xfId="0" applyNumberFormat="1" applyFont="1" applyFill="1" applyBorder="1" applyAlignment="1">
      <x:alignment wrapText="1"/>
    </x:xf>
    <x:xf numFmtId="0" fontId="4" fillId="7" borderId="3" xfId="0" applyNumberFormat="1" applyFont="1" applyFill="1" applyBorder="1" applyAlignment="1">
      <x:alignment wrapText="1"/>
    </x:xf>
    <x:xf numFmtId="0" fontId="4" fillId="7" borderId="4" xfId="0" applyNumberFormat="1" applyFont="1" applyFill="1" applyBorder="1" applyAlignment="1">
      <x:alignment wrapText="1"/>
    </x:xf>
    <x:xf numFmtId="0" fontId="4" fillId="7" borderId="14" xfId="0" applyNumberFormat="1" applyFont="1" applyFill="1" applyBorder="1" applyAlignment="1">
      <x:alignment wrapText="1"/>
    </x:xf>
    <x:xf numFmtId="0" fontId="4" fillId="7" borderId="0" xfId="0" applyNumberFormat="1" applyFont="1" applyFill="1" applyBorder="1" applyAlignment="1">
      <x:alignment wrapText="1"/>
    </x:xf>
    <x:xf numFmtId="0" fontId="4" fillId="7" borderId="15" xfId="0" applyNumberFormat="1" applyFont="1" applyFill="1" applyBorder="1" applyAlignment="1">
      <x:alignment wrapText="1"/>
    </x:xf>
    <x:xf numFmtId="0" fontId="4" fillId="7" borderId="5" xfId="0" applyNumberFormat="1" applyFont="1" applyFill="1" applyBorder="1" applyAlignment="1">
      <x:alignment wrapText="1"/>
    </x:xf>
    <x:xf numFmtId="0" fontId="4" fillId="7" borderId="6" xfId="0" applyNumberFormat="1" applyFont="1" applyFill="1" applyBorder="1" applyAlignment="1">
      <x:alignment wrapText="1"/>
    </x:xf>
    <x:xf numFmtId="0" fontId="4" fillId="7" borderId="7" xfId="0" applyNumberFormat="1" applyFont="1" applyFill="1" applyBorder="1" applyAlignment="1">
      <x:alignment wrapText="1"/>
    </x:xf>
    <x:xf numFmtId="0" fontId="4" fillId="7" borderId="2" xfId="0" applyNumberFormat="1" applyFont="1" applyFill="1" applyBorder="1" applyAlignment="1">
      <x:alignment horizontal="center" wrapText="1"/>
    </x:xf>
    <x:xf numFmtId="0" fontId="4" fillId="7" borderId="3" xfId="0" applyNumberFormat="1" applyFont="1" applyFill="1" applyBorder="1" applyAlignment="1">
      <x:alignment horizontal="center" wrapText="1"/>
    </x:xf>
    <x:xf numFmtId="0" fontId="4" fillId="7" borderId="4" xfId="0" applyNumberFormat="1" applyFont="1" applyFill="1" applyBorder="1" applyAlignment="1">
      <x:alignment horizontal="center" wrapText="1"/>
    </x:xf>
    <x:xf numFmtId="0" fontId="4" fillId="7" borderId="14" xfId="0" applyNumberFormat="1" applyFont="1" applyFill="1" applyBorder="1" applyAlignment="1">
      <x:alignment horizontal="center" wrapText="1"/>
    </x:xf>
    <x:xf numFmtId="0" fontId="4" fillId="7" borderId="0" xfId="0" applyNumberFormat="1" applyFont="1" applyFill="1" applyBorder="1" applyAlignment="1">
      <x:alignment horizontal="center" wrapText="1"/>
    </x:xf>
    <x:xf numFmtId="0" fontId="4" fillId="7" borderId="15" xfId="0" applyNumberFormat="1" applyFont="1" applyFill="1" applyBorder="1" applyAlignment="1">
      <x:alignment horizontal="center" wrapText="1"/>
    </x:xf>
    <x:xf numFmtId="0" fontId="4" fillId="7" borderId="5" xfId="0" applyNumberFormat="1" applyFont="1" applyFill="1" applyBorder="1" applyAlignment="1">
      <x:alignment horizontal="center" wrapText="1"/>
    </x:xf>
    <x:xf numFmtId="0" fontId="4" fillId="7" borderId="6" xfId="0" applyNumberFormat="1" applyFont="1" applyFill="1" applyBorder="1" applyAlignment="1">
      <x:alignment horizontal="center" wrapText="1"/>
    </x:xf>
    <x:xf numFmtId="0" fontId="4" fillId="7" borderId="7" xfId="0" applyNumberFormat="1" applyFont="1" applyFill="1" applyBorder="1" applyAlignment="1">
      <x:alignment horizontal="center" wrapText="1"/>
    </x:xf>
    <x:xf numFmtId="0" fontId="4" fillId="7" borderId="2" xfId="0" applyNumberFormat="1" applyFont="1" applyFill="1" applyBorder="1" applyAlignment="1">
      <x:alignment horizontal="center" vertical="center" wrapText="1"/>
    </x:xf>
    <x:xf numFmtId="0" fontId="4" fillId="7" borderId="3" xfId="0" applyNumberFormat="1" applyFont="1" applyFill="1" applyBorder="1" applyAlignment="1">
      <x:alignment horizontal="center" vertical="center" wrapText="1"/>
    </x:xf>
    <x:xf numFmtId="0" fontId="4" fillId="7" borderId="4" xfId="0" applyNumberFormat="1" applyFont="1" applyFill="1" applyBorder="1" applyAlignment="1">
      <x:alignment horizontal="center" vertical="center" wrapText="1"/>
    </x:xf>
    <x:xf numFmtId="0" fontId="4" fillId="7" borderId="14" xfId="0" applyNumberFormat="1" applyFont="1" applyFill="1" applyBorder="1" applyAlignment="1">
      <x:alignment horizontal="center" vertical="center" wrapText="1"/>
    </x:xf>
    <x:xf numFmtId="0" fontId="4" fillId="7" borderId="0" xfId="0" applyNumberFormat="1" applyFont="1" applyFill="1" applyBorder="1" applyAlignment="1">
      <x:alignment horizontal="center" vertical="center" wrapText="1"/>
    </x:xf>
    <x:xf numFmtId="0" fontId="4" fillId="7" borderId="15" xfId="0" applyNumberFormat="1" applyFont="1" applyFill="1" applyBorder="1" applyAlignment="1">
      <x:alignment horizontal="center" vertical="center" wrapText="1"/>
    </x:xf>
    <x:xf numFmtId="0" fontId="4" fillId="7" borderId="5" xfId="0" applyNumberFormat="1" applyFont="1" applyFill="1" applyBorder="1" applyAlignment="1">
      <x:alignment horizontal="center" vertical="center" wrapText="1"/>
    </x:xf>
    <x:xf numFmtId="0" fontId="4" fillId="7" borderId="6" xfId="0" applyNumberFormat="1" applyFont="1" applyFill="1" applyBorder="1" applyAlignment="1">
      <x:alignment horizontal="center" vertical="center" wrapText="1"/>
    </x:xf>
    <x:xf numFmtId="0" fontId="4" fillId="7" borderId="7" xfId="0" applyNumberFormat="1" applyFont="1" applyFill="1" applyBorder="1" applyAlignment="1">
      <x:alignment horizontal="center" vertical="center" wrapText="1"/>
    </x:xf>
    <x:xf numFmtId="0" fontId="0" fillId="7" borderId="1" xfId="0" applyNumberFormat="1" applyFont="1" applyFill="1" applyBorder="1"/>
    <x:xf numFmtId="0" fontId="4" fillId="7" borderId="1" xfId="0" applyNumberFormat="1" applyFont="1" applyFill="1" applyBorder="1"/>
    <x:xf numFmtId="0" fontId="4" fillId="7" borderId="8" xfId="0" applyNumberFormat="1" applyFont="1" applyFill="1" applyBorder="1"/>
    <x:xf numFmtId="0" fontId="4" fillId="7" borderId="9" xfId="0" applyNumberFormat="1" applyFont="1" applyFill="1" applyBorder="1"/>
    <x:xf numFmtId="0" fontId="4" fillId="7" borderId="10" xfId="0" applyNumberFormat="1" applyFont="1" applyFill="1" applyBorder="1"/>
    <x:xf numFmtId="0" fontId="4" fillId="7" borderId="16" xfId="0" applyNumberFormat="1" applyFont="1" applyFill="1" applyBorder="1"/>
    <x:xf numFmtId="0" fontId="4" fillId="7" borderId="17" xfId="0" applyNumberFormat="1" applyFont="1" applyFill="1" applyBorder="1"/>
    <x:xf numFmtId="0" fontId="4" fillId="7" borderId="11" xfId="0" applyNumberFormat="1" applyFont="1" applyFill="1" applyBorder="1"/>
    <x:xf numFmtId="0" fontId="4" fillId="7" borderId="12" xfId="0" applyNumberFormat="1" applyFont="1" applyFill="1" applyBorder="1"/>
    <x:xf numFmtId="0" fontId="4" fillId="7" borderId="13" xfId="0" applyNumberFormat="1" applyFont="1" applyFill="1" applyBorder="1"/>
    <x:xf numFmtId="0" fontId="4" fillId="7" borderId="8" xfId="0" applyNumberFormat="1" applyFont="1" applyFill="1" applyBorder="1" applyAlignment="1">
      <x:alignment wrapText="1"/>
    </x:xf>
    <x:xf numFmtId="0" fontId="4" fillId="7" borderId="9" xfId="0" applyNumberFormat="1" applyFont="1" applyFill="1" applyBorder="1" applyAlignment="1">
      <x:alignment wrapText="1"/>
    </x:xf>
    <x:xf numFmtId="0" fontId="4" fillId="7" borderId="10" xfId="0" applyNumberFormat="1" applyFont="1" applyFill="1" applyBorder="1" applyAlignment="1">
      <x:alignment wrapText="1"/>
    </x:xf>
    <x:xf numFmtId="0" fontId="4" fillId="7" borderId="16" xfId="0" applyNumberFormat="1" applyFont="1" applyFill="1" applyBorder="1" applyAlignment="1">
      <x:alignment wrapText="1"/>
    </x:xf>
    <x:xf numFmtId="0" fontId="4" fillId="7" borderId="1" xfId="0" applyNumberFormat="1" applyFont="1" applyFill="1" applyBorder="1" applyAlignment="1">
      <x:alignment wrapText="1"/>
    </x:xf>
    <x:xf numFmtId="0" fontId="4" fillId="7" borderId="17" xfId="0" applyNumberFormat="1" applyFont="1" applyFill="1" applyBorder="1" applyAlignment="1">
      <x:alignment wrapText="1"/>
    </x:xf>
    <x:xf numFmtId="0" fontId="4" fillId="7" borderId="11" xfId="0" applyNumberFormat="1" applyFont="1" applyFill="1" applyBorder="1" applyAlignment="1">
      <x:alignment wrapText="1"/>
    </x:xf>
    <x:xf numFmtId="0" fontId="4" fillId="7" borderId="12" xfId="0" applyNumberFormat="1" applyFont="1" applyFill="1" applyBorder="1" applyAlignment="1">
      <x:alignment wrapText="1"/>
    </x:xf>
    <x:xf numFmtId="0" fontId="4" fillId="7" borderId="13" xfId="0" applyNumberFormat="1" applyFont="1" applyFill="1" applyBorder="1" applyAlignment="1">
      <x:alignment wrapText="1"/>
    </x:xf>
    <x:xf numFmtId="0" fontId="4" fillId="7" borderId="8" xfId="0" applyNumberFormat="1" applyFont="1" applyFill="1" applyBorder="1" applyAlignment="1">
      <x:alignment horizontal="center" wrapText="1"/>
    </x:xf>
    <x:xf numFmtId="0" fontId="4" fillId="7" borderId="9" xfId="0" applyNumberFormat="1" applyFont="1" applyFill="1" applyBorder="1" applyAlignment="1">
      <x:alignment horizontal="center" wrapText="1"/>
    </x:xf>
    <x:xf numFmtId="0" fontId="4" fillId="7" borderId="10" xfId="0" applyNumberFormat="1" applyFont="1" applyFill="1" applyBorder="1" applyAlignment="1">
      <x:alignment horizontal="center" wrapText="1"/>
    </x:xf>
    <x:xf numFmtId="0" fontId="4" fillId="7" borderId="16" xfId="0" applyNumberFormat="1" applyFont="1" applyFill="1" applyBorder="1" applyAlignment="1">
      <x:alignment horizontal="center" wrapText="1"/>
    </x:xf>
    <x:xf numFmtId="0" fontId="4" fillId="7" borderId="1" xfId="0" applyNumberFormat="1" applyFont="1" applyFill="1" applyBorder="1" applyAlignment="1">
      <x:alignment horizontal="center" wrapText="1"/>
    </x:xf>
    <x:xf numFmtId="0" fontId="4" fillId="7" borderId="17" xfId="0" applyNumberFormat="1" applyFont="1" applyFill="1" applyBorder="1" applyAlignment="1">
      <x:alignment horizontal="center" wrapText="1"/>
    </x:xf>
    <x:xf numFmtId="0" fontId="4" fillId="7" borderId="11" xfId="0" applyNumberFormat="1" applyFont="1" applyFill="1" applyBorder="1" applyAlignment="1">
      <x:alignment horizontal="center" wrapText="1"/>
    </x:xf>
    <x:xf numFmtId="0" fontId="4" fillId="7" borderId="12" xfId="0" applyNumberFormat="1" applyFont="1" applyFill="1" applyBorder="1" applyAlignment="1">
      <x:alignment horizontal="center" wrapText="1"/>
    </x:xf>
    <x:xf numFmtId="0" fontId="4" fillId="7" borderId="13" xfId="0" applyNumberFormat="1" applyFont="1" applyFill="1" applyBorder="1" applyAlignment="1">
      <x:alignment horizontal="center" wrapText="1"/>
    </x:xf>
    <x:xf numFmtId="0" fontId="4" fillId="7" borderId="8" xfId="0" applyNumberFormat="1" applyFont="1" applyFill="1" applyBorder="1" applyAlignment="1">
      <x:alignment horizontal="center" vertical="center" wrapText="1"/>
    </x:xf>
    <x:xf numFmtId="0" fontId="4" fillId="7" borderId="9" xfId="0" applyNumberFormat="1" applyFont="1" applyFill="1" applyBorder="1" applyAlignment="1">
      <x:alignment horizontal="center" vertical="center" wrapText="1"/>
    </x:xf>
    <x:xf numFmtId="0" fontId="4" fillId="7" borderId="10"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7" borderId="17" xfId="0" applyNumberFormat="1" applyFont="1" applyFill="1" applyBorder="1" applyAlignment="1">
      <x:alignment horizontal="center" vertical="center" wrapText="1"/>
    </x:xf>
    <x:xf numFmtId="0" fontId="4" fillId="7" borderId="11" xfId="0" applyNumberFormat="1" applyFont="1" applyFill="1" applyBorder="1" applyAlignment="1">
      <x:alignment horizontal="center" vertical="center" wrapText="1"/>
    </x:xf>
    <x:xf numFmtId="0" fontId="4" fillId="7" borderId="12" xfId="0" applyNumberFormat="1" applyFont="1" applyFill="1" applyBorder="1" applyAlignment="1">
      <x:alignment horizontal="center" vertical="center" wrapText="1"/>
    </x:xf>
    <x:xf numFmtId="0" fontId="4" fillId="7" borderId="13" xfId="0" applyNumberFormat="1" applyFont="1" applyFill="1" applyBorder="1" applyAlignment="1">
      <x:alignment horizontal="center" vertical="center"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14" xfId="0" applyNumberFormat="1" applyFont="1" applyFill="1" applyBorder="1"/>
    <x:xf numFmtId="0" fontId="0" fillId="0" borderId="0" xfId="0" applyNumberFormat="1" applyFont="1" applyFill="1" applyBorder="1"/>
    <x:xf numFmtId="0" fontId="0" fillId="0" borderId="15"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 xfId="0" applyNumberFormat="1" applyFont="1" applyFill="1" applyBorder="1"/>
    <x:xf numFmtId="0" fontId="6" fillId="8" borderId="3" xfId="0" applyNumberFormat="1" applyFont="1" applyFill="1" applyBorder="1"/>
    <x:xf numFmtId="0" fontId="6" fillId="8" borderId="4" xfId="0" applyNumberFormat="1" applyFont="1" applyFill="1" applyBorder="1"/>
    <x:xf numFmtId="0" fontId="6" fillId="8" borderId="5" xfId="0" applyNumberFormat="1" applyFont="1" applyFill="1" applyBorder="1"/>
    <x:xf numFmtId="0" fontId="6" fillId="8" borderId="6" xfId="0" applyNumberFormat="1" applyFont="1" applyFill="1" applyBorder="1"/>
    <x:xf numFmtId="0" fontId="6" fillId="8" borderId="7" xfId="0" applyNumberFormat="1" applyFont="1" applyFill="1" applyBorder="1"/>
    <x:xf numFmtId="0" fontId="6" fillId="8" borderId="2" xfId="0" applyNumberFormat="1" applyFont="1" applyFill="1" applyBorder="1" applyAlignment="1">
      <x:alignment wrapText="1"/>
    </x:xf>
    <x:xf numFmtId="0" fontId="6" fillId="8" borderId="3" xfId="0" applyNumberFormat="1" applyFont="1" applyFill="1" applyBorder="1" applyAlignment="1">
      <x:alignment wrapText="1"/>
    </x:xf>
    <x:xf numFmtId="0" fontId="6" fillId="8" borderId="4" xfId="0" applyNumberFormat="1" applyFont="1" applyFill="1" applyBorder="1" applyAlignment="1">
      <x:alignment wrapText="1"/>
    </x:xf>
    <x:xf numFmtId="0" fontId="6" fillId="8" borderId="5" xfId="0" applyNumberFormat="1" applyFont="1" applyFill="1" applyBorder="1" applyAlignment="1">
      <x:alignment wrapText="1"/>
    </x:xf>
    <x:xf numFmtId="0" fontId="6" fillId="8" borderId="6" xfId="0" applyNumberFormat="1" applyFont="1" applyFill="1" applyBorder="1" applyAlignment="1">
      <x:alignment wrapText="1"/>
    </x:xf>
    <x:xf numFmtId="0" fontId="6" fillId="8" borderId="7" xfId="0" applyNumberFormat="1" applyFont="1" applyFill="1" applyBorder="1" applyAlignment="1">
      <x:alignment wrapText="1"/>
    </x:xf>
    <x:xf numFmtId="0" fontId="6" fillId="8" borderId="2" xfId="0" applyNumberFormat="1" applyFont="1" applyFill="1" applyBorder="1" applyAlignment="1">
      <x:alignment vertical="top" wrapText="1"/>
    </x:xf>
    <x:xf numFmtId="0" fontId="6" fillId="8" borderId="3"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6" fillId="8" borderId="5" xfId="0" applyNumberFormat="1" applyFont="1" applyFill="1" applyBorder="1" applyAlignment="1">
      <x:alignment vertical="top" wrapText="1"/>
    </x:xf>
    <x:xf numFmtId="0" fontId="6" fillId="8" borderId="6" xfId="0" applyNumberFormat="1" applyFont="1" applyFill="1" applyBorder="1" applyAlignment="1">
      <x:alignment vertical="top" wrapText="1"/>
    </x:xf>
    <x:xf numFmtId="0" fontId="6" fillId="8" borderId="7" xfId="0" applyNumberFormat="1" applyFont="1" applyFill="1" applyBorder="1" applyAlignment="1">
      <x:alignment vertical="top" wrapText="1"/>
    </x:xf>
    <x:xf numFmtId="0" fontId="0" fillId="8" borderId="1" xfId="0" applyNumberFormat="1" applyFont="1" applyFill="1" applyBorder="1"/>
    <x:xf numFmtId="0" fontId="6" fillId="8" borderId="1" xfId="0" applyNumberFormat="1" applyFont="1" applyFill="1" applyBorder="1"/>
    <x:xf numFmtId="0" fontId="6" fillId="8" borderId="8" xfId="0" applyNumberFormat="1" applyFont="1" applyFill="1" applyBorder="1"/>
    <x:xf numFmtId="0" fontId="6" fillId="8" borderId="9" xfId="0" applyNumberFormat="1" applyFont="1" applyFill="1" applyBorder="1"/>
    <x:xf numFmtId="0" fontId="6" fillId="8" borderId="10" xfId="0" applyNumberFormat="1" applyFont="1" applyFill="1" applyBorder="1"/>
    <x:xf numFmtId="0" fontId="6" fillId="8" borderId="11" xfId="0" applyNumberFormat="1" applyFont="1" applyFill="1" applyBorder="1"/>
    <x:xf numFmtId="0" fontId="6" fillId="8" borderId="12" xfId="0" applyNumberFormat="1" applyFont="1" applyFill="1" applyBorder="1"/>
    <x:xf numFmtId="0" fontId="6" fillId="8" borderId="13" xfId="0" applyNumberFormat="1" applyFont="1" applyFill="1" applyBorder="1"/>
    <x:xf numFmtId="0" fontId="6" fillId="8" borderId="8" xfId="0" applyNumberFormat="1" applyFont="1" applyFill="1" applyBorder="1" applyAlignment="1">
      <x:alignment wrapText="1"/>
    </x:xf>
    <x:xf numFmtId="0" fontId="6" fillId="8" borderId="9" xfId="0" applyNumberFormat="1" applyFont="1" applyFill="1" applyBorder="1" applyAlignment="1">
      <x:alignment wrapText="1"/>
    </x:xf>
    <x:xf numFmtId="0" fontId="6" fillId="8" borderId="10" xfId="0" applyNumberFormat="1" applyFont="1" applyFill="1" applyBorder="1" applyAlignment="1">
      <x:alignment wrapText="1"/>
    </x:xf>
    <x:xf numFmtId="0" fontId="6" fillId="8" borderId="11" xfId="0" applyNumberFormat="1" applyFont="1" applyFill="1" applyBorder="1" applyAlignment="1">
      <x:alignment wrapText="1"/>
    </x:xf>
    <x:xf numFmtId="0" fontId="6" fillId="8" borderId="12" xfId="0" applyNumberFormat="1" applyFont="1" applyFill="1" applyBorder="1" applyAlignment="1">
      <x:alignment wrapText="1"/>
    </x:xf>
    <x:xf numFmtId="0" fontId="6" fillId="8" borderId="13" xfId="0" applyNumberFormat="1" applyFont="1" applyFill="1" applyBorder="1" applyAlignment="1">
      <x:alignment wrapText="1"/>
    </x:xf>
    <x:xf numFmtId="0" fontId="6" fillId="8" borderId="8" xfId="0" applyNumberFormat="1" applyFont="1" applyFill="1" applyBorder="1" applyAlignment="1">
      <x:alignment vertical="top" wrapText="1"/>
    </x:xf>
    <x:xf numFmtId="0" fontId="6" fillId="8" borderId="9" xfId="0" applyNumberFormat="1" applyFont="1" applyFill="1" applyBorder="1" applyAlignment="1">
      <x:alignment vertical="top" wrapText="1"/>
    </x:xf>
    <x:xf numFmtId="0" fontId="6" fillId="8" borderId="10" xfId="0" applyNumberFormat="1" applyFont="1" applyFill="1" applyBorder="1" applyAlignment="1">
      <x:alignment vertical="top" wrapText="1"/>
    </x:xf>
    <x:xf numFmtId="0" fontId="6" fillId="8" borderId="11" xfId="0" applyNumberFormat="1" applyFont="1" applyFill="1" applyBorder="1" applyAlignment="1">
      <x:alignment vertical="top" wrapText="1"/>
    </x:xf>
    <x:xf numFmtId="0" fontId="6" fillId="8" borderId="12" xfId="0" applyNumberFormat="1" applyFont="1" applyFill="1" applyBorder="1" applyAlignment="1">
      <x:alignment vertical="top" wrapText="1"/>
    </x:xf>
    <x:xf numFmtId="0" fontId="6" fillId="8" borderId="13" xfId="0" applyNumberFormat="1" applyFont="1" applyFill="1" applyBorder="1" applyAlignment="1">
      <x:alignment vertical="top" wrapText="1"/>
    </x:xf>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horizontal="center" wrapText="1"/>
    </x:xf>
    <x:xf numFmtId="0" fontId="3" fillId="4" borderId="0" xfId="0" applyNumberFormat="1" applyFont="1" applyFill="1" applyBorder="1" applyAlignment="1">
      <x:alignment horizontal="center" wrapText="1"/>
    </x:xf>
    <x:xf numFmtId="0" fontId="3" fillId="4" borderId="15" xfId="0" applyNumberFormat="1" applyFont="1" applyFill="1" applyBorder="1" applyAlignment="1">
      <x:alignment horizontal="center" wrapText="1"/>
    </x:xf>
    <x:xf numFmtId="0" fontId="3" fillId="4" borderId="14"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0" fontId="3" fillId="4" borderId="15" xfId="0" applyNumberFormat="1" applyFont="1" applyFill="1" applyBorder="1" applyAlignment="1">
      <x:alignment horizontal="center" vertical="center" wrapText="1"/>
    </x:xf>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3" fillId="4" borderId="17" xfId="0" applyNumberFormat="1" applyFont="1" applyFill="1" applyBorder="1" applyAlignment="1">
      <x:alignment horizontal="center" wrapText="1"/>
    </x:xf>
    <x:xf numFmtId="0" fontId="3" fillId="4" borderId="16"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3" fillId="4" borderId="17"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center"/>
    </x:xf>
    <x:xf numFmtId="0" fontId="8" fillId="0" borderId="0" xfId="0" applyNumberFormat="1" applyFont="1" applyFill="1" applyBorder="1"/>
    <x:xf numFmtId="0" fontId="9" fillId="5" borderId="2" xfId="0" applyNumberFormat="1" applyFont="1" applyFill="1" applyBorder="1" applyAlignment="1">
      <x:alignment horizontal="center" vertical="center" wrapText="1"/>
    </x:xf>
    <x:xf numFmtId="0" fontId="9" fillId="5" borderId="3" xfId="0" applyNumberFormat="1" applyFont="1" applyFill="1" applyBorder="1" applyAlignment="1">
      <x:alignment horizontal="center" vertical="center" wrapText="1"/>
    </x:xf>
    <x:xf numFmtId="0" fontId="9" fillId="5" borderId="4" xfId="0" applyNumberFormat="1" applyFont="1" applyFill="1" applyBorder="1" applyAlignment="1">
      <x:alignment horizontal="center" vertical="center" wrapText="1"/>
    </x:xf>
    <x:xf numFmtId="0" fontId="9" fillId="5" borderId="5" xfId="0" applyNumberFormat="1" applyFont="1" applyFill="1" applyBorder="1" applyAlignment="1">
      <x:alignment horizontal="center" vertical="center" wrapText="1"/>
    </x:xf>
    <x:xf numFmtId="0" fontId="9" fillId="5" borderId="6" xfId="0" applyNumberFormat="1" applyFont="1" applyFill="1" applyBorder="1" applyAlignment="1">
      <x:alignment horizontal="center" vertical="center" wrapText="1"/>
    </x:xf>
    <x:xf numFmtId="0" fontId="9" fillId="5" borderId="7" xfId="0" applyNumberFormat="1" applyFont="1" applyFill="1" applyBorder="1" applyAlignment="1">
      <x:alignment horizontal="center" vertical="center" wrapText="1"/>
    </x:xf>
    <x:xf numFmtId="0" fontId="7" fillId="2" borderId="0"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0" borderId="0" xfId="0" applyNumberFormat="1" applyFont="1" applyFill="1" applyBorder="1" applyAlignment="1">
      <x:alignment wrapText="1"/>
    </x:xf>
    <x:xf numFmtId="0" fontId="10" fillId="4" borderId="2" xfId="0" applyNumberFormat="1" applyFont="1" applyFill="1" applyBorder="1" applyAlignment="1">
      <x:alignment horizontal="center" vertical="center" wrapText="1"/>
    </x:xf>
    <x:xf numFmtId="0" fontId="10" fillId="4" borderId="3" xfId="0" applyNumberFormat="1" applyFont="1" applyFill="1" applyBorder="1" applyAlignment="1">
      <x:alignment horizontal="center" vertical="center" wrapText="1"/>
    </x:xf>
    <x:xf numFmtId="0" fontId="10" fillId="4" borderId="4" xfId="0" applyNumberFormat="1" applyFont="1" applyFill="1" applyBorder="1" applyAlignment="1">
      <x:alignment horizontal="center" vertical="center" wrapText="1"/>
    </x:xf>
    <x:xf numFmtId="0" fontId="10" fillId="4" borderId="14" xfId="0" applyNumberFormat="1" applyFont="1" applyFill="1" applyBorder="1" applyAlignment="1">
      <x:alignment horizontal="center" vertical="center" wrapText="1"/>
    </x:xf>
    <x:xf numFmtId="0" fontId="10" fillId="4" borderId="0" xfId="0" applyNumberFormat="1" applyFont="1" applyFill="1" applyBorder="1" applyAlignment="1">
      <x:alignment horizontal="center" vertical="center" wrapText="1"/>
    </x:xf>
    <x:xf numFmtId="0" fontId="10" fillId="4" borderId="15" xfId="0" applyNumberFormat="1" applyFont="1" applyFill="1" applyBorder="1" applyAlignment="1">
      <x:alignment horizontal="center" vertical="center" wrapText="1"/>
    </x:xf>
    <x:xf numFmtId="0" fontId="10" fillId="4" borderId="5" xfId="0" applyNumberFormat="1" applyFont="1" applyFill="1" applyBorder="1" applyAlignment="1">
      <x:alignment horizontal="center" vertical="center" wrapText="1"/>
    </x:xf>
    <x:xf numFmtId="0" fontId="10" fillId="4" borderId="6" xfId="0" applyNumberFormat="1" applyFont="1" applyFill="1" applyBorder="1" applyAlignment="1">
      <x:alignment horizontal="center" vertical="center" wrapText="1"/>
    </x:xf>
    <x:xf numFmtId="0" fontId="10" fillId="4" borderId="7" xfId="0" applyNumberFormat="1" applyFont="1" applyFill="1" applyBorder="1" applyAlignment="1">
      <x:alignment horizontal="center" vertical="center" wrapText="1"/>
    </x:xf>
    <x:xf numFmtId="0" fontId="7" fillId="3" borderId="1" xfId="0" applyNumberFormat="1" applyFont="1" applyFill="1" applyBorder="1" applyAlignment="1">
      <x:alignment horizontal="center" vertical="center"/>
    </x:xf>
    <x:xf numFmtId="0" fontId="8" fillId="0" borderId="1" xfId="0" applyNumberFormat="1" applyFont="1" applyFill="1" applyBorder="1"/>
    <x:xf numFmtId="0" fontId="9" fillId="5" borderId="8" xfId="0" applyNumberFormat="1" applyFont="1" applyFill="1" applyBorder="1" applyAlignment="1">
      <x:alignment horizontal="center" vertical="center" wrapText="1"/>
    </x:xf>
    <x:xf numFmtId="0" fontId="9" fillId="5" borderId="9" xfId="0" applyNumberFormat="1" applyFont="1" applyFill="1" applyBorder="1" applyAlignment="1">
      <x:alignment horizontal="center" vertical="center" wrapText="1"/>
    </x:xf>
    <x:xf numFmtId="0" fontId="9" fillId="5" borderId="10" xfId="0" applyNumberFormat="1" applyFont="1" applyFill="1" applyBorder="1" applyAlignment="1">
      <x:alignment horizontal="center" vertical="center" wrapText="1"/>
    </x:xf>
    <x:xf numFmtId="0" fontId="9" fillId="5" borderId="11" xfId="0" applyNumberFormat="1" applyFont="1" applyFill="1" applyBorder="1" applyAlignment="1">
      <x:alignment horizontal="center" vertical="center" wrapText="1"/>
    </x:xf>
    <x:xf numFmtId="0" fontId="9" fillId="5" borderId="12" xfId="0" applyNumberFormat="1" applyFont="1" applyFill="1" applyBorder="1" applyAlignment="1">
      <x:alignment horizontal="center" vertical="center" wrapText="1"/>
    </x:xf>
    <x:xf numFmtId="0" fontId="9" fillId="5" borderId="13" xfId="0" applyNumberFormat="1" applyFont="1" applyFill="1" applyBorder="1" applyAlignment="1">
      <x:alignment horizontal="center" vertical="center" wrapText="1"/>
    </x:xf>
    <x:xf numFmtId="0" fontId="7" fillId="2" borderId="1" xfId="0" applyNumberFormat="1" applyFont="1" applyFill="1" applyBorder="1" applyAlignment="1">
      <x:alignment horizontal="center" vertical="center" wrapText="1"/>
    </x:xf>
    <x:xf numFmtId="0" fontId="8" fillId="0" borderId="1" xfId="0" applyNumberFormat="1" applyFont="1" applyFill="1" applyBorder="1" applyAlignment="1">
      <x:alignment vertical="top" wrapText="1"/>
    </x:xf>
    <x:xf numFmtId="0" fontId="8" fillId="0" borderId="1" xfId="0" applyNumberFormat="1" applyFont="1" applyFill="1" applyBorder="1" applyAlignment="1">
      <x:alignment wrapText="1"/>
    </x:xf>
    <x:xf numFmtId="0" fontId="10" fillId="4" borderId="8" xfId="0" applyNumberFormat="1" applyFont="1" applyFill="1" applyBorder="1" applyAlignment="1">
      <x:alignment horizontal="center" vertical="center" wrapText="1"/>
    </x:xf>
    <x:xf numFmtId="0" fontId="10" fillId="4" borderId="9" xfId="0" applyNumberFormat="1" applyFont="1" applyFill="1" applyBorder="1" applyAlignment="1">
      <x:alignment horizontal="center" vertical="center" wrapText="1"/>
    </x:xf>
    <x:xf numFmtId="0" fontId="10" fillId="4" borderId="10" xfId="0" applyNumberFormat="1" applyFont="1" applyFill="1" applyBorder="1" applyAlignment="1">
      <x:alignment horizontal="center" vertical="center" wrapText="1"/>
    </x:xf>
    <x:xf numFmtId="0" fontId="10" fillId="4" borderId="16" xfId="0" applyNumberFormat="1" applyFont="1" applyFill="1" applyBorder="1" applyAlignment="1">
      <x:alignment horizontal="center" vertical="center" wrapText="1"/>
    </x:xf>
    <x:xf numFmtId="0" fontId="10" fillId="4" borderId="1" xfId="0" applyNumberFormat="1" applyFont="1" applyFill="1" applyBorder="1" applyAlignment="1">
      <x:alignment horizontal="center" vertical="center" wrapText="1"/>
    </x:xf>
    <x:xf numFmtId="0" fontId="10" fillId="4" borderId="17" xfId="0" applyNumberFormat="1" applyFont="1" applyFill="1" applyBorder="1" applyAlignment="1">
      <x:alignment horizontal="center" vertical="center" wrapText="1"/>
    </x:xf>
    <x:xf numFmtId="0" fontId="10" fillId="4" borderId="11" xfId="0" applyNumberFormat="1" applyFont="1" applyFill="1" applyBorder="1" applyAlignment="1">
      <x:alignment horizontal="center" vertical="center" wrapText="1"/>
    </x:xf>
    <x:xf numFmtId="0" fontId="10" fillId="4" borderId="12" xfId="0" applyNumberFormat="1" applyFont="1" applyFill="1" applyBorder="1" applyAlignment="1">
      <x:alignment horizontal="center" vertical="center" wrapText="1"/>
    </x:xf>
    <x:xf numFmtId="0" fontId="10" fillId="4" borderId="13" xfId="0" applyNumberFormat="1" applyFont="1" applyFill="1" applyBorder="1" applyAlignment="1">
      <x:alignment horizontal="center" vertical="center" wrapText="1"/>
    </x:xf>
    <x:xf numFmtId="200" fontId="8" fillId="0" borderId="0" xfId="0" applyNumberFormat="1" applyFont="1" applyFill="1" applyBorder="1" applyAlignment="1">
      <x:alignment vertical="top" wrapText="1"/>
    </x:xf>
    <x:xf numFmtId="200" fontId="8" fillId="0" borderId="1" xfId="0" applyNumberFormat="1" applyFont="1" applyFill="1" applyBorder="1" applyAlignment="1">
      <x:alignment vertical="top" wrapText="1"/>
    </x:xf>
    <x:xf numFmtId="0" fontId="9" fillId="6" borderId="2" xfId="0" applyNumberFormat="1" applyFont="1" applyFill="1" applyBorder="1" applyAlignment="1">
      <x:alignment horizontal="center" vertical="center" wrapText="1"/>
    </x:xf>
    <x:xf numFmtId="0" fontId="9" fillId="6" borderId="3" xfId="0" applyNumberFormat="1" applyFont="1" applyFill="1" applyBorder="1" applyAlignment="1">
      <x:alignment horizontal="center" vertical="center" wrapText="1"/>
    </x:xf>
    <x:xf numFmtId="0" fontId="9" fillId="6" borderId="4" xfId="0" applyNumberFormat="1" applyFont="1" applyFill="1" applyBorder="1" applyAlignment="1">
      <x:alignment horizontal="center" vertical="center" wrapText="1"/>
    </x:xf>
    <x:xf numFmtId="0" fontId="9" fillId="5" borderId="14" xfId="0" applyNumberFormat="1" applyFont="1" applyFill="1" applyBorder="1" applyAlignment="1">
      <x:alignment horizontal="center" vertical="center" wrapText="1"/>
    </x:xf>
    <x:xf numFmtId="0" fontId="9" fillId="5" borderId="0" xfId="0" applyNumberFormat="1" applyFont="1" applyFill="1" applyBorder="1" applyAlignment="1">
      <x:alignment horizontal="center" vertical="center" wrapText="1"/>
    </x:xf>
    <x:xf numFmtId="0" fontId="9" fillId="5" borderId="15" xfId="0" applyNumberFormat="1" applyFont="1" applyFill="1" applyBorder="1" applyAlignment="1">
      <x:alignment horizontal="center" vertical="center" wrapText="1"/>
    </x:xf>
    <x:xf numFmtId="0" fontId="9" fillId="6" borderId="14" xfId="0" applyNumberFormat="1" applyFont="1" applyFill="1" applyBorder="1" applyAlignment="1">
      <x:alignment horizontal="center" vertical="center" wrapText="1"/>
    </x:xf>
    <x:xf numFmtId="0" fontId="9" fillId="6" borderId="0" xfId="0" applyNumberFormat="1" applyFont="1" applyFill="1" applyBorder="1" applyAlignment="1">
      <x:alignment horizontal="center" vertical="center" wrapText="1"/>
    </x:xf>
    <x:xf numFmtId="0" fontId="9" fillId="6" borderId="15" xfId="0" applyNumberFormat="1" applyFont="1" applyFill="1" applyBorder="1" applyAlignment="1">
      <x:alignment horizontal="center" vertical="center" wrapText="1"/>
    </x:xf>
    <x:xf numFmtId="0" fontId="9" fillId="6" borderId="5" xfId="0" applyNumberFormat="1" applyFont="1" applyFill="1" applyBorder="1" applyAlignment="1">
      <x:alignment horizontal="center" vertical="center" wrapText="1"/>
    </x:xf>
    <x:xf numFmtId="0" fontId="9" fillId="6" borderId="6" xfId="0" applyNumberFormat="1" applyFont="1" applyFill="1" applyBorder="1" applyAlignment="1">
      <x:alignment horizontal="center" vertical="center" wrapText="1"/>
    </x:xf>
    <x:xf numFmtId="0" fontId="9" fillId="6" borderId="7" xfId="0" applyNumberFormat="1" applyFont="1" applyFill="1" applyBorder="1" applyAlignment="1">
      <x:alignment horizontal="center" vertical="center" wrapText="1"/>
    </x:xf>
    <x:xf numFmtId="0" fontId="11" fillId="0" borderId="0" xfId="0" applyNumberFormat="1" applyFont="1" applyFill="1" applyBorder="1" applyAlignment="1">
      <x:alignment horizontal="center"/>
    </x:xf>
    <x:xf numFmtId="0" fontId="9" fillId="7" borderId="2" xfId="0" applyNumberFormat="1" applyFont="1" applyFill="1" applyBorder="1" applyAlignment="1">
      <x:alignment horizontal="center" vertical="center" wrapText="1"/>
    </x:xf>
    <x:xf numFmtId="0" fontId="9" fillId="7" borderId="3" xfId="0" applyNumberFormat="1" applyFont="1" applyFill="1" applyBorder="1" applyAlignment="1">
      <x:alignment horizontal="center" vertical="center" wrapText="1"/>
    </x:xf>
    <x:xf numFmtId="0" fontId="9" fillId="7" borderId="4" xfId="0" applyNumberFormat="1" applyFont="1" applyFill="1" applyBorder="1" applyAlignment="1">
      <x:alignment horizontal="center" vertical="center" wrapText="1"/>
    </x:xf>
    <x:xf numFmtId="0" fontId="9" fillId="7" borderId="14" xfId="0" applyNumberFormat="1" applyFont="1" applyFill="1" applyBorder="1" applyAlignment="1">
      <x:alignment horizontal="center" vertical="center" wrapText="1"/>
    </x:xf>
    <x:xf numFmtId="0" fontId="9" fillId="7" borderId="0" xfId="0" applyNumberFormat="1" applyFont="1" applyFill="1" applyBorder="1" applyAlignment="1">
      <x:alignment horizontal="center" vertical="center" wrapText="1"/>
    </x:xf>
    <x:xf numFmtId="0" fontId="9" fillId="7" borderId="15" xfId="0" applyNumberFormat="1" applyFont="1" applyFill="1" applyBorder="1" applyAlignment="1">
      <x:alignment horizontal="center" vertical="center" wrapText="1"/>
    </x:xf>
    <x:xf numFmtId="0" fontId="9" fillId="7" borderId="5" xfId="0" applyNumberFormat="1" applyFont="1" applyFill="1" applyBorder="1" applyAlignment="1">
      <x:alignment horizontal="center" vertical="center" wrapText="1"/>
    </x:xf>
    <x:xf numFmtId="0" fontId="9" fillId="7" borderId="6" xfId="0" applyNumberFormat="1" applyFont="1" applyFill="1" applyBorder="1" applyAlignment="1">
      <x:alignment horizontal="center" vertical="center" wrapText="1"/>
    </x:xf>
    <x:xf numFmtId="0" fontId="9" fillId="7" borderId="7" xfId="0" applyNumberFormat="1" applyFont="1" applyFill="1" applyBorder="1" applyAlignment="1">
      <x:alignment horizontal="center" vertical="center" wrapText="1"/>
    </x:xf>
    <x:xf numFmtId="0" fontId="9" fillId="6" borderId="8" xfId="0" applyNumberFormat="1" applyFont="1" applyFill="1" applyBorder="1" applyAlignment="1">
      <x:alignment horizontal="center" vertical="center" wrapText="1"/>
    </x:xf>
    <x:xf numFmtId="0" fontId="9" fillId="6" borderId="9" xfId="0" applyNumberFormat="1" applyFont="1" applyFill="1" applyBorder="1" applyAlignment="1">
      <x:alignment horizontal="center" vertical="center" wrapText="1"/>
    </x:xf>
    <x:xf numFmtId="0" fontId="9" fillId="6" borderId="10" xfId="0" applyNumberFormat="1" applyFont="1" applyFill="1" applyBorder="1" applyAlignment="1">
      <x:alignment horizontal="center" vertical="center" wrapText="1"/>
    </x:xf>
    <x:xf numFmtId="0" fontId="9" fillId="5" borderId="16" xfId="0" applyNumberFormat="1" applyFont="1" applyFill="1" applyBorder="1" applyAlignment="1">
      <x:alignment horizontal="center" vertical="center" wrapText="1"/>
    </x:xf>
    <x:xf numFmtId="0" fontId="9" fillId="5" borderId="1" xfId="0" applyNumberFormat="1" applyFont="1" applyFill="1" applyBorder="1" applyAlignment="1">
      <x:alignment horizontal="center" vertical="center" wrapText="1"/>
    </x:xf>
    <x:xf numFmtId="0" fontId="9" fillId="5" borderId="17" xfId="0" applyNumberFormat="1" applyFont="1" applyFill="1" applyBorder="1" applyAlignment="1">
      <x:alignment horizontal="center" vertical="center" wrapText="1"/>
    </x:xf>
    <x:xf numFmtId="0" fontId="9" fillId="6" borderId="16" xfId="0" applyNumberFormat="1" applyFont="1" applyFill="1" applyBorder="1" applyAlignment="1">
      <x:alignment horizontal="center" vertical="center" wrapText="1"/>
    </x:xf>
    <x:xf numFmtId="0" fontId="9" fillId="6" borderId="1" xfId="0" applyNumberFormat="1" applyFont="1" applyFill="1" applyBorder="1" applyAlignment="1">
      <x:alignment horizontal="center" vertical="center" wrapText="1"/>
    </x:xf>
    <x:xf numFmtId="0" fontId="9" fillId="6" borderId="17" xfId="0" applyNumberFormat="1" applyFont="1" applyFill="1" applyBorder="1" applyAlignment="1">
      <x:alignment horizontal="center" vertical="center" wrapText="1"/>
    </x:xf>
    <x:xf numFmtId="0" fontId="9" fillId="6" borderId="11" xfId="0" applyNumberFormat="1" applyFont="1" applyFill="1" applyBorder="1" applyAlignment="1">
      <x:alignment horizontal="center" vertical="center" wrapText="1"/>
    </x:xf>
    <x:xf numFmtId="0" fontId="9" fillId="6" borderId="12" xfId="0" applyNumberFormat="1" applyFont="1" applyFill="1" applyBorder="1" applyAlignment="1">
      <x:alignment horizontal="center" vertical="center" wrapText="1"/>
    </x:xf>
    <x:xf numFmtId="0" fontId="9" fillId="6" borderId="13" xfId="0" applyNumberFormat="1" applyFont="1" applyFill="1" applyBorder="1" applyAlignment="1">
      <x:alignment horizontal="center" vertical="center" wrapText="1"/>
    </x:xf>
    <x:xf numFmtId="0" fontId="11" fillId="0" borderId="1" xfId="0" applyNumberFormat="1" applyFont="1" applyFill="1" applyBorder="1" applyAlignment="1">
      <x:alignment horizontal="center"/>
    </x:xf>
    <x:xf numFmtId="0" fontId="9" fillId="7" borderId="8" xfId="0" applyNumberFormat="1" applyFont="1" applyFill="1" applyBorder="1" applyAlignment="1">
      <x:alignment horizontal="center" vertical="center" wrapText="1"/>
    </x:xf>
    <x:xf numFmtId="0" fontId="9" fillId="7" borderId="9" xfId="0" applyNumberFormat="1" applyFont="1" applyFill="1" applyBorder="1" applyAlignment="1">
      <x:alignment horizontal="center" vertical="center" wrapText="1"/>
    </x:xf>
    <x:xf numFmtId="0" fontId="9" fillId="7" borderId="10" xfId="0" applyNumberFormat="1" applyFont="1" applyFill="1" applyBorder="1" applyAlignment="1">
      <x:alignment horizontal="center" vertical="center" wrapText="1"/>
    </x:xf>
    <x:xf numFmtId="0" fontId="9" fillId="7" borderId="16" xfId="0" applyNumberFormat="1" applyFont="1" applyFill="1" applyBorder="1" applyAlignment="1">
      <x:alignment horizontal="center" vertical="center" wrapText="1"/>
    </x:xf>
    <x:xf numFmtId="0" fontId="9" fillId="7" borderId="1" xfId="0" applyNumberFormat="1" applyFont="1" applyFill="1" applyBorder="1" applyAlignment="1">
      <x:alignment horizontal="center" vertical="center" wrapText="1"/>
    </x:xf>
    <x:xf numFmtId="0" fontId="9" fillId="7" borderId="17" xfId="0" applyNumberFormat="1" applyFont="1" applyFill="1" applyBorder="1" applyAlignment="1">
      <x:alignment horizontal="center" vertical="center" wrapText="1"/>
    </x:xf>
    <x:xf numFmtId="0" fontId="9" fillId="7" borderId="11" xfId="0" applyNumberFormat="1" applyFont="1" applyFill="1" applyBorder="1" applyAlignment="1">
      <x:alignment horizontal="center" vertical="center" wrapText="1"/>
    </x:xf>
    <x:xf numFmtId="0" fontId="9" fillId="7" borderId="12" xfId="0" applyNumberFormat="1" applyFont="1" applyFill="1" applyBorder="1" applyAlignment="1">
      <x:alignment horizontal="center" vertical="center" wrapText="1"/>
    </x:xf>
    <x:xf numFmtId="0" fontId="9" fillId="7" borderId="13" xfId="0" applyNumberFormat="1" applyFont="1" applyFill="1" applyBorder="1" applyAlignment="1">
      <x:alignment horizontal="center" vertical="center" wrapText="1"/>
    </x:xf>
    <x:xf numFmtId="0" fontId="9" fillId="5" borderId="0"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6"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12" fillId="8" borderId="2" xfId="0" applyNumberFormat="1" applyFont="1" applyFill="1" applyBorder="1" applyAlignment="1">
      <x:alignment vertical="top" wrapText="1"/>
    </x:xf>
    <x:xf numFmtId="0" fontId="12" fillId="8" borderId="3" xfId="0" applyNumberFormat="1" applyFont="1" applyFill="1" applyBorder="1" applyAlignment="1">
      <x:alignment vertical="top" wrapText="1"/>
    </x:xf>
    <x:xf numFmtId="0" fontId="12" fillId="8" borderId="4" xfId="0" applyNumberFormat="1" applyFont="1" applyFill="1" applyBorder="1" applyAlignment="1">
      <x:alignment vertical="top" wrapText="1"/>
    </x:xf>
    <x:xf numFmtId="0" fontId="12" fillId="8" borderId="5" xfId="0" applyNumberFormat="1" applyFont="1" applyFill="1" applyBorder="1" applyAlignment="1">
      <x:alignment vertical="top" wrapText="1"/>
    </x:xf>
    <x:xf numFmtId="0" fontId="12" fillId="8" borderId="6" xfId="0" applyNumberFormat="1" applyFont="1" applyFill="1" applyBorder="1" applyAlignment="1">
      <x:alignment vertical="top" wrapText="1"/>
    </x:xf>
    <x:xf numFmtId="0" fontId="12" fillId="8" borderId="7"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12" fillId="8" borderId="13" xfId="0" applyNumberFormat="1" applyFont="1" applyFill="1" applyBorder="1" applyAlignment="1">
      <x:alignment vertical="top" wrapText="1"/>
    </x:xf>
    <x:xf numFmtId="0" fontId="13" fillId="3" borderId="0" xfId="0" applyNumberFormat="1" applyFont="1" applyFill="1" applyBorder="1" applyAlignment="1">
      <x:alignment horizontal="center" vertical="center"/>
    </x:xf>
    <x:xf numFmtId="0" fontId="13" fillId="3" borderId="1" xfId="0" applyNumberFormat="1" applyFont="1" applyFill="1" applyBorder="1" applyAlignment="1">
      <x:alignment horizontal="center" vertical="center"/>
    </x:xf>
    <x:xf numFmtId="0" fontId="6" fillId="8"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12"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14"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15" fillId="10" borderId="0" xfId="0" applyNumberFormat="1" applyFont="1" applyFill="1" applyBorder="1" applyAlignment="1">
      <x:alignment vertical="top" wrapText="1"/>
    </x:xf>
    <x:xf numFmtId="0" fontId="0" fillId="9" borderId="0" xfId="0" applyNumberFormat="1" applyFont="1" applyFill="1" applyBorder="1" applyAlignment="1">
      <x:alignment wrapText="1"/>
    </x:xf>
    <x:xf numFmtId="0" fontId="14"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15" fillId="10" borderId="0" xfId="0" applyNumberFormat="1" applyFont="1" applyFill="1" applyBorder="1" applyAlignment="1">
      <x:alignment wrapText="1"/>
    </x:xf>
    <x:xf numFmtId="0" fontId="13" fillId="3" borderId="0" xfId="0" applyNumberFormat="1" applyFont="1" applyFill="1" applyBorder="1" applyAlignment="1">
      <x:alignment horizontal="center" vertical="center" wrapText="1"/>
    </x:xf>
    <x:xf numFmtId="0" fontId="13" fillId="9" borderId="0" xfId="0" applyNumberFormat="1" applyFont="1" applyFill="1" applyBorder="1" applyAlignment="1">
      <x:alignment horizontal="center" vertical="center" wrapText="1"/>
    </x:xf>
    <x:xf numFmtId="0" fontId="16" fillId="9" borderId="0" xfId="0" applyNumberFormat="1" applyFont="1" applyFill="1" applyBorder="1" applyAlignment="1">
      <x:alignment horizontal="center" vertical="center" wrapText="1"/>
    </x:xf>
    <x:xf numFmtId="0" fontId="7" fillId="10" borderId="0" xfId="0" applyNumberFormat="1" applyFont="1" applyFill="1" applyBorder="1" applyAlignment="1">
      <x:alignment horizontal="center" vertical="center" wrapText="1"/>
    </x:xf>
    <x:xf numFmtId="0" fontId="0" fillId="2"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15" fillId="5"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14" fillId="2" borderId="0" xfId="0" applyNumberFormat="1" applyFont="1" applyFill="1" applyBorder="1" applyAlignment="1">
      <x:alignment wrapText="1"/>
    </x:xf>
    <x:xf numFmtId="0" fontId="0" fillId="5" borderId="0" xfId="0" applyNumberFormat="1" applyFont="1" applyFill="1" applyBorder="1" applyAlignment="1">
      <x:alignment wrapText="1"/>
    </x:xf>
    <x:xf numFmtId="0" fontId="15" fillId="5" borderId="0" xfId="0" applyNumberFormat="1" applyFont="1" applyFill="1" applyBorder="1" applyAlignment="1">
      <x:alignment wrapText="1"/>
    </x:xf>
    <x:xf numFmtId="0" fontId="13" fillId="2" borderId="0" xfId="0" applyNumberFormat="1" applyFont="1" applyFill="1" applyBorder="1" applyAlignment="1">
      <x:alignment horizontal="center" vertical="center" wrapText="1"/>
    </x:xf>
    <x:xf numFmtId="0" fontId="16" fillId="2" borderId="0" xfId="0" applyNumberFormat="1" applyFont="1" applyFill="1" applyBorder="1" applyAlignment="1">
      <x:alignment horizontal="center" vertical="center" wrapText="1"/>
    </x:xf>
    <x:xf numFmtId="0" fontId="7" fillId="5" borderId="0" xfId="0" applyNumberFormat="1" applyFont="1" applyFill="1" applyBorder="1" applyAlignment="1">
      <x:alignment horizontal="center" vertical="center" wrapText="1"/>
    </x:xf>
    <x:xf numFmtId="0" fontId="8"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horizontal="center"/>
    </x:xf>
    <x:xf numFmtId="0" fontId="7" fillId="11" borderId="0" xfId="0" applyNumberFormat="1" applyFont="1" applyFill="1" applyBorder="1" applyAlignment="1">
      <x:alignment horizontal="center" vertical="center"/>
    </x:xf>
    <x:xf numFmtId="0" fontId="8" fillId="12" borderId="0" xfId="0" applyNumberFormat="1" applyFont="1" applyFill="1" applyBorder="1"/>
    <x:xf numFmtId="0" fontId="11" fillId="12" borderId="0" xfId="0" applyNumberFormat="1" applyFont="1" applyFill="1" applyBorder="1"/>
    <x:xf numFmtId="0" fontId="7" fillId="11" borderId="0" xfId="0" applyNumberFormat="1" applyFont="1" applyFill="1" applyBorder="1" applyAlignment="1">
      <x:alignment horizontal="center" vertical="center" wrapText="1"/>
    </x:xf>
    <x:xf numFmtId="0" fontId="11" fillId="12" borderId="0" xfId="0" applyNumberFormat="1" applyFont="1" applyFill="1" applyBorder="1" applyAlignment="1">
      <x:alignment wrapText="1"/>
    </x:xf>
    <x:xf numFmtId="0" fontId="7" fillId="11" borderId="18" xfId="0" applyNumberFormat="1" applyFont="1" applyFill="1" applyBorder="1" applyAlignment="1">
      <x:alignment horizontal="center" vertical="center" wrapText="1"/>
    </x:xf>
    <x:xf numFmtId="0" fontId="7" fillId="11" borderId="19" xfId="0" applyNumberFormat="1" applyFont="1" applyFill="1" applyBorder="1" applyAlignment="1">
      <x:alignment horizontal="center" vertical="center" wrapText="1"/>
    </x:xf>
    <x:xf numFmtId="0" fontId="7" fillId="11" borderId="20" xfId="0" applyNumberFormat="1" applyFont="1" applyFill="1" applyBorder="1" applyAlignment="1">
      <x:alignment horizontal="center" vertical="center" wrapText="1"/>
    </x:xf>
    <x:xf numFmtId="0" fontId="11" fillId="12" borderId="21" xfId="0" applyNumberFormat="1" applyFont="1" applyFill="1" applyBorder="1" applyAlignment="1">
      <x:alignment wrapText="1"/>
    </x:xf>
    <x:xf numFmtId="0" fontId="11" fillId="12" xfId="0" applyNumberFormat="1" applyFont="1" applyFill="1" applyBorder="0" applyAlignment="1">
      <x:alignment wrapText="1"/>
    </x:xf>
    <x:xf numFmtId="0" fontId="8" fillId="0" xfId="0" applyNumberFormat="1" applyFont="1" applyFill="1" applyBorder="0" applyAlignment="1">
      <x:alignment wrapText="1"/>
    </x:xf>
    <x:xf numFmtId="0" fontId="8" fillId="0" borderId="22" xfId="0" applyNumberFormat="1" applyFont="1" applyFill="1" applyBorder="1" applyAlignment="1">
      <x:alignment wrapText="1"/>
    </x:xf>
    <x:xf numFmtId="0" fontId="8" fillId="0" borderId="21" xfId="0" applyNumberFormat="1" applyFont="1" applyFill="1" applyBorder="1" applyAlignment="1">
      <x:alignment wrapText="1"/>
    </x:xf>
    <x:xf numFmtId="0" fontId="8" fillId="0" borderId="23" xfId="0" applyNumberFormat="1" applyFont="1" applyFill="1" applyBorder="1" applyAlignment="1">
      <x:alignment wrapText="1"/>
    </x:xf>
    <x:xf numFmtId="0" fontId="8" fillId="0" borderId="24" xfId="0" applyNumberFormat="1" applyFont="1" applyFill="1" applyBorder="1" applyAlignment="1">
      <x:alignment wrapText="1"/>
    </x:xf>
    <x:xf numFmtId="0" fontId="8" fillId="0" borderId="25" xfId="0" applyNumberFormat="1" applyFont="1" applyFill="1" applyBorder="1" applyAlignment="1">
      <x:alignment wrapText="1"/>
    </x:xf>
    <x:xf numFmtId="0" fontId="8"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8"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wrapText="1"/>
    </x:xf>
    <x:xf numFmtId="0" fontId="11" fillId="5" xfId="0" applyNumberFormat="1" applyFont="1" applyFill="1" applyBorder="0" applyAlignment="1">
      <x:alignment wrapText="1"/>
    </x:xf>
    <x:xf numFmtId="0" fontId="0" fillId="13" borderId="0" xfId="0" applyNumberFormat="1" applyFont="1" applyFill="1" applyBorder="1"/>
    <x:xf numFmtId="0" fontId="17" fillId="13" borderId="0" xfId="0" applyNumberFormat="1" applyFont="1" applyFill="1" applyBorder="1"/>
    <x:xf numFmtId="0" fontId="17" fillId="13" borderId="0" xfId="0" applyNumberFormat="1" applyFont="1" applyFill="1" applyBorder="1" applyAlignment="1">
      <x:alignment vertic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applyAlignment="1">
      <x:alignment wrapText="1"/>
    </x:xf>
    <x:xf numFmtId="0" fontId="18"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19" fillId="16" borderId="0" xfId="0" applyNumberFormat="1" applyFont="1" applyFill="1" applyBorder="1" applyAlignment="1">
      <x:alignment wrapText="1"/>
    </x:xf>
    <x:xf numFmtId="201" fontId="0" fillId="0" borderId="0" xfId="0" applyNumberFormat="1" applyFont="1" applyFill="1" applyBorder="1"/>
    <x:xf numFmtId="0" fontId="0" fillId="17" borderId="0" xfId="0" applyNumberFormat="1" applyFont="1" applyFill="1" applyBorder="1"/>
    <x:xf numFmtId="0" fontId="20" fillId="17" borderId="0" xfId="0" applyNumberFormat="1" applyFont="1" applyFill="1" applyBorder="1"/>
    <x:xf numFmtId="0" fontId="20" fillId="17" borderId="0" xfId="0" applyNumberFormat="1" applyFont="1" applyFill="1" applyBorder="1" applyAlignment="1">
      <x:alignment wrapText="1"/>
    </x:xf>
    <x:xf numFmtId="0" fontId="13" fillId="13" borderId="0" xfId="0" applyNumberFormat="1" applyFont="1" applyFill="1" applyBorder="1" applyAlignment="1">
      <x:alignment horizontal="center" vertical="center" wrapText="1"/>
    </x:xf>
    <x:xf numFmtId="0" fontId="21" fillId="13" borderId="0" xfId="0" applyNumberFormat="1" applyFont="1" applyFill="1" applyBorder="1" applyAlignment="1">
      <x:alignment horizontal="center" vertical="center" wrapText="1"/>
    </x:xf>
    <x:xf numFmtId="0" fontId="8" fillId="17" borderId="0" xfId="0" applyNumberFormat="1" applyFont="1" applyFill="1" applyBorder="1"/>
    <x:xf numFmtId="0" fontId="22" fillId="17" borderId="0" xfId="0" applyNumberFormat="1" applyFont="1" applyFill="1" applyBorder="1"/>
    <x:xf numFmtId="0" fontId="22" fillId="17" borderId="0" xfId="0" applyNumberFormat="1" applyFont="1" applyFill="1" applyBorder="1" applyAlignment="1">
      <x:alignment wrapText="1"/>
    </x:xf>
    <x:xf numFmtId="0" fontId="17" fillId="13"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14" borderId="0" xfId="0" applyNumberFormat="1" applyFont="1" applyFill="1" applyBorder="1" applyAlignment="1">
      <x:alignment horizontal="center" vertical="top" wrapText="1"/>
    </x:xf>
    <x:xf numFmtId="0" fontId="18" fillId="15" borderId="0" xfId="0" applyNumberFormat="1" applyFont="1" applyFill="1" applyBorder="1" applyAlignment="1">
      <x:alignment vertical="top" wrapText="1"/>
    </x:xf>
    <x:xf numFmtId="0" fontId="19" fillId="16"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0" fontId="20" fillId="17" borderId="0" xfId="0" applyNumberFormat="1" applyFont="1" applyFill="1" applyBorder="1" applyAlignment="1">
      <x:alignment vertical="top" wrapText="1"/>
    </x:xf>
    <x:xf numFmtId="0" fontId="17" fillId="5" borderId="0" xfId="0" applyNumberFormat="1" applyFont="1" applyFill="1" applyBorder="1"/>
    <x:xf numFmtId="0" fontId="17" fillId="5" borderId="0" xfId="0" applyNumberFormat="1" applyFont="1" applyFill="1" applyBorder="1" applyAlignment="1">
      <x:alignment vertical="center"/>
    </x:xf>
    <x:xf numFmtId="0" fontId="0" fillId="4" borderId="0" xfId="0" applyNumberFormat="1" applyFont="1" applyFill="1" applyBorder="1" applyAlignment="1">
      <x:alignment wrapText="1"/>
    </x:xf>
    <x:xf numFmtId="0" fontId="18" fillId="4" borderId="0" xfId="0" applyNumberFormat="1" applyFont="1" applyFill="1" applyBorder="1" applyAlignment="1">
      <x:alignment wrapText="1"/>
    </x:xf>
    <x:xf numFmtId="0" fontId="0" fillId="7" borderId="0" xfId="0" applyNumberFormat="1" applyFont="1" applyFill="1" applyBorder="1" applyAlignment="1">
      <x:alignment wrapText="1"/>
    </x:xf>
    <x:xf numFmtId="0" fontId="19" fillId="7" borderId="0" xfId="0" applyNumberFormat="1" applyFont="1" applyFill="1" applyBorder="1" applyAlignment="1">
      <x:alignment wrapText="1"/>
    </x:xf>
    <x:xf numFmtId="0" fontId="20" fillId="6" borderId="0" xfId="0" applyNumberFormat="1" applyFont="1" applyFill="1" applyBorder="1"/>
    <x:xf numFmtId="0" fontId="20" fillId="6" borderId="0" xfId="0" applyNumberFormat="1" applyFont="1" applyFill="1" applyBorder="1" applyAlignment="1">
      <x:alignment wrapText="1"/>
    </x:xf>
    <x:xf numFmtId="0" fontId="13" fillId="5" borderId="0" xfId="0" applyNumberFormat="1" applyFont="1" applyFill="1" applyBorder="1" applyAlignment="1">
      <x:alignment horizontal="center" vertical="center" wrapText="1"/>
    </x:xf>
    <x:xf numFmtId="0" fontId="21" fillId="5" borderId="0" xfId="0" applyNumberFormat="1" applyFont="1" applyFill="1" applyBorder="1" applyAlignment="1">
      <x:alignment horizontal="center" vertical="center" wrapText="1"/>
    </x:xf>
    <x:xf numFmtId="0" fontId="8" fillId="6" borderId="0" xfId="0" applyNumberFormat="1" applyFont="1" applyFill="1" applyBorder="1"/>
    <x:xf numFmtId="0" fontId="22" fillId="6" borderId="0" xfId="0" applyNumberFormat="1" applyFont="1" applyFill="1" applyBorder="1"/>
    <x:xf numFmtId="0" fontId="22" fillId="6" borderId="0" xfId="0" applyNumberFormat="1" applyFont="1" applyFill="1" applyBorder="1" applyAlignment="1">
      <x:alignment wrapText="1"/>
    </x:xf>
    <x:xf numFmtId="0" fontId="17" fillId="5" borderId="0"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0" fontId="18" fillId="4" borderId="0" xfId="0" applyNumberFormat="1" applyFont="1" applyFill="1" applyBorder="1" applyAlignment="1">
      <x:alignment vertical="top" wrapText="1"/>
    </x:xf>
    <x:xf numFmtId="0" fontId="19" fillId="7" borderId="0" xfId="0" applyNumberFormat="1" applyFont="1" applyFill="1" applyBorder="1" applyAlignment="1">
      <x:alignment vertical="top" wrapText="1"/>
    </x:xf>
    <x:xf numFmtId="0" fontId="20" fillId="6" borderId="0" xfId="0" applyNumberFormat="1" applyFont="1" applyFill="1" applyBorder="1" applyAlignment="1">
      <x:alignment vertical="top"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1" fillId="18" borderId="0" xfId="0" applyNumberFormat="1" applyFont="1" applyFill="1" applyBorder="1" applyAlignment="1">
      <x:alignment horizontal="center" wrapText="1"/>
    </x:xf>
    <x:xf numFmtId="0" fontId="1" fillId="18" borderId="0" xfId="0" applyNumberFormat="1" applyFont="1" applyFill="1" applyBorder="1" applyAlignment="1">
      <x:alignment horizontal="center" vertical="center" wrapText="1"/>
    </x:xf>
    <x:xf numFmtId="0" fontId="16" fillId="18" borderId="0" xfId="0" applyNumberFormat="1" applyFont="1" applyFill="1" applyBorder="1" applyAlignment="1">
      <x:alignment horizontal="center" vertical="center" wrapText="1"/>
    </x:xf>
    <x:xf numFmtId="0" fontId="23" fillId="18" borderId="0" xfId="0" applyNumberFormat="1" applyFont="1" applyFill="1" applyBorder="1" applyAlignment="1">
      <x:alignment horizontal="center" vertical="center" wrapText="1"/>
    </x:xf>
    <x:xf numFmtId="0" fontId="7" fillId="19" borderId="0" xfId="0" applyNumberFormat="1" applyFont="1" applyFill="1" applyBorder="1" applyAlignment="1">
      <x:alignment horizontal="center" vertical="center" wrapText="1"/>
    </x:xf>
    <x:xf numFmtId="0" fontId="8" fillId="19" borderId="0" xfId="0" applyNumberFormat="1" applyFont="1" applyFill="1" applyBorder="1" applyAlignment="1">
      <x:alignment wrapText="1"/>
    </x:xf>
    <x:xf numFmtId="0" fontId="8" fillId="19" xfId="0" applyNumberFormat="1" applyFont="1" applyFill="1" applyBorder="0" applyAlignment="1">
      <x:alignment wrapText="1"/>
    </x:xf>
    <x:xf numFmtId="0" fontId="7" fillId="19" borderId="0" xfId="0" applyNumberFormat="1" applyFont="1" applyFill="1" applyBorder="1" applyAlignment="1">
      <x:alignment wrapText="1"/>
    </x:xf>
    <x:xf numFmtId="0" fontId="7" fillId="19" xfId="0" applyNumberFormat="1" applyFont="1" applyFill="1" applyBorder="0" applyAlignment="1">
      <x:alignment wrapText="1"/>
    </x:xf>
    <x:xf numFmtId="0" fontId="7" fillId="19" borderId="0" xfId="0" applyNumberFormat="1" applyFont="1" applyFill="1" applyBorder="1" applyAlignment="1">
      <x:alignment horizontal="center" wrapText="1"/>
    </x:xf>
    <x:xf numFmtId="0" fontId="7" fillId="19" xfId="0" applyNumberFormat="1" applyFont="1" applyFill="1" applyBorder="0" applyAlignment="1">
      <x:alignment horizontal="center" wrapText="1"/>
    </x:xf>
    <x:xf numFmtId="0" fontId="7" fillId="19" xfId="0" applyNumberFormat="1" applyFont="1" applyFill="1" applyBorder="0" applyAlignment="1">
      <x:alignment horizontal="center" vertical="center" wrapText="1"/>
    </x:xf>
    <x:xf numFmtId="0" fontId="8" fillId="20" borderId="0"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0" fontId="24" fillId="20" borderId="0" xfId="0" applyNumberFormat="1" applyFont="1" applyFill="1" applyBorder="1" applyAlignment="1">
      <x:alignment vertical="center" wrapText="1"/>
    </x:xf>
    <x:xf numFmtId="0" fontId="8" fillId="21" borderId="0" xfId="0" applyNumberFormat="1" applyFont="1" applyFill="1" applyBorder="1" applyAlignment="1">
      <x:alignment vertical="top" wrapText="1"/>
    </x:xf>
    <x:xf numFmtId="0" fontId="11" fillId="21" borderId="0" xfId="0" applyNumberFormat="1" applyFont="1" applyFill="1" applyBorder="1" applyAlignment="1">
      <x:alignment vertical="top" wrapText="1"/>
    </x:xf>
    <x:xf numFmtId="0" fontId="11" fillId="21" borderId="0" xfId="0" applyNumberFormat="1" applyFont="1" applyFill="1" applyBorder="1" applyAlignment="1">
      <x:alignment horizontal="center" vertical="top" wrapText="1"/>
    </x:xf>
    <x:xf numFmtId="0" fontId="8" fillId="22" borderId="0" xfId="0" applyNumberFormat="1" applyFont="1" applyFill="1" applyBorder="1" applyAlignment="1">
      <x:alignment vertical="top" wrapText="1"/>
    </x:xf>
    <x:xf numFmtId="0" fontId="11" fillId="22" borderId="0" xfId="0" applyNumberFormat="1" applyFont="1" applyFill="1" applyBorder="1" applyAlignment="1">
      <x:alignment vertical="top" wrapText="1"/>
    </x:xf>
    <x:xf numFmtId="0" fontId="11" fillId="22" borderId="0" xfId="0" applyNumberFormat="1" applyFont="1" applyFill="1" applyBorder="1" applyAlignment="1">
      <x:alignment horizontal="center" vertical="top" wrapText="1"/>
    </x:xf>
    <x:xf numFmtId="0" fontId="8" fillId="23" borderId="0" xfId="0" applyNumberFormat="1" applyFont="1" applyFill="1" applyBorder="1" applyAlignment="1">
      <x:alignment vertical="top" wrapText="1"/>
    </x:xf>
    <x:xf numFmtId="0" fontId="11" fillId="23" borderId="0" xfId="0" applyNumberFormat="1" applyFont="1" applyFill="1" applyBorder="1" applyAlignment="1">
      <x:alignment vertical="top" wrapText="1"/>
    </x:xf>
    <x:xf numFmtId="0" fontId="11" fillId="23" borderId="0" xfId="0" applyNumberFormat="1" applyFont="1" applyFill="1" applyBorder="1" applyAlignment="1">
      <x:alignment horizontal="center" vertical="top" wrapText="1"/>
    </x:xf>
    <x:xf numFmtId="0" fontId="8" fillId="22" borderId="0" xfId="0" applyNumberFormat="1" applyFont="1" applyFill="1" applyBorder="1" applyAlignment="1">
      <x:alignment wrapText="1"/>
    </x:xf>
    <x:xf numFmtId="0" fontId="8" fillId="24" borderId="0" xfId="0" applyNumberFormat="1" applyFont="1" applyFill="1" applyBorder="1" applyAlignment="1">
      <x:alignment wrapText="1"/>
    </x:xf>
    <x:xf numFmtId="0" fontId="25" fillId="24" borderId="0" xfId="0" applyNumberFormat="1" applyFont="1" applyFill="1" applyBorder="1" applyAlignment="1">
      <x:alignment wrapText="1"/>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 fillId="25" borderId="0" xfId="0" applyNumberFormat="1" applyFont="1" applyFill="1" applyBorder="1" applyAlignment="1">
      <x:alignment horizontal="center" vertical="center"/>
    </x:xf>
    <x:xf numFmtId="0" fontId="0" fillId="26" borderId="0" xfId="0" applyNumberFormat="1" applyFont="1" applyFill="1" applyBorder="1"/>
    <x:xf numFmtId="0" fontId="26" fillId="26" borderId="0" xfId="0" applyNumberFormat="1" applyFont="1" applyFill="1" applyBorder="1"/>
    <x:xf numFmtId="0" fontId="26" fillId="26" borderId="26" xfId="0" applyNumberFormat="1" applyFont="1" applyFill="1" applyBorder="1"/>
    <x:xf numFmtId="0" fontId="26" fillId="26" borderId="27" xfId="0" applyNumberFormat="1" applyFont="1" applyFill="1" applyBorder="1"/>
    <x:xf numFmtId="0" fontId="26" fillId="26" borderId="28" xfId="0" applyNumberFormat="1" applyFont="1" applyFill="1" applyBorder="1"/>
    <x:xf numFmtId="0" fontId="26" fillId="26" borderId="29" xfId="0" applyNumberFormat="1" applyFont="1" applyFill="1" applyBorder="1"/>
    <x:xf numFmtId="0" fontId="26" fillId="26" borderId="30" xfId="0" applyNumberFormat="1" applyFont="1" applyFill="1" applyBorder="1"/>
    <x:xf numFmtId="0" fontId="26" fillId="26" borderId="31" xfId="0" applyNumberFormat="1" applyFont="1" applyFill="1" applyBorder="1"/>
    <x:xf numFmtId="0" fontId="26" fillId="26" borderId="26" xfId="0" applyNumberFormat="1" applyFont="1" applyFill="1" applyBorder="1" applyAlignment="1">
      <x:alignment wrapText="1"/>
    </x:xf>
    <x:xf numFmtId="0" fontId="26" fillId="26" borderId="27" xfId="0" applyNumberFormat="1" applyFont="1" applyFill="1" applyBorder="1" applyAlignment="1">
      <x:alignment wrapText="1"/>
    </x:xf>
    <x:xf numFmtId="0" fontId="26" fillId="26" borderId="28" xfId="0" applyNumberFormat="1" applyFont="1" applyFill="1" applyBorder="1" applyAlignment="1">
      <x:alignment wrapText="1"/>
    </x:xf>
    <x:xf numFmtId="0" fontId="26" fillId="26" borderId="29" xfId="0" applyNumberFormat="1" applyFont="1" applyFill="1" applyBorder="1" applyAlignment="1">
      <x:alignment wrapText="1"/>
    </x:xf>
    <x:xf numFmtId="0" fontId="26" fillId="26" borderId="30" xfId="0" applyNumberFormat="1" applyFont="1" applyFill="1" applyBorder="1" applyAlignment="1">
      <x:alignment wrapText="1"/>
    </x:xf>
    <x:xf numFmtId="0" fontId="26" fillId="26" borderId="31" xfId="0" applyNumberFormat="1" applyFont="1" applyFill="1" applyBorder="1" applyAlignment="1">
      <x:alignment wrapText="1"/>
    </x:xf>
    <x:xf numFmtId="0" fontId="26" fillId="26" borderId="26" xfId="0" applyNumberFormat="1" applyFont="1" applyFill="1" applyBorder="1" applyAlignment="1">
      <x:alignment vertical="center" wrapText="1"/>
    </x:xf>
    <x:xf numFmtId="0" fontId="26" fillId="26" borderId="27" xfId="0" applyNumberFormat="1" applyFont="1" applyFill="1" applyBorder="1" applyAlignment="1">
      <x:alignment vertical="center" wrapText="1"/>
    </x:xf>
    <x:xf numFmtId="0" fontId="26" fillId="26" borderId="28" xfId="0" applyNumberFormat="1" applyFont="1" applyFill="1" applyBorder="1" applyAlignment="1">
      <x:alignment vertical="center" wrapText="1"/>
    </x:xf>
    <x:xf numFmtId="0" fontId="26" fillId="26" borderId="29" xfId="0" applyNumberFormat="1" applyFont="1" applyFill="1" applyBorder="1" applyAlignment="1">
      <x:alignment vertical="center" wrapText="1"/>
    </x:xf>
    <x:xf numFmtId="0" fontId="26" fillId="26" borderId="30" xfId="0" applyNumberFormat="1" applyFont="1" applyFill="1" applyBorder="1" applyAlignment="1">
      <x:alignment vertical="center" wrapText="1"/>
    </x:xf>
    <x:xf numFmtId="0" fontId="26" fillId="26" borderId="31" xfId="0" applyNumberFormat="1" applyFont="1" applyFill="1" applyBorder="1" applyAlignment="1">
      <x:alignment vertical="center" wrapText="1"/>
    </x:xf>
    <x:xf numFmtId="0" fontId="0" fillId="27" borderId="0" xfId="0" applyNumberFormat="1" applyFont="1" applyFill="1" applyBorder="1"/>
    <x:xf numFmtId="0" fontId="27" fillId="27" borderId="0" xfId="0" applyNumberFormat="1" applyFont="1" applyFill="1" applyBorder="1"/>
    <x:xf numFmtId="0" fontId="27" fillId="27" borderId="32" xfId="0" applyNumberFormat="1" applyFont="1" applyFill="1" applyBorder="1"/>
    <x:xf numFmtId="0" fontId="27" fillId="27" borderId="33" xfId="0" applyNumberFormat="1" applyFont="1" applyFill="1" applyBorder="1"/>
    <x:xf numFmtId="0" fontId="27" fillId="27" borderId="34" xfId="0" applyNumberFormat="1" applyFont="1" applyFill="1" applyBorder="1"/>
    <x:xf numFmtId="0" fontId="27" fillId="27" borderId="32" xfId="0" applyNumberFormat="1" applyFont="1" applyFill="1" applyBorder="1" applyAlignment="1">
      <x:alignment wrapText="1"/>
    </x:xf>
    <x:xf numFmtId="0" fontId="27" fillId="27" borderId="33" xfId="0" applyNumberFormat="1" applyFont="1" applyFill="1" applyBorder="1" applyAlignment="1">
      <x:alignment wrapText="1"/>
    </x:xf>
    <x:xf numFmtId="0" fontId="27" fillId="27" borderId="34" xfId="0" applyNumberFormat="1" applyFont="1" applyFill="1" applyBorder="1" applyAlignment="1">
      <x:alignment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1" fillId="28" borderId="0" xfId="0" applyNumberFormat="1" applyFont="1" applyFill="1" applyBorder="1" applyAlignment="1">
      <x:alignment horizontal="center" wrapText="1"/>
    </x:xf>
    <x:xf numFmtId="0" fontId="4" fillId="27" borderId="0" xfId="0" applyNumberFormat="1" applyFont="1" applyFill="1" applyBorder="1"/>
    <x:xf numFmtId="0" fontId="0" fillId="0" borderId="35" xfId="0" applyNumberFormat="1" applyFont="1" applyFill="1" applyBorder="1"/>
    <x:xf numFmtId="202" fontId="0" fillId="0" borderId="35" xfId="0" applyNumberFormat="1" applyFont="1" applyFill="1" applyBorder="1"/>
    <x:xf numFmtId="202" fontId="0" fillId="0" borderId="35" xfId="0" applyNumberFormat="1" applyFont="1" applyFill="1" applyBorder="1" applyAlignment="1">
      <x:alignment horizontal="center"/>
    </x:xf>
    <x:xf numFmtId="203" fontId="0" fillId="0" borderId="0" xfId="0" applyNumberFormat="1" applyFont="1" applyFill="1" applyBorder="1"/>
    <x:xf numFmtId="203" fontId="0" fillId="0" borderId="0" xfId="0" applyNumberFormat="1" applyFont="1" applyFill="1" applyBorder="1" applyAlignment="1">
      <x:alignment wrapText="1"/>
    </x:xf>
    <x:xf numFmtId="0" fontId="1" fillId="25" borderId="36" xfId="0" applyNumberFormat="1" applyFont="1" applyFill="1" applyBorder="1"/>
    <x:xf numFmtId="0" fontId="1" fillId="25" borderId="36" xfId="0" applyNumberFormat="1" applyFont="1" applyFill="1" applyBorder="1" applyAlignment="1">
      <x:alignment wrapText="1"/>
    </x:xf>
    <x:xf numFmtId="0" fontId="1" fillId="25" borderId="36" xfId="0" applyNumberFormat="1" applyFont="1" applyFill="1" applyBorder="1" applyAlignment="1">
      <x:alignment horizontal="center" wrapText="1"/>
    </x:xf>
    <x:xf numFmtId="0" fontId="1" fillId="25" borderId="36" xfId="0" applyNumberFormat="1" applyFont="1" applyFill="1" applyBorder="1" applyAlignment="1">
      <x:alignment horizontal="center" vertical="center" wrapText="1"/>
    </x:xf>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37" xfId="0" applyNumberFormat="1" applyFont="1" applyFill="1" applyBorder="1" applyAlignment="1">
      <x:alignment wrapText="0"/>
    </x:xf>
    <x:xf numFmtId="0" fontId="0" fillId="0" borderId="38" xfId="0" applyNumberFormat="1" applyFont="1" applyFill="1" applyBorder="1" applyAlignment="1">
      <x:alignment wrapText="0"/>
    </x:xf>
    <x:xf numFmtId="0" fontId="0" fillId="0" borderId="39" xfId="0" applyNumberFormat="1" applyFont="1" applyFill="1" applyBorder="1" applyAlignment="1">
      <x:alignment wrapText="0"/>
    </x:xf>
    <x:xf numFmtId="0" fontId="0" fillId="0" borderId="37" xfId="0" applyNumberFormat="1" applyFont="1" applyFill="1" applyBorder="1" applyAlignment="1">
      <x:alignment vertical="top" wrapText="0"/>
    </x:xf>
    <x:xf numFmtId="0" fontId="0" fillId="0" borderId="38" xfId="0" applyNumberFormat="1" applyFont="1" applyFill="1" applyBorder="1" applyAlignment="1">
      <x:alignment vertical="top" wrapText="0"/>
    </x:xf>
    <x:xf numFmtId="0" fontId="0" fillId="0" borderId="39" xfId="0" applyNumberFormat="1" applyFont="1" applyFill="1" applyBorder="1" applyAlignment="1">
      <x:alignment vertical="top" wrapText="0"/>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1" fillId="28" borderId="35" xfId="0" applyNumberFormat="1" applyFont="1" applyFill="1" applyBorder="1" applyAlignment="1">
      <x:alignment horizontal="center" wrapText="1"/>
    </x:xf>
    <x:xf numFmtId="0" fontId="1" fillId="28" borderId="35" xfId="0" applyNumberFormat="1" applyFont="1" applyFill="1" applyBorder="1"/>
    <x:xf numFmtId="0" fontId="4" fillId="27" borderId="35" xfId="0" applyNumberFormat="1" applyFont="1" applyFill="1" applyBorder="1"/>
    <x:xf numFmtId="0" fontId="0" fillId="0" borderId="35" xfId="0" applyNumberFormat="1" applyFont="1" applyFill="1" applyBorder="1" applyAlignment="1">
      <x:alignment wrapText="1"/>
    </x:xf>
    <x:xf numFmtId="203" fontId="0" fillId="0" borderId="35" xfId="0" applyNumberFormat="1" applyFont="1" applyFill="1" applyBorder="1" applyAlignment="1">
      <x:alignment wrapText="1"/>
    </x:xf>
    <x:xf numFmtId="202" fontId="0" fillId="0" borderId="37" xfId="0" applyNumberFormat="1" applyFont="1" applyFill="1" applyBorder="1" applyAlignment="1">
      <x:alignment vertical="top" wrapText="0"/>
    </x:xf>
    <x:xf numFmtId="202" fontId="0" fillId="0" borderId="38" xfId="0" applyNumberFormat="1" applyFont="1" applyFill="1" applyBorder="1" applyAlignment="1">
      <x:alignment vertical="top" wrapText="0"/>
    </x:xf>
    <x:xf numFmtId="202" fontId="0" fillId="0" borderId="39" xfId="0" applyNumberFormat="1" applyFont="1" applyFill="1" applyBorder="1" applyAlignment="1">
      <x:alignment vertical="top" wrapText="0"/>
    </x:xf>
    <x:xf numFmtId="0" fontId="28" fillId="0" borderId="0" xfId="0" applyNumberFormat="1" applyFont="1" applyFill="1" applyBorder="1" applyAlignment="1">
      <x:alignment wrapText="1"/>
    </x:xf>
    <x:xf numFmtId="0" fontId="28" fillId="0" borderId="40" xfId="0" applyNumberFormat="1" applyFont="1" applyFill="1" applyBorder="1" applyAlignment="1">
      <x:alignment wrapText="1"/>
    </x:xf>
    <x:xf numFmtId="0" fontId="8" fillId="0" borderId="40" xfId="0" applyNumberFormat="1" applyFont="1" applyFill="1" applyBorder="1" applyAlignment="1">
      <x:alignment wrapText="1"/>
    </x:xf>
    <x:xf numFmtId="0" fontId="8" fillId="29" borderId="0" xfId="0" applyNumberFormat="1" applyFont="1" applyFill="1" applyBorder="1" applyAlignment="1">
      <x:alignment wrapText="1"/>
    </x:xf>
    <x:xf numFmtId="0" fontId="8" fillId="29" borderId="41" xfId="0" applyNumberFormat="1" applyFont="1" applyFill="1" applyBorder="1" applyAlignment="1">
      <x:alignment wrapText="1"/>
    </x:xf>
    <x:xf numFmtId="0" fontId="28" fillId="29" borderId="41" xfId="0" applyNumberFormat="1" applyFont="1" applyFill="1" applyBorder="1" applyAlignment="1">
      <x:alignment wrapText="1"/>
    </x:xf>
    <x:xf numFmtId="0" fontId="8" fillId="30" borderId="0" xfId="0" applyNumberFormat="1" applyFont="1" applyFill="1" applyBorder="1"/>
    <x:xf numFmtId="0" fontId="29" fillId="30" borderId="0" xfId="0" applyNumberFormat="1" applyFont="1" applyFill="1" applyBorder="1"/>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horizontal="left"/>
    </x:xf>
    <x:xf numFmtId="0" fontId="2" fillId="31" borderId="0" xfId="0" applyNumberFormat="1" applyFont="1" applyFill="1" applyBorder="1" applyAlignment="1">
      <x:alignment horizontal="left" vertical="center"/>
    </x:xf>
    <x:xf numFmtId="0" fontId="0" fillId="32" borderId="0" xfId="0" applyNumberFormat="1" applyFont="1" applyFill="1" applyBorder="1"/>
    <x:xf numFmtId="0" fontId="30" fillId="32" borderId="0" xfId="0" applyNumberFormat="1" applyFont="1" applyFill="1" applyBorder="1"/>
    <x:xf numFmtId="0" fontId="30" fillId="32" borderId="0" xfId="0" applyNumberFormat="1" applyFont="1" applyFill="1" applyBorder="1" applyAlignment="1">
      <x:alignment wrapText="1"/>
    </x:xf>
    <x:xf numFmtId="0" fontId="30" fillId="32" borderId="0" xfId="0" applyNumberFormat="1" applyFont="1" applyFill="1" applyBorder="1" applyAlignment="1">
      <x:alignment vertical="center" wrapText="1"/>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wrapText="1"/>
    </x:xf>
    <x:xf numFmtId="0" fontId="1" fillId="33" borderId="0" xfId="0" applyNumberFormat="1" applyFont="1" applyFill="1" applyBorder="1" applyAlignment="1">
      <x:alignment horizontal="center" wrapText="1"/>
    </x:xf>
    <x:xf numFmtId="0" fontId="1" fillId="33" borderId="0" xfId="0" applyNumberFormat="1" applyFont="1" applyFill="1" applyBorder="1" applyAlignment="1">
      <x:alignment horizontal="center" vertical="center"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0" borderId="49" xfId="0" applyNumberFormat="1" applyFont="1" applyFill="1" applyBorder="1" applyAlignment="1">
      <x:alignment vertical="top" wrapText="1"/>
    </x:xf>
    <x:xf numFmtId="0" fontId="8" fillId="34" borderId="0" xfId="0" applyNumberFormat="1" applyFont="1" applyFill="1" applyBorder="1"/>
    <x:xf numFmtId="0" fontId="31" fillId="34" borderId="0" xfId="0" applyNumberFormat="1" applyFont="1" applyFill="1" applyBorder="1"/>
    <x:xf numFmtId="0" fontId="31" fillId="34" borderId="0" xfId="0" applyNumberFormat="1" applyFont="1" applyFill="1" applyBorder="1" applyAlignment="1">
      <x:alignment wrapText="1"/>
    </x:xf>
    <x:xf numFmtId="0" fontId="0" fillId="35" borderId="0" xfId="0" applyNumberFormat="1" applyFont="1" applyFill="1" applyBorder="1"/>
    <x:xf numFmtId="0" fontId="32" fillId="35" borderId="0" xfId="0" applyNumberFormat="1" applyFont="1" applyFill="1" applyBorder="1"/>
    <x:xf numFmtId="0" fontId="32" fillId="35" borderId="0" xfId="0" applyNumberFormat="1" applyFont="1" applyFill="1" applyBorder="1" applyAlignment="1">
      <x:alignment horizontal="left"/>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8" fillId="0" borderId="0" xfId="0" applyNumberFormat="1" applyFont="1" applyFill="1" applyBorder="1" applyAlignment="1">
      <x:alignment vertical="center" wrapText="1"/>
    </x:xf>
    <x:xf numFmtId="0" fontId="33" fillId="4" borderId="0" xfId="0" applyNumberFormat="1" applyFont="1" applyFill="1" applyBorder="1" applyAlignment="1">
      <x:alignment horizontal="center" vertical="center" wrapText="1"/>
    </x:xf>
    <x:xf numFmtId="0" fontId="8" fillId="37" borderId="0" xfId="0" applyNumberFormat="1" applyFont="1" applyFill="1" applyBorder="1" applyAlignment="1">
      <x:alignment wrapText="1"/>
    </x:xf>
    <x:xf numFmtId="0" fontId="28" fillId="37" borderId="41" xfId="0" applyNumberFormat="1" applyFont="1" applyFill="1" applyBorder="1" applyAlignment="1">
      <x:alignment wrapText="1"/>
    </x:xf>
    <x:xf numFmtId="0" fontId="8" fillId="37" borderId="41" xfId="0" applyNumberFormat="1" applyFont="1" applyFill="1" applyBorder="1" applyAlignment="1">
      <x:alignment wrapText="1"/>
    </x:xf>
    <x:xf numFmtId="0" fontId="34" fillId="37" borderId="0" xfId="0" applyNumberFormat="1" applyFont="1" applyFill="1" applyBorder="1" applyAlignment="1">
      <x:alignment wrapText="1"/>
    </x:xf>
    <x:xf numFmtId="0" fontId="35" fillId="37" borderId="41" xfId="0" applyNumberFormat="1" applyFont="1" applyFill="1" applyBorder="1" applyAlignment="1">
      <x:alignment wrapText="1"/>
    </x:xf>
    <x:xf numFmtId="0" fontId="34" fillId="37" borderId="41" xfId="0" applyNumberFormat="1" applyFont="1" applyFill="1" applyBorder="1" applyAlignment="1">
      <x:alignment wrapText="1"/>
    </x:xf>
    <x:xf numFmtId="0" fontId="34" fillId="37" borderId="50" xfId="0" applyNumberFormat="1" applyFont="1" applyFill="1" applyBorder="1" applyAlignment="1">
      <x:alignment wrapText="1"/>
    </x:xf>
    <x:xf numFmtId="0" fontId="34" fillId="37" borderId="51" xfId="0" applyNumberFormat="1" applyFont="1" applyFill="1" applyBorder="1" applyAlignment="1">
      <x:alignment wrapText="1"/>
    </x:xf>
    <x:xf numFmtId="0" fontId="34" fillId="37" borderId="52" xfId="0" applyNumberFormat="1" applyFont="1" applyFill="1" applyBorder="1" applyAlignment="1">
      <x:alignment wrapText="1"/>
    </x:xf>
    <x:xf numFmtId="0" fontId="34" fillId="37" borderId="53" xfId="0" applyNumberFormat="1" applyFont="1" applyFill="1" applyBorder="1" applyAlignment="1">
      <x:alignment wrapText="1"/>
    </x:xf>
    <x:xf numFmtId="0" fontId="34" fillId="37" xfId="0" applyNumberFormat="1" applyFont="1" applyFill="1" applyBorder="0" applyAlignment="1">
      <x:alignment wrapText="1"/>
    </x:xf>
    <x:xf numFmtId="0" fontId="34" fillId="37" borderId="54" xfId="0" applyNumberFormat="1" applyFont="1" applyFill="1" applyBorder="1" applyAlignment="1">
      <x:alignment wrapText="1"/>
    </x:xf>
    <x:xf numFmtId="0" fontId="35" fillId="37" borderId="55" xfId="0" applyNumberFormat="1" applyFont="1" applyFill="1" applyBorder="1" applyAlignment="1">
      <x:alignment wrapText="1"/>
    </x:xf>
    <x:xf numFmtId="0" fontId="34" fillId="37" borderId="56" xfId="0" applyNumberFormat="1" applyFont="1" applyFill="1" applyBorder="1" applyAlignment="1">
      <x:alignment wrapText="1"/>
    </x:xf>
    <x:xf numFmtId="0" fontId="34" fillId="37" borderId="57" xfId="0" applyNumberFormat="1" applyFont="1" applyFill="1" applyBorder="1" applyAlignment="1">
      <x:alignment wrapText="1"/>
    </x:xf>
    <x:xf numFmtId="0" fontId="34" fillId="37" borderId="50" xfId="0" applyNumberFormat="1" applyFont="1" applyFill="1" applyBorder="1" applyAlignment="1">
      <x:alignment vertical="center" wrapText="1"/>
    </x:xf>
    <x:xf numFmtId="0" fontId="34" fillId="37" borderId="51" xfId="0" applyNumberFormat="1" applyFont="1" applyFill="1" applyBorder="1" applyAlignment="1">
      <x:alignment vertical="center" wrapText="1"/>
    </x:xf>
    <x:xf numFmtId="0" fontId="34" fillId="37" borderId="52" xfId="0" applyNumberFormat="1" applyFont="1" applyFill="1" applyBorder="1" applyAlignment="1">
      <x:alignment vertical="center" wrapText="1"/>
    </x:xf>
    <x:xf numFmtId="0" fontId="34" fillId="37" borderId="53" xfId="0" applyNumberFormat="1" applyFont="1" applyFill="1" applyBorder="1" applyAlignment="1">
      <x:alignment vertical="center" wrapText="1"/>
    </x:xf>
    <x:xf numFmtId="0" fontId="34" fillId="37" xfId="0" applyNumberFormat="1" applyFont="1" applyFill="1" applyBorder="0" applyAlignment="1">
      <x:alignment vertical="center" wrapText="1"/>
    </x:xf>
    <x:xf numFmtId="0" fontId="34" fillId="37" borderId="54" xfId="0" applyNumberFormat="1" applyFont="1" applyFill="1" applyBorder="1" applyAlignment="1">
      <x:alignment vertical="center" wrapText="1"/>
    </x:xf>
    <x:xf numFmtId="0" fontId="35" fillId="37" borderId="55" xfId="0" applyNumberFormat="1" applyFont="1" applyFill="1" applyBorder="1" applyAlignment="1">
      <x:alignment vertical="center" wrapText="1"/>
    </x:xf>
    <x:xf numFmtId="0" fontId="34" fillId="37" borderId="56" xfId="0" applyNumberFormat="1" applyFont="1" applyFill="1" applyBorder="1" applyAlignment="1">
      <x:alignment vertical="center" wrapText="1"/>
    </x:xf>
    <x:xf numFmtId="0" fontId="34" fillId="37" borderId="57" xfId="0" applyNumberFormat="1" applyFont="1" applyFill="1" applyBorder="1" applyAlignment="1">
      <x:alignment vertical="center" wrapText="1"/>
    </x:xf>
    <x:xf numFmtId="0" fontId="33" fillId="38" borderId="0" xfId="0" applyNumberFormat="1" applyFont="1" applyFill="1" applyBorder="1" applyAlignment="1">
      <x:alignment horizontal="center" vertical="center" wrapText="1"/>
    </x:xf>
    <x:xf numFmtId="0" fontId="32" fillId="39" borderId="0" xfId="0" applyNumberFormat="1" applyFont="1" applyFill="1" applyBorder="1" applyAlignment="1">
      <x:alignment horizontal="left"/>
    </x:xf>
    <x:xf numFmtId="0" fontId="1" fillId="40" borderId="0" xfId="0" applyNumberFormat="1" applyFont="1" applyFill="1" applyBorder="1" applyAlignment="1">
      <x:alignment horizontal="center" wrapText="1"/>
    </x:xf>
    <x:xf numFmtId="0" fontId="8" fillId="41" borderId="0" xfId="0" applyNumberFormat="1" applyFont="1" applyFill="1" applyBorder="1"/>
    <x:xf numFmtId="0" fontId="36" fillId="41" borderId="0" xfId="0" applyNumberFormat="1" applyFont="1" applyFill="1" applyBorder="1"/>
    <x:xf numFmtId="0" fontId="36" fillId="41" borderId="0" xfId="0" applyNumberFormat="1" applyFont="1" applyFill="1" applyBorder="1" applyAlignment="1">
      <x:alignment wrapText="1"/>
    </x:xf>
    <x:xf numFmtId="0" fontId="33" fillId="42" borderId="0" xfId="0" applyNumberFormat="1" applyFont="1" applyFill="1" applyBorder="1" applyAlignment="1">
      <x:alignment horizontal="center" vertical="center" wrapText="1"/>
    </x:xf>
    <x:xf numFmtId="0" fontId="37" fillId="42" borderId="0" xfId="0" applyNumberFormat="1" applyFont="1" applyFill="1" applyBorder="1" applyAlignment="1">
      <x:alignment horizontal="center" vertical="center" wrapText="1"/>
    </x:xf>
    <x:xf numFmtId="0" fontId="0" fillId="43" borderId="0" xfId="0" applyNumberFormat="1" applyFont="1" applyFill="1" applyBorder="1"/>
    <x:xf numFmtId="0" fontId="38" fillId="43" borderId="0" xfId="0" applyNumberFormat="1" applyFont="1" applyFill="1" applyBorder="1"/>
    <x:xf numFmtId="0" fontId="38" fillId="43" borderId="0" xfId="0" applyNumberFormat="1" applyFont="1" applyFill="1" applyBorder="1" applyAlignment="1">
      <x:alignment horizontal="center"/>
    </x:xf>
    <x:xf numFmtId="0" fontId="38" fillId="43" borderId="0" xfId="0" applyNumberFormat="1" applyFont="1" applyFill="1" applyBorder="1" applyAlignment="1">
      <x:alignment horizontal="center" vertical="center"/>
    </x:xf>
    <x:xf numFmtId="0" fontId="0" fillId="44" borderId="0" xfId="0" applyNumberFormat="1" applyFont="1" applyFill="1" applyBorder="1"/>
    <x:xf numFmtId="0" fontId="30" fillId="44" borderId="0" xfId="0" applyNumberFormat="1" applyFont="1" applyFill="1" applyBorder="1"/>
    <x:xf numFmtId="0" fontId="30" fillId="44" borderId="0" xfId="0" applyNumberFormat="1" applyFont="1" applyFill="1" applyBorder="1" applyAlignment="1">
      <x:alignment wrapText="1"/>
    </x:xf>
    <x:xf numFmtId="0" fontId="30" fillId="44" borderId="0" xfId="0" applyNumberFormat="1" applyFont="1" applyFill="1" applyBorder="1" applyAlignment="1">
      <x:alignment vertical="center" wrapText="1"/>
    </x:xf>
    <x:xf numFmtId="0" fontId="39" fillId="44" borderId="0" xfId="0" applyNumberFormat="1" applyFont="1" applyFill="1" applyBorder="1"/>
    <x:xf numFmtId="0" fontId="39" fillId="44" borderId="50" xfId="0" applyNumberFormat="1" applyFont="1" applyFill="1" applyBorder="1"/>
    <x:xf numFmtId="0" fontId="39" fillId="44" borderId="52" xfId="0" applyNumberFormat="1" applyFont="1" applyFill="1" applyBorder="1"/>
    <x:xf numFmtId="0" fontId="39" fillId="44" borderId="58" xfId="0" applyNumberFormat="1" applyFont="1" applyFill="1" applyBorder="1"/>
    <x:xf numFmtId="0" fontId="39" fillId="44" borderId="59" xfId="0" applyNumberFormat="1" applyFont="1" applyFill="1" applyBorder="1"/>
    <x:xf numFmtId="0" fontId="39" fillId="44" borderId="50" xfId="0" applyNumberFormat="1" applyFont="1" applyFill="1" applyBorder="1" applyAlignment="1">
      <x:alignment wrapText="1"/>
    </x:xf>
    <x:xf numFmtId="0" fontId="39" fillId="44" borderId="52" xfId="0" applyNumberFormat="1" applyFont="1" applyFill="1" applyBorder="1" applyAlignment="1">
      <x:alignment wrapText="1"/>
    </x:xf>
    <x:xf numFmtId="0" fontId="39" fillId="44" borderId="58" xfId="0" applyNumberFormat="1" applyFont="1" applyFill="1" applyBorder="1" applyAlignment="1">
      <x:alignment wrapText="1"/>
    </x:xf>
    <x:xf numFmtId="0" fontId="39" fillId="44" borderId="59" xfId="0" applyNumberFormat="1" applyFont="1" applyFill="1" applyBorder="1" applyAlignment="1">
      <x:alignment wrapText="1"/>
    </x:xf>
    <x:xf numFmtId="0" fontId="39" fillId="44" borderId="50" xfId="0" applyNumberFormat="1" applyFont="1" applyFill="1" applyBorder="1" applyAlignment="1">
      <x:alignment horizontal="center" wrapText="1"/>
    </x:xf>
    <x:xf numFmtId="0" fontId="39" fillId="44" borderId="52" xfId="0" applyNumberFormat="1" applyFont="1" applyFill="1" applyBorder="1" applyAlignment="1">
      <x:alignment horizontal="center" wrapText="1"/>
    </x:xf>
    <x:xf numFmtId="0" fontId="39" fillId="44" borderId="58" xfId="0" applyNumberFormat="1" applyFont="1" applyFill="1" applyBorder="1" applyAlignment="1">
      <x:alignment horizontal="center" wrapText="1"/>
    </x:xf>
    <x:xf numFmtId="0" fontId="39" fillId="44" borderId="59" xfId="0" applyNumberFormat="1" applyFont="1" applyFill="1" applyBorder="1" applyAlignment="1">
      <x:alignment horizontal="center" wrapText="1"/>
    </x:xf>
    <x:xf numFmtId="0" fontId="39" fillId="44" borderId="50" xfId="0" applyNumberFormat="1" applyFont="1" applyFill="1" applyBorder="1" applyAlignment="1">
      <x:alignment horizontal="center" vertical="center" wrapText="1"/>
    </x:xf>
    <x:xf numFmtId="0" fontId="39" fillId="44" borderId="52" xfId="0" applyNumberFormat="1" applyFont="1" applyFill="1" applyBorder="1" applyAlignment="1">
      <x:alignment horizontal="center" vertical="center" wrapText="1"/>
    </x:xf>
    <x:xf numFmtId="0" fontId="39" fillId="44" borderId="58" xfId="0" applyNumberFormat="1" applyFont="1" applyFill="1" applyBorder="1" applyAlignment="1">
      <x:alignment horizontal="center" vertical="center" wrapText="1"/>
    </x:xf>
    <x:xf numFmtId="0" fontId="39" fillId="44" borderId="59" xfId="0" applyNumberFormat="1" applyFont="1" applyFill="1" applyBorder="1" applyAlignment="1">
      <x:alignment horizontal="center" vertical="center" wrapText="1"/>
    </x:xf>
    <x:xf numFmtId="0" fontId="40" fillId="44" borderId="58" xfId="0" applyNumberFormat="1" applyFont="1" applyFill="1" applyBorder="1" applyAlignment="1">
      <x:alignment horizontal="center" vertical="center" wrapText="1"/>
    </x:xf>
    <x:xf numFmtId="0" fontId="0" fillId="45" borderId="0" xfId="0" applyNumberFormat="1" applyFont="1" applyFill="1" applyBorder="1"/>
    <x:xf numFmtId="0" fontId="41" fillId="45" borderId="0" xfId="0" applyNumberFormat="1" applyFont="1" applyFill="1" applyBorder="1"/>
    <x:xf numFmtId="0" fontId="41" fillId="45" borderId="50" xfId="0" applyNumberFormat="1" applyFont="1" applyFill="1" applyBorder="1"/>
    <x:xf numFmtId="0" fontId="41" fillId="45" borderId="52" xfId="0" applyNumberFormat="1" applyFont="1" applyFill="1" applyBorder="1"/>
    <x:xf numFmtId="0" fontId="41" fillId="45" borderId="58" xfId="0" applyNumberFormat="1" applyFont="1" applyFill="1" applyBorder="1"/>
    <x:xf numFmtId="0" fontId="41" fillId="45" borderId="59" xfId="0" applyNumberFormat="1" applyFont="1" applyFill="1" applyBorder="1"/>
    <x:xf numFmtId="0" fontId="41" fillId="45" borderId="50" xfId="0" applyNumberFormat="1" applyFont="1" applyFill="1" applyBorder="1" applyAlignment="1">
      <x:alignment wrapText="1"/>
    </x:xf>
    <x:xf numFmtId="0" fontId="41" fillId="45" borderId="52" xfId="0" applyNumberFormat="1" applyFont="1" applyFill="1" applyBorder="1" applyAlignment="1">
      <x:alignment wrapText="1"/>
    </x:xf>
    <x:xf numFmtId="0" fontId="41" fillId="45" borderId="58" xfId="0" applyNumberFormat="1" applyFont="1" applyFill="1" applyBorder="1" applyAlignment="1">
      <x:alignment wrapText="1"/>
    </x:xf>
    <x:xf numFmtId="0" fontId="41" fillId="45" borderId="59" xfId="0" applyNumberFormat="1" applyFont="1" applyFill="1" applyBorder="1" applyAlignment="1">
      <x:alignment wrapText="1"/>
    </x:xf>
    <x:xf numFmtId="0" fontId="41" fillId="45" borderId="50" xfId="0" applyNumberFormat="1" applyFont="1" applyFill="1" applyBorder="1" applyAlignment="1">
      <x:alignment horizontal="center" wrapText="1"/>
    </x:xf>
    <x:xf numFmtId="0" fontId="41" fillId="45" borderId="52" xfId="0" applyNumberFormat="1" applyFont="1" applyFill="1" applyBorder="1" applyAlignment="1">
      <x:alignment horizontal="center" wrapText="1"/>
    </x:xf>
    <x:xf numFmtId="0" fontId="41" fillId="45" borderId="58" xfId="0" applyNumberFormat="1" applyFont="1" applyFill="1" applyBorder="1" applyAlignment="1">
      <x:alignment horizontal="center" wrapText="1"/>
    </x:xf>
    <x:xf numFmtId="0" fontId="41" fillId="45" borderId="59" xfId="0" applyNumberFormat="1" applyFont="1" applyFill="1" applyBorder="1" applyAlignment="1">
      <x:alignment horizontal="center" wrapText="1"/>
    </x:xf>
    <x:xf numFmtId="0" fontId="41" fillId="45" borderId="50" xfId="0" applyNumberFormat="1" applyFont="1" applyFill="1" applyBorder="1" applyAlignment="1">
      <x:alignment horizontal="center" vertical="center" wrapText="1"/>
    </x:xf>
    <x:xf numFmtId="0" fontId="41" fillId="45" borderId="52" xfId="0" applyNumberFormat="1" applyFont="1" applyFill="1" applyBorder="1" applyAlignment="1">
      <x:alignment horizontal="center" vertical="center" wrapText="1"/>
    </x:xf>
    <x:xf numFmtId="0" fontId="41" fillId="45" borderId="58" xfId="0" applyNumberFormat="1" applyFont="1" applyFill="1" applyBorder="1" applyAlignment="1">
      <x:alignment horizontal="center" vertical="center" wrapText="1"/>
    </x:xf>
    <x:xf numFmtId="0" fontId="41" fillId="45" borderId="59" xfId="0" applyNumberFormat="1" applyFont="1" applyFill="1" applyBorder="1" applyAlignment="1">
      <x:alignment horizontal="center" vertical="center" wrapText="1"/>
    </x:xf>
    <x:xf numFmtId="0" fontId="42" fillId="45" borderId="58" xfId="0" applyNumberFormat="1" applyFont="1" applyFill="1" applyBorder="1" applyAlignment="1">
      <x:alignment horizontal="center" vertical="center" wrapText="1"/>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wrapText="1"/>
    </x:xf>
    <x:xf numFmtId="0" fontId="1" fillId="46" borderId="0" xfId="0" applyNumberFormat="1" applyFont="1" applyFill="1" applyBorder="1" applyAlignment="1">
      <x:alignment horizontal="center" wrapText="1"/>
    </x:xf>
    <x:xf numFmtId="0" fontId="1" fillId="46" borderId="0" xfId="0" applyNumberFormat="1" applyFont="1" applyFill="1" applyBorder="1" applyAlignment="1">
      <x:alignment horizontal="center" vertical="center" wrapText="1"/>
    </x:xf>
    <x:xf numFmtId="0" fontId="43" fillId="0" borderId="0" xfId="0" applyNumberFormat="1" applyFont="1" applyFill="1" applyBorder="1"/>
    <x:xf numFmtId="0" fontId="43" fillId="0" borderId="59" xfId="0" applyNumberFormat="1" applyFont="1" applyFill="1" applyBorder="1"/>
    <x:xf numFmtId="0" fontId="43" fillId="0" borderId="60" xfId="0" applyNumberFormat="1" applyFont="1" applyFill="1" applyBorder="1"/>
    <x:xf numFmtId="0" fontId="43" fillId="0" borderId="58" xfId="0" applyNumberFormat="1" applyFont="1" applyFill="1" applyBorder="1"/>
    <x:xf numFmtId="0" fontId="43" fillId="0" borderId="61" xfId="0" applyNumberFormat="1" applyFont="1" applyFill="1" applyBorder="1"/>
    <x:xf numFmtId="0" fontId="43" fillId="0" borderId="62" xfId="0" applyNumberFormat="1" applyFont="1" applyFill="1" applyBorder="1"/>
    <x:xf numFmtId="0" fontId="43" fillId="0" borderId="63" xfId="0" applyNumberFormat="1" applyFont="1" applyFill="1" applyBorder="1"/>
    <x:xf numFmtId="0" fontId="43" fillId="0" borderId="52" xfId="0" applyNumberFormat="1" applyFont="1" applyFill="1" applyBorder="1"/>
    <x:xf numFmtId="0" fontId="43" fillId="0" borderId="64" xfId="0" applyNumberFormat="1" applyFont="1" applyFill="1" applyBorder="1"/>
    <x:xf numFmtId="0" fontId="43" fillId="0" borderId="50" xfId="0" applyNumberFormat="1" applyFont="1" applyFill="1" applyBorder="1"/>
    <x:xf numFmtId="0" fontId="43" fillId="0" borderId="59" xfId="0" applyNumberFormat="1" applyFont="1" applyFill="1" applyBorder="1" applyAlignment="1">
      <x:alignment wrapText="1"/>
    </x:xf>
    <x:xf numFmtId="0" fontId="43" fillId="0" borderId="60" xfId="0" applyNumberFormat="1" applyFont="1" applyFill="1" applyBorder="1" applyAlignment="1">
      <x:alignment wrapText="1"/>
    </x:xf>
    <x:xf numFmtId="0" fontId="43" fillId="0" borderId="58" xfId="0" applyNumberFormat="1" applyFont="1" applyFill="1" applyBorder="1" applyAlignment="1">
      <x:alignment wrapText="1"/>
    </x:xf>
    <x:xf numFmtId="0" fontId="43" fillId="0" borderId="61" xfId="0" applyNumberFormat="1" applyFont="1" applyFill="1" applyBorder="1" applyAlignment="1">
      <x:alignment wrapText="1"/>
    </x:xf>
    <x:xf numFmtId="0" fontId="43" fillId="0" borderId="62" xfId="0" applyNumberFormat="1" applyFont="1" applyFill="1" applyBorder="1" applyAlignment="1">
      <x:alignment wrapText="1"/>
    </x:xf>
    <x:xf numFmtId="0" fontId="43" fillId="0" borderId="63" xfId="0" applyNumberFormat="1" applyFont="1" applyFill="1" applyBorder="1" applyAlignment="1">
      <x:alignment wrapText="1"/>
    </x:xf>
    <x:xf numFmtId="0" fontId="43" fillId="0" borderId="52" xfId="0" applyNumberFormat="1" applyFont="1" applyFill="1" applyBorder="1" applyAlignment="1">
      <x:alignment wrapText="1"/>
    </x:xf>
    <x:xf numFmtId="0" fontId="43" fillId="0" borderId="64" xfId="0" applyNumberFormat="1" applyFont="1" applyFill="1" applyBorder="1" applyAlignment="1">
      <x:alignment wrapText="1"/>
    </x:xf>
    <x:xf numFmtId="0" fontId="43" fillId="0" borderId="50" xfId="0" applyNumberFormat="1" applyFont="1" applyFill="1" applyBorder="1" applyAlignment="1">
      <x:alignment wrapText="1"/>
    </x:xf>
    <x:xf numFmtId="0" fontId="43" fillId="0" borderId="59" xfId="0" applyNumberFormat="1" applyFont="1" applyFill="1" applyBorder="1" applyAlignment="1">
      <x:alignment vertical="top" wrapText="1"/>
    </x:xf>
    <x:xf numFmtId="0" fontId="43" fillId="0" borderId="60" xfId="0" applyNumberFormat="1" applyFont="1" applyFill="1" applyBorder="1" applyAlignment="1">
      <x:alignment vertical="top" wrapText="1"/>
    </x:xf>
    <x:xf numFmtId="0" fontId="43" fillId="0" borderId="58" xfId="0" applyNumberFormat="1" applyFont="1" applyFill="1" applyBorder="1" applyAlignment="1">
      <x:alignment vertical="top" wrapText="1"/>
    </x:xf>
    <x:xf numFmtId="0" fontId="43" fillId="0" borderId="61" xfId="0" applyNumberFormat="1" applyFont="1" applyFill="1" applyBorder="1" applyAlignment="1">
      <x:alignment vertical="top" wrapText="1"/>
    </x:xf>
    <x:xf numFmtId="0" fontId="43" fillId="0" borderId="62" xfId="0" applyNumberFormat="1" applyFont="1" applyFill="1" applyBorder="1" applyAlignment="1">
      <x:alignment vertical="top" wrapText="1"/>
    </x:xf>
    <x:xf numFmtId="0" fontId="43" fillId="0" borderId="63" xfId="0" applyNumberFormat="1" applyFont="1" applyFill="1" applyBorder="1" applyAlignment="1">
      <x:alignment vertical="top" wrapText="1"/>
    </x:xf>
    <x:xf numFmtId="0" fontId="43" fillId="0" borderId="52" xfId="0" applyNumberFormat="1" applyFont="1" applyFill="1" applyBorder="1" applyAlignment="1">
      <x:alignment vertical="top" wrapText="1"/>
    </x:xf>
    <x:xf numFmtId="0" fontId="43" fillId="0" borderId="64" xfId="0" applyNumberFormat="1" applyFont="1" applyFill="1" applyBorder="1" applyAlignment="1">
      <x:alignment vertical="top" wrapText="1"/>
    </x:xf>
    <x:xf numFmtId="0" fontId="43" fillId="0" borderId="50" xfId="0" applyNumberFormat="1" applyFont="1" applyFill="1" applyBorder="1" applyAlignment="1">
      <x:alignment vertical="top" wrapText="1"/>
    </x:xf>
    <x:xf numFmtId="0" fontId="44" fillId="45" borderId="0" xfId="0" applyNumberFormat="1" applyFont="1" applyFill="1" applyBorder="1"/>
    <x:xf numFmtId="0" fontId="44" fillId="45" borderId="0" xfId="0" applyNumberFormat="1" applyFont="1" applyFill="1" applyBorder="1" applyAlignment="1">
      <x:alignment horizontal="center"/>
    </x:xf>
    <x:xf numFmtId="0" fontId="44" fillId="45" borderId="0" xfId="0" applyNumberFormat="1" applyFont="1" applyFill="1" applyBorder="1" applyAlignment="1">
      <x:alignment horizontal="center" vertical="center"/>
    </x:xf>
    <x:xf numFmtId="0" fontId="45" fillId="44" borderId="0" xfId="0" applyNumberFormat="1" applyFont="1" applyFill="1" applyBorder="1"/>
    <x:xf numFmtId="0" fontId="45" fillId="44" borderId="0" xfId="0" applyNumberFormat="1" applyFont="1" applyFill="1" applyBorder="1" applyAlignment="1">
      <x:alignment wrapText="1"/>
    </x:xf>
    <x:xf numFmtId="0" fontId="45" fillId="44" borderId="0" xfId="0" applyNumberFormat="1" applyFont="1" applyFill="1" applyBorder="1" applyAlignment="1">
      <x:alignment vertical="center" wrapText="1"/>
    </x:xf>
    <x:xf numFmtId="0" fontId="2" fillId="43" borderId="0" xfId="0" applyNumberFormat="1" applyFont="1" applyFill="1" applyBorder="1"/>
    <x:xf numFmtId="0" fontId="2" fillId="43" borderId="0" xfId="0" applyNumberFormat="1" applyFont="1" applyFill="1" applyBorder="1" applyAlignment="1">
      <x:alignment horizontal="center"/>
    </x:xf>
    <x:xf numFmtId="0" fontId="2" fillId="43" borderId="0" xfId="0" applyNumberFormat="1" applyFont="1" applyFill="1" applyBorder="1" applyAlignment="1">
      <x:alignment horizontal="center" vertical="center"/>
    </x:xf>
    <x:xf numFmtId="0" fontId="43" fillId="0" borderId="62" xfId="0" applyNumberFormat="1" applyFont="1" applyFill="1" applyBorder="1" applyAlignment="1">
      <x:alignment vertical="center" wrapText="1"/>
    </x:xf>
    <x:xf numFmtId="0" fontId="43" fillId="44" borderId="62" xfId="0" applyNumberFormat="1" applyFont="1" applyFill="1" applyBorder="1" applyAlignment="1">
      <x:alignment vertical="center" wrapText="1"/>
    </x:xf>
    <x:xf numFmtId="0" fontId="43" fillId="47" borderId="62" xfId="0" applyNumberFormat="1" applyFont="1" applyFill="1" applyBorder="1" applyAlignment="1">
      <x:alignment vertical="center" wrapText="1"/>
    </x:xf>
    <x:xf numFmtId="0" fontId="43" fillId="45" borderId="62" xfId="0" applyNumberFormat="1" applyFont="1" applyFill="1" applyBorder="1" applyAlignment="1">
      <x:alignment vertical="center" wrapText="1"/>
    </x:xf>
    <x:xf numFmtId="0" fontId="46" fillId="45" borderId="62" xfId="0" applyNumberFormat="1" applyFont="1" applyFill="1" applyBorder="1" applyAlignment="1">
      <x:alignment vertical="center" wrapText="1"/>
    </x:xf>
    <x:xf numFmtId="0" fontId="43" fillId="48" borderId="62" xfId="0" applyNumberFormat="1" applyFont="1" applyFill="1" applyBorder="1" applyAlignment="1">
      <x:alignment vertical="center" wrapText="1"/>
    </x:xf>
    <x:xf numFmtId="0" fontId="43" fillId="44" borderId="62" xfId="0" applyNumberFormat="1" applyFont="1" applyFill="1" applyBorder="1" applyAlignment="1">
      <x:alignment horizontal="center" vertical="center" wrapText="1"/>
    </x:xf>
    <x:xf numFmtId="0" fontId="43" fillId="47" borderId="62" xfId="0" applyNumberFormat="1" applyFont="1" applyFill="1" applyBorder="1" applyAlignment="1">
      <x:alignment horizontal="center" vertical="center" wrapText="1"/>
    </x:xf>
    <x:xf numFmtId="0" fontId="46" fillId="45" borderId="62" xfId="0" applyNumberFormat="1" applyFont="1" applyFill="1" applyBorder="1" applyAlignment="1">
      <x:alignment horizontal="center" vertical="center" wrapText="1"/>
    </x:xf>
    <x:xf numFmtId="0" fontId="43" fillId="48" borderId="62" xfId="0" applyNumberFormat="1" applyFont="1" applyFill="1" applyBorder="1" applyAlignment="1">
      <x:alignment horizontal="center" vertical="center" wrapText="1"/>
    </x:xf>
    <x:xf numFmtId="0" fontId="47" fillId="44" borderId="62" xfId="0" applyNumberFormat="1" applyFont="1" applyFill="1" applyBorder="1" applyAlignment="1">
      <x:alignment horizontal="center" vertical="center" wrapText="1"/>
    </x:xf>
    <x:xf numFmtId="0" fontId="47" fillId="47" borderId="62" xfId="0" applyNumberFormat="1" applyFont="1" applyFill="1" applyBorder="1" applyAlignment="1">
      <x:alignment horizontal="center" vertical="center" wrapText="1"/>
    </x:xf>
    <x:xf numFmtId="0" fontId="47" fillId="45" borderId="62" xfId="0" applyNumberFormat="1" applyFont="1" applyFill="1" applyBorder="1" applyAlignment="1">
      <x:alignment horizontal="center" vertical="center" wrapText="1"/>
    </x:xf>
    <x:xf numFmtId="0" fontId="47" fillId="48" borderId="62" xfId="0" applyNumberFormat="1" applyFont="1" applyFill="1" applyBorder="1" applyAlignment="1">
      <x:alignment horizontal="center" vertical="center" wrapText="1"/>
    </x:xf>
    <x:xf numFmtId="0" fontId="41" fillId="45" borderId="0" xfId="0" applyNumberFormat="1" applyFont="1" applyFill="1" applyBorder="1" applyAlignment="1">
      <x:alignment wrapText="1"/>
    </x:xf>
    <x:xf numFmtId="0" fontId="41" fillId="45" borderId="0" xfId="0" applyNumberFormat="1" applyFont="1" applyFill="1" applyBorder="1" applyAlignment="1">
      <x:alignment horizontal="center" wrapText="1"/>
    </x:xf>
    <x:xf numFmtId="0" fontId="41" fillId="45" borderId="0" xfId="0" applyNumberFormat="1" applyFont="1" applyFill="1" applyBorder="1" applyAlignment="1">
      <x:alignment horizontal="center" vertical="center" wrapText="1"/>
    </x:xf>
    <x:xf numFmtId="0" fontId="0" fillId="49" borderId="0" xfId="0" applyNumberFormat="1" applyFont="1" applyFill="1" applyBorder="1"/>
    <x:xf numFmtId="0" fontId="48" fillId="49" borderId="0" xfId="0" applyNumberFormat="1" applyFont="1" applyFill="1" applyBorder="1"/>
    <x:xf numFmtId="0" fontId="48" fillId="49" borderId="0" xfId="0" applyNumberFormat="1" applyFont="1" applyFill="1" applyBorder="1" applyAlignment="1">
      <x:alignment wrapText="1"/>
    </x:xf>
    <x:xf numFmtId="0" fontId="48" fillId="49" borderId="0" xfId="0" applyNumberFormat="1" applyFont="1" applyFill="1" applyBorder="1" applyAlignment="1">
      <x:alignment horizontal="center" wrapText="1"/>
    </x:xf>
    <x:xf numFmtId="0" fontId="48" fillId="49" borderId="0" xfId="0" applyNumberFormat="1" applyFont="1" applyFill="1" applyBorder="1" applyAlignment="1">
      <x:alignment horizontal="center" vertical="center" wrapText="1"/>
    </x:xf>
    <x:xf numFmtId="0" fontId="8" fillId="50" borderId="0" xfId="0" applyNumberFormat="1" applyFont="1" applyFill="1" applyBorder="1" applyAlignment="1">
      <x:alignment wrapText="1"/>
    </x:xf>
    <x:xf numFmtId="0" fontId="49" fillId="50" borderId="0" xfId="0" applyNumberFormat="1" applyFont="1" applyFill="1" applyBorder="1" applyAlignment="1">
      <x:alignment wrapText="1"/>
    </x:xf>
    <x:xf numFmtId="0" fontId="49" fillId="50" borderId="65" xfId="0" applyNumberFormat="1" applyFont="1" applyFill="1" applyBorder="1" applyAlignment="1">
      <x:alignment wrapText="1"/>
    </x:xf>
    <x:xf numFmtId="0" fontId="49" fillId="50" borderId="66" xfId="0" applyNumberFormat="1" applyFont="1" applyFill="1" applyBorder="1" applyAlignment="1">
      <x:alignment wrapText="1"/>
    </x:xf>
    <x:xf numFmtId="0" fontId="49" fillId="50" borderId="67" xfId="0" applyNumberFormat="1" applyFont="1" applyFill="1" applyBorder="1" applyAlignment="1">
      <x:alignment wrapText="1"/>
    </x:xf>
    <x:xf numFmtId="0" fontId="49" fillId="50" borderId="65" xfId="0" applyNumberFormat="1" applyFont="1" applyFill="1" applyBorder="1" applyAlignment="1">
      <x:alignment vertical="top" wrapText="1"/>
    </x:xf>
    <x:xf numFmtId="0" fontId="49" fillId="50" borderId="66" xfId="0" applyNumberFormat="1" applyFont="1" applyFill="1" applyBorder="1" applyAlignment="1">
      <x:alignment vertical="top" wrapText="1"/>
    </x:xf>
    <x:xf numFmtId="0" fontId="49" fillId="50" borderId="67" xfId="0" applyNumberFormat="1" applyFont="1" applyFill="1" applyBorder="1" applyAlignment="1">
      <x:alignment vertical="top" wrapText="1"/>
    </x:xf>
    <x:xf numFmtId="0" fontId="49" fillId="50" borderId="65" xfId="0" applyNumberFormat="1" applyFont="1" applyFill="1" applyBorder="1" applyAlignment="1">
      <x:alignment horizontal="left" vertical="top" wrapText="1"/>
    </x:xf>
    <x:xf numFmtId="0" fontId="49" fillId="50" borderId="66" xfId="0" applyNumberFormat="1" applyFont="1" applyFill="1" applyBorder="1" applyAlignment="1">
      <x:alignment horizontal="left" vertical="top" wrapText="1"/>
    </x:xf>
    <x:xf numFmtId="0" fontId="49" fillId="50" borderId="66" xfId="0" applyNumberFormat="1" applyFont="1" applyFill="1" applyBorder="1" applyAlignment="1">
      <x:alignment horizontal="center" vertical="top" wrapText="1"/>
    </x:xf>
    <x:xf numFmtId="0" fontId="49" fillId="50" borderId="67" xfId="0" applyNumberFormat="1" applyFont="1" applyFill="1" applyBorder="1" applyAlignment="1">
      <x:alignment horizontal="center" vertical="top" wrapText="1"/>
    </x:xf>
    <x:xf numFmtId="0" fontId="0" fillId="51" borderId="0" xfId="0" applyNumberFormat="1" applyFont="1" applyFill="1" applyBorder="1"/>
    <x:xf numFmtId="0" fontId="2" fillId="51" borderId="0" xfId="0" applyNumberFormat="1" applyFont="1" applyFill="1" applyBorder="1"/>
    <x:xf numFmtId="0" fontId="2" fillId="51" borderId="0" xfId="0" applyNumberFormat="1" applyFont="1" applyFill="1" applyBorder="1" applyAlignment="1">
      <x:alignment horizontal="left"/>
    </x:xf>
    <x:xf numFmtId="0" fontId="2" fillId="51" borderId="0" xfId="0" applyNumberFormat="1" applyFont="1" applyFill="1" applyBorder="1" applyAlignment="1">
      <x:alignment horizontal="left" vertical="center"/>
    </x:xf>
    <x:xf numFmtId="0" fontId="0" fillId="52" borderId="0" xfId="0" applyNumberFormat="1" applyFont="1" applyFill="1" applyBorder="1"/>
    <x:xf numFmtId="0" fontId="30" fillId="52" borderId="0" xfId="0" applyNumberFormat="1" applyFont="1" applyFill="1" applyBorder="1"/>
    <x:xf numFmtId="0" fontId="30" fillId="52" borderId="0" xfId="0" applyNumberFormat="1" applyFont="1" applyFill="1" applyBorder="1" applyAlignment="1">
      <x:alignment wrapText="1"/>
    </x:xf>
    <x:xf numFmtId="0" fontId="30" fillId="52" borderId="0" xfId="0" applyNumberFormat="1" applyFont="1" applyFill="1" applyBorder="1" applyAlignment="1">
      <x:alignment vertical="center" wrapText="1"/>
    </x:xf>
    <x:xf numFmtId="0" fontId="0" fillId="53" borderId="0" xfId="0" applyNumberFormat="1" applyFont="1" applyFill="1" applyBorder="1"/>
    <x:xf numFmtId="0" fontId="1" fillId="53" borderId="0" xfId="0" applyNumberFormat="1" applyFont="1" applyFill="1" applyBorder="1"/>
    <x:xf numFmtId="0" fontId="1" fillId="53" borderId="68" xfId="0" applyNumberFormat="1" applyFont="1" applyFill="1" applyBorder="1"/>
    <x:xf numFmtId="0" fontId="1" fillId="53" borderId="69" xfId="0" applyNumberFormat="1" applyFont="1" applyFill="1" applyBorder="1"/>
    <x:xf numFmtId="0" fontId="1" fillId="53" borderId="70" xfId="0" applyNumberFormat="1" applyFont="1" applyFill="1" applyBorder="1"/>
    <x:xf numFmtId="0" fontId="1" fillId="53" borderId="68" xfId="0" applyNumberFormat="1" applyFont="1" applyFill="1" applyBorder="1" applyAlignment="1">
      <x:alignment wrapText="1"/>
    </x:xf>
    <x:xf numFmtId="0" fontId="1" fillId="53" borderId="69" xfId="0" applyNumberFormat="1" applyFont="1" applyFill="1" applyBorder="1" applyAlignment="1">
      <x:alignment wrapText="1"/>
    </x:xf>
    <x:xf numFmtId="0" fontId="1" fillId="53" borderId="70" xfId="0" applyNumberFormat="1" applyFont="1" applyFill="1" applyBorder="1" applyAlignment="1">
      <x:alignment wrapText="1"/>
    </x:xf>
    <x:xf numFmtId="0" fontId="1" fillId="53" borderId="68" xfId="0" applyNumberFormat="1" applyFont="1" applyFill="1" applyBorder="1" applyAlignment="1">
      <x:alignment horizontal="center" wrapText="1"/>
    </x:xf>
    <x:xf numFmtId="0" fontId="1" fillId="53" borderId="69" xfId="0" applyNumberFormat="1" applyFont="1" applyFill="1" applyBorder="1" applyAlignment="1">
      <x:alignment horizontal="center" wrapText="1"/>
    </x:xf>
    <x:xf numFmtId="0" fontId="1" fillId="53" borderId="70" xfId="0" applyNumberFormat="1" applyFont="1" applyFill="1" applyBorder="1" applyAlignment="1">
      <x:alignment horizontal="center" wrapText="1"/>
    </x:xf>
    <x:xf numFmtId="0" fontId="1" fillId="53" borderId="68" xfId="0" applyNumberFormat="1" applyFont="1" applyFill="1" applyBorder="1" applyAlignment="1">
      <x:alignment horizontal="center" vertical="center" wrapText="1"/>
    </x:xf>
    <x:xf numFmtId="0" fontId="1" fillId="53" borderId="69" xfId="0" applyNumberFormat="1" applyFont="1" applyFill="1" applyBorder="1" applyAlignment="1">
      <x:alignment horizontal="center" vertical="center" wrapText="1"/>
    </x:xf>
    <x:xf numFmtId="0" fontId="1" fillId="53" borderId="70" xfId="0" applyNumberFormat="1" applyFont="1" applyFill="1" applyBorder="1" applyAlignment="1">
      <x:alignment horizontal="center" vertical="center" wrapText="1"/>
    </x:xf>
    <x:xf numFmtId="0" fontId="0" fillId="0" borderId="71" xfId="0" applyNumberFormat="1" applyFont="1" applyFill="1" applyBorder="1"/>
    <x:xf numFmtId="0" fontId="0" fillId="0" borderId="72" xfId="0" applyNumberFormat="1" applyFont="1" applyFill="1" applyBorder="1"/>
    <x:xf numFmtId="0" fontId="0" fillId="0" borderId="73" xfId="0" applyNumberFormat="1" applyFont="1" applyFill="1" applyBorder="1"/>
    <x:xf numFmtId="0" fontId="0" fillId="0" borderId="71" xfId="0" applyNumberFormat="1" applyFont="1" applyFill="1" applyBorder="1" applyAlignment="1">
      <x:alignment wrapText="1"/>
    </x:xf>
    <x:xf numFmtId="0" fontId="0" fillId="0" borderId="72" xfId="0" applyNumberFormat="1" applyFont="1" applyFill="1" applyBorder="1" applyAlignment="1">
      <x:alignment wrapText="1"/>
    </x:xf>
    <x:xf numFmtId="0" fontId="0" fillId="0" borderId="73" xfId="0" applyNumberFormat="1" applyFont="1" applyFill="1" applyBorder="1" applyAlignment="1">
      <x:alignment wrapText="1"/>
    </x:xf>
    <x:xf numFmtId="0" fontId="0" fillId="0" borderId="71" xfId="0" applyNumberFormat="1" applyFont="1" applyFill="1" applyBorder="1" applyAlignment="1">
      <x:alignment vertical="top" wrapText="1"/>
    </x:xf>
    <x:xf numFmtId="0" fontId="0" fillId="0" borderId="72" xfId="0" applyNumberFormat="1" applyFont="1" applyFill="1" applyBorder="1" applyAlignment="1">
      <x:alignment vertical="top" wrapText="1"/>
    </x:xf>
    <x:xf numFmtId="0" fontId="0" fillId="0" borderId="73" xfId="0" applyNumberFormat="1" applyFont="1" applyFill="1" applyBorder="1" applyAlignment="1">
      <x:alignment vertical="top" wrapText="1"/>
    </x:xf>
    <x:xf numFmtId="0" fontId="0" fillId="0" borderId="71" xfId="0" applyNumberFormat="1" applyFont="1" applyFill="1" applyBorder="1" applyAlignment="1">
      <x:alignment horizontal="left" vertical="top" wrapText="1"/>
    </x:xf>
    <x:xf numFmtId="0" fontId="0" fillId="0" borderId="72" xfId="0" applyNumberFormat="1" applyFont="1" applyFill="1" applyBorder="1" applyAlignment="1">
      <x:alignment horizontal="left" vertical="top" wrapText="1"/>
    </x:xf>
    <x:xf numFmtId="0" fontId="0" fillId="0" borderId="73" xfId="0" applyNumberFormat="1" applyFont="1" applyFill="1" applyBorder="1" applyAlignment="1">
      <x:alignment horizontal="left" vertical="top" wrapText="1"/>
    </x:xf>
    <x:xf numFmtId="0" fontId="0" fillId="0" borderId="71" xfId="0" applyNumberFormat="1" applyFont="1" applyFill="1" applyBorder="1" applyAlignment="1">
      <x:alignment horizontal="center" vertical="top" wrapText="1"/>
    </x:xf>
    <x:xf numFmtId="0" fontId="0" fillId="0" borderId="72" xfId="0" applyNumberFormat="1" applyFont="1" applyFill="1" applyBorder="1" applyAlignment="1">
      <x:alignment horizontal="center" vertical="top" wrapText="1"/>
    </x:xf>
    <x:xf numFmtId="0" fontId="0" fillId="0" borderId="73" xfId="0" applyNumberFormat="1" applyFont="1" applyFill="1" applyBorder="1" applyAlignment="1">
      <x:alignment horizontal="center" vertical="top" wrapText="1"/>
    </x:xf>
    <x:xf numFmtId="0" fontId="0" fillId="54" borderId="0" xfId="0" applyNumberFormat="1" applyFont="1" applyFill="1" applyBorder="1"/>
    <x:xf numFmtId="0" fontId="2" fillId="54" borderId="0" xfId="0" applyNumberFormat="1" applyFont="1" applyFill="1" applyBorder="1"/>
    <x:xf numFmtId="0" fontId="2" fillId="54" borderId="0" xfId="0" applyNumberFormat="1" applyFont="1" applyFill="1" applyBorder="1" applyAlignment="1">
      <x:alignment horizontal="left"/>
    </x:xf>
    <x:xf numFmtId="0" fontId="2" fillId="54" borderId="0" xfId="0" applyNumberFormat="1" applyFont="1" applyFill="1" applyBorder="1" applyAlignment="1">
      <x:alignment horizontal="left" vertical="center"/>
    </x:xf>
    <x:xf numFmtId="0" fontId="0" fillId="55" borderId="0" xfId="0" applyNumberFormat="1" applyFont="1" applyFill="1" applyBorder="1"/>
    <x:xf numFmtId="0" fontId="45" fillId="55" borderId="0" xfId="0" applyNumberFormat="1" applyFont="1" applyFill="1" applyBorder="1"/>
    <x:xf numFmtId="0" fontId="45" fillId="55" borderId="0" xfId="0" applyNumberFormat="1" applyFont="1" applyFill="1" applyBorder="1" applyAlignment="1">
      <x:alignment wrapText="1"/>
    </x:xf>
    <x:xf numFmtId="0" fontId="45" fillId="55" borderId="0" xfId="0" applyNumberFormat="1" applyFont="1" applyFill="1" applyBorder="1" applyAlignment="1">
      <x:alignment vertical="center" wrapText="1"/>
    </x:xf>
    <x:xf numFmtId="0" fontId="0" fillId="56" borderId="0" xfId="0" applyNumberFormat="1" applyFont="1" applyFill="1" applyBorder="1"/>
    <x:xf numFmtId="0" fontId="50" fillId="56" borderId="0" xfId="0" applyNumberFormat="1" applyFont="1" applyFill="1" applyBorder="1"/>
    <x:xf numFmtId="0" fontId="50" fillId="56" borderId="0" xfId="0" applyNumberFormat="1" applyFont="1" applyFill="1" applyBorder="1" applyAlignment="1">
      <x:alignment wrapText="1"/>
    </x:xf>
    <x:xf numFmtId="0" fontId="50" fillId="56" borderId="0" xfId="0" applyNumberFormat="1" applyFont="1" applyFill="1" applyBorder="1" applyAlignment="1">
      <x:alignment horizontal="center" wrapText="1"/>
    </x:xf>
    <x:xf numFmtId="0" fontId="50" fillId="56" borderId="0" xfId="0" applyNumberFormat="1" applyFont="1" applyFill="1" applyBorder="1" applyAlignment="1">
      <x:alignment horizontal="center" vertical="center" wrapText="1"/>
    </x:xf>
    <x:xf numFmtId="0" fontId="0" fillId="57" borderId="0" xfId="0" applyNumberFormat="1" applyFont="1" applyFill="1" applyBorder="1"/>
    <x:xf numFmtId="0" fontId="47" fillId="57" borderId="0" xfId="0" applyNumberFormat="1" applyFont="1" applyFill="1" applyBorder="1"/>
    <x:xf numFmtId="0" fontId="47" fillId="57" borderId="0" xfId="0" applyNumberFormat="1" applyFont="1" applyFill="1" applyBorder="1" applyAlignment="1">
      <x:alignment horizontal="center"/>
    </x:xf>
    <x:xf numFmtId="0" fontId="47" fillId="57" borderId="0" xfId="0" applyNumberFormat="1" applyFont="1" applyFill="1" applyBorder="1" applyAlignment="1">
      <x:alignment horizontal="center" vertical="center"/>
    </x:xf>
    <x:xf numFmtId="0" fontId="50" fillId="56" borderId="74" xfId="0" applyNumberFormat="1" applyFont="1" applyFill="1" applyBorder="1"/>
    <x:xf numFmtId="0" fontId="50" fillId="56" borderId="74" xfId="0" applyNumberFormat="1" applyFont="1" applyFill="1" applyBorder="1" applyAlignment="1">
      <x:alignment wrapText="1"/>
    </x:xf>
    <x:xf numFmtId="0" fontId="50" fillId="56" borderId="74" xfId="0" applyNumberFormat="1" applyFont="1" applyFill="1" applyBorder="1" applyAlignment="1">
      <x:alignment horizontal="center" wrapText="1"/>
    </x:xf>
    <x:xf numFmtId="0" fontId="50" fillId="56" borderId="74" xfId="0" applyNumberFormat="1" applyFont="1" applyFill="1" applyBorder="1" applyAlignment="1">
      <x:alignment horizontal="center" vertical="center" wrapText="1"/>
    </x:xf>
    <x:xf numFmtId="0" fontId="51" fillId="0" borderId="0" xfId="0" applyNumberFormat="1" applyFont="1" applyFill="1" applyBorder="1"/>
    <x:xf numFmtId="0" fontId="51" fillId="0" xfId="0" applyNumberFormat="1" applyFont="1" applyFill="1" applyBorder="0"/>
    <x:xf numFmtId="0" fontId="51" fillId="0" borderId="71" xfId="0" applyNumberFormat="1" applyFont="1" applyFill="1" applyBorder="1"/>
    <x:xf numFmtId="0" fontId="51" fillId="0" xfId="0" applyNumberFormat="1" applyFont="1" applyFill="1" applyBorder="0" applyAlignment="1">
      <x:alignment wrapText="1"/>
    </x:xf>
    <x:xf numFmtId="0" fontId="51" fillId="0" borderId="71" xfId="0" applyNumberFormat="1" applyFont="1" applyFill="1" applyBorder="1" applyAlignment="1">
      <x:alignment wrapText="1"/>
    </x:xf>
    <x:xf numFmtId="0" fontId="51" fillId="0" xfId="0" applyNumberFormat="1" applyFont="1" applyFill="1" applyBorder="0" applyAlignment="1">
      <x:alignment vertical="top" wrapText="1"/>
    </x:xf>
    <x:xf numFmtId="0" fontId="51" fillId="0" borderId="71" xfId="0" applyNumberFormat="1" applyFont="1" applyFill="1" applyBorder="1" applyAlignment="1">
      <x:alignment vertical="top" wrapText="1"/>
    </x:xf>
    <x:xf numFmtId="0" fontId="51" fillId="0" xfId="0" applyNumberFormat="1" applyFont="1" applyFill="1" applyBorder="0" applyAlignment="1">
      <x:alignment horizontal="center" vertical="top" wrapText="1"/>
    </x:xf>
    <x:xf numFmtId="0" fontId="51" fillId="0" borderId="71" xfId="0" applyNumberFormat="1" applyFont="1" applyFill="1" applyBorder="1" applyAlignment="1">
      <x:alignment horizontal="center" vertical="top" wrapText="1"/>
    </x:xf>
    <x:xf numFmtId="0" fontId="2" fillId="54" borderId="0" xfId="0" applyNumberFormat="1" applyFont="1" applyFill="1" applyBorder="1" applyAlignment="1">
      <x:alignment vertical="center"/>
    </x:xf>
    <x:xf numFmtId="0" fontId="50" fillId="56" borderId="0" xfId="0" applyNumberFormat="1" applyFont="1" applyFill="1" applyBorder="1" applyAlignment="1">
      <x:alignment horizontal="center"/>
    </x:xf>
    <x:xf numFmtId="0" fontId="50" fillId="56" borderId="0" xfId="0" applyNumberFormat="1" applyFont="1" applyFill="1" applyBorder="1" applyAlignment="1">
      <x:alignment horizontal="center" vertical="center"/>
    </x:xf>
    <x:xf numFmtId="0" fontId="38" fillId="58" borderId="0" xfId="0" applyNumberFormat="1" applyFont="1" applyFill="1" applyBorder="1" applyAlignment="1">
      <x:alignment horizontal="center" vertical="center"/>
    </x:xf>
    <x:xf numFmtId="0" fontId="30" fillId="58" borderId="0" xfId="0" applyNumberFormat="1" applyFont="1" applyFill="1" applyBorder="1" applyAlignment="1">
      <x:alignment vertical="center" wrapText="1"/>
    </x:xf>
    <x:xf numFmtId="0" fontId="0" fillId="58" borderId="0" xfId="0" applyNumberFormat="1" applyFont="1" applyFill="1" applyBorder="1"/>
    <x:xf numFmtId="0" fontId="39" fillId="58" borderId="50" xfId="0" applyNumberFormat="1" applyFont="1" applyFill="1" applyBorder="1" applyAlignment="1">
      <x:alignment horizontal="center" vertical="center" wrapText="1"/>
    </x:xf>
    <x:xf numFmtId="0" fontId="39" fillId="58" borderId="52" xfId="0" applyNumberFormat="1" applyFont="1" applyFill="1" applyBorder="1" applyAlignment="1">
      <x:alignment horizontal="center" vertical="center" wrapText="1"/>
    </x:xf>
    <x:xf numFmtId="0" fontId="41" fillId="58" borderId="50" xfId="0" applyNumberFormat="1" applyFont="1" applyFill="1" applyBorder="1" applyAlignment="1">
      <x:alignment horizontal="center" vertical="center" wrapText="1"/>
    </x:xf>
    <x:xf numFmtId="0" fontId="41" fillId="58" borderId="52" xfId="0" applyNumberFormat="1" applyFont="1" applyFill="1" applyBorder="1" applyAlignment="1">
      <x:alignment horizontal="center" vertical="center" wrapText="1"/>
    </x:xf>
    <x:xf numFmtId="0" fontId="40" fillId="58" borderId="58" xfId="0" applyNumberFormat="1" applyFont="1" applyFill="1" applyBorder="1" applyAlignment="1">
      <x:alignment horizontal="center" vertical="center" wrapText="1"/>
    </x:xf>
    <x:xf numFmtId="0" fontId="39" fillId="58" borderId="59" xfId="0" applyNumberFormat="1" applyFont="1" applyFill="1" applyBorder="1" applyAlignment="1">
      <x:alignment horizontal="center" vertical="center" wrapText="1"/>
    </x:xf>
    <x:xf numFmtId="0" fontId="42" fillId="58" borderId="58" xfId="0" applyNumberFormat="1" applyFont="1" applyFill="1" applyBorder="1" applyAlignment="1">
      <x:alignment horizontal="center" vertical="center" wrapText="1"/>
    </x:xf>
    <x:xf numFmtId="0" fontId="41" fillId="58" borderId="59" xfId="0" applyNumberFormat="1" applyFont="1" applyFill="1" applyBorder="1" applyAlignment="1">
      <x:alignment horizontal="center" vertical="center" wrapText="1"/>
    </x:xf>
    <x:xf numFmtId="0" fontId="1" fillId="58" borderId="0" xfId="0" applyNumberFormat="1" applyFont="1" applyFill="1" applyBorder="1" applyAlignment="1">
      <x:alignment horizontal="center" vertical="center" wrapText="1"/>
    </x:xf>
    <x:xf numFmtId="0" fontId="43" fillId="58" borderId="59" xfId="0" applyNumberFormat="1" applyFont="1" applyFill="1" applyBorder="1" applyAlignment="1">
      <x:alignment vertical="top" wrapText="1"/>
    </x:xf>
    <x:xf numFmtId="0" fontId="43" fillId="58" borderId="60" xfId="0" applyNumberFormat="1" applyFont="1" applyFill="1" applyBorder="1" applyAlignment="1">
      <x:alignment vertical="top" wrapText="1"/>
    </x:xf>
    <x:xf numFmtId="0" fontId="43" fillId="58" borderId="58" xfId="0" applyNumberFormat="1" applyFont="1" applyFill="1" applyBorder="1" applyAlignment="1">
      <x:alignment vertical="top" wrapText="1"/>
    </x:xf>
    <x:xf numFmtId="0" fontId="43" fillId="58" borderId="61" xfId="0" applyNumberFormat="1" applyFont="1" applyFill="1" applyBorder="1" applyAlignment="1">
      <x:alignment vertical="top" wrapText="1"/>
    </x:xf>
    <x:xf numFmtId="0" fontId="43" fillId="58" borderId="62" xfId="0" applyNumberFormat="1" applyFont="1" applyFill="1" applyBorder="1" applyAlignment="1">
      <x:alignment vertical="top" wrapText="1"/>
    </x:xf>
    <x:xf numFmtId="0" fontId="43" fillId="58" borderId="63" xfId="0" applyNumberFormat="1" applyFont="1" applyFill="1" applyBorder="1" applyAlignment="1">
      <x:alignment vertical="top" wrapText="1"/>
    </x:xf>
    <x:xf numFmtId="0" fontId="43" fillId="58" borderId="52" xfId="0" applyNumberFormat="1" applyFont="1" applyFill="1" applyBorder="1" applyAlignment="1">
      <x:alignment vertical="top" wrapText="1"/>
    </x:xf>
    <x:xf numFmtId="0" fontId="43" fillId="58" borderId="64" xfId="0" applyNumberFormat="1" applyFont="1" applyFill="1" applyBorder="1" applyAlignment="1">
      <x:alignment vertical="top" wrapText="1"/>
    </x:xf>
    <x:xf numFmtId="0" fontId="43" fillId="58" borderId="50" xfId="0" applyNumberFormat="1" applyFont="1" applyFill="1" applyBorder="1" applyAlignment="1">
      <x:alignment vertical="top" wrapText="1"/>
    </x:xf>
    <x:xf numFmtId="0" fontId="44" fillId="58" borderId="0" xfId="0" applyNumberFormat="1" applyFont="1" applyFill="1" applyBorder="1" applyAlignment="1">
      <x:alignment horizontal="center" vertical="center"/>
    </x:xf>
    <x:xf numFmtId="0" fontId="45" fillId="58" borderId="0" xfId="0" applyNumberFormat="1" applyFont="1" applyFill="1" applyBorder="1" applyAlignment="1">
      <x:alignment vertical="center" wrapText="1"/>
    </x:xf>
    <x:xf numFmtId="0" fontId="35" fillId="58" borderId="0" xfId="0" applyNumberFormat="1" applyFont="1" applyFill="1" applyBorder="1" applyAlignment="1">
      <x:alignment horizontal="center" vertical="center"/>
    </x:xf>
    <x:xf numFmtId="0" fontId="36" fillId="58" borderId="0" xfId="0" applyNumberFormat="1" applyFont="1" applyFill="1" applyBorder="1" applyAlignment="1">
      <x:alignment vertical="center" wrapText="1"/>
    </x:xf>
    <x:xf numFmtId="0" fontId="34" fillId="58" borderId="0" xfId="0" applyNumberFormat="1" applyFont="1" applyFill="1" applyBorder="1"/>
    <x:xf numFmtId="0" fontId="35" fillId="58" borderId="50" xfId="0" applyNumberFormat="1" applyFont="1" applyFill="1" applyBorder="1" applyAlignment="1">
      <x:alignment horizontal="center" vertical="center" wrapText="1"/>
    </x:xf>
    <x:xf numFmtId="0" fontId="35" fillId="58" borderId="52" xfId="0" applyNumberFormat="1" applyFont="1" applyFill="1" applyBorder="1" applyAlignment="1">
      <x:alignment horizontal="center" vertical="center" wrapText="1"/>
    </x:xf>
    <x:xf numFmtId="0" fontId="35" fillId="58" borderId="58" xfId="0" applyNumberFormat="1" applyFont="1" applyFill="1" applyBorder="1" applyAlignment="1">
      <x:alignment horizontal="center" vertical="center" wrapText="1"/>
    </x:xf>
    <x:xf numFmtId="0" fontId="35" fillId="58" borderId="59" xfId="0" applyNumberFormat="1" applyFont="1" applyFill="1" applyBorder="1" applyAlignment="1">
      <x:alignment horizontal="center" vertical="center" wrapText="1"/>
    </x:xf>
    <x:xf numFmtId="0" fontId="35" fillId="58" borderId="0" xfId="0" applyNumberFormat="1" applyFont="1" applyFill="1" applyBorder="1" applyAlignment="1">
      <x:alignment horizontal="center" vertical="center" wrapText="1"/>
    </x:xf>
    <x:xf numFmtId="0" fontId="34" fillId="58" borderId="59" xfId="0" applyNumberFormat="1" applyFont="1" applyFill="1" applyBorder="1" applyAlignment="1">
      <x:alignment vertical="top" wrapText="1"/>
    </x:xf>
    <x:xf numFmtId="0" fontId="34" fillId="58" borderId="60" xfId="0" applyNumberFormat="1" applyFont="1" applyFill="1" applyBorder="1" applyAlignment="1">
      <x:alignment vertical="top" wrapText="1"/>
    </x:xf>
    <x:xf numFmtId="0" fontId="34" fillId="58" borderId="58" xfId="0" applyNumberFormat="1" applyFont="1" applyFill="1" applyBorder="1" applyAlignment="1">
      <x:alignment vertical="top" wrapText="1"/>
    </x:xf>
    <x:xf numFmtId="0" fontId="34" fillId="58" borderId="61" xfId="0" applyNumberFormat="1" applyFont="1" applyFill="1" applyBorder="1" applyAlignment="1">
      <x:alignment vertical="top" wrapText="1"/>
    </x:xf>
    <x:xf numFmtId="0" fontId="34" fillId="58" borderId="62" xfId="0" applyNumberFormat="1" applyFont="1" applyFill="1" applyBorder="1" applyAlignment="1">
      <x:alignment vertical="top" wrapText="1"/>
    </x:xf>
    <x:xf numFmtId="0" fontId="34" fillId="58" borderId="63" xfId="0" applyNumberFormat="1" applyFont="1" applyFill="1" applyBorder="1" applyAlignment="1">
      <x:alignment vertical="top" wrapText="1"/>
    </x:xf>
    <x:xf numFmtId="0" fontId="34" fillId="58" borderId="52" xfId="0" applyNumberFormat="1" applyFont="1" applyFill="1" applyBorder="1" applyAlignment="1">
      <x:alignment vertical="top" wrapText="1"/>
    </x:xf>
    <x:xf numFmtId="0" fontId="34" fillId="58" borderId="64" xfId="0" applyNumberFormat="1" applyFont="1" applyFill="1" applyBorder="1" applyAlignment="1">
      <x:alignment vertical="top" wrapText="1"/>
    </x:xf>
    <x:xf numFmtId="0" fontId="34" fillId="58" borderId="50" xfId="0" applyNumberFormat="1" applyFont="1" applyFill="1" applyBorder="1" applyAlignment="1">
      <x:alignment vertical="top" wrapText="1"/>
    </x:xf>
    <x:xf numFmtId="0" fontId="34" fillId="58" borderId="0" xfId="0" applyNumberFormat="1" applyFont="1" applyFill="1" applyBorder="1" applyAlignment="1">
      <x:alignment wrapText="1"/>
    </x:xf>
    <x:xf numFmtId="0" fontId="34" fillId="58" borderId="0" xfId="0" applyNumberFormat="1" applyFont="1" applyFill="1" applyBorder="1" applyAlignment="1">
      <x:alignment vertical="center" wrapText="1"/>
    </x:xf>
    <x:xf numFmtId="0" fontId="34" fillId="58" borderId="59" xfId="0" applyNumberFormat="1" applyFont="1" applyFill="1" applyBorder="1" applyAlignment="1">
      <x:alignment vertical="center" wrapText="1"/>
    </x:xf>
    <x:xf numFmtId="0" fontId="34" fillId="58" borderId="60" xfId="0" applyNumberFormat="1" applyFont="1" applyFill="1" applyBorder="1" applyAlignment="1">
      <x:alignment vertical="center" wrapText="1"/>
    </x:xf>
    <x:xf numFmtId="0" fontId="34" fillId="58" borderId="58" xfId="0" applyNumberFormat="1" applyFont="1" applyFill="1" applyBorder="1" applyAlignment="1">
      <x:alignment vertical="center" wrapText="1"/>
    </x:xf>
    <x:xf numFmtId="0" fontId="34" fillId="58" borderId="61" xfId="0" applyNumberFormat="1" applyFont="1" applyFill="1" applyBorder="1" applyAlignment="1">
      <x:alignment vertical="center" wrapText="1"/>
    </x:xf>
    <x:xf numFmtId="0" fontId="34" fillId="58" borderId="62" xfId="0" applyNumberFormat="1" applyFont="1" applyFill="1" applyBorder="1" applyAlignment="1">
      <x:alignment vertical="center" wrapText="1"/>
    </x:xf>
    <x:xf numFmtId="0" fontId="34" fillId="58" borderId="63" xfId="0" applyNumberFormat="1" applyFont="1" applyFill="1" applyBorder="1" applyAlignment="1">
      <x:alignment vertical="center" wrapText="1"/>
    </x:xf>
    <x:xf numFmtId="0" fontId="34" fillId="58" borderId="52" xfId="0" applyNumberFormat="1" applyFont="1" applyFill="1" applyBorder="1" applyAlignment="1">
      <x:alignment vertical="center" wrapText="1"/>
    </x:xf>
    <x:xf numFmtId="0" fontId="34" fillId="58" borderId="64" xfId="0" applyNumberFormat="1" applyFont="1" applyFill="1" applyBorder="1" applyAlignment="1">
      <x:alignment vertical="center" wrapText="1"/>
    </x:xf>
    <x:xf numFmtId="0" fontId="34" fillId="58" borderId="50" xfId="0" applyNumberFormat="1" applyFont="1" applyFill="1" applyBorder="1" applyAlignment="1">
      <x:alignment vertical="center" wrapText="1"/>
    </x:xf>
    <x:xf numFmtId="0" fontId="35" fillId="59" borderId="0" xfId="0" applyNumberFormat="1" applyFont="1" applyFill="1" applyBorder="1" applyAlignment="1">
      <x:alignment horizontal="center" vertical="center" wrapText="1"/>
    </x:xf>
    <x:xf numFmtId="0" fontId="52" fillId="59" borderId="0" xfId="0" applyNumberFormat="1" applyFont="1" applyFill="1" applyBorder="1" applyAlignment="1">
      <x:alignment horizontal="center" vertical="center" wrapText="1"/>
    </x:xf>
    <x:xf numFmtId="0" fontId="52" fillId="59" borderId="0" xfId="0" applyNumberFormat="1" applyFont="1" applyFill="1" applyBorder="1" applyAlignment="1">
      <x:alignment horizontal="left" vertical="center" wrapText="1"/>
    </x:xf>
    <x:xf numFmtId="0" fontId="36" fillId="60" borderId="0" xfId="0" applyNumberFormat="1" applyFont="1" applyFill="1" applyBorder="1" applyAlignment="1">
      <x:alignment vertical="center" wrapText="1"/>
    </x:xf>
    <x:xf numFmtId="0" fontId="35" fillId="61" borderId="50" xfId="0" applyNumberFormat="1" applyFont="1" applyFill="1" applyBorder="1" applyAlignment="1">
      <x:alignment horizontal="center" vertical="center" wrapText="1"/>
    </x:xf>
    <x:xf numFmtId="0" fontId="35" fillId="61" borderId="52" xfId="0" applyNumberFormat="1" applyFont="1" applyFill="1" applyBorder="1" applyAlignment="1">
      <x:alignment horizontal="center" vertical="center" wrapText="1"/>
    </x:xf>
    <x:xf numFmtId="0" fontId="7" fillId="61" borderId="50" xfId="0" applyNumberFormat="1" applyFont="1" applyFill="1" applyBorder="1" applyAlignment="1">
      <x:alignment horizontal="center" vertical="center" wrapText="1"/>
    </x:xf>
    <x:xf numFmtId="0" fontId="7" fillId="61" borderId="52" xfId="0" applyNumberFormat="1" applyFont="1" applyFill="1" applyBorder="1" applyAlignment="1">
      <x:alignment horizontal="center" vertical="center" wrapText="1"/>
    </x:xf>
    <x:xf numFmtId="0" fontId="35" fillId="62" borderId="58" xfId="0" applyNumberFormat="1" applyFont="1" applyFill="1" applyBorder="1" applyAlignment="1">
      <x:alignment horizontal="center" vertical="center" wrapText="1"/>
    </x:xf>
    <x:xf numFmtId="0" fontId="35" fillId="62" borderId="59" xfId="0" applyNumberFormat="1" applyFont="1" applyFill="1" applyBorder="1" applyAlignment="1">
      <x:alignment horizontal="center" vertical="center" wrapText="1"/>
    </x:xf>
    <x:xf numFmtId="0" fontId="53" fillId="62" borderId="58" xfId="0" applyNumberFormat="1" applyFont="1" applyFill="1" applyBorder="1" applyAlignment="1">
      <x:alignment horizontal="center" vertical="center" wrapText="1"/>
    </x:xf>
    <x:xf numFmtId="0" fontId="53" fillId="62" borderId="59" xfId="0" applyNumberFormat="1" applyFont="1" applyFill="1" applyBorder="1" applyAlignment="1">
      <x:alignment horizontal="center" vertical="center" wrapText="1"/>
    </x:xf>
    <x:xf numFmtId="0" fontId="35" fillId="61" borderId="0" xfId="0" applyNumberFormat="1" applyFont="1" applyFill="1" applyBorder="1" applyAlignment="1">
      <x:alignment horizontal="center" vertical="center" wrapText="1"/>
    </x:xf>
    <x:xf numFmtId="0" fontId="34" fillId="61" borderId="0" xfId="0" applyNumberFormat="1" applyFont="1" applyFill="1" applyBorder="1" applyAlignment="1">
      <x:alignment vertical="center" wrapText="1"/>
    </x:xf>
    <x:xf numFmtId="0" fontId="54" fillId="61" borderId="0" xfId="0" applyNumberFormat="1" applyFont="1" applyFill="1" applyBorder="1" applyAlignment="1">
      <x:alignment horizontal="center" vertical="center" wrapText="1"/>
    </x:xf>
    <x:xf numFmtId="0" fontId="54" fillId="61" borderId="0" xfId="0" applyNumberFormat="1" applyFont="1" applyFill="1" applyBorder="1" applyAlignment="1">
      <x:alignment vertical="center" wrapText="1"/>
    </x:xf>
    <x:xf numFmtId="0" fontId="34" fillId="58" borderId="75" xfId="0" applyNumberFormat="1" applyFont="1" applyFill="1" applyBorder="1" applyAlignment="1">
      <x:alignment vertical="center" wrapText="1"/>
    </x:xf>
    <x:xf numFmtId="0" fontId="34" fillId="58" borderId="76" xfId="0" applyNumberFormat="1" applyFont="1" applyFill="1" applyBorder="1" applyAlignment="1">
      <x:alignment vertical="center" wrapText="1"/>
    </x:xf>
    <x:xf numFmtId="0" fontId="34" fillId="58" borderId="77" xfId="0" applyNumberFormat="1" applyFont="1" applyFill="1" applyBorder="1" applyAlignment="1">
      <x:alignment vertical="center" wrapText="1"/>
    </x:xf>
    <x:xf numFmtId="0" fontId="34" fillId="58" borderId="78" xfId="0" applyNumberFormat="1" applyFont="1" applyFill="1" applyBorder="1" applyAlignment="1">
      <x:alignment vertical="center" wrapText="1"/>
    </x:xf>
    <x:xf numFmtId="0" fontId="34" fillId="58" borderId="79" xfId="0" applyNumberFormat="1" applyFont="1" applyFill="1" applyBorder="1" applyAlignment="1">
      <x:alignment vertical="center" wrapText="1"/>
    </x:xf>
    <x:xf numFmtId="0" fontId="34" fillId="58" borderId="80" xfId="0" applyNumberFormat="1" applyFont="1" applyFill="1" applyBorder="1" applyAlignment="1">
      <x:alignment vertical="center" wrapText="1"/>
    </x:xf>
    <x:xf numFmtId="0" fontId="34" fillId="58" borderId="81" xfId="0" applyNumberFormat="1" applyFont="1" applyFill="1" applyBorder="1" applyAlignment="1">
      <x:alignment vertical="center" wrapText="1"/>
    </x:xf>
    <x:xf numFmtId="0" fontId="34" fillId="58" xfId="0" applyNumberFormat="1" applyFont="1" applyFill="1" applyBorder="0" applyAlignment="1">
      <x:alignment vertical="center" wrapText="1"/>
    </x:xf>
    <x:xf numFmtId="0" fontId="34" fillId="58" borderId="82" xfId="0" applyNumberFormat="1" applyFont="1" applyFill="1" applyBorder="1" applyAlignment="1">
      <x:alignment vertical="center" wrapText="1"/>
    </x:xf>
    <x:xf numFmtId="0" fontId="34" fillId="58" borderId="83" xfId="0" applyNumberFormat="1" applyFont="1" applyFill="1" applyBorder="1" applyAlignment="1">
      <x:alignment vertical="center" wrapText="1"/>
    </x:xf>
    <x:xf numFmtId="0" fontId="34" fillId="58" borderId="84" xfId="0" applyNumberFormat="1" applyFont="1" applyFill="1" applyBorder="1" applyAlignment="1">
      <x:alignment vertical="center" wrapText="1"/>
    </x:xf>
    <x:xf numFmtId="0" fontId="34" fillId="58" borderId="85" xfId="0" applyNumberFormat="1" applyFont="1" applyFill="1" applyBorder="1" applyAlignment="1">
      <x:alignment vertical="center" wrapText="1"/>
    </x:xf>
    <x:xf numFmtId="0" fontId="34" fillId="58" borderId="86" xfId="0" applyNumberFormat="1" applyFont="1" applyFill="1" applyBorder="1" applyAlignment="1">
      <x:alignment vertical="center" wrapText="1"/>
    </x:xf>
    <x:xf numFmtId="0" fontId="34" fillId="58" borderId="87" xfId="0" applyNumberFormat="1" applyFont="1" applyFill="1" applyBorder="1" applyAlignment="1">
      <x:alignment vertical="center" wrapText="1"/>
    </x:xf>
    <x:xf numFmtId="0" fontId="34" fillId="58" borderId="88" xfId="0" applyNumberFormat="1" applyFont="1" applyFill="1" applyBorder="1" applyAlignment="1">
      <x:alignment vertical="center" wrapText="1"/>
    </x:xf>
    <x:xf numFmtId="0" fontId="34" fillId="63" borderId="76" xfId="0" applyNumberFormat="1" applyFont="1" applyFill="1" applyBorder="1" applyAlignment="1">
      <x:alignment vertical="center" wrapText="1"/>
    </x:xf>
    <x:xf numFmtId="0" fontId="34" fillId="63" borderId="62" xfId="0" applyNumberFormat="1" applyFont="1" applyFill="1" applyBorder="1" applyAlignment="1">
      <x:alignment vertical="center" wrapText="1"/>
    </x:xf>
    <x:xf numFmtId="0" fontId="34" fillId="63" borderId="64" xfId="0" applyNumberFormat="1" applyFont="1" applyFill="1" applyBorder="1" applyAlignment="1">
      <x:alignment vertical="center" wrapText="1"/>
    </x:xf>
    <x:xf numFmtId="0" fontId="34" fillId="63" borderId="85" xfId="0" applyNumberFormat="1" applyFont="1" applyFill="1" applyBorder="1" applyAlignment="1">
      <x:alignment vertical="center" wrapText="1"/>
    </x:xf>
    <x:xf numFmtId="0" fontId="55" fillId="63" borderId="76" xfId="0" applyNumberFormat="1" applyFont="1" applyFill="1" applyBorder="1" applyAlignment="1">
      <x:alignment vertical="center" wrapText="1"/>
    </x:xf>
    <x:xf numFmtId="0" fontId="55" fillId="63" borderId="62" xfId="0" applyNumberFormat="1" applyFont="1" applyFill="1" applyBorder="1" applyAlignment="1">
      <x:alignment vertical="center" wrapText="1"/>
    </x:xf>
    <x:xf numFmtId="0" fontId="55" fillId="63" borderId="64" xfId="0" applyNumberFormat="1" applyFont="1" applyFill="1" applyBorder="1" applyAlignment="1">
      <x:alignment vertical="center" wrapText="1"/>
    </x:xf>
    <x:xf numFmtId="0" fontId="55" fillId="63" borderId="85" xfId="0" applyNumberFormat="1" applyFont="1" applyFill="1" applyBorder="1" applyAlignment="1">
      <x:alignment vertical="center" wrapText="1"/>
    </x:xf>
    <x:xf numFmtId="0" fontId="34" fillId="63" borderId="87" xfId="0" applyNumberFormat="1" applyFont="1" applyFill="1" applyBorder="1" applyAlignment="1">
      <x:alignment vertical="center" wrapText="1"/>
    </x:xf>
    <x:xf numFmtId="0" fontId="55" fillId="63" borderId="87" xfId="0" applyNumberFormat="1" applyFont="1" applyFill="1" applyBorder="1" applyAlignment="1">
      <x:alignment vertical="center" wrapText="1"/>
    </x:xf>
    <x:xf numFmtId="0" fontId="35" fillId="63" borderId="0" xfId="0" applyNumberFormat="1" applyFont="1" applyFill="1" applyBorder="1" applyAlignment="1">
      <x:alignment horizontal="center" vertical="center" wrapText="1"/>
    </x:xf>
    <x:xf numFmtId="0" fontId="56" fillId="63" borderId="0" xfId="0" applyNumberFormat="1" applyFont="1" applyFill="1" applyBorder="1" applyAlignment="1">
      <x:alignment horizontal="center" vertical="center" wrapText="1"/>
    </x:xf>
    <x:xf numFmtId="0" fontId="36" fillId="64" borderId="0" xfId="0" applyNumberFormat="1" applyFont="1" applyFill="1" applyBorder="1" applyAlignment="1">
      <x:alignment vertical="center" wrapText="1"/>
    </x:xf>
    <x:xf numFmtId="0" fontId="57" fillId="64" borderId="0" xfId="0" applyNumberFormat="1" applyFont="1" applyFill="1" applyBorder="1" applyAlignment="1">
      <x:alignment vertical="center" wrapText="1"/>
    </x:xf>
    <x:xf numFmtId="0" fontId="0" fillId="60" borderId="0" xfId="0" applyNumberFormat="1" applyFont="1" applyFill="1" applyBorder="1" applyAlignment="1">
      <x:alignment vertical="top"/>
    </x:xf>
    <x:xf numFmtId="0" fontId="45" fillId="60" borderId="0" xfId="0" applyNumberFormat="1" applyFont="1" applyFill="1" applyBorder="1" applyAlignment="1">
      <x:alignment vertical="top"/>
    </x:xf>
    <x:xf numFmtId="0" fontId="45" fillId="60" borderId="0" xfId="0" applyNumberFormat="1" applyFont="1" applyFill="1" applyBorder="1" applyAlignment="1">
      <x:alignment vertical="top" wrapText="1"/>
    </x:xf>
    <x:xf numFmtId="0" fontId="45" fillId="60" borderId="0" xfId="0" applyNumberFormat="1" applyFont="1" applyFill="1" applyBorder="1" applyAlignment="1">
      <x:alignment vertical="center" wrapText="1"/>
    </x:xf>
    <x:xf numFmtId="0" fontId="0" fillId="60" borderId="0" xfId="0" applyNumberFormat="1" applyFont="1" applyFill="1" applyBorder="1" applyAlignment="1">
      <x:alignment vertical="top" wrapText="1"/>
    </x:xf>
    <x:xf numFmtId="0" fontId="45" fillId="60" borderId="0" xfId="0" applyNumberFormat="1" applyFont="1" applyFill="1" applyBorder="1" applyAlignment="1">
      <x:alignment horizontal="center" vertical="top" wrapText="1"/>
    </x:xf>
    <x:xf numFmtId="0" fontId="45" fillId="60" borderId="0" xfId="0" applyNumberFormat="1" applyFont="1" applyFill="1" applyBorder="1" applyAlignment="1">
      <x:alignment horizontal="center" vertical="center" wrapText="1"/>
    </x:xf>
    <x:xf numFmtId="0" fontId="34" fillId="0" borderId="0" xfId="0" applyNumberFormat="1" applyFont="1" applyFill="1" applyBorder="1"/>
    <x:xf numFmtId="0" fontId="34" fillId="0" borderId="0" xfId="0" applyNumberFormat="1" applyFont="1" applyFill="1" applyBorder="1" applyAlignment="1">
      <x:alignment wrapText="1"/>
    </x:xf>
    <x:xf numFmtId="0" fontId="34" fillId="0" borderId="0" xfId="0" applyNumberFormat="1" applyFont="1" applyFill="1" applyBorder="1" applyAlignment="1">
      <x:alignment vertical="center" wrapText="1"/>
    </x:xf>
    <x:xf numFmtId="0" fontId="34" fillId="59" borderId="0" xfId="0" applyNumberFormat="1" applyFont="1" applyFill="1" applyBorder="1" applyAlignment="1">
      <x:alignment vertical="center" wrapText="1"/>
    </x:xf>
    <x:xf numFmtId="0" fontId="58" fillId="59" borderId="0" xfId="0" applyNumberFormat="1" applyFont="1" applyFill="1" applyBorder="1" applyAlignment="1">
      <x:alignment vertical="center" wrapText="1"/>
    </x:xf>
    <x:xf numFmtId="0" fontId="58" fillId="59" borderId="0" xfId="0" applyNumberFormat="1" applyFont="1" applyFill="1" applyBorder="1" applyAlignment="1">
      <x:alignment horizontal="left" vertical="center" wrapText="1"/>
    </x:xf>
    <x:xf numFmtId="0" fontId="34" fillId="60" borderId="0" xfId="0" applyNumberFormat="1" applyFont="1" applyFill="1" applyBorder="1" applyAlignment="1">
      <x:alignment vertical="center" wrapText="1"/>
    </x:xf>
    <x:xf numFmtId="0" fontId="36" fillId="60" borderId="0" xfId="0" applyNumberFormat="1" applyFont="1" applyFill="1" applyBorder="1" applyAlignment="1">
      <x:alignment horizontal="left" vertical="center" wrapText="1"/>
    </x:xf>
    <x:xf numFmtId="0" fontId="34" fillId="62" borderId="0" xfId="0" applyNumberFormat="1" applyFont="1" applyFill="1" applyBorder="1" applyAlignment="1">
      <x:alignment vertical="center" wrapText="1"/>
    </x:xf>
    <x:xf numFmtId="0" fontId="59" fillId="62" borderId="0" xfId="0" applyNumberFormat="1" applyFont="1" applyFill="1" applyBorder="1" applyAlignment="1">
      <x:alignment vertical="center" wrapText="1"/>
    </x:xf>
    <x:xf numFmtId="0" fontId="59" fillId="62" borderId="0" xfId="0" applyNumberFormat="1" applyFont="1" applyFill="1" applyBorder="1" applyAlignment="1">
      <x:alignment horizontal="center" vertical="center" wrapText="1"/>
    </x:xf>
    <x:xf numFmtId="0" fontId="34" fillId="0" borderId="89" xfId="0" applyNumberFormat="1" applyFont="1" applyFill="1" applyBorder="1" applyAlignment="1">
      <x:alignment vertical="center" wrapText="1"/>
    </x:xf>
    <x:xf numFmtId="0" fontId="34" fillId="0" borderId="78" xfId="0" applyNumberFormat="1" applyFont="1" applyFill="1" applyBorder="1" applyAlignment="1">
      <x:alignment vertical="center" wrapText="1"/>
    </x:xf>
    <x:xf numFmtId="0" fontId="34" fillId="0" borderId="90" xfId="0" applyNumberFormat="1" applyFont="1" applyFill="1" applyBorder="1" applyAlignment="1">
      <x:alignment vertical="center" wrapText="1"/>
    </x:xf>
    <x:xf numFmtId="0" fontId="34" fillId="0" borderId="91" xfId="0" applyNumberFormat="1" applyFont="1" applyFill="1" applyBorder="1" applyAlignment="1">
      <x:alignment vertical="center" wrapText="1"/>
    </x:xf>
    <x:xf numFmtId="0" fontId="34" fillId="0" xfId="0" applyNumberFormat="1" applyFont="1" applyFill="1" applyBorder="0" applyAlignment="1">
      <x:alignment vertical="center" wrapText="1"/>
    </x:xf>
    <x:xf numFmtId="0" fontId="34" fillId="0" borderId="92" xfId="0" applyNumberFormat="1" applyFont="1" applyFill="1" applyBorder="1" applyAlignment="1">
      <x:alignment vertical="center" wrapText="1"/>
    </x:xf>
    <x:xf numFmtId="0" fontId="34" fillId="0" borderId="84" xfId="0" applyNumberFormat="1" applyFont="1" applyFill="1" applyBorder="1" applyAlignment="1">
      <x:alignment vertical="center" wrapText="1"/>
    </x:xf>
    <x:xf numFmtId="0" fontId="34" fillId="0" borderId="85" xfId="0" applyNumberFormat="1" applyFont="1" applyFill="1" applyBorder="1" applyAlignment="1">
      <x:alignment vertical="center" wrapText="1"/>
    </x:xf>
    <x:xf numFmtId="0" fontId="34" fillId="0" borderId="93" xfId="0" applyNumberFormat="1" applyFont="1" applyFill="1" applyBorder="1" applyAlignment="1">
      <x:alignment vertical="center" wrapText="1"/>
    </x:xf>
    <x:xf numFmtId="0" fontId="34" fillId="63" borderId="78" xfId="0" applyNumberFormat="1" applyFont="1" applyFill="1" applyBorder="1" applyAlignment="1">
      <x:alignment vertical="center" wrapText="1"/>
    </x:xf>
    <x:xf numFmtId="0" fontId="34" fillId="63" xfId="0" applyNumberFormat="1" applyFont="1" applyFill="1" applyBorder="0" applyAlignment="1">
      <x:alignment vertical="center" wrapText="1"/>
    </x:xf>
    <x:xf numFmtId="0" fontId="55" fillId="63" borderId="78" xfId="0" applyNumberFormat="1" applyFont="1" applyFill="1" applyBorder="1" applyAlignment="1">
      <x:alignment vertical="center" wrapText="1"/>
    </x:xf>
    <x:xf numFmtId="0" fontId="55" fillId="63" xfId="0" applyNumberFormat="1" applyFont="1" applyFill="1" applyBorder="0" applyAlignment="1">
      <x:alignment vertical="center" wrapText="1"/>
    </x:xf>
    <x:xf numFmtId="0" fontId="34" fillId="63" borderId="0" xfId="0" applyNumberFormat="1" applyFont="1" applyFill="1" applyBorder="1" applyAlignment="1">
      <x:alignment vertical="center" wrapText="1"/>
    </x:xf>
    <x:xf numFmtId="0" fontId="56" fillId="63" borderId="0" xfId="0" applyNumberFormat="1" applyFont="1" applyFill="1" applyBorder="1" applyAlignment="1">
      <x:alignment vertical="center" wrapText="1"/>
    </x:xf>
    <x:xf numFmtId="0" fontId="34" fillId="64" borderId="0" xfId="0" applyNumberFormat="1" applyFont="1" applyFill="1" applyBorder="1" applyAlignment="1">
      <x:alignment vertical="center" wrapText="1"/>
    </x:xf>
    <x:xf numFmtId="0" fontId="0" fillId="59" borderId="0" xfId="0" applyNumberFormat="1" applyFont="1" applyFill="1" applyBorder="1"/>
    <x:xf numFmtId="0" fontId="2" fillId="59" borderId="0" xfId="0" applyNumberFormat="1" applyFont="1" applyFill="1" applyBorder="1"/>
    <x:xf numFmtId="0" fontId="2" fillId="59" borderId="0" xfId="0" applyNumberFormat="1" applyFont="1" applyFill="1" applyBorder="1" applyAlignment="1">
      <x:alignment vertical="center"/>
    </x:xf>
    <x:xf numFmtId="0" fontId="0" fillId="60" borderId="0" xfId="0" applyNumberFormat="1" applyFont="1" applyFill="1" applyBorder="1"/>
    <x:xf numFmtId="0" fontId="45" fillId="60" borderId="0" xfId="0" applyNumberFormat="1" applyFont="1" applyFill="1" applyBorder="1"/>
    <x:xf numFmtId="0" fontId="45" fillId="60" borderId="0" xfId="0" applyNumberFormat="1" applyFont="1" applyFill="1" applyBorder="1" applyAlignment="1">
      <x:alignment wrapText="1"/>
    </x:xf>
    <x:xf numFmtId="0" fontId="0" fillId="61" borderId="0" xfId="0" applyNumberFormat="1" applyFont="1" applyFill="1" applyBorder="1"/>
    <x:xf numFmtId="0" fontId="60" fillId="61" borderId="0" xfId="0" applyNumberFormat="1" applyFont="1" applyFill="1" applyBorder="1"/>
    <x:xf numFmtId="0" fontId="60" fillId="61" borderId="0" xfId="0" applyNumberFormat="1" applyFont="1" applyFill="1" applyBorder="1" applyAlignment="1">
      <x:alignment wrapText="1"/>
    </x:xf>
    <x:xf numFmtId="0" fontId="60" fillId="61" borderId="0" xfId="0" applyNumberFormat="1" applyFont="1" applyFill="1" applyBorder="1" applyAlignment="1">
      <x:alignment horizontal="center" wrapText="1"/>
    </x:xf>
    <x:xf numFmtId="0" fontId="60" fillId="61" borderId="0" xfId="0" applyNumberFormat="1" applyFont="1" applyFill="1" applyBorder="1" applyAlignment="1">
      <x:alignment horizontal="center" vertical="center" wrapText="1"/>
    </x:xf>
    <x:xf numFmtId="0" fontId="61" fillId="0" borderId="0" xfId="0" applyNumberFormat="1" applyFont="1" applyFill="1" applyBorder="1"/>
    <x:xf numFmtId="0" fontId="61" fillId="0" xfId="0" applyNumberFormat="1" applyFont="1" applyFill="1" applyBorder="0"/>
    <x:xf numFmtId="0" fontId="61" fillId="0" borderId="71" xfId="0" applyNumberFormat="1" applyFont="1" applyFill="1" applyBorder="1"/>
    <x:xf numFmtId="0" fontId="61" fillId="0" xfId="0" applyNumberFormat="1" applyFont="1" applyFill="1" applyBorder="0" applyAlignment="1">
      <x:alignment wrapText="1"/>
    </x:xf>
    <x:xf numFmtId="0" fontId="61" fillId="0" borderId="71" xfId="0" applyNumberFormat="1" applyFont="1" applyFill="1" applyBorder="1" applyAlignment="1">
      <x:alignment wrapText="1"/>
    </x:xf>
    <x:xf numFmtId="0" fontId="61" fillId="0" xfId="0" applyNumberFormat="1" applyFont="1" applyFill="1" applyBorder="0" applyAlignment="1">
      <x:alignment vertical="top" wrapText="1"/>
    </x:xf>
    <x:xf numFmtId="0" fontId="61" fillId="0" borderId="71" xfId="0" applyNumberFormat="1" applyFont="1" applyFill="1" applyBorder="1" applyAlignment="1">
      <x:alignment vertical="top" wrapText="1"/>
    </x:xf>
    <x:xf numFmtId="0" fontId="61" fillId="0" xfId="0" applyNumberFormat="1" applyFont="1" applyFill="1" applyBorder="0" applyAlignment="1">
      <x:alignment horizontal="center" vertical="top" wrapText="1"/>
    </x:xf>
    <x:xf numFmtId="0" fontId="61" fillId="0" borderId="71" xfId="0" applyNumberFormat="1" applyFont="1" applyFill="1" applyBorder="1" applyAlignment="1">
      <x:alignment horizontal="center" vertical="top" wrapText="1"/>
    </x:xf>
    <x:xf numFmtId="203" fontId="61" fillId="0" xfId="0" applyNumberFormat="1" applyFont="1" applyFill="1" applyBorder="0" applyAlignment="1">
      <x:alignment horizontal="center" vertical="top" wrapText="1"/>
    </x:xf>
    <x:xf numFmtId="203" fontId="61" fillId="0" borderId="71" xfId="0" applyNumberFormat="1" applyFont="1" applyFill="1" applyBorder="1" applyAlignment="1">
      <x:alignment horizontal="center" vertical="top" wrapText="1"/>
    </x:xf>
    <x:xf numFmtId="0" fontId="0" fillId="62" borderId="0" xfId="0" applyNumberFormat="1" applyFont="1" applyFill="1" applyBorder="1"/>
    <x:xf numFmtId="0" fontId="62" fillId="62" borderId="0" xfId="0" applyNumberFormat="1" applyFont="1" applyFill="1" applyBorder="1"/>
    <x:xf numFmtId="0" fontId="62" fillId="62" borderId="0" xfId="0" applyNumberFormat="1" applyFont="1" applyFill="1" applyBorder="1" applyAlignment="1">
      <x:alignment horizontal="center"/>
    </x:xf>
    <x:xf numFmtId="0" fontId="62" fillId="62" borderId="0" xfId="0" applyNumberFormat="1" applyFont="1" applyFill="1" applyBorder="1" applyAlignment="1">
      <x:alignment horizontal="center" vertical="center"/>
    </x:xf>
    <x:xf numFmtId="0" fontId="50" fillId="61" borderId="0" xfId="0" applyNumberFormat="1" applyFont="1" applyFill="1" applyBorder="1"/>
    <x:xf numFmtId="0" fontId="50" fillId="61" borderId="0" xfId="0" applyNumberFormat="1" applyFont="1" applyFill="1" applyBorder="1" applyAlignment="1">
      <x:alignment wrapText="1"/>
    </x:xf>
    <x:xf numFmtId="0" fontId="50" fillId="61" borderId="0" xfId="0" applyNumberFormat="1" applyFont="1" applyFill="1" applyBorder="1" applyAlignment="1">
      <x:alignment horizontal="center" wrapText="1"/>
    </x:xf>
    <x:xf numFmtId="0" fontId="50" fillId="61" borderId="0" xfId="0" applyNumberFormat="1" applyFont="1" applyFill="1" applyBorder="1" applyAlignment="1">
      <x:alignment horizontal="center" vertical="center" wrapText="1"/>
    </x:xf>
    <x:xf numFmtId="0" fontId="63" fillId="62" borderId="0" xfId="0" applyNumberFormat="1" applyFont="1" applyFill="1" applyBorder="1"/>
    <x:xf numFmtId="0" fontId="63" fillId="62" borderId="0" xfId="0" applyNumberFormat="1" applyFont="1" applyFill="1" applyBorder="1" applyAlignment="1">
      <x:alignment horizontal="center"/>
    </x:xf>
    <x:xf numFmtId="0" fontId="63" fillId="62" borderId="0" xfId="0" applyNumberFormat="1" applyFont="1" applyFill="1" applyBorder="1" applyAlignment="1">
      <x:alignment horizontal="center" vertical="center"/>
    </x:xf>
    <x:xf numFmtId="0" fontId="51" fillId="0" xfId="0" applyNumberFormat="1" applyFont="1" applyFill="1" applyBorder="0" applyAlignment="1">
      <x:alignment vertical="center" wrapText="1"/>
    </x:xf>
    <x:xf numFmtId="0" fontId="51" fillId="0" borderId="71" xfId="0" applyNumberFormat="1" applyFont="1" applyFill="1" applyBorder="1" applyAlignment="1">
      <x:alignment vertical="center" wrapText="1"/>
    </x:xf>
    <x:xf numFmtId="0" fontId="1" fillId="61" borderId="0" xfId="0" applyNumberFormat="1" applyFont="1" applyFill="1" applyBorder="1"/>
    <x:xf numFmtId="0" fontId="1" fillId="61" borderId="0" xfId="0" applyNumberFormat="1" applyFont="1" applyFill="1" applyBorder="1" applyAlignment="1">
      <x:alignment vertical="center"/>
    </x:xf>
    <x:xf numFmtId="0" fontId="43" fillId="62" borderId="0" xfId="0" applyNumberFormat="1" applyFont="1" applyFill="1" applyBorder="1"/>
    <x:xf numFmtId="0" fontId="43" fillId="62" xfId="0" applyNumberFormat="1" applyFont="1" applyFill="1" applyBorder="0"/>
    <x:xf numFmtId="0" fontId="43" fillId="62" borderId="71" xfId="0" applyNumberFormat="1" applyFont="1" applyFill="1" applyBorder="1"/>
    <x:xf numFmtId="0" fontId="43" fillId="62" xfId="0" applyNumberFormat="1" applyFont="1" applyFill="1" applyBorder="0" applyAlignment="1">
      <x:alignment wrapText="1"/>
    </x:xf>
    <x:xf numFmtId="0" fontId="43" fillId="62" borderId="71" xfId="0" applyNumberFormat="1" applyFont="1" applyFill="1" applyBorder="1" applyAlignment="1">
      <x:alignment wrapText="1"/>
    </x:xf>
    <x:xf numFmtId="0" fontId="43" fillId="62" xfId="0" applyNumberFormat="1" applyFont="1" applyFill="1" applyBorder="0" applyAlignment="1">
      <x:alignment vertical="center" wrapText="1"/>
    </x:xf>
    <x:xf numFmtId="0" fontId="43" fillId="62" borderId="71" xfId="0" applyNumberFormat="1" applyFont="1" applyFill="1" applyBorder="1" applyAlignment="1">
      <x:alignment vertical="center" wrapText="1"/>
    </x:xf>
    <x:xf numFmtId="0" fontId="0" fillId="65" borderId="0" xfId="0" applyNumberFormat="1" applyFont="1" applyFill="1" applyBorder="1"/>
    <x:xf numFmtId="0" fontId="64" fillId="65" borderId="0" xfId="0" applyNumberFormat="1" applyFont="1" applyFill="1" applyBorder="1"/>
    <x:xf numFmtId="0" fontId="65" fillId="0" borderId="0" xfId="0" applyNumberFormat="1" applyFont="1" applyFill="1" applyBorder="1"/>
    <x:xf numFmtId="0" fontId="65" fillId="0" borderId="0" xfId="0" applyNumberFormat="1" applyFont="1" applyFill="1" applyBorder="1" applyAlignment="1">
      <x:alignment wrapText="1"/>
    </x:xf>
    <x:xf numFmtId="0" fontId="8" fillId="66" borderId="0" xfId="0" applyNumberFormat="1" applyFont="1" applyFill="1" applyBorder="1"/>
    <x:xf numFmtId="0" fontId="0" fillId="66" borderId="0" xfId="0" applyNumberFormat="1" applyFont="1" applyFill="1" applyBorder="1"/>
    <x:xf numFmtId="0" fontId="66" fillId="66" borderId="0" xfId="0" applyNumberFormat="1" applyFont="1" applyFill="1" applyBorder="1"/>
    <x:xf numFmtId="0" fontId="67" fillId="66" borderId="0" xfId="0" applyNumberFormat="1" applyFont="1" applyFill="1" applyBorder="1"/>
    <x:xf numFmtId="0" fontId="66" fillId="66" borderId="0" xfId="0" applyNumberFormat="1" applyFont="1" applyFill="1" applyBorder="1" applyAlignment="1">
      <x:alignment wrapText="1"/>
    </x:xf>
    <x:xf numFmtId="0" fontId="67" fillId="66" borderId="0" xfId="0" applyNumberFormat="1" applyFont="1" applyFill="1" applyBorder="1" applyAlignment="1">
      <x:alignment wrapText="1"/>
    </x:xf>
    <x:xf numFmtId="0" fontId="66" fillId="66" borderId="0" xfId="0" applyNumberFormat="1" applyFont="1" applyFill="1" applyBorder="1" applyAlignment="1">
      <x:alignment vertical="center" wrapText="1"/>
    </x:xf>
    <x:xf numFmtId="0" fontId="67" fillId="66" borderId="0" xfId="0" applyNumberFormat="1" applyFont="1" applyFill="1" applyBorder="1" applyAlignment="1">
      <x:alignment vertical="center" wrapText="1"/>
    </x:xf>
    <x:xf numFmtId="0" fontId="7" fillId="67" borderId="0" xfId="0" applyNumberFormat="1" applyFont="1" applyFill="1" applyBorder="1" applyAlignment="1">
      <x:alignment horizontal="center" vertical="center" wrapText="1"/>
    </x:xf>
  </x:cellXfs>
  <x:cellStyles count="1">
    <x:cellStyle name="Normal" xfId="0"/>
  </x:cellStyles>
  <x:dxfs count="60">
    <x:dxf>
      <x:font>
        <x:b/>
        <x:color rgb="FF9C0006"/>
      </x:font>
      <x:fill>
        <x:patternFill>
          <x:bgColor rgb="FFFCE4D6"/>
        </x:patternFill>
      </x:fill>
    </x:dxf>
    <x:dxf>
      <x:font>
        <x:b/>
        <x:color rgb="FF006100"/>
      </x:font>
      <x:fill>
        <x:patternFill>
          <x:bgColor rgb="FFE2F0D9"/>
        </x:patternFill>
      </x:fill>
    </x:dxf>
    <x:dxf>
      <x:fill>
        <x:patternFill>
          <x:bgColor rgb="FFF4CCCC"/>
        </x:patternFill>
      </x:fill>
    </x:dxf>
    <x:dxf>
      <x:fill>
        <x:patternFill>
          <x:bgColor rgb="FFFFF2CC"/>
        </x:patternFill>
      </x:fill>
    </x:dxf>
    <x:dxf>
      <x:fill>
        <x:patternFill>
          <x:bgColor rgb="FFE2F0D9"/>
        </x:patternFill>
      </x:fill>
    </x:dxf>
    <x:dxf>
      <x:font>
        <x:b/>
        <x:color rgb="FF9C0006"/>
      </x:font>
      <x:fill>
        <x:patternFill>
          <x:bgColor rgb="FFFCE4D6"/>
        </x:patternFill>
      </x:fill>
    </x:dxf>
    <x:dxf>
      <x:font>
        <x:b/>
        <x:color rgb="FF006100"/>
      </x:font>
      <x:fill>
        <x:patternFill>
          <x:bgColor rgb="FFE2F0D9"/>
        </x:patternFill>
      </x:fill>
    </x:dxf>
    <x:dxf>
      <x:font>
        <x:b/>
        <x:color rgb="FF006100"/>
      </x:font>
      <x:fill>
        <x:patternFill>
          <x:bgColor rgb="FFE2F0D9"/>
        </x:patternFill>
      </x:fill>
    </x:dxf>
    <x:dxf>
      <x:font>
        <x:b/>
        <x:color rgb="FF9C0006"/>
      </x:font>
      <x:fill>
        <x:patternFill>
          <x:bgColor rgb="FFFCE4D6"/>
        </x:patternFill>
      </x:fill>
    </x:dxf>
    <x:dxf>
      <x:font>
        <x:color rgb="FF7A5A00"/>
      </x:font>
      <x:fill>
        <x:patternFill>
          <x:bgColor rgb="FFFFF4CC"/>
        </x:patternFill>
      </x:fill>
    </x:dxf>
    <x:dxf>
      <x:font>
        <x:color rgb="FF6B7280"/>
      </x:font>
      <x:fill>
        <x:patternFill>
          <x:bgColor rgb="FFE5E7EB"/>
        </x:patternFill>
      </x:fill>
    </x:dxf>
    <x:dxf>
      <x:font>
        <x:b/>
        <x:color rgb="FF9C0006"/>
      </x:font>
      <x:fill>
        <x:patternFill>
          <x:bgColor rgb="FFF4CCCC"/>
        </x:patternFill>
      </x:fill>
    </x:dxf>
    <x:dxf>
      <x:font>
        <x:b/>
        <x:color rgb="FF7F6000"/>
      </x:font>
      <x:fill>
        <x:patternFill>
          <x:bgColor rgb="FFFFF2CC"/>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color rgb="FF27632A"/>
      </x:font>
      <x:fill>
        <x:patternFill>
          <x:bgColor rgb="FFE2F0D9"/>
        </x:patternFill>
      </x:fill>
    </x:dxf>
    <x:dxf>
      <x:font>
        <x:color rgb="FF8A3B12"/>
      </x:font>
      <x:fill>
        <x:patternFill>
          <x:bgColor rgb="FFFCE8D5"/>
        </x:patternFill>
      </x:fill>
    </x:dxf>
    <x:dxf>
      <x:font>
        <x:b/>
        <x:color rgb="FF27632A"/>
      </x:font>
      <x:fill>
        <x:patternFill>
          <x:bgColor rgb="FFE2F0D9"/>
        </x:patternFill>
      </x:fill>
    </x:dxf>
    <x:dxf>
      <x:font>
        <x:color rgb="FF8A3B12"/>
      </x:font>
      <x:fill>
        <x:patternFill>
          <x:bgColor rgb="FFFCE8D5"/>
        </x:patternFill>
      </x:fill>
    </x:dxf>
    <x:dxf>
      <x:font>
        <x:i/>
        <x:color rgb="FF595959"/>
      </x:font>
      <x:fill>
        <x:patternFill>
          <x:bgColor rgb="FFE7E6E6"/>
        </x:patternFill>
      </x:fill>
    </x:dxf>
    <x:dxf>
      <x:font>
        <x:color rgb="FF27632A"/>
      </x:font>
      <x:fill>
        <x:patternFill>
          <x:bgColor rgb="FFE2F0D9"/>
        </x:patternFill>
      </x:fill>
    </x:dxf>
    <x:dxf>
      <x:font>
        <x:color rgb="FF8A3B12"/>
      </x:font>
      <x:fill>
        <x:patternFill>
          <x:bgColor rgb="FFFCE8D5"/>
        </x:patternFill>
      </x:fill>
    </x:dxf>
    <x:dxf>
      <x:font>
        <x:i/>
        <x:color rgb="FF595959"/>
      </x:font>
      <x:fill>
        <x:patternFill>
          <x:bgColor rgb="FFE7E6E6"/>
        </x:patternFill>
      </x:fill>
    </x:dxf>
    <x:dxf>
      <x:font>
        <x:b/>
        <x:color rgb="FF27632A"/>
      </x:font>
      <x:fill>
        <x:patternFill>
          <x:bgColor rgb="FFE2F0D9"/>
        </x:patternFill>
      </x:fill>
    </x:dxf>
    <x:dxf>
      <x:font>
        <x:b/>
        <x:color rgb="FF8A5A00"/>
      </x:font>
      <x:fill>
        <x:patternFill>
          <x:bgColor rgb="FFFFF2CC"/>
        </x:patternFill>
      </x:fill>
    </x:dxf>
    <x:dxf>
      <x:font>
        <x:b/>
        <x:color rgb="FF27632A"/>
      </x:font>
      <x:fill>
        <x:patternFill>
          <x:bgColor rgb="FFE2F0D9"/>
        </x:patternFill>
      </x:fill>
    </x:dxf>
    <x:dxf>
      <x:font>
        <x:b/>
        <x:color rgb="FF8A5A00"/>
      </x:font>
      <x:fill>
        <x:patternFill>
          <x:bgColor rgb="FFFFF2CC"/>
        </x:patternFill>
      </x:fill>
    </x:dxf>
    <x:dxf>
      <x:font>
        <x:b/>
        <x:color rgb="FF8A3B12"/>
      </x:font>
      <x:fill>
        <x:patternFill>
          <x:bgColor rgb="FFFCE8D5"/>
        </x:patternFill>
      </x:fill>
    </x:dxf>
    <x:dxf>
      <x:font>
        <x:b/>
        <x:color rgb="FF595959"/>
      </x:font>
      <x:fill>
        <x:patternFill>
          <x:bgColor rgb="FFE7E6E6"/>
        </x:patternFill>
      </x:fill>
    </x:dxf>
    <x:dxf>
      <x:font>
        <x:b/>
        <x:color rgb="FF27632A"/>
      </x:font>
      <x:fill>
        <x:patternFill>
          <x:bgColor rgb="FFE2F0D9"/>
        </x:patternFill>
      </x:fill>
    </x:dxf>
    <x:dxf>
      <x:font>
        <x:b/>
        <x:color rgb="FF9C0006"/>
      </x:font>
      <x:fill>
        <x:patternFill>
          <x:bgColor rgb="FFF4CCCC"/>
        </x:patternFill>
      </x:fill>
    </x:dxf>
    <x:dxf>
      <x:font>
        <x:i/>
        <x:color rgb="FF595959"/>
      </x:font>
      <x:fill>
        <x:patternFill>
          <x:bgColor rgb="FFE7E6E6"/>
        </x:patternFill>
      </x:fill>
    </x:dxf>
    <x:dxf>
      <x:font>
        <x:color rgb="FF27632A"/>
      </x:font>
      <x:fill>
        <x:patternFill>
          <x:bgColor rgb="FFE2F0D9"/>
        </x:patternFill>
      </x:fill>
    </x:dxf>
    <x:dxf>
      <x:font>
        <x:i/>
        <x:color rgb="FF595959"/>
      </x:font>
      <x:fill>
        <x:patternFill>
          <x:bgColor rgb="FFE7E6E6"/>
        </x:patternFill>
      </x:fill>
    </x:dxf>
    <x:dxf>
      <x:font>
        <x:b/>
        <x:color rgb="FF27632A"/>
      </x:font>
      <x:fill>
        <x:patternFill>
          <x:bgColor rgb="FFE2F0D9"/>
        </x:patternFill>
      </x:fill>
    </x:dxf>
    <x:dxf>
      <x:font>
        <x:b/>
        <x:color rgb="FF9C0006"/>
      </x:font>
      <x:fill>
        <x:patternFill>
          <x:bgColor rgb="FFF4CCCC"/>
        </x:patternFill>
      </x:fill>
    </x:dxf>
    <x:dxf>
      <x:font>
        <x:b/>
        <x:color rgb="FFA61B1B"/>
      </x:font>
      <x:fill>
        <x:patternFill>
          <x:bgColor rgb="FFFCE8E6"/>
        </x:patternFill>
      </x:fill>
    </x:dxf>
    <x:dxf>
      <x:font>
        <x:b/>
        <x:color rgb="FF27632A"/>
      </x:font>
      <x:fill>
        <x:patternFill>
          <x:bgColor rgb="FFE2F0D9"/>
        </x:patternFill>
      </x:fill>
    </x:dxf>
    <x:dxf>
      <x:font>
        <x:color rgb="FF7F6000"/>
      </x:font>
      <x:fill>
        <x:patternFill>
          <x:bgColor rgb="FFFFF2CC"/>
        </x:patternFill>
      </x:fill>
    </x:dxf>
    <x:dxf>
      <x:font>
        <x:b/>
        <x:color rgb="FF27632A"/>
      </x:font>
      <x:fill>
        <x:patternFill>
          <x:bgColor rgb="FFE2F0D9"/>
        </x:patternFill>
      </x:fill>
    </x:dxf>
    <x:dxf>
      <x:font>
        <x:color rgb="FFA61B1B"/>
      </x:font>
      <x:fill>
        <x:patternFill>
          <x:bgColor rgb="FFFCE8E6"/>
        </x:patternFill>
      </x:fill>
    </x:dxf>
    <x:dxf>
      <x:font>
        <x:b/>
        <x:color rgb="FFA61B1B"/>
      </x:font>
      <x:fill>
        <x:patternFill>
          <x:bgColor rgb="FFFCE8E6"/>
        </x:patternFill>
      </x:fill>
    </x:dxf>
    <x:dxf>
      <x:font>
        <x:b/>
        <x:color rgb="FF27632A"/>
      </x:font>
      <x:fill>
        <x:patternFill>
          <x:bgColor rgb="FFE2F0D9"/>
        </x:patternFill>
      </x:fill>
    </x:dxf>
    <x:dxf>
      <x:font>
        <x:color rgb="FF7F6000"/>
      </x:font>
      <x:fill>
        <x:patternFill>
          <x:bgColor rgb="FFFFF2CC"/>
        </x:patternFill>
      </x:fill>
    </x:dxf>
    <x:dxf>
      <x:font>
        <x:b/>
        <x:color rgb="FF27632A"/>
      </x:font>
      <x:fill>
        <x:patternFill>
          <x:bgColor rgb="FFE2F0D9"/>
        </x:patternFill>
      </x:fill>
    </x:dxf>
    <x:dxf>
      <x:font>
        <x:color rgb="FF7F6000"/>
      </x:font>
      <x:fill>
        <x:patternFill>
          <x:bgColor rgb="FFFFF2CC"/>
        </x:patternFill>
      </x:fill>
    </x:dxf>
    <x:dxf>
      <x:font>
        <x:b/>
        <x:color rgb="FFA61B1B"/>
      </x:font>
      <x:fill>
        <x:patternFill>
          <x:bgColor rgb="FFFCE8E6"/>
        </x:patternFill>
      </x:fill>
    </x:dxf>
    <x:dxf>
      <x:font>
        <x:color rgb="FF5F6368"/>
      </x:font>
      <x:fill>
        <x:patternFill>
          <x:bgColor rgb="FFEEF1F4"/>
        </x:patternFill>
      </x:fill>
    </x:dxf>
    <x:dxf>
      <x:font>
        <x:b/>
        <x:color rgb="FFA61B1B"/>
      </x:font>
      <x:fill>
        <x:patternFill>
          <x:bgColor rgb="FFFCE8E6"/>
        </x:patternFill>
      </x:fill>
    </x:dxf>
    <x:dxf>
      <x:font>
        <x:color rgb="FF7F6000"/>
      </x:font>
      <x:fill>
        <x:patternFill>
          <x:bgColor rgb="FFFFF2CC"/>
        </x:patternFill>
      </x:fill>
    </x:dxf>
    <x:dxf>
      <x:font>
        <x:b/>
        <x:color rgb="FF27632A"/>
      </x:font>
      <x:fill>
        <x:patternFill>
          <x:bgColor rgb="FFE2F0D9"/>
        </x:patternFill>
      </x:fill>
    </x:dxf>
    <x:dxf>
      <x:font>
        <x:color rgb="FF123B5D"/>
      </x:font>
      <x:fill>
        <x:patternFill>
          <x:bgColor rgb="FFEAF2F8"/>
        </x:patternFill>
      </x:fill>
    </x:dxf>
    <x:dxf>
      <x:font>
        <x:color rgb="FF5F6368"/>
      </x:font>
      <x:fill>
        <x:patternFill>
          <x:bgColor rgb="FFEEF1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b7b11ff8a34073" /><Relationship Type="http://schemas.openxmlformats.org/officeDocument/2006/relationships/theme" Target="/xl/theme/theme1.xml" Id="Rba5b912bc9294689" /><Relationship Type="http://schemas.openxmlformats.org/officeDocument/2006/relationships/sharedStrings" Target="/xl/sharedStrings.xml" Id="R8c8e2e25ee37495c" /><Relationship Type="http://schemas.openxmlformats.org/officeDocument/2006/relationships/worksheet" Target="/xl/worksheets/sheet1.xml" Id="R9fef669e25604d2d" /><Relationship Type="http://schemas.openxmlformats.org/officeDocument/2006/relationships/worksheet" Target="/xl/worksheets/sheet2.xml" Id="R331457045b914cec" /><Relationship Type="http://schemas.openxmlformats.org/officeDocument/2006/relationships/worksheet" Target="/xl/worksheets/sheet3.xml" Id="R0cebef2127e34e0e" /><Relationship Type="http://schemas.openxmlformats.org/officeDocument/2006/relationships/worksheet" Target="/xl/worksheets/sheet4.xml" Id="Rc738e449b35d41e2" /><Relationship Type="http://schemas.openxmlformats.org/officeDocument/2006/relationships/worksheet" Target="/xl/worksheets/sheet5.xml" Id="R31b4c8600dee410f" /><Relationship Type="http://schemas.openxmlformats.org/officeDocument/2006/relationships/worksheet" Target="/xl/worksheets/sheet6.xml" Id="Rb4e193a905664ac4" /><Relationship Type="http://schemas.openxmlformats.org/officeDocument/2006/relationships/worksheet" Target="/xl/worksheets/sheet7.xml" Id="R13018643fcd640b7" /><Relationship Type="http://schemas.openxmlformats.org/officeDocument/2006/relationships/worksheet" Target="/xl/worksheets/sheet8.xml" Id="R7f6a2ea663124d0f" /><Relationship Type="http://schemas.openxmlformats.org/officeDocument/2006/relationships/worksheet" Target="/xl/worksheets/sheet9.xml" Id="Rd2fdb9239dc24d73" /><Relationship Type="http://schemas.openxmlformats.org/officeDocument/2006/relationships/worksheet" Target="/xl/worksheets/sheet10.xml" Id="Ra5c5b00ee177445f" /><Relationship Type="http://schemas.openxmlformats.org/officeDocument/2006/relationships/worksheet" Target="/xl/worksheets/sheet11.xml" Id="Rf66c9b39df214983" /><Relationship Type="http://schemas.openxmlformats.org/officeDocument/2006/relationships/worksheet" Target="/xl/worksheets/sheet12.xml" Id="Rcaa4616dc1894a6a" /><Relationship Type="http://schemas.openxmlformats.org/officeDocument/2006/relationships/worksheet" Target="/xl/worksheets/sheet13.xml" Id="Rcab6f39be4bb44ba" /><Relationship Type="http://schemas.openxmlformats.org/officeDocument/2006/relationships/worksheet" Target="/xl/worksheets/sheet14.xml" Id="Rfe6b90317e4148d2" /><Relationship Type="http://schemas.openxmlformats.org/officeDocument/2006/relationships/worksheet" Target="/xl/worksheets/sheet15.xml" Id="Ra027b6b5a2a14efa" /><Relationship Type="http://schemas.openxmlformats.org/officeDocument/2006/relationships/worksheet" Target="/xl/worksheets/sheet16.xml" Id="Rb89c14e9f98147c6" /><Relationship Type="http://schemas.openxmlformats.org/officeDocument/2006/relationships/worksheet" Target="/xl/worksheets/sheet17.xml" Id="R516c677db86a428e" /><Relationship Type="http://schemas.openxmlformats.org/officeDocument/2006/relationships/worksheet" Target="/xl/worksheets/sheet18.xml" Id="R3926bc3ca83d4a43" /><Relationship Type="http://schemas.openxmlformats.org/officeDocument/2006/relationships/worksheet" Target="/xl/worksheets/sheet19.xml" Id="R48cf5b4d3f8e4566" /><Relationship Type="http://schemas.openxmlformats.org/officeDocument/2006/relationships/worksheet" Target="/xl/worksheets/sheet20.xml" Id="R54722dda3e4d409f" /><Relationship Type="http://schemas.openxmlformats.org/officeDocument/2006/relationships/worksheet" Target="/xl/worksheets/sheet21.xml" Id="R79c3a3c43c76452f" /><Relationship Type="http://schemas.openxmlformats.org/officeDocument/2006/relationships/worksheet" Target="/xl/worksheets/sheet22.xml" Id="R7c661f9e87cb49d7" /><Relationship Type="http://schemas.openxmlformats.org/officeDocument/2006/relationships/worksheet" Target="/xl/worksheets/sheet23.xml" Id="R6d7414082b824c34" /><Relationship Type="http://schemas.openxmlformats.org/officeDocument/2006/relationships/worksheet" Target="/xl/worksheets/sheet24.xml" Id="Rbae44c4effa148ab" /><Relationship Type="http://schemas.openxmlformats.org/officeDocument/2006/relationships/worksheet" Target="/xl/worksheets/sheet25.xml" Id="R4366245da5444006" /><Relationship Type="http://schemas.openxmlformats.org/officeDocument/2006/relationships/worksheet" Target="/xl/worksheets/sheet26.xml" Id="Re051e9eec42846f5" /><Relationship Type="http://schemas.openxmlformats.org/officeDocument/2006/relationships/worksheet" Target="/xl/worksheets/sheet27.xml" Id="R1f6c1ce935794b0c" /><Relationship Type="http://schemas.openxmlformats.org/officeDocument/2006/relationships/worksheet" Target="/xl/worksheets/sheet28.xml" Id="R9f0f8ae8500e46cb" /><Relationship Type="http://schemas.openxmlformats.org/officeDocument/2006/relationships/worksheet" Target="/xl/worksheets/sheet29.xml" Id="R664e3863d2e8494f" /><Relationship Type="http://schemas.openxmlformats.org/officeDocument/2006/relationships/worksheet" Target="/xl/worksheets/sheet30.xml" Id="Ra937bbc8885445d8" /><Relationship Type="http://schemas.openxmlformats.org/officeDocument/2006/relationships/worksheet" Target="/xl/worksheets/sheet31.xml" Id="Rd10e4f5c7f8b434c" /><Relationship Type="http://schemas.openxmlformats.org/officeDocument/2006/relationships/worksheet" Target="/xl/worksheets/sheet32.xml" Id="R7c17a80b0e984984" /><Relationship Type="http://schemas.openxmlformats.org/officeDocument/2006/relationships/worksheet" Target="/xl/worksheets/sheet33.xml" Id="Ra497178d1cf14256" /><Relationship Type="http://schemas.openxmlformats.org/officeDocument/2006/relationships/worksheet" Target="/xl/worksheets/sheet34.xml" Id="R25bac663018c49f4" /><Relationship Type="http://schemas.openxmlformats.org/officeDocument/2006/relationships/worksheet" Target="/xl/worksheets/sheet35.xml" Id="R96b3f14f25794ea7" /></Relationships>
</file>

<file path=xl/drawings/_rels/drawing1.xml.rels>&#65279;<?xml version="1.0" encoding="utf-8"?><Relationships xmlns="http://schemas.openxmlformats.org/package/2006/relationships"><Relationship Type="http://schemas.openxmlformats.org/officeDocument/2006/relationships/chart" Target="/xl/drawings/charts/chart1.xml" Id="R93de3dadcc894d14" /><Relationship Type="http://schemas.openxmlformats.org/officeDocument/2006/relationships/chart" Target="/xl/drawings/charts/chart2.xml" Id="R701c0b83c91d4c4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Included reports by primary Concept-XAI family</a:t>
            </a:r>
          </a:p>
        </c:rich>
      </c:tx>
      <c:overlay val="0"/>
    </c:title>
    <c:plotArea>
      <c:barChart>
        <c:barDir val="col"/>
        <c:varyColors val="0"/>
        <c:ser>
          <c:idx val="0"/>
          <c:order val="0"/>
          <c:tx>
            <c:v>Reports</c:v>
          </c:tx>
          <c:cat>
            <c:strRef>
              <c:f>'Evidence Synthesis Final'!$A$9:$A$14</c:f>
              <c:strCache>
                <c:ptCount val="0"/>
              </c:strCache>
            </c:strRef>
          </c:cat>
          <c:val>
            <c:numRef>
              <c:f>'Evidence Synthesis Final'!$B$9:$B$14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Reporting completeness across quality domains</a:t>
            </a:r>
          </a:p>
        </c:rich>
      </c:tx>
      <c:overlay val="0"/>
    </c:title>
    <c:plotArea>
      <c:barChart>
        <c:barDir val="col"/>
        <c:varyColors val="0"/>
        <c:ser>
          <c:idx val="0"/>
          <c:order val="0"/>
          <c:tx>
            <c:v>Reported</c:v>
          </c:tx>
          <c:cat>
            <c:strRef>
              <c:f>'Evidence Synthesis Final'!$G$9:$G$17</c:f>
              <c:strCache>
                <c:ptCount val="0"/>
              </c:strCache>
            </c:strRef>
          </c:cat>
          <c:val>
            <c:numRef>
              <c:f>'Evidence Synthesis Final'!$H$9:$H$17</c:f>
              <c:numCache>
                <c:formatCode>0</c:formatCode>
                <c:ptCount val="0"/>
              </c:numCache>
            </c:numRef>
          </c:val>
        </c:ser>
        <c:ser>
          <c:idx val="1"/>
          <c:order val="1"/>
          <c:tx>
            <c:v>NR</c:v>
          </c:tx>
          <c:cat>
            <c:strRef>
              <c:f>'Evidence Synthesis Final'!$G$9:$G$17</c:f>
              <c:strCache>
                <c:ptCount val="0"/>
              </c:strCache>
            </c:strRef>
          </c:cat>
          <c:val>
            <c:numRef>
              <c:f>'Evidence Synthesis Final'!$I$9:$I$17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29</xdr:row>
      <xdr:rowOff>0</xdr:rowOff>
    </xdr:from>
    <xdr:to>
      <xdr:col>6</xdr:col>
      <xdr:colOff>0</xdr:colOff>
      <xdr:row>45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de3dadcc894d14"/>
        </a:graphicData>
      </a:graphic>
    </xdr:graphicFrame>
    <xdr:clientData/>
  </xdr:twoCellAnchor>
  <xdr:twoCellAnchor>
    <xdr:from>
      <xdr:col>6</xdr:col>
      <xdr:colOff>0</xdr:colOff>
      <xdr:row>29</xdr:row>
      <xdr:rowOff>0</xdr:rowOff>
    </xdr:from>
    <xdr:to>
      <xdr:col>12</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1c0b83c91d4c40"/>
        </a:graphicData>
      </a:graphic>
    </xdr:graphicFrame>
    <xdr:clientData/>
  </xdr:twoCellAnchor>
</xdr:wsDr>
</file>

<file path=xl/tables/table1.xml><?xml version="1.0" encoding="utf-8"?>
<x:table xmlns:x="http://schemas.openxmlformats.org/spreadsheetml/2006/main" id="1" name="SearchSummaryTable" displayName="SearchSummaryTable" ref="A3:N7" headerRowCount="1">
  <x:tableColumns count="14">
    <x:tableColumn id="1" name="Database"/>
    <x:tableColumn id="2" name="Search ID(s)"/>
    <x:tableColumn id="3" name="Search date"/>
    <x:tableColumn id="4" name="Coverage period"/>
    <x:tableColumn id="5" name="Search mode"/>
    <x:tableColumn id="6" name="Filters"/>
    <x:tableColumn id="7" name="Reported/displayed hits"/>
    <x:tableColumn id="8" name="Actual record instances imported"/>
    <x:tableColumn id="9" name="Export format"/>
    <x:tableColumn id="10" name="Evidence files"/>
    <x:tableColumn id="11" name="Count type"/>
    <x:tableColumn id="12" name="Use in final PRISMA?"/>
    <x:tableColumn id="13" name="Current status"/>
    <x:tableColumn id="14" name="Required action"/>
  </x:tableColumns>
  <x:tableStyleInfo name="TableStyleMedium2" showRowStripes="1"/>
</x:table>
</file>

<file path=xl/tables/table2.xml><?xml version="1.0" encoding="utf-8"?>
<x:table xmlns:x="http://schemas.openxmlformats.org/spreadsheetml/2006/main" id="2" name="FullSearchStringsTable" displayName="FullSearchStringsTable" ref="A3:J28" headerRowCount="1">
  <x:tableColumns count="10">
    <x:tableColumn id="1" name="Database"/>
    <x:tableColumn id="2" name="Search ID"/>
    <x:tableColumn id="3" name="Exact search string"/>
    <x:tableColumn id="4" name="Search date"/>
    <x:tableColumn id="5" name="Coverage"/>
    <x:tableColumn id="6" name="Filters/settings"/>
    <x:tableColumn id="7" name="Displayed/original hits"/>
    <x:tableColumn id="8" name="Currently imported"/>
    <x:tableColumn id="9" name="Evidence"/>
    <x:tableColumn id="10" name="Audit note"/>
  </x:tableColumns>
  <x:tableStyleInfo name="TableStyleMedium2" showRowStripes="1"/>
</x:table>
</file>

<file path=xl/tables/table3.xml><?xml version="1.0" encoding="utf-8"?>
<x:table xmlns:x="http://schemas.openxmlformats.org/spreadsheetml/2006/main" id="3" name="MasterScreeningTable" displayName="MasterScreeningTable" ref="A3:AG92" headerRowCount="1">
  <x:tableColumns count="33">
    <x:tableColumn id="1" name="Record ID"/>
    <x:tableColumn id="2" name="Database"/>
    <x:tableColumn id="3" name="Search ID"/>
    <x:tableColumn id="4" name="Title"/>
    <x:tableColumn id="5" name="Authors"/>
    <x:tableColumn id="6" name="Publication Year"/>
    <x:tableColumn id="7" name="Journal / Source"/>
    <x:tableColumn id="8" name="Document Type"/>
    <x:tableColumn id="9" name="DOI"/>
    <x:tableColumn id="10" name="PMID / arXiv ID"/>
    <x:tableColumn id="11" name="URL"/>
    <x:tableColumn id="12" name="Abstract"/>
    <x:tableColumn id="13" name="Duplicate Status"/>
    <x:tableColumn id="14" name="Duplicate Group"/>
    <x:tableColumn id="15" name="Duplicate of Record ID"/>
    <x:tableColumn id="16" name="Preferred Version?"/>
    <x:tableColumn id="17" name="TA Reviewer 1 Decision"/>
    <x:tableColumn id="18" name="TA Reviewer 1 Reason"/>
    <x:tableColumn id="19" name="TA Reviewer 2 Decision"/>
    <x:tableColumn id="20" name="TA Reviewer 2 Reason"/>
    <x:tableColumn id="21" name="TA Consensus"/>
    <x:tableColumn id="22" name="TA Consensus Reason"/>
    <x:tableColumn id="23" name="Full Text Sought?"/>
    <x:tableColumn id="24" name="Full Text Retrieved?"/>
    <x:tableColumn id="25" name="FT Reviewer 1 Decision"/>
    <x:tableColumn id="26" name="FT Reviewer 1 Reason"/>
    <x:tableColumn id="27" name="FT Reviewer 2 Decision"/>
    <x:tableColumn id="28" name="FT Reviewer 2 Reason"/>
    <x:tableColumn id="29" name="FT Consensus"/>
    <x:tableColumn id="30" name="FT Consensus Reason"/>
    <x:tableColumn id="31" name="Final Inclusion"/>
    <x:tableColumn id="32" name="Study Role"/>
    <x:tableColumn id="33" name="Notes"/>
  </x:tableColumns>
  <x:tableStyleInfo name="TableStyleMedium2" showRowStripes="1"/>
</x:table>
</file>

<file path=xl/tables/table4.xml><?xml version="1.0" encoding="utf-8"?>
<x:table xmlns:x="http://schemas.openxmlformats.org/spreadsheetml/2006/main" id="4" name="DeduplicationTable" displayName="DeduplicationTable" ref="A3:L63" headerRowCount="1" totalsRowCount="0">
  <x:tableColumns count="12">
    <x:tableColumn id="1" name="Group ID"/>
    <x:tableColumn id="2" name="Representative title"/>
    <x:tableColumn id="3" name="Preferred Record ID"/>
    <x:tableColumn id="4" name="Member Record IDs"/>
    <x:tableColumn id="5" name="Databases"/>
    <x:tableColumn id="6" name="Member count"/>
    <x:tableColumn id="7" name="Match basis"/>
    <x:tableColumn id="8" name="Resolution"/>
    <x:tableColumn id="9" name="Confirmed duplicates removed"/>
    <x:tableColumn id="10" name="Metadata completeness"/>
    <x:tableColumn id="11" name="Required follow-up"/>
    <x:tableColumn id="12" name="Status"/>
  </x:tableColumns>
  <x:tableStyleInfo name="TableStyleMedium2" showRowStripes="1"/>
</x:table>
</file>

<file path=xl/tables/table5.xml><?xml version="1.0" encoding="utf-8"?>
<x:table xmlns:x="http://schemas.openxmlformats.org/spreadsheetml/2006/main" id="5" name="ScreeningCodebookTable" displayName="ScreeningCodebookTable" ref="A3:F16" headerRowCount="1">
  <x:tableColumns count="6">
    <x:tableColumn id="1" name="Stage"/>
    <x:tableColumn id="2" name="Code"/>
    <x:tableColumn id="3" name="Criterion / reason"/>
    <x:tableColumn id="4" name="Operational definition"/>
    <x:tableColumn id="5" name="Decision"/>
    <x:tableColumn id="6" name="Notes"/>
  </x:tableColumns>
  <x:tableStyleInfo name="TableStyleMedium2" showRowStripes="1"/>
</x:table>
</file>

<file path=xl/tables/table6.xml><?xml version="1.0" encoding="utf-8"?>
<x:table xmlns:x="http://schemas.openxmlformats.org/spreadsheetml/2006/main" id="6" name="FullTextExclusionTable" displayName="FullTextExclusionTable" ref="A3:I63" headerRowCount="1">
  <x:tableColumns count="9">
    <x:tableColumn id="1" name="Record ID"/>
    <x:tableColumn id="2" name="Citation / title"/>
    <x:tableColumn id="3" name="Full text retrieved?"/>
    <x:tableColumn id="4" name="Reviewer 1 decision"/>
    <x:tableColumn id="5" name="Reviewer 2 decision"/>
    <x:tableColumn id="6" name="Consensus decision"/>
    <x:tableColumn id="7" name="Primary exclusion reason"/>
    <x:tableColumn id="8" name="Supporting note"/>
    <x:tableColumn id="9" name="Counted in PRISMA?"/>
  </x:tableColumns>
  <x:tableStyleInfo name="TableStyleMedium2" showRowStripes="1"/>
</x:table>
</file>

<file path=xl/tables/table7.xml><?xml version="1.0" encoding="utf-8"?>
<x:table xmlns:x="http://schemas.openxmlformats.org/spreadsheetml/2006/main" id="7" name="EvidenceInventoryTable" displayName="EvidenceInventoryTable" ref="A3:F15" headerRowCount="1">
  <x:tableColumns count="6">
    <x:tableColumn id="1" name="Database / purpose"/>
    <x:tableColumn id="2" name="File"/>
    <x:tableColumn id="3" name="Evidence type"/>
    <x:tableColumn id="4" name="What it supports"/>
    <x:tableColumn id="5" name="Complete?"/>
    <x:tableColumn id="6" name="Required follow-up"/>
  </x:tableColumns>
  <x:tableStyleInfo name="TableStyleMedium2" showRowStripes="1"/>
</x:table>
</file>

<file path=xl/tables/table8.xml><?xml version="1.0" encoding="utf-8"?>
<x:table xmlns:x="http://schemas.openxmlformats.org/spreadsheetml/2006/main" id="8" name="AIAssistedScreeningTable" displayName="AIAssistedScreeningTable" ref="A16:P646" headerRowCount="1" totalsRowCount="0" totalsRowShown="0">
  <x:tableColumns count="16">
    <x:tableColumn id="1" name="Record ID"/>
    <x:tableColumn id="2" name="Database"/>
    <x:tableColumn id="3" name="Search ID"/>
    <x:tableColumn id="4" name="Title"/>
    <x:tableColumn id="5" name="AI Pass 1 Decision"/>
    <x:tableColumn id="6" name="AI Pass 1 Reason"/>
    <x:tableColumn id="7" name="Evidence Basis"/>
    <x:tableColumn id="8" name="AI Pass 2 Decision"/>
    <x:tableColumn id="9" name="AI Pass 2 Reason"/>
    <x:tableColumn id="10" name="Conservative Recommendation"/>
    <x:tableColumn id="11" name="Resolution Note"/>
    <x:tableColumn id="12" name="Authors"/>
    <x:tableColumn id="13" name="Year"/>
    <x:tableColumn id="14" name="Document Type"/>
    <x:tableColumn id="15" name="Abstract Available"/>
    <x:tableColumn id="16" name="URL"/>
  </x:tableColumns>
  <x:tableStyleInfo name="TableStyleMedium2" showFirstColumn="0" showLastColumn="0" showRowStripes="1" showColumnStripes="0"/>
</x:table>
</file>

<file path=xl/tables/table9.xml><?xml version="1.0" encoding="utf-8"?>
<x:table xmlns:x="http://schemas.openxmlformats.org/spreadsheetml/2006/main" id="9" name="FullTextRetrievalLogTable" displayName="FullTextRetrievalLogTable" ref="A4:L118" headerRowCount="1" totalsRowCount="0" totalsRowShown="0">
  <x:tableColumns count="12">
    <x:tableColumn id="1" name="Record ID"/>
    <x:tableColumn id="2" name="Database"/>
    <x:tableColumn id="3" name="Title"/>
    <x:tableColumn id="4" name="TA Decision"/>
    <x:tableColumn id="5" name="Full Text Sought?"/>
    <x:tableColumn id="6" name="Existing Primary Route"/>
    <x:tableColumn id="7" name="Verified Full-Text Route"/>
    <x:tableColumn id="8" name="Access Type"/>
    <x:tableColumn id="9" name="Retrieval Status"/>
    <x:tableColumn id="10" name="Attempt Date"/>
    <x:tableColumn id="11" name="Retrieval Notes"/>
    <x:tableColumn id="12" name="Duplicate-Control Note"/>
  </x:tableColumns>
  <x:tableStyleInfo name="TableStyleMedium2" showFirstColumn="0" showLastColumn="0" showRowStripes="1" showColumnStripes="0"/>
</x:table>
</file>

<file path=xl/tables/table10.xml><?xml version="1.0" encoding="utf-8"?>
<x:table xmlns:x="http://schemas.openxmlformats.org/spreadsheetml/2006/main" id="10" name="DataExtraction109Table" displayName="DataExtraction109Table" ref="A5:P114" headerRowCount="1" totalsRowCount="0" totalsRowShown="0">
  <x:autoFilter ref="A5:P114"/>
  <x:tableColumns count="16">
    <x:tableColumn id="1" name="Record ID"/>
    <x:tableColumn id="2" name="Study citation"/>
    <x:tableColumn id="3" name="Evidence role"/>
    <x:tableColumn id="4" name="Method / Concept-XAI type"/>
    <x:tableColumn id="5" name="Image modality and disease/task"/>
    <x:tableColumn id="6" name="Dataset(s) / sample"/>
    <x:tableColumn id="7" name="Explanation evaluation"/>
    <x:tableColumn id="8" name="Key results"/>
    <x:tableColumn id="9" name="Limitations reported in abstract"/>
    <x:tableColumn id="10" name="Evidence basis"/>
    <x:tableColumn id="11" name="Extraction confidence"/>
    <x:tableColumn id="12" name="DOI"/>
    <x:tableColumn id="13" name="Source URL"/>
    <x:tableColumn id="14" name="Dataset/sample reported?"/>
    <x:tableColumn id="15" name="Dedicated explanation evaluation?"/>
    <x:tableColumn id="16" name="Study-specific limitation reported?"/>
  </x:tableColumns>
  <x:tableStyleInfo name="TableStyleMedium2" showFirstColumn="0" showLastColumn="0" showRowStripes="1" showColumnStripes="0"/>
</x:table>
</file>

<file path=xl/tables/table11.xml><?xml version="1.0" encoding="utf-8"?>
<x:table xmlns:x="http://schemas.openxmlformats.org/spreadsheetml/2006/main" id="11" name="AbstractEvidence109Table" displayName="AbstractEvidence109Table" ref="A5:F114" headerRowCount="1" totalsRowCount="0" totalsRowShown="0">
  <x:autoFilter ref="A5:F114"/>
  <x:tableColumns count="6">
    <x:tableColumn id="1" name="Record ID"/>
    <x:tableColumn id="2" name="Study title"/>
    <x:tableColumn id="3" name="Abstract evidence used"/>
    <x:tableColumn id="4" name="Evidence basis"/>
    <x:tableColumn id="5" name="Extraction confidence"/>
    <x:tableColumn id="6" name="Source URL"/>
  </x:tableColumns>
  <x:tableStyleInfo name="TableStyleMedium2" showFirstColumn="0" showLastColumn="0" showRowStripes="1" showColumnStripes="0"/>
</x:table>
</file>

<file path=xl/tables/table12.xml><?xml version="1.0" encoding="utf-8"?>
<x:table xmlns:x="http://schemas.openxmlformats.org/spreadsheetml/2006/main" id="12" name="QualityAppraisal109Table" displayName="QualityAppraisal109Table" ref="A5:W114" headerRowCount="1" totalsRowCount="0" totalsRowShown="0">
  <x:autoFilter ref="A5:W114"/>
  <x:tableColumns count="23">
    <x:tableColumn id="1" name="Record ID"/>
    <x:tableColumn id="2" name="Citation"/>
    <x:tableColumn id="3" name="Evidence role"/>
    <x:tableColumn id="4" name="Report type"/>
    <x:tableColumn id="5" name="Dataset/sample"/>
    <x:tableColumn id="6" name="External validation"/>
    <x:tableColumn id="7" name="Patient-level split"/>
    <x:tableColumn id="8" name="Annotation quality"/>
    <x:tableColumn id="9" name="Ophthalmologist involvement"/>
    <x:tableColumn id="10" name="Code availability"/>
    <x:tableColumn id="11" name="Explanation faithfulness"/>
    <x:tableColumn id="12" name="Robustness/stability"/>
    <x:tableColumn id="13" name="Clinical usability"/>
    <x:tableColumn id="14" name="Domains assessed"/>
    <x:tableColumn id="15" name="Total score"/>
    <x:tableColumn id="16" name="Maximum score"/>
    <x:tableColumn id="17" name="Normalised score"/>
    <x:tableColumn id="18" name="Reporting completeness"/>
    <x:tableColumn id="19" name="Overall interpretation"/>
    <x:tableColumn id="20" name="Risk-of-bias signal"/>
    <x:tableColumn id="21" name="Evidence notes"/>
    <x:tableColumn id="22" name="Extraction confidence"/>
    <x:tableColumn id="23" name="Source URL"/>
  </x:tableColumns>
  <x:tableStyleInfo name="TableStyleMedium2" showFirstColumn="0" showLastColumn="0" showRowStripes="1" showColumnStripes="0"/>
</x:table>
</file>

<file path=xl/tables/table13.xml><?xml version="1.0" encoding="utf-8"?>
<x:table xmlns:x="http://schemas.openxmlformats.org/spreadsheetml/2006/main" id="13" name="EvidenceTableFinal109" displayName="EvidenceTableFinal109" ref="A5:R114" headerRowCount="1" totalsRowCount="0" totalsRowShown="0">
  <x:autoFilter ref="A5:R114"/>
  <x:tableColumns count="18">
    <x:tableColumn id="1" name="Record ID"/>
    <x:tableColumn id="2" name="Study citation"/>
    <x:tableColumn id="3" name="Evidence role"/>
    <x:tableColumn id="4" name="Report type"/>
    <x:tableColumn id="5" name="Modality and disease/task"/>
    <x:tableColumn id="6" name="Method family"/>
    <x:tableColumn id="7" name="Method / architecture"/>
    <x:tableColumn id="8" name="Concept source"/>
    <x:tableColumn id="9" name="Explanation output"/>
    <x:tableColumn id="10" name="Dataset(s) / sample"/>
    <x:tableColumn id="11" name="Explanation evaluation / concept metric"/>
    <x:tableColumn id="12" name="Key result / predictive performance"/>
    <x:tableColumn id="13" name="External validation"/>
    <x:tableColumn id="14" name="Ophthalmologist assessment"/>
    <x:tableColumn id="15" name="Code availability"/>
    <x:tableColumn id="16" name="Quality interpretation"/>
    <x:tableColumn id="17" name="Limitations"/>
    <x:tableColumn id="18"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d13e2ff7254c25" /></Relationships>
</file>

<file path=xl/worksheets/_rels/sheet3.xml.rels>&#65279;<?xml version="1.0" encoding="utf-8"?><Relationships xmlns="http://schemas.openxmlformats.org/package/2006/relationships"><Relationship Type="http://schemas.openxmlformats.org/officeDocument/2006/relationships/table" Target="/xl/tables/table2.xml" Id="R42207e13713147f3" /></Relationships>
</file>

<file path=xl/worksheets/_rels/sheet4.xml.rels>&#65279;<?xml version="1.0" encoding="utf-8"?><Relationships xmlns="http://schemas.openxmlformats.org/package/2006/relationships"><Relationship Type="http://schemas.openxmlformats.org/officeDocument/2006/relationships/table" Target="/xl/tables/table3.xml" Id="Rc7cf9836896446e2" /></Relationships>
</file>

<file path=xl/worksheets/_rels/sheet5.xml.rels>&#65279;<?xml version="1.0" encoding="utf-8"?><Relationships xmlns="http://schemas.openxmlformats.org/package/2006/relationships"><Relationship Type="http://schemas.openxmlformats.org/officeDocument/2006/relationships/table" Target="/xl/tables/table4.xml" Id="R77d50e5bbe8d4450" /></Relationships>
</file>

<file path=xl/worksheets/_rels/sheet6.xml.rels>&#65279;<?xml version="1.0" encoding="utf-8"?><Relationships xmlns="http://schemas.openxmlformats.org/package/2006/relationships"><Relationship Type="http://schemas.openxmlformats.org/officeDocument/2006/relationships/table" Target="/xl/tables/table5.xml" Id="R4e3f8e9ac78e4866" /></Relationships>
</file>

<file path=xl/worksheets/_rels/sheet7.xml.rels>&#65279;<?xml version="1.0" encoding="utf-8"?><Relationships xmlns="http://schemas.openxmlformats.org/package/2006/relationships"><Relationship Type="http://schemas.openxmlformats.org/officeDocument/2006/relationships/table" Target="/xl/tables/table6.xml" Id="R41dcf79ac26e4462" /></Relationships>
</file>

<file path=xl/worksheets/_rels/sheet12.xml.rels>&#65279;<?xml version="1.0" encoding="utf-8"?><Relationships xmlns="http://schemas.openxmlformats.org/package/2006/relationships"><Relationship Type="http://schemas.openxmlformats.org/officeDocument/2006/relationships/table" Target="/xl/tables/table7.xml" Id="Rec1af5289605461e" /></Relationships>
</file>

<file path=xl/worksheets/_rels/sheet27.xml.rels>&#65279;<?xml version="1.0" encoding="utf-8"?><Relationships xmlns="http://schemas.openxmlformats.org/package/2006/relationships"><Relationship Type="http://schemas.openxmlformats.org/officeDocument/2006/relationships/table" Target="/xl/tables/table8.xml" Id="Rb15a385d318442db" /></Relationships>
</file>

<file path=xl/worksheets/_rels/sheet28.xml.rels>&#65279;<?xml version="1.0" encoding="utf-8"?><Relationships xmlns="http://schemas.openxmlformats.org/package/2006/relationships"><Relationship Type="http://schemas.openxmlformats.org/officeDocument/2006/relationships/table" Target="/xl/tables/table9.xml" Id="R050b410b3fca4a57" /></Relationships>
</file>

<file path=xl/worksheets/_rels/sheet30.xml.rels>&#65279;<?xml version="1.0" encoding="utf-8"?><Relationships xmlns="http://schemas.openxmlformats.org/package/2006/relationships"><Relationship Type="http://schemas.openxmlformats.org/officeDocument/2006/relationships/table" Target="/xl/tables/table10.xml" Id="R88ab6e61935d45e1" /></Relationships>
</file>

<file path=xl/worksheets/_rels/sheet31.xml.rels>&#65279;<?xml version="1.0" encoding="utf-8"?><Relationships xmlns="http://schemas.openxmlformats.org/package/2006/relationships"><Relationship Type="http://schemas.openxmlformats.org/officeDocument/2006/relationships/table" Target="/xl/tables/table11.xml" Id="Rd2b954eee3654863" /></Relationships>
</file>

<file path=xl/worksheets/_rels/sheet33.xml.rels>&#65279;<?xml version="1.0" encoding="utf-8"?><Relationships xmlns="http://schemas.openxmlformats.org/package/2006/relationships"><Relationship Type="http://schemas.openxmlformats.org/officeDocument/2006/relationships/table" Target="/xl/tables/table12.xml" Id="Rbe9fafe6bdff4a66" /></Relationships>
</file>

<file path=xl/worksheets/_rels/sheet34.xml.rels>&#65279;<?xml version="1.0" encoding="utf-8"?><Relationships xmlns="http://schemas.openxmlformats.org/package/2006/relationships"><Relationship Type="http://schemas.openxmlformats.org/officeDocument/2006/relationships/table" Target="/xl/tables/table13.xml" Id="R0ac06808f5ef45e5" /></Relationships>
</file>

<file path=xl/worksheets/_rels/sheet35.xml.rels>&#65279;<?xml version="1.0" encoding="utf-8"?><Relationships xmlns="http://schemas.openxmlformats.org/package/2006/relationships"><Relationship Type="http://schemas.openxmlformats.org/officeDocument/2006/relationships/drawing" Target="/xl/drawings/drawing1.xml" Id="Rc891cb1beb8c44cd"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34" hidden="0" customWidth="1"/>
    <x:col min="3" max="3" width="31" hidden="0" customWidth="1"/>
    <x:col min="4" max="4" width="22" hidden="0" customWidth="1"/>
    <x:col min="5" max="5" width="36" hidden="0" customWidth="1"/>
    <x:col min="7" max="7" width="25" hidden="0" customWidth="1"/>
    <x:col min="8" max="8" width="19" hidden="0" customWidth="1"/>
    <x:col min="9" max="9" width="19" hidden="0" customWidth="1"/>
    <x:col min="10" max="10" width="34" hidden="0" customWidth="1"/>
    <x:col min="6" max="6" width="3" hidden="0" customWidth="1"/>
  </x:cols>
  <x:sheetData>
    <x:row r="1" ht="25.5" customHeight="1">
      <x:c r="A1" s="1048" t="str">
        <x:v>Reviewer #1 Revision Dashboard — Evidence Synthesis Complete</x:v>
      </x:c>
      <x:c r="B1" s="1048"/>
      <x:c r="C1" s="1048"/>
      <x:c r="D1" s="1048"/>
      <x:c r="E1" s="1048"/>
      <x:c r="F1" s="1048"/>
      <x:c r="G1" s="1048"/>
      <x:c r="H1" s="1048"/>
      <x:c r="I1" s="1048"/>
      <x:c r="J1" s="1048"/>
      <x:c r="K1" s="418"/>
      <x:c r="L1" s="418"/>
      <x:c r="M1" s="418"/>
      <x:c r="N1" s="418"/>
      <x:c r="O1" s="418"/>
      <x:c r="P1" s="418"/>
      <x:c r="Q1" s="418"/>
      <x:c r="R1" s="418"/>
      <x:c r="S1" s="418"/>
      <x:c r="T1" s="418"/>
      <x:c r="U1" s="418"/>
      <x:c r="V1" s="418"/>
      <x:c r="W1" s="418"/>
      <x:c r="X1" s="418"/>
      <x:c r="Y1" s="418"/>
      <x:c r="Z1" s="418"/>
    </x:row>
    <x:row r="2" ht="31.5" customHeight="1">
      <x:c r="A2" s="1049" t="str">
        <x:v>The corresponding author completed the search and primary two-stage screening; two additional authors performed random spot checks. Study-role classification, structured appraisal, extraction, and synthesis were completed on 18 August 2026.</x:v>
      </x:c>
      <x:c r="B2" s="1049"/>
      <x:c r="C2" s="1049"/>
      <x:c r="D2" s="1049"/>
      <x:c r="E2" s="1049"/>
      <x:c r="F2" s="1049"/>
      <x:c r="G2" s="1049"/>
      <x:c r="H2" s="1049"/>
      <x:c r="I2" s="1049"/>
      <x:c r="J2" s="1049"/>
      <x:c r="K2" s="418"/>
      <x:c r="L2" s="418"/>
      <x:c r="M2" s="418"/>
      <x:c r="N2" s="418"/>
      <x:c r="O2" s="418"/>
      <x:c r="P2" s="418"/>
      <x:c r="Q2" s="418"/>
      <x:c r="R2" s="418"/>
      <x:c r="S2" s="418"/>
      <x:c r="T2" s="418"/>
      <x:c r="U2" s="418"/>
      <x:c r="V2" s="418"/>
      <x:c r="W2" s="418"/>
      <x:c r="X2" s="418"/>
      <x:c r="Y2" s="418"/>
      <x:c r="Z2" s="418"/>
    </x:row>
    <x:row r="3" ht="7.5" customHeight="1">
      <x:c r="A3" s="1036"/>
      <x:c r="B3" s="1036"/>
      <x:c r="C3" s="1036"/>
      <x:c r="D3" s="1036"/>
      <x:c r="E3" s="1036"/>
      <x:c r="F3" s="1036"/>
      <x:c r="G3" s="1036"/>
      <x:c r="H3" s="1036"/>
      <x:c r="I3" s="1036"/>
      <x:c r="J3" s="1036"/>
      <x:c r="K3" s="427"/>
      <x:c r="L3" s="427"/>
      <x:c r="M3" s="418"/>
      <x:c r="N3" s="418"/>
      <x:c r="O3" s="418"/>
      <x:c r="P3" s="418"/>
      <x:c r="Q3" s="418"/>
      <x:c r="R3" s="418"/>
      <x:c r="S3" s="418"/>
      <x:c r="T3" s="418"/>
      <x:c r="U3" s="418"/>
      <x:c r="V3" s="418"/>
      <x:c r="W3" s="418"/>
      <x:c r="X3" s="418"/>
      <x:c r="Y3" s="418"/>
      <x:c r="Z3" s="418"/>
    </x:row>
    <x:row r="4" ht="25.5" customHeight="1">
      <x:c r="A4" s="1052" t="str">
        <x:v>Identified instances</x:v>
      </x:c>
      <x:c r="B4" s="1053"/>
      <x:c r="C4" s="1052" t="str">
        <x:v>Duplicates removed</x:v>
      </x:c>
      <x:c r="D4" s="1053"/>
      <x:c r="E4" s="1052" t="str">
        <x:v>Invalid artifacts</x:v>
      </x:c>
      <x:c r="F4" s="1053"/>
      <x:c r="G4" s="1052" t="str">
        <x:v>Valid records screened</x:v>
      </x:c>
      <x:c r="H4" s="1053"/>
      <x:c r="I4" s="1052" t="str">
        <x:v>Reports included</x:v>
      </x:c>
      <x:c r="J4" s="1053"/>
      <x:c r="K4" s="418"/>
      <x:c r="L4" s="418"/>
      <x:c r="M4" s="418"/>
      <x:c r="N4" s="418"/>
      <x:c r="O4" s="418"/>
      <x:c r="P4" s="418"/>
      <x:c r="Q4" s="418"/>
      <x:c r="R4" s="418"/>
      <x:c r="S4" s="418"/>
      <x:c r="T4" s="418"/>
      <x:c r="U4" s="418"/>
      <x:c r="V4" s="418"/>
      <x:c r="W4" s="418"/>
      <x:c r="X4" s="418"/>
      <x:c r="Y4" s="418"/>
      <x:c r="Z4" s="418"/>
    </x:row>
    <x:row r="5" ht="25.5" customHeight="1">
      <x:c r="A5" s="1056" t="n">
        <x:f>'PRISMA Counts'!B4</x:f>
        <x:v>722</x:v>
      </x:c>
      <x:c r="B5" s="1057"/>
      <x:c r="C5" s="1056" t="n">
        <x:f>'PRISMA Counts'!B10</x:f>
        <x:v>143</x:v>
      </x:c>
      <x:c r="D5" s="1057"/>
      <x:c r="E5" s="1056" t="n">
        <x:f>'PRISMA Counts'!B4-'PRISMA Counts'!B10-'PRISMA Counts'!B11</x:f>
        <x:v>4</x:v>
      </x:c>
      <x:c r="F5" s="1057"/>
      <x:c r="G5" s="1056" t="n">
        <x:f>'PRISMA Counts'!B11</x:f>
        <x:v>575</x:v>
      </x:c>
      <x:c r="H5" s="1057"/>
      <x:c r="I5" s="1056" t="n">
        <x:f>'PRISMA Counts'!B18</x:f>
        <x:v>109</x:v>
      </x:c>
      <x:c r="J5" s="1057"/>
      <x:c r="K5" s="418"/>
      <x:c r="L5" s="418"/>
      <x:c r="M5" s="418"/>
      <x:c r="N5" s="418"/>
      <x:c r="O5" s="418"/>
      <x:c r="P5" s="418"/>
      <x:c r="Q5" s="418"/>
      <x:c r="R5" s="418"/>
      <x:c r="S5" s="418"/>
      <x:c r="T5" s="418"/>
      <x:c r="U5" s="418"/>
      <x:c r="V5" s="418"/>
      <x:c r="W5" s="418"/>
      <x:c r="X5" s="418"/>
      <x:c r="Y5" s="418"/>
      <x:c r="Z5" s="418"/>
    </x:row>
    <x:row r="6" ht="7.5" customHeight="1">
      <x:c r="A6" s="1036"/>
      <x:c r="B6" s="1036"/>
      <x:c r="C6" s="1036"/>
      <x:c r="D6" s="1036"/>
      <x:c r="E6" s="1036"/>
      <x:c r="F6" s="1036"/>
      <x:c r="G6" s="1036"/>
      <x:c r="H6" s="1036"/>
      <x:c r="I6" s="1036"/>
      <x:c r="J6" s="1036"/>
      <x:c r="K6" s="418"/>
      <x:c r="L6" s="418"/>
      <x:c r="M6" s="418"/>
      <x:c r="N6" s="418"/>
      <x:c r="O6" s="418"/>
      <x:c r="P6" s="418"/>
      <x:c r="Q6" s="418"/>
      <x:c r="R6" s="418"/>
      <x:c r="S6" s="418"/>
      <x:c r="T6" s="418"/>
      <x:c r="U6" s="418"/>
      <x:c r="V6" s="418"/>
      <x:c r="W6" s="418"/>
      <x:c r="X6" s="418"/>
      <x:c r="Y6" s="418"/>
      <x:c r="Z6" s="418"/>
    </x:row>
    <x:row r="7" ht="7.5" customHeight="1">
      <x:c r="A7" s="1036"/>
      <x:c r="B7" s="1036"/>
      <x:c r="C7" s="1036"/>
      <x:c r="D7" s="1036"/>
      <x:c r="E7" s="1036"/>
      <x:c r="F7" s="1036"/>
      <x:c r="G7" s="1036"/>
      <x:c r="H7" s="1036"/>
      <x:c r="I7" s="1036"/>
      <x:c r="J7" s="1036"/>
      <x:c r="K7" s="418"/>
      <x:c r="L7" s="418"/>
      <x:c r="M7" s="418"/>
      <x:c r="N7" s="418"/>
      <x:c r="O7" s="418"/>
      <x:c r="P7" s="418"/>
      <x:c r="Q7" s="418"/>
      <x:c r="R7" s="418"/>
      <x:c r="S7" s="418"/>
      <x:c r="T7" s="418"/>
      <x:c r="U7" s="418"/>
      <x:c r="V7" s="418"/>
      <x:c r="W7" s="418"/>
      <x:c r="X7" s="418"/>
      <x:c r="Y7" s="418"/>
      <x:c r="Z7" s="418"/>
    </x:row>
    <x:row r="8" ht="25.5" customHeight="1">
      <x:c r="A8" s="1060" t="str">
        <x:v>Stage</x:v>
      </x:c>
      <x:c r="B8" s="1060" t="str">
        <x:v>Workbook evidence</x:v>
      </x:c>
      <x:c r="C8" s="1060" t="str">
        <x:v>Result</x:v>
      </x:c>
      <x:c r="D8" s="1060" t="str">
        <x:v>Status</x:v>
      </x:c>
      <x:c r="E8" s="1060" t="str">
        <x:v>Next action</x:v>
      </x:c>
      <x:c r="F8" s="1060"/>
      <x:c r="G8" s="1060" t="str">
        <x:v>Metric</x:v>
      </x:c>
      <x:c r="H8" s="1060" t="str">
        <x:v>Count</x:v>
      </x:c>
      <x:c r="I8" s="1060" t="str">
        <x:v>Status</x:v>
      </x:c>
      <x:c r="J8" s="1060" t="str">
        <x:v>Interpretation</x:v>
      </x:c>
      <x:c r="K8" s="418"/>
      <x:c r="L8" s="418"/>
      <x:c r="M8" s="418"/>
      <x:c r="N8" s="418"/>
      <x:c r="O8" s="418"/>
      <x:c r="P8" s="418"/>
      <x:c r="Q8" s="418"/>
      <x:c r="R8" s="418"/>
      <x:c r="S8" s="418"/>
      <x:c r="T8" s="418"/>
      <x:c r="U8" s="418"/>
      <x:c r="V8" s="418"/>
      <x:c r="W8" s="418"/>
      <x:c r="X8" s="418"/>
      <x:c r="Y8" s="418"/>
      <x:c r="Z8" s="418"/>
    </x:row>
    <x:row r="9" ht="33" customHeight="1">
      <x:c r="A9" s="1062" t="str">
        <x:v>Search identification</x:v>
      </x:c>
      <x:c r="B9" s="1063" t="str">
        <x:v>Search Summary; Full Search Strings</x:v>
      </x:c>
      <x:c r="C9" s="1063" t="str">
        <x:v>722 source instances documented</x:v>
      </x:c>
      <x:c r="D9" s="1081" t="str">
        <x:v>Complete</x:v>
      </x:c>
      <x:c r="E9" s="1064" t="str">
        <x:v>Preserve source exports and screenshots</x:v>
      </x:c>
      <x:c r="F9" s="1065"/>
      <x:c r="G9" s="1066" t="str">
        <x:v>Valid records screened</x:v>
      </x:c>
      <x:c r="H9" s="1063" t="n">
        <x:f>'PRISMA Counts'!B11</x:f>
        <x:v>575</x:v>
      </x:c>
      <x:c r="I9" s="1081" t="str">
        <x:v>Complete</x:v>
      </x:c>
      <x:c r="J9" s="1067" t="str">
        <x:v>After duplicate removal and bibliographic verification</x:v>
      </x:c>
      <x:c r="K9" s="418"/>
      <x:c r="L9" s="418"/>
      <x:c r="M9" s="418"/>
      <x:c r="N9" s="418"/>
      <x:c r="O9" s="418"/>
      <x:c r="P9" s="418"/>
      <x:c r="Q9" s="418"/>
      <x:c r="R9" s="418"/>
      <x:c r="S9" s="418"/>
      <x:c r="T9" s="418"/>
      <x:c r="U9" s="418"/>
      <x:c r="V9" s="418"/>
      <x:c r="W9" s="418"/>
      <x:c r="X9" s="418"/>
      <x:c r="Y9" s="418"/>
      <x:c r="Z9" s="418"/>
    </x:row>
    <x:row r="10" ht="33" customHeight="1">
      <x:c r="A10" s="1068" t="str">
        <x:v>Deduplication / verification</x:v>
      </x:c>
      <x:c r="B10" s="1041" t="str">
        <x:v>Master Records; Deduplication Log</x:v>
      </x:c>
      <x:c r="C10" s="1041" t="str">
        <x:v>143 duplicates + 4 invalid artifacts removed</x:v>
      </x:c>
      <x:c r="D10" s="1082" t="str">
        <x:v>Complete</x:v>
      </x:c>
      <x:c r="E10" s="1042" t="str">
        <x:v>Use 575 as the valid screening denominator</x:v>
      </x:c>
      <x:c r="F10" s="1069"/>
      <x:c r="G10" s="1040" t="str">
        <x:v>TA retained for retrieval</x:v>
      </x:c>
      <x:c r="H10" s="1041" t="n">
        <x:f>'PRISMA Counts'!B14</x:f>
        <x:v>110</x:v>
      </x:c>
      <x:c r="I10" s="1082" t="str">
        <x:v>Complete</x:v>
      </x:c>
      <x:c r="J10" s="1070" t="str">
        <x:v>109 Include + 1 Unclear</x:v>
      </x:c>
      <x:c r="K10" s="418"/>
      <x:c r="L10" s="418"/>
      <x:c r="M10" s="418"/>
      <x:c r="N10" s="418"/>
      <x:c r="O10" s="418"/>
      <x:c r="P10" s="418"/>
      <x:c r="Q10" s="418"/>
      <x:c r="R10" s="418"/>
      <x:c r="S10" s="418"/>
      <x:c r="T10" s="418"/>
      <x:c r="U10" s="418"/>
      <x:c r="V10" s="418"/>
      <x:c r="W10" s="418"/>
      <x:c r="X10" s="418"/>
      <x:c r="Y10" s="418"/>
      <x:c r="Z10" s="418"/>
    </x:row>
    <x:row r="11" ht="33" customHeight="1">
      <x:c r="A11" s="1068" t="str">
        <x:v>Title / abstract screening</x:v>
      </x:c>
      <x:c r="B11" s="1041" t="str">
        <x:v>Master Records; Screening Codebook</x:v>
      </x:c>
      <x:c r="C11" s="1041" t="str">
        <x:v>109 Include; 465 Exclude; 1 Unclear</x:v>
      </x:c>
      <x:c r="D11" s="1082" t="str">
        <x:v>Complete</x:v>
      </x:c>
      <x:c r="E11" s="1042" t="str">
        <x:v>Random verification by two additional authors documented</x:v>
      </x:c>
      <x:c r="F11" s="1069"/>
      <x:c r="G11" s="1040" t="str">
        <x:v>Reports retrieved</x:v>
      </x:c>
      <x:c r="H11" s="1041" t="n">
        <x:f>'PRISMA Counts'!B16</x:f>
        <x:v>110</x:v>
      </x:c>
      <x:c r="I11" s="1082" t="str">
        <x:v>Complete</x:v>
      </x:c>
      <x:c r="J11" s="1070" t="str">
        <x:v>All 110 sought reports were retrieved and assessed</x:v>
      </x:c>
      <x:c r="K11" s="418"/>
      <x:c r="L11" s="418"/>
      <x:c r="M11" s="418"/>
      <x:c r="N11" s="418"/>
      <x:c r="O11" s="418"/>
      <x:c r="P11" s="418"/>
      <x:c r="Q11" s="418"/>
      <x:c r="R11" s="418"/>
      <x:c r="S11" s="418"/>
      <x:c r="T11" s="418"/>
      <x:c r="U11" s="418"/>
      <x:c r="V11" s="418"/>
      <x:c r="W11" s="418"/>
      <x:c r="X11" s="418"/>
      <x:c r="Y11" s="418"/>
      <x:c r="Z11" s="418"/>
    </x:row>
    <x:row r="12" ht="33" customHeight="1">
      <x:c r="A12" s="1068" t="str">
        <x:v>Full-text retrieval</x:v>
      </x:c>
      <x:c r="B12" s="1041" t="str">
        <x:v>Full-Text Retrieval Log</x:v>
      </x:c>
      <x:c r="C12" s="1041" t="str">
        <x:v>110 retrieved; 0 not retrieved</x:v>
      </x:c>
      <x:c r="D12" s="1082" t="str">
        <x:v>Complete</x:v>
      </x:c>
      <x:c r="E12" s="1042" t="str">
        <x:v>All sought reports were retrieved and assessed</x:v>
      </x:c>
      <x:c r="F12" s="1069"/>
      <x:c r="G12" s="1040" t="str">
        <x:v>Reports not retrieved</x:v>
      </x:c>
      <x:c r="H12" s="1041" t="n">
        <x:f>'PRISMA Counts'!B15</x:f>
        <x:v>0</x:v>
      </x:c>
      <x:c r="I12" s="1082" t="str">
        <x:v>Complete</x:v>
      </x:c>
      <x:c r="J12" s="1070" t="str">
        <x:v>No retrieval shortfall remains</x:v>
      </x:c>
      <x:c r="K12" s="418"/>
      <x:c r="L12" s="418"/>
      <x:c r="M12" s="418"/>
      <x:c r="N12" s="418"/>
      <x:c r="O12" s="418"/>
      <x:c r="P12" s="418"/>
      <x:c r="Q12" s="418"/>
      <x:c r="R12" s="418"/>
      <x:c r="S12" s="418"/>
      <x:c r="T12" s="418"/>
      <x:c r="U12" s="418"/>
      <x:c r="V12" s="418"/>
      <x:c r="W12" s="418"/>
      <x:c r="X12" s="418"/>
      <x:c r="Y12" s="418"/>
      <x:c r="Z12" s="418"/>
    </x:row>
    <x:row r="13" ht="33" customHeight="1">
      <x:c r="A13" s="1068" t="str">
        <x:v>Full-text eligibility</x:v>
      </x:c>
      <x:c r="B13" s="1041" t="str">
        <x:v>Master Records; Full-Text Exclusions</x:v>
      </x:c>
      <x:c r="C13" s="1041" t="str">
        <x:v>109 Include; 1 Exclude</x:v>
      </x:c>
      <x:c r="D13" s="1082" t="str">
        <x:v>Complete</x:v>
      </x:c>
      <x:c r="E13" s="1042" t="str">
        <x:v>Proceed to study-role classification and quality appraisal</x:v>
      </x:c>
      <x:c r="F13" s="1069"/>
      <x:c r="G13" s="1040" t="str">
        <x:v>Full-text Include decisions</x:v>
      </x:c>
      <x:c r="H13" s="1041" t="n">
        <x:f>'PRISMA Counts'!B18</x:f>
        <x:v>109</x:v>
      </x:c>
      <x:c r="I13" s="1082" t="str">
        <x:v>Complete</x:v>
      </x:c>
      <x:c r="J13" s="1070" t="str">
        <x:v>109 of 110 assessed reports were included</x:v>
      </x:c>
      <x:c r="K13" s="418"/>
      <x:c r="L13" s="418"/>
      <x:c r="M13" s="418"/>
      <x:c r="N13" s="418"/>
      <x:c r="O13" s="418"/>
      <x:c r="P13" s="418"/>
      <x:c r="Q13" s="418"/>
      <x:c r="R13" s="418"/>
      <x:c r="S13" s="418"/>
      <x:c r="T13" s="418"/>
      <x:c r="U13" s="418"/>
      <x:c r="V13" s="418"/>
      <x:c r="W13" s="418"/>
      <x:c r="X13" s="418"/>
      <x:c r="Y13" s="418"/>
      <x:c r="Z13" s="418"/>
    </x:row>
    <x:row r="14" ht="33" customHeight="1">
      <x:c r="A14" s="1068" t="str">
        <x:v>Quality appraisal</x:v>
      </x:c>
      <x:c r="B14" s="1041" t="str">
        <x:v>Quality Appraisal 109; Quality Assessment Tool</x:v>
      </x:c>
      <x:c r="C14" s="1041" t="str">
        <x:v>109 structured appraisals completed; NR retained when unavailable</x:v>
      </x:c>
      <x:c r="D14" s="1082" t="str">
        <x:v>Complete at abstract level</x:v>
      </x:c>
      <x:c r="E14" s="1042" t="str">
        <x:v>Verify NR fields against full texts before submission where feasible</x:v>
      </x:c>
      <x:c r="F14" s="1069"/>
      <x:c r="G14" s="1040" t="str">
        <x:v>Full-text exclusions</x:v>
      </x:c>
      <x:c r="H14" s="1041" t="n">
        <x:f>'PRISMA Counts'!B17</x:f>
        <x:v>1</x:v>
      </x:c>
      <x:c r="I14" s="1082" t="str">
        <x:v>Complete</x:v>
      </x:c>
      <x:c r="J14" s="1070" t="str">
        <x:v>GS-04-008 excluded; E5 rationale documented</x:v>
      </x:c>
      <x:c r="K14" s="418"/>
      <x:c r="L14" s="418"/>
      <x:c r="M14" s="418"/>
      <x:c r="N14" s="418"/>
      <x:c r="O14" s="418"/>
      <x:c r="P14" s="418"/>
      <x:c r="Q14" s="418"/>
      <x:c r="R14" s="418"/>
      <x:c r="S14" s="418"/>
      <x:c r="T14" s="418"/>
      <x:c r="U14" s="418"/>
      <x:c r="V14" s="418"/>
      <x:c r="W14" s="418"/>
      <x:c r="X14" s="418"/>
      <x:c r="Y14" s="418"/>
      <x:c r="Z14" s="418"/>
    </x:row>
    <x:row r="15" ht="33" customHeight="1">
      <x:c r="A15" s="1071" t="str">
        <x:v>Evidence extraction</x:v>
      </x:c>
      <x:c r="B15" s="1044" t="str">
        <x:v>Data Extraction 109; Evidence Table Final; Evidence Synthesis Final</x:v>
      </x:c>
      <x:c r="C15" s="1044" t="str">
        <x:v>109 reports extracted: 47 direct; 62 contextual</x:v>
      </x:c>
      <x:c r="D15" s="1083" t="str">
        <x:v>Complete</x:v>
      </x:c>
      <x:c r="E15" s="1045" t="str">
        <x:v>Merge final synthesis and replacement text into the editable manuscript source</x:v>
      </x:c>
      <x:c r="F15" s="1069"/>
      <x:c r="G15" s="1040" t="str">
        <x:v>Author verification</x:v>
      </x:c>
      <x:c r="H15" s="1041" t="str">
        <x:v>Documented</x:v>
      </x:c>
      <x:c r="I15" s="1082" t="str">
        <x:v>Complete</x:v>
      </x:c>
      <x:c r="J15" s="1070" t="str">
        <x:v>Corresponding-author primary screening with random co-author spot checks</x:v>
      </x:c>
      <x:c r="K15" s="418"/>
      <x:c r="L15" s="418"/>
      <x:c r="M15" s="418"/>
      <x:c r="N15" s="418"/>
      <x:c r="O15" s="418"/>
      <x:c r="P15" s="418"/>
      <x:c r="Q15" s="418"/>
      <x:c r="R15" s="418"/>
      <x:c r="S15" s="418"/>
      <x:c r="T15" s="418"/>
      <x:c r="U15" s="418"/>
      <x:c r="V15" s="418"/>
      <x:c r="W15" s="418"/>
      <x:c r="X15" s="418"/>
      <x:c r="Y15" s="418"/>
      <x:c r="Z15" s="418"/>
    </x:row>
    <x:row r="16" ht="33" customHeight="1">
      <x:c r="A16" s="1072"/>
      <x:c r="B16" s="1073"/>
      <x:c r="C16" s="1073"/>
      <x:c r="D16" s="1084"/>
      <x:c r="E16" s="1073"/>
      <x:c r="F16" s="1073"/>
      <x:c r="G16" s="1074" t="str">
        <x:v>Next stage</x:v>
      </x:c>
      <x:c r="H16" s="1075" t="str">
        <x:v>Manuscript integration</x:v>
      </x:c>
      <x:c r="I16" s="1086" t="str">
        <x:v>Ready</x:v>
      </x:c>
      <x:c r="J16" s="1076" t="str">
        <x:v>Use the prepared manuscript, supplementary, and response-letter files</x:v>
      </x:c>
      <x:c r="K16" s="418"/>
      <x:c r="L16" s="418"/>
      <x:c r="M16" s="418"/>
      <x:c r="N16" s="418"/>
      <x:c r="O16" s="418"/>
      <x:c r="P16" s="418"/>
      <x:c r="Q16" s="418"/>
      <x:c r="R16" s="418"/>
      <x:c r="S16" s="418"/>
      <x:c r="T16" s="418"/>
      <x:c r="U16" s="418"/>
      <x:c r="V16" s="418"/>
      <x:c r="W16" s="418"/>
      <x:c r="X16" s="418"/>
      <x:c r="Y16" s="418"/>
      <x:c r="Z16" s="418"/>
    </x:row>
    <x:row r="17" ht="19.5" customHeight="1">
      <x:c r="A17" s="1036"/>
      <x:c r="B17" s="1036"/>
      <x:c r="C17" s="1036"/>
      <x:c r="D17" s="1036"/>
      <x:c r="E17" s="1036"/>
      <x:c r="F17" s="1036"/>
      <x:c r="G17" s="1036"/>
      <x:c r="H17" s="1036"/>
      <x:c r="I17" s="1036"/>
      <x:c r="J17" s="1036"/>
      <x:c r="K17" s="418"/>
      <x:c r="L17" s="418"/>
      <x:c r="M17" s="418"/>
      <x:c r="N17" s="418"/>
      <x:c r="O17" s="418"/>
      <x:c r="P17" s="418"/>
      <x:c r="Q17" s="418"/>
      <x:c r="R17" s="418"/>
      <x:c r="S17" s="418"/>
      <x:c r="T17" s="418"/>
      <x:c r="U17" s="418"/>
      <x:c r="V17" s="418"/>
      <x:c r="W17" s="418"/>
      <x:c r="X17" s="418"/>
      <x:c r="Y17" s="418"/>
      <x:c r="Z17" s="418"/>
    </x:row>
    <x:row r="18" ht="28.5" customHeight="1">
      <x:c r="A18" s="1088" t="str">
        <x:v>EVIDENCE PACKAGE COMPLETE: 109 reports classified, appraised, extracted, and synthesised; manuscript/source integration is the remaining author action.</x:v>
      </x:c>
      <x:c r="B18" s="1088"/>
      <x:c r="C18" s="1088"/>
      <x:c r="D18" s="1088"/>
      <x:c r="E18" s="1088"/>
      <x:c r="F18" s="1088"/>
      <x:c r="G18" s="1088"/>
      <x:c r="H18" s="1088"/>
      <x:c r="I18" s="1088"/>
      <x:c r="J18" s="1088"/>
      <x:c r="K18" s="418"/>
      <x:c r="L18" s="418"/>
      <x:c r="M18" s="418"/>
      <x:c r="N18" s="418"/>
      <x:c r="O18" s="418"/>
      <x:c r="P18" s="418"/>
      <x:c r="Q18" s="418"/>
      <x:c r="R18" s="418"/>
      <x:c r="S18" s="418"/>
      <x:c r="T18" s="418"/>
      <x:c r="U18" s="418"/>
      <x:c r="V18" s="418"/>
      <x:c r="W18" s="418"/>
      <x:c r="X18" s="418"/>
      <x:c r="Y18" s="418"/>
      <x:c r="Z18" s="418"/>
    </x:row>
    <x:row r="19" ht="7.5" customHeight="1">
      <x:c r="A19" s="1036"/>
      <x:c r="B19" s="1036"/>
      <x:c r="C19" s="1036"/>
      <x:c r="D19" s="1036"/>
      <x:c r="E19" s="1036"/>
      <x:c r="F19" s="1036"/>
      <x:c r="G19" s="1036"/>
      <x:c r="H19" s="1036"/>
      <x:c r="I19" s="1036"/>
      <x:c r="J19" s="1036"/>
      <x:c r="K19" s="418"/>
      <x:c r="L19" s="418"/>
      <x:c r="M19" s="418"/>
      <x:c r="N19" s="418"/>
      <x:c r="O19" s="418"/>
      <x:c r="P19" s="418"/>
      <x:c r="Q19" s="418"/>
      <x:c r="R19" s="418"/>
      <x:c r="S19" s="418"/>
      <x:c r="T19" s="418"/>
      <x:c r="U19" s="418"/>
      <x:c r="V19" s="418"/>
      <x:c r="W19" s="418"/>
      <x:c r="X19" s="418"/>
      <x:c r="Y19" s="418"/>
      <x:c r="Z19" s="418"/>
    </x:row>
    <x:row r="20" ht="42" customHeight="1">
      <x:c r="A20" s="1090" t="str">
        <x:v>The corresponding author conducted the database searches and completed the primary title/abstract and full-text screening. Two additional authors performed random spot checks on selected papers against the predefined eligibility criteria as a quality-control step. The formal appraisal records what is reported in available abstracts/indexed evidence; NR is not interpreted as proof that a full paper omitted an item. Full-text confirmation remains advisable for NR fields before submission.</x:v>
      </x:c>
      <x:c r="B20" s="1090"/>
      <x:c r="C20" s="1090"/>
      <x:c r="D20" s="1090"/>
      <x:c r="E20" s="1090"/>
      <x:c r="F20" s="1090"/>
      <x:c r="G20" s="1090"/>
      <x:c r="H20" s="1090"/>
      <x:c r="I20" s="1090"/>
      <x:c r="J20" s="1090"/>
      <x:c r="K20" s="418"/>
      <x:c r="L20" s="418"/>
      <x:c r="M20" s="418"/>
      <x:c r="N20" s="418"/>
      <x:c r="O20" s="418"/>
      <x:c r="P20" s="418"/>
      <x:c r="Q20" s="418"/>
      <x:c r="R20" s="418"/>
      <x:c r="S20" s="418"/>
      <x:c r="T20" s="418"/>
      <x:c r="U20" s="418"/>
      <x:c r="V20" s="418"/>
      <x:c r="W20" s="418"/>
      <x:c r="X20" s="418"/>
      <x:c r="Y20" s="418"/>
      <x:c r="Z20" s="418"/>
    </x:row>
    <x:row r="21" ht="28" customHeight="1">
      <x:c r="A21" s="887"/>
      <x:c r="B21" s="887"/>
      <x:c r="C21" s="887"/>
      <x:c r="D21" s="887"/>
      <x:c r="E21" s="887"/>
      <x:c r="F21" s="887"/>
      <x:c r="G21" s="887"/>
      <x:c r="H21" s="887"/>
      <x:c r="I21" s="887"/>
      <x:c r="J21" s="887"/>
      <x:c r="K21" s="418"/>
      <x:c r="L21" s="418"/>
      <x:c r="M21" s="418"/>
      <x:c r="N21" s="418"/>
      <x:c r="O21" s="418"/>
      <x:c r="P21" s="418"/>
      <x:c r="Q21" s="418"/>
      <x:c r="R21" s="418"/>
      <x:c r="S21" s="418"/>
      <x:c r="T21" s="418"/>
      <x:c r="U21" s="418"/>
      <x:c r="V21" s="418"/>
      <x:c r="W21" s="418"/>
      <x:c r="X21" s="418"/>
      <x:c r="Y21" s="418"/>
      <x:c r="Z21" s="418"/>
    </x:row>
    <x:row r="22">
      <x:c r="A22"/>
      <x:c r="B22"/>
      <x:c r="C22"/>
      <x:c r="D22"/>
      <x:c r="E22"/>
      <x:c r="F22"/>
      <x:c r="G22"/>
      <x:c r="H22"/>
      <x:c r="I22"/>
      <x:c r="J22"/>
      <x:c r="K22" s="418"/>
      <x:c r="L22" s="418"/>
      <x:c r="M22" s="418"/>
      <x:c r="N22" s="418"/>
      <x:c r="O22" s="418"/>
      <x:c r="P22" s="418"/>
      <x:c r="Q22" s="418"/>
      <x:c r="R22" s="418"/>
      <x:c r="S22" s="418"/>
      <x:c r="T22" s="418"/>
      <x:c r="U22" s="418"/>
      <x:c r="V22" s="418"/>
      <x:c r="W22" s="418"/>
      <x:c r="X22" s="418"/>
      <x:c r="Y22" s="418"/>
      <x:c r="Z22" s="418"/>
    </x:row>
    <x:row r="23">
      <x:c r="A23"/>
      <x:c r="B23"/>
      <x:c r="C23"/>
      <x:c r="D23"/>
      <x:c r="E23"/>
      <x:c r="F23"/>
      <x:c r="G23"/>
      <x:c r="H23"/>
      <x:c r="I23"/>
      <x:c r="J23"/>
      <x:c r="K23" s="418"/>
      <x:c r="L23" s="418"/>
      <x:c r="M23" s="418"/>
      <x:c r="N23" s="418"/>
      <x:c r="O23" s="418"/>
      <x:c r="P23" s="418"/>
      <x:c r="Q23" s="418"/>
      <x:c r="R23" s="418"/>
      <x:c r="S23" s="418"/>
      <x:c r="T23" s="418"/>
      <x:c r="U23" s="418"/>
      <x:c r="V23" s="418"/>
      <x:c r="W23" s="418"/>
      <x:c r="X23" s="418"/>
      <x:c r="Y23" s="418"/>
      <x:c r="Z23" s="418"/>
    </x:row>
    <x:row r="24">
      <x:c r="A24"/>
      <x:c r="B24"/>
      <x:c r="C24"/>
      <x:c r="D24"/>
      <x:c r="E24"/>
      <x:c r="F24"/>
      <x:c r="G24"/>
      <x:c r="H24"/>
      <x:c r="I24"/>
      <x:c r="J24"/>
      <x:c r="K24" s="418"/>
      <x:c r="L24" s="418"/>
      <x:c r="M24" s="418"/>
      <x:c r="N24" s="418"/>
      <x:c r="O24" s="418"/>
      <x:c r="P24" s="418"/>
      <x:c r="Q24" s="418"/>
      <x:c r="R24" s="418"/>
      <x:c r="S24" s="418"/>
      <x:c r="T24" s="418"/>
      <x:c r="U24" s="418"/>
      <x:c r="V24" s="418"/>
      <x:c r="W24" s="418"/>
      <x:c r="X24" s="418"/>
      <x:c r="Y24" s="418"/>
      <x:c r="Z24" s="418"/>
    </x:row>
    <x:row r="25">
      <x:c r="A25"/>
      <x:c r="B25"/>
      <x:c r="C25"/>
      <x:c r="D25"/>
      <x:c r="E25"/>
      <x:c r="F25"/>
      <x:c r="G25"/>
      <x:c r="H25"/>
      <x:c r="I25"/>
      <x:c r="J25"/>
      <x:c r="K25" s="418"/>
      <x:c r="L25" s="418"/>
      <x:c r="M25" s="418"/>
      <x:c r="N25" s="418"/>
      <x:c r="O25" s="418"/>
      <x:c r="P25" s="418"/>
      <x:c r="Q25" s="418"/>
      <x:c r="R25" s="418"/>
      <x:c r="S25" s="418"/>
      <x:c r="T25" s="418"/>
      <x:c r="U25" s="418"/>
      <x:c r="V25" s="418"/>
      <x:c r="W25" s="418"/>
      <x:c r="X25" s="418"/>
      <x:c r="Y25" s="418"/>
      <x:c r="Z25" s="418"/>
    </x:row>
    <x:row r="26">
      <x:c r="A26"/>
      <x:c r="B26"/>
      <x:c r="C26"/>
      <x:c r="D26"/>
      <x:c r="E26"/>
      <x:c r="F26"/>
      <x:c r="G26"/>
      <x:c r="H26"/>
      <x:c r="I26"/>
      <x:c r="J26"/>
      <x:c r="K26" s="418"/>
      <x:c r="L26" s="418"/>
      <x:c r="M26" s="418"/>
      <x:c r="N26" s="418"/>
      <x:c r="O26" s="418"/>
      <x:c r="P26" s="418"/>
      <x:c r="Q26" s="418"/>
      <x:c r="R26" s="418"/>
      <x:c r="S26" s="418"/>
      <x:c r="T26" s="418"/>
      <x:c r="U26" s="418"/>
      <x:c r="V26" s="418"/>
      <x:c r="W26" s="418"/>
      <x:c r="X26" s="418"/>
      <x:c r="Y26" s="418"/>
      <x:c r="Z26" s="418"/>
    </x:row>
    <x:row r="27">
      <x:c r="A27"/>
      <x:c r="B27"/>
      <x:c r="C27"/>
      <x:c r="D27"/>
      <x:c r="E27"/>
      <x:c r="F27"/>
      <x:c r="G27"/>
      <x:c r="H27"/>
      <x:c r="I27"/>
      <x:c r="J27"/>
      <x:c r="K27" s="418"/>
      <x:c r="L27" s="418"/>
      <x:c r="M27" s="418"/>
      <x:c r="N27" s="418"/>
      <x:c r="O27" s="418"/>
      <x:c r="P27" s="418"/>
      <x:c r="Q27" s="418"/>
      <x:c r="R27" s="418"/>
      <x:c r="S27" s="418"/>
      <x:c r="T27" s="418"/>
      <x:c r="U27" s="418"/>
      <x:c r="V27" s="418"/>
      <x:c r="W27" s="418"/>
      <x:c r="X27" s="418"/>
      <x:c r="Y27" s="418"/>
      <x:c r="Z27" s="418"/>
    </x:row>
    <x:row r="28">
      <x:c r="A28"/>
      <x:c r="B28"/>
      <x:c r="C28"/>
      <x:c r="D28"/>
      <x:c r="E28"/>
      <x:c r="F28"/>
      <x:c r="G28"/>
      <x:c r="H28"/>
      <x:c r="I28"/>
      <x:c r="J28"/>
      <x:c r="K28" s="418"/>
      <x:c r="L28" s="418"/>
      <x:c r="M28" s="418"/>
      <x:c r="N28" s="418"/>
      <x:c r="O28" s="418"/>
      <x:c r="P28" s="418"/>
      <x:c r="Q28" s="418"/>
      <x:c r="R28" s="418"/>
      <x:c r="S28" s="418"/>
      <x:c r="T28" s="418"/>
      <x:c r="U28" s="418"/>
      <x:c r="V28" s="418"/>
      <x:c r="W28" s="418"/>
      <x:c r="X28" s="418"/>
      <x:c r="Y28" s="418"/>
      <x:c r="Z28" s="418"/>
    </x:row>
    <x:row r="29">
      <x:c r="A29"/>
      <x:c r="B29"/>
      <x:c r="C29"/>
      <x:c r="D29"/>
      <x:c r="E29"/>
      <x:c r="F29"/>
      <x:c r="G29"/>
      <x:c r="H29"/>
      <x:c r="I29"/>
      <x:c r="J29"/>
      <x:c r="K29" s="418"/>
      <x:c r="L29" s="418"/>
      <x:c r="M29" s="418"/>
      <x:c r="N29" s="418"/>
      <x:c r="O29" s="418"/>
      <x:c r="P29" s="418"/>
      <x:c r="Q29" s="418"/>
      <x:c r="R29" s="418"/>
      <x:c r="S29" s="418"/>
      <x:c r="T29" s="418"/>
      <x:c r="U29" s="418"/>
      <x:c r="V29" s="418"/>
      <x:c r="W29" s="418"/>
      <x:c r="X29" s="418"/>
      <x:c r="Y29" s="418"/>
      <x:c r="Z29" s="418"/>
    </x:row>
    <x:row r="30">
      <x:c r="A30"/>
      <x:c r="B30"/>
      <x:c r="C30"/>
      <x:c r="D30"/>
      <x:c r="E30"/>
      <x:c r="F30"/>
      <x:c r="G30"/>
      <x:c r="H30"/>
      <x:c r="I30"/>
      <x:c r="J30"/>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J1"/>
    <x:mergeCell ref="A2:J2"/>
    <x:mergeCell ref="A18:J18"/>
    <x:mergeCell ref="A20:J21"/>
  </x:mergeCells>
  <x:conditionalFormatting sqref="D7:D18">
    <x:cfRule type="expression" dxfId="7" priority="1">
      <x:formula>$D7="Yes"</x:formula>
    </x:cfRule>
    <x:cfRule type="expression" dxfId="8" priority="2">
      <x:formula>$D7="No"</x:formula>
    </x:cfRule>
  </x:conditionalFormatting>
  <x:conditionalFormatting sqref="D9:D15">
    <x:cfRule type="expression" dxfId="30" priority="3">
      <x:formula>$D9="Complete"</x:formula>
    </x:cfRule>
    <x:cfRule type="expression" dxfId="31" priority="4">
      <x:formula>$D9="Pending"</x:formula>
    </x:cfRule>
  </x:conditionalFormatting>
  <x:conditionalFormatting sqref="I9:I16">
    <x:cfRule type="expression" dxfId="32" priority="5">
      <x:formula>$I9="Complete"</x:formula>
    </x:cfRule>
    <x:cfRule type="expression" dxfId="33" priority="6">
      <x:formula>$I9="Pending"</x:formula>
    </x:cfRule>
    <x:cfRule type="expression" dxfId="34" priority="7">
      <x:formula>$I9="Access barrier"</x:formula>
    </x:cfRule>
    <x:cfRule type="expression" dxfId="35" priority="8">
      <x:formula>$I9="Not applicable"</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7" hidden="0" customWidth="1"/>
    <x:col min="2" max="2" width="16" hidden="0" customWidth="1"/>
    <x:col min="3" max="3" width="16" hidden="0" customWidth="1"/>
    <x:col min="4" max="4" width="24" hidden="0" customWidth="1"/>
    <x:col min="5" max="5" width="30" hidden="0" customWidth="1"/>
    <x:col min="6" max="6" width="32" hidden="0" customWidth="1"/>
    <x:col min="7" max="7" width="18" hidden="0" customWidth="1"/>
    <x:col min="8" max="8" width="20" hidden="0" customWidth="1"/>
    <x:col min="9" max="9" width="28" hidden="0" customWidth="1"/>
    <x:col min="10" max="10" width="55" hidden="0" customWidth="1"/>
    <x:col min="11" max="11" width="30" hidden="0" customWidth="1"/>
    <x:col min="12" max="12" width="28" hidden="0" customWidth="1"/>
    <x:col min="13" max="13" width="24" hidden="0" customWidth="1"/>
    <x:col min="14" max="14" width="42" hidden="0" customWidth="1"/>
  </x:cols>
  <x:sheetData>
    <x:row r="1" ht="30" customHeight="1">
      <x:c r="A1" s="533" t="str">
        <x:v>Supplementary Search Log — Database-Level Summary</x:v>
      </x:c>
      <x:c r="B1" s="533"/>
      <x:c r="C1" s="533"/>
      <x:c r="D1" s="533"/>
      <x:c r="E1" s="533"/>
      <x:c r="F1" s="533"/>
      <x:c r="G1" s="533"/>
      <x:c r="H1" s="533"/>
      <x:c r="I1" s="533"/>
      <x:c r="J1" s="533"/>
      <x:c r="K1" s="533"/>
      <x:c r="L1" s="533"/>
      <x:c r="M1" s="533"/>
      <x:c r="N1" s="533"/>
      <x:c r="O1" s="418"/>
      <x:c r="P1" s="418"/>
      <x:c r="Q1" s="418"/>
      <x:c r="R1" s="418"/>
      <x:c r="S1" s="418"/>
      <x:c r="T1" s="418"/>
      <x:c r="U1" s="418"/>
      <x:c r="V1" s="418"/>
      <x:c r="W1" s="418"/>
      <x:c r="X1" s="418"/>
      <x:c r="Y1" s="418"/>
      <x:c r="Z1" s="418"/>
    </x:row>
    <x:row r="2">
      <x:c r="A2" s="418"/>
      <x:c r="B2" s="418"/>
      <x:c r="C2" s="418"/>
      <x:c r="D2" s="418"/>
      <x:c r="E2" s="418"/>
      <x:c r="F2" s="418"/>
      <x:c r="G2" s="418"/>
      <x:c r="H2" s="418"/>
      <x:c r="I2" s="418"/>
      <x:c r="J2" s="418"/>
      <x:c r="K2" s="418"/>
      <x:c r="L2" s="418"/>
      <x:c r="M2" s="418"/>
      <x:c r="N2" s="418"/>
      <x:c r="O2" s="418"/>
      <x:c r="P2" s="418"/>
      <x:c r="Q2" s="418"/>
      <x:c r="R2" s="418"/>
      <x:c r="S2" s="418"/>
      <x:c r="T2" s="418"/>
      <x:c r="U2" s="418"/>
      <x:c r="V2" s="418"/>
      <x:c r="W2" s="418"/>
      <x:c r="X2" s="418"/>
      <x:c r="Y2" s="418"/>
      <x:c r="Z2" s="418"/>
    </x:row>
    <x:row r="3">
      <x:c r="A3" s="425" t="str">
        <x:v>Database</x:v>
      </x:c>
      <x:c r="B3" s="425" t="str">
        <x:v>Search ID(s)</x:v>
      </x:c>
      <x:c r="C3" s="425" t="str">
        <x:v>Search date</x:v>
      </x:c>
      <x:c r="D3" s="425" t="str">
        <x:v>Coverage period</x:v>
      </x:c>
      <x:c r="E3" s="425" t="str">
        <x:v>Search mode</x:v>
      </x:c>
      <x:c r="F3" s="425" t="str">
        <x:v>Filters</x:v>
      </x:c>
      <x:c r="G3" s="425" t="str">
        <x:v>Reported/displayed hits</x:v>
      </x:c>
      <x:c r="H3" s="425" t="str">
        <x:v>Actual record instances imported</x:v>
      </x:c>
      <x:c r="I3" s="425" t="str">
        <x:v>Export format</x:v>
      </x:c>
      <x:c r="J3" s="425" t="str">
        <x:v>Evidence files</x:v>
      </x:c>
      <x:c r="K3" s="425" t="str">
        <x:v>Count type</x:v>
      </x:c>
      <x:c r="L3" s="425" t="str">
        <x:v>Use in final PRISMA?</x:v>
      </x:c>
      <x:c r="M3" s="425" t="str">
        <x:v>Current status</x:v>
      </x:c>
      <x:c r="N3" s="425" t="str">
        <x:v>Required action</x:v>
      </x:c>
      <x:c r="O3" s="418"/>
      <x:c r="P3" s="418"/>
      <x:c r="Q3" s="418"/>
      <x:c r="R3" s="418"/>
      <x:c r="S3" s="418"/>
      <x:c r="T3" s="418"/>
      <x:c r="U3" s="418"/>
      <x:c r="V3" s="418"/>
      <x:c r="W3" s="418"/>
      <x:c r="X3" s="418"/>
      <x:c r="Y3" s="418"/>
      <x:c r="Z3" s="418"/>
    </x:row>
    <x:row r="4" ht="86" customHeight="1">
      <x:c r="A4" s="426" t="str">
        <x:v>PubMed</x:v>
      </x:c>
      <x:c r="B4" s="426" t="str">
        <x:v>PUBMED-01</x:v>
      </x:c>
      <x:c r="C4" s="426" t="str">
        <x:v>6 August 2026</x:v>
      </x:c>
      <x:c r="D4" s="426" t="str">
        <x:v>1 January 2017–6 August 2026</x:v>
      </x:c>
      <x:c r="E4" s="426" t="str">
        <x:v>Title/Abstract proximity terms + MeSH terms</x:v>
      </x:c>
      <x:c r="F4" s="426" t="str">
        <x:v>Publication date only; no language or article-type filters</x:v>
      </x:c>
      <x:c r="G4" s="426" t="str">
        <x:v>24 in the original run; 25 in the complete rerun/export</x:v>
      </x:c>
      <x:c r="H4" s="426" t="n">
        <x:v>25</x:v>
      </x:c>
      <x:c r="I4" s="426" t="str">
        <x:v>CSV; earlier NBIB retained as audit evidence</x:v>
      </x:c>
      <x:c r="J4" s="426" t="str">
        <x:v>PubMedSearchHistory.csv; PubMed_Search_Results_2026-08-06.png; csv-conceptbas-set.csv</x:v>
      </x:c>
      <x:c r="K4" s="426" t="str">
        <x:v>Exact original count + documented rerun discrepancy</x:v>
      </x:c>
      <x:c r="L4" s="426" t="str">
        <x:v>Yes — use the 25 records actually retained for screening</x:v>
      </x:c>
      <x:c r="M4" s="426" t="str">
        <x:v>Record export complete</x:v>
      </x:c>
      <x:c r="N4" s="426" t="str">
        <x:v>Primary screening was completed by the corresponding author using the available title/abstract evidence; two co-authors performed random spot checks. Verify incomplete bibliographic fields before citation.</x:v>
      </x:c>
      <x:c r="O4" s="418"/>
      <x:c r="P4" s="418"/>
      <x:c r="Q4" s="418"/>
      <x:c r="R4" s="418"/>
      <x:c r="S4" s="418"/>
      <x:c r="T4" s="418"/>
      <x:c r="U4" s="418"/>
      <x:c r="V4" s="418"/>
      <x:c r="W4" s="418"/>
      <x:c r="X4" s="418"/>
      <x:c r="Y4" s="418"/>
      <x:c r="Z4" s="418"/>
    </x:row>
    <x:row r="5" ht="86" customHeight="1">
      <x:c r="A5" s="426" t="str">
        <x:v>IEEE Xplore</x:v>
      </x:c>
      <x:c r="B5" s="426" t="str">
        <x:v>IEEE-01</x:v>
      </x:c>
      <x:c r="C5" s="426" t="str">
        <x:v>6 August 2026</x:v>
      </x:c>
      <x:c r="D5" s="426" t="str">
        <x:v>1 January 2017–6 August 2026</x:v>
      </x:c>
      <x:c r="E5" s="426" t="str">
        <x:v>Command Search in All Metadata</x:v>
      </x:c>
      <x:c r="F5" s="426" t="str">
        <x:v>Publication years 2017–2026; no content-type or access filters</x:v>
      </x:c>
      <x:c r="G5" s="426" t="n">
        <x:v>19</x:v>
      </x:c>
      <x:c r="H5" s="426" t="n">
        <x:v>19</x:v>
      </x:c>
      <x:c r="I5" s="426" t="str">
        <x:v>CSV and BibTeX</x:v>
      </x:c>
      <x:c r="J5" s="426" t="str">
        <x:v>IEEE_R1_2026-08-06_19records.csv; IEEE_R1_2026-08-06_19records.bib; IEEE_Search_Results_2026-08-06.png</x:v>
      </x:c>
      <x:c r="K5" s="426" t="str">
        <x:v>Exact database result count</x:v>
      </x:c>
      <x:c r="L5" s="426" t="str">
        <x:v>Yes</x:v>
      </x:c>
      <x:c r="M5" s="426" t="str">
        <x:v>Complete for current search</x:v>
      </x:c>
      <x:c r="N5" s="426" t="str">
        <x:v>Primary screening was completed by the corresponding author; two co-authors performed random spot checks. Preserve the source export and verification record.</x:v>
      </x:c>
      <x:c r="O5" s="418"/>
      <x:c r="P5" s="418"/>
      <x:c r="Q5" s="418"/>
      <x:c r="R5" s="418"/>
      <x:c r="S5" s="418"/>
      <x:c r="T5" s="418"/>
      <x:c r="U5" s="418"/>
      <x:c r="V5" s="418"/>
      <x:c r="W5" s="418"/>
      <x:c r="X5" s="418"/>
      <x:c r="Y5" s="418"/>
      <x:c r="Z5" s="418"/>
    </x:row>
    <x:row r="6" ht="86" customHeight="1">
      <x:c r="A6" s="426" t="str">
        <x:v>Google Scholar</x:v>
      </x:c>
      <x:c r="B6" s="426" t="str">
        <x:v>GS-01–GS-08</x:v>
      </x:c>
      <x:c r="C6" s="426" t="str">
        <x:v>6 August 2026; screening capture refreshed 10 August 2026</x:v>
      </x:c>
      <x:c r="D6" s="426" t="str">
        <x:v>2017–2026</x:v>
      </x:c>
      <x:c r="E6" s="426" t="str">
        <x:v>Eight targeted supplementary searches</x:v>
      </x:c>
      <x:c r="F6" s="426" t="str">
        <x:v>Sorted by relevance; patents off; citation-only records off</x:v>
      </x:c>
      <x:c r="G6" s="426" t="str">
        <x:v>Approximate displayed estimates recorded per query; unstable and not summed for PRISMA</x:v>
      </x:c>
      <x:c r="H6" s="426" t="n">
        <x:v>595</x:v>
      </x:c>
      <x:c r="I6" s="426" t="str">
        <x:v>Screenshot-based screening set; title metadata transcribed</x:v>
      </x:c>
      <x:c r="J6" s="426" t="str">
        <x:v>61 captured result pages covering GS-01–GS-08; OCR-normalised secondary fields flagged in Master Records</x:v>
      </x:c>
      <x:c r="K6" s="426" t="str">
        <x:v>Actual screening-set count</x:v>
      </x:c>
      <x:c r="L6" s="426" t="str">
        <x:v>Yes — 595 source instances before deduplication</x:v>
      </x:c>
      <x:c r="M6" s="426" t="str">
        <x:v>Search capture and title transcription complete; final deduplication complete</x:v>
      </x:c>
      <x:c r="N6" s="426" t="str">
        <x:v>Primary screening was completed by the corresponding author, with random co-author spot checks; verify OCR-normalised secondary metadata before citation.</x:v>
      </x:c>
      <x:c r="O6" s="418"/>
      <x:c r="P6" s="418"/>
      <x:c r="Q6" s="418"/>
      <x:c r="R6" s="418"/>
      <x:c r="S6" s="418"/>
      <x:c r="T6" s="418"/>
      <x:c r="U6" s="418"/>
      <x:c r="V6" s="418"/>
      <x:c r="W6" s="418"/>
      <x:c r="X6" s="418"/>
      <x:c r="Y6" s="418"/>
      <x:c r="Z6" s="418"/>
    </x:row>
    <x:row r="7" ht="86" customHeight="1">
      <x:c r="A7" s="426" t="str">
        <x:v>arXiv</x:v>
      </x:c>
      <x:c r="B7" s="426" t="str">
        <x:v>ARXIV-01–ARXIV-14</x:v>
      </x:c>
      <x:c r="C7" s="426" t="str">
        <x:v>7 August 2026 recheck</x:v>
      </x:c>
      <x:c r="D7" s="426" t="str">
        <x:v>2017–2026</x:v>
      </x:c>
      <x:c r="E7" s="426" t="str">
        <x:v>Fourteen targeted searches</x:v>
      </x:c>
      <x:c r="F7" s="426" t="str">
        <x:v>All fields; cross-listed papers included; original submission date; results per page 50</x:v>
      </x:c>
      <x:c r="G7" s="426" t="n">
        <x:v>80</x:v>
      </x:c>
      <x:c r="H7" s="426" t="n">
        <x:v>80</x:v>
      </x:c>
      <x:c r="I7" s="426" t="str">
        <x:v>Screenshot-counted search instances; all titles transcribed</x:v>
      </x:c>
      <x:c r="J7" s="426" t="str">
        <x:v>Supplied arXiv rerun screenshots and zero-result checks; partial secondary metadata flagged in Master Records</x:v>
      </x:c>
      <x:c r="K7" s="426" t="str">
        <x:v>Rechecked per-query result count</x:v>
      </x:c>
      <x:c r="L7" s="426" t="str">
        <x:v>Yes — use 80 source instances before deduplication</x:v>
      </x:c>
      <x:c r="M7" s="426" t="str">
        <x:v>Count and title transcription complete; final deduplication complete</x:v>
      </x:c>
      <x:c r="N7" s="426" t="str">
        <x:v>Primary screening was completed by the corresponding author, with random co-author spot checks; verify partial secondary metadata before citation.</x:v>
      </x:c>
      <x:c r="O7" s="418"/>
      <x:c r="P7" s="418"/>
      <x:c r="Q7" s="418"/>
      <x:c r="R7" s="418"/>
      <x:c r="S7" s="418"/>
      <x:c r="T7" s="418"/>
      <x:c r="U7" s="418"/>
      <x:c r="V7" s="418"/>
      <x:c r="W7" s="418"/>
      <x:c r="X7" s="418"/>
      <x:c r="Y7" s="418"/>
      <x:c r="Z7" s="418"/>
    </x:row>
    <x:row r="8">
      <x:c r="A8" s="418" t="str">
        <x:v>Citation chasing</x:v>
      </x:c>
      <x:c r="B8" s="418" t="str">
        <x:v>CITATION-01</x:v>
      </x:c>
      <x:c r="C8" s="418" t="str">
        <x:v>17 August 2026</x:v>
      </x:c>
      <x:c r="D8" s="418" t="str">
        <x:v>2017–2026</x:v>
      </x:c>
      <x:c r="E8" s="418" t="str">
        <x:v>Backward citation chasing from the current manuscript bibliography</x:v>
      </x:c>
      <x:c r="F8" s="418" t="str">
        <x:v>References 71, 100, and 101 identified as cited in the manuscript but absent from the screening register</x:v>
      </x:c>
      <x:c r="G8" s="418" t="n">
        <x:v>3</x:v>
      </x:c>
      <x:c r="H8" s="418" t="n">
        <x:v>3</x:v>
      </x:c>
      <x:c r="I8" s="418" t="str">
        <x:v>Manual bibliographic verification</x:v>
      </x:c>
      <x:c r="J8" s="418" t="str">
        <x:v>Current manuscript References 71, 100, and 101; DOI/publisher records</x:v>
      </x:c>
      <x:c r="K8" s="418" t="str">
        <x:v>Exact citation-chasing count</x:v>
      </x:c>
      <x:c r="L8" s="418" t="str">
        <x:v>Yes — include before deduplication</x:v>
      </x:c>
      <x:c r="M8" s="737" t="str">
        <x:v>Complete; deduplication rerun completed</x:v>
      </x:c>
      <x:c r="N8" s="418" t="str">
        <x:v>Final status: the corresponding author assessed all 110 valid reports sought; 109 were included and GS-04-008 was excluded with one documented primary reason. Two additional authors performed random spot checks. Four unverifiable artifacts were removed from active counts.</x:v>
      </x:c>
      <x:c r="O8" s="418"/>
      <x:c r="P8" s="418"/>
      <x:c r="Q8" s="418"/>
      <x:c r="R8" s="418"/>
      <x:c r="S8" s="418"/>
      <x:c r="T8" s="418"/>
      <x:c r="U8" s="418"/>
      <x:c r="V8" s="418"/>
      <x:c r="W8" s="418"/>
      <x:c r="X8" s="418"/>
      <x:c r="Y8" s="418"/>
      <x:c r="Z8" s="418"/>
    </x:row>
    <x:row r="9">
      <x:c r="A9" s="418"/>
      <x:c r="B9" s="418"/>
      <x:c r="C9" s="418"/>
      <x:c r="D9" s="418"/>
      <x:c r="E9" s="418"/>
      <x:c r="F9" s="418"/>
      <x:c r="G9" s="418"/>
      <x:c r="H9" s="418"/>
      <x:c r="I9" s="418"/>
      <x:c r="J9" s="418"/>
      <x:c r="K9" s="418"/>
      <x:c r="L9" s="418"/>
      <x:c r="M9" s="418"/>
      <x:c r="N9" s="418"/>
      <x:c r="O9" s="418"/>
      <x:c r="P9" s="418"/>
      <x:c r="Q9" s="418"/>
      <x:c r="R9" s="418"/>
      <x:c r="S9" s="418"/>
      <x:c r="T9" s="418"/>
      <x:c r="U9" s="418"/>
      <x:c r="V9" s="418"/>
      <x:c r="W9" s="418"/>
      <x:c r="X9" s="418"/>
      <x:c r="Y9" s="418"/>
      <x:c r="Z9" s="418"/>
    </x:row>
    <x:row r="10">
      <x:c r="A10" s="418"/>
      <x:c r="B10" s="418"/>
      <x:c r="C10" s="418"/>
      <x:c r="D10" s="418"/>
      <x:c r="E10" s="418"/>
      <x:c r="F10" s="418"/>
      <x:c r="G10" s="418"/>
      <x:c r="H10" s="418"/>
      <x:c r="I10" s="418"/>
      <x:c r="J10" s="418"/>
      <x:c r="K10" s="418"/>
      <x:c r="L10" s="418"/>
      <x:c r="M10" s="418"/>
      <x:c r="N10" s="418"/>
      <x:c r="O10" s="418"/>
      <x:c r="P10" s="418"/>
      <x:c r="Q10" s="418"/>
      <x:c r="R10" s="418"/>
      <x:c r="S10" s="418"/>
      <x:c r="T10" s="418"/>
      <x:c r="U10" s="418"/>
      <x:c r="V10" s="418"/>
      <x:c r="W10" s="418"/>
      <x:c r="X10" s="418"/>
      <x:c r="Y10" s="418"/>
      <x:c r="Z10" s="418"/>
    </x:row>
    <x:row r="11">
      <x:c r="A11" s="418"/>
      <x:c r="B11" s="418"/>
      <x:c r="C11" s="418"/>
      <x:c r="D11" s="418"/>
      <x:c r="E11" s="418"/>
      <x:c r="F11" s="418"/>
      <x:c r="G11" s="418"/>
      <x:c r="H11" s="418"/>
      <x:c r="I11" s="418"/>
      <x:c r="J11" s="418"/>
      <x:c r="K11" s="418"/>
      <x:c r="L11" s="418"/>
      <x:c r="M11" s="418"/>
      <x:c r="N11" s="418"/>
      <x:c r="O11" s="418"/>
      <x:c r="P11" s="418"/>
      <x:c r="Q11" s="418"/>
      <x:c r="R11" s="418"/>
      <x:c r="S11" s="418"/>
      <x:c r="T11" s="418"/>
      <x:c r="U11" s="418"/>
      <x:c r="V11" s="418"/>
      <x:c r="W11" s="418"/>
      <x:c r="X11" s="418"/>
      <x:c r="Y11" s="418"/>
      <x:c r="Z11" s="418"/>
    </x:row>
    <x:row r="12">
      <x:c r="A12" s="418"/>
      <x:c r="B12" s="418"/>
      <x:c r="C12" s="418"/>
      <x:c r="D12" s="418"/>
      <x:c r="E12" s="418"/>
      <x:c r="F12" s="418"/>
      <x:c r="G12" s="418"/>
      <x:c r="H12" s="418"/>
      <x:c r="I12" s="418"/>
      <x:c r="J12" s="418"/>
      <x:c r="K12" s="418"/>
      <x:c r="L12" s="418"/>
      <x:c r="M12" s="418"/>
      <x:c r="N12" s="418"/>
      <x:c r="O12" s="418"/>
      <x:c r="P12" s="418"/>
      <x:c r="Q12" s="418"/>
      <x:c r="R12" s="418"/>
      <x:c r="S12" s="418"/>
      <x:c r="T12" s="418"/>
      <x:c r="U12" s="418"/>
      <x:c r="V12" s="418"/>
      <x:c r="W12" s="418"/>
      <x:c r="X12" s="418"/>
      <x:c r="Y12" s="418"/>
      <x:c r="Z12" s="418"/>
    </x:row>
    <x:row r="13">
      <x:c r="A13" s="418"/>
      <x:c r="B13" s="418"/>
      <x:c r="C13" s="418"/>
      <x:c r="D13" s="418"/>
      <x:c r="E13" s="418"/>
      <x:c r="F13" s="418"/>
      <x:c r="G13" s="418"/>
      <x:c r="H13" s="418"/>
      <x:c r="I13" s="418"/>
      <x:c r="J13" s="418"/>
      <x:c r="K13" s="418"/>
      <x:c r="L13" s="418"/>
      <x:c r="M13" s="418"/>
      <x:c r="N13" s="418"/>
      <x:c r="O13" s="418"/>
      <x:c r="P13" s="418"/>
      <x:c r="Q13" s="418"/>
      <x:c r="R13" s="418"/>
      <x:c r="S13" s="418"/>
      <x:c r="T13" s="418"/>
      <x:c r="U13" s="418"/>
      <x:c r="V13" s="418"/>
      <x:c r="W13" s="418"/>
      <x:c r="X13" s="418"/>
      <x:c r="Y13" s="418"/>
      <x:c r="Z13" s="418"/>
    </x:row>
    <x:row r="14">
      <x:c r="A14" s="418"/>
      <x:c r="B14" s="418"/>
      <x:c r="C14" s="418"/>
      <x:c r="D14" s="418"/>
      <x:c r="E14" s="418"/>
      <x:c r="F14" s="418"/>
      <x:c r="G14" s="418"/>
      <x:c r="H14" s="418"/>
      <x:c r="I14" s="418"/>
      <x:c r="J14" s="418"/>
      <x:c r="K14" s="418"/>
      <x:c r="L14" s="418"/>
      <x:c r="M14" s="418"/>
      <x:c r="N14" s="418"/>
      <x:c r="O14" s="418"/>
      <x:c r="P14" s="418"/>
      <x:c r="Q14" s="418"/>
      <x:c r="R14" s="418"/>
      <x:c r="S14" s="418"/>
      <x:c r="T14" s="418"/>
      <x:c r="U14" s="418"/>
      <x:c r="V14" s="418"/>
      <x:c r="W14" s="418"/>
      <x:c r="X14" s="418"/>
      <x:c r="Y14" s="418"/>
      <x:c r="Z14" s="418"/>
    </x:row>
    <x:row r="15">
      <x:c r="A15" s="418"/>
      <x:c r="B15" s="418"/>
      <x:c r="C15" s="418"/>
      <x:c r="D15" s="418"/>
      <x:c r="E15" s="418"/>
      <x:c r="F15" s="418"/>
      <x:c r="G15" s="418"/>
      <x:c r="H15" s="418"/>
      <x:c r="I15" s="418"/>
      <x:c r="J15" s="418"/>
      <x:c r="K15" s="418"/>
      <x:c r="L15" s="418"/>
      <x:c r="M15" s="418"/>
      <x:c r="N15" s="418"/>
      <x:c r="O15" s="418"/>
      <x:c r="P15" s="418"/>
      <x:c r="Q15" s="418"/>
      <x:c r="R15" s="418"/>
      <x:c r="S15" s="418"/>
      <x:c r="T15" s="418"/>
      <x:c r="U15" s="418"/>
      <x:c r="V15" s="418"/>
      <x:c r="W15" s="418"/>
      <x:c r="X15" s="418"/>
      <x:c r="Y15" s="418"/>
      <x:c r="Z15" s="418"/>
    </x:row>
    <x:row r="16">
      <x:c r="A16" s="418"/>
      <x:c r="B16" s="418"/>
      <x:c r="C16" s="418"/>
      <x:c r="D16" s="418"/>
      <x:c r="E16" s="418"/>
      <x:c r="F16" s="418"/>
      <x:c r="G16" s="418"/>
      <x:c r="H16" s="418"/>
      <x:c r="I16" s="418"/>
      <x:c r="J16" s="418"/>
      <x:c r="K16" s="418"/>
      <x:c r="L16" s="418"/>
      <x:c r="M16" s="418"/>
      <x:c r="N16" s="418"/>
      <x:c r="O16" s="418"/>
      <x:c r="P16" s="418"/>
      <x:c r="Q16" s="418"/>
      <x:c r="R16" s="418"/>
      <x:c r="S16" s="418"/>
      <x:c r="T16" s="418"/>
      <x:c r="U16" s="418"/>
      <x:c r="V16" s="418"/>
      <x:c r="W16" s="418"/>
      <x:c r="X16" s="418"/>
      <x:c r="Y16" s="418"/>
      <x:c r="Z16" s="418"/>
    </x:row>
    <x:row r="17">
      <x:c r="A17" s="418"/>
      <x:c r="B17" s="418"/>
      <x:c r="C17" s="418"/>
      <x:c r="D17" s="418"/>
      <x:c r="E17" s="418"/>
      <x:c r="F17" s="418"/>
      <x:c r="G17" s="418"/>
      <x:c r="H17" s="418"/>
      <x:c r="I17" s="418"/>
      <x:c r="J17" s="418"/>
      <x:c r="K17" s="418"/>
      <x:c r="L17" s="418"/>
      <x:c r="M17" s="418"/>
      <x:c r="N17" s="418"/>
      <x:c r="O17" s="418"/>
      <x:c r="P17" s="418"/>
      <x:c r="Q17" s="418"/>
      <x:c r="R17" s="418"/>
      <x:c r="S17" s="418"/>
      <x:c r="T17" s="418"/>
      <x:c r="U17" s="418"/>
      <x:c r="V17" s="418"/>
      <x:c r="W17" s="418"/>
      <x:c r="X17" s="418"/>
      <x:c r="Y17" s="418"/>
      <x:c r="Z17" s="418"/>
    </x:row>
    <x:row r="18">
      <x:c r="A18" s="418"/>
      <x:c r="B18" s="418"/>
      <x:c r="C18" s="418"/>
      <x:c r="D18" s="418"/>
      <x:c r="E18" s="418"/>
      <x:c r="F18" s="418"/>
      <x:c r="G18" s="418"/>
      <x:c r="H18" s="418"/>
      <x:c r="I18" s="418"/>
      <x:c r="J18" s="418"/>
      <x:c r="K18" s="418"/>
      <x:c r="L18" s="418"/>
      <x:c r="M18" s="418"/>
      <x:c r="N18" s="418"/>
      <x:c r="O18" s="418"/>
      <x:c r="P18" s="418"/>
      <x:c r="Q18" s="418"/>
      <x:c r="R18" s="418"/>
      <x:c r="S18" s="418"/>
      <x:c r="T18" s="418"/>
      <x:c r="U18" s="418"/>
      <x:c r="V18" s="418"/>
      <x:c r="W18" s="418"/>
      <x:c r="X18" s="418"/>
      <x:c r="Y18" s="418"/>
      <x:c r="Z18" s="418"/>
    </x:row>
    <x:row r="19">
      <x:c r="A19" s="418"/>
      <x:c r="B19" s="418"/>
      <x:c r="C19" s="418"/>
      <x:c r="D19" s="418"/>
      <x:c r="E19" s="418"/>
      <x:c r="F19" s="418"/>
      <x:c r="G19" s="418"/>
      <x:c r="H19" s="418"/>
      <x:c r="I19" s="418"/>
      <x:c r="J19" s="418"/>
      <x:c r="K19" s="418"/>
      <x:c r="L19" s="418"/>
      <x:c r="M19" s="418"/>
      <x:c r="N19" s="418"/>
      <x:c r="O19" s="418"/>
      <x:c r="P19" s="418"/>
      <x:c r="Q19" s="418"/>
      <x:c r="R19" s="418"/>
      <x:c r="S19" s="418"/>
      <x:c r="T19" s="418"/>
      <x:c r="U19" s="418"/>
      <x:c r="V19" s="418"/>
      <x:c r="W19" s="418"/>
      <x:c r="X19" s="418"/>
      <x:c r="Y19" s="418"/>
      <x:c r="Z19" s="418"/>
    </x:row>
    <x:row r="20">
      <x:c r="A20" s="418"/>
      <x:c r="B20" s="418"/>
      <x:c r="C20" s="418"/>
      <x:c r="D20" s="418"/>
      <x:c r="E20" s="418"/>
      <x:c r="F20" s="418"/>
      <x:c r="G20" s="418"/>
      <x:c r="H20" s="418"/>
      <x:c r="I20" s="418"/>
      <x:c r="J20" s="418"/>
      <x:c r="K20" s="418"/>
      <x:c r="L20" s="418"/>
      <x:c r="M20" s="418"/>
      <x:c r="N20" s="418"/>
      <x:c r="O20" s="418"/>
      <x:c r="P20" s="418"/>
      <x:c r="Q20" s="418"/>
      <x:c r="R20" s="418"/>
      <x:c r="S20" s="418"/>
      <x:c r="T20" s="418"/>
      <x:c r="U20" s="418"/>
      <x:c r="V20" s="418"/>
      <x:c r="W20" s="418"/>
      <x:c r="X20" s="418"/>
      <x:c r="Y20" s="418"/>
      <x:c r="Z20" s="418"/>
    </x:row>
    <x:row r="21">
      <x:c r="A21" s="418"/>
      <x:c r="B21" s="418"/>
      <x:c r="C21" s="418"/>
      <x:c r="D21" s="418"/>
      <x:c r="E21" s="418"/>
      <x:c r="F21" s="418"/>
      <x:c r="G21" s="418"/>
      <x:c r="H21" s="418"/>
      <x:c r="I21" s="418"/>
      <x:c r="J21" s="418"/>
      <x:c r="K21" s="418"/>
      <x:c r="L21" s="418"/>
      <x:c r="M21" s="418"/>
      <x:c r="N21" s="418"/>
      <x:c r="O21" s="418"/>
      <x:c r="P21" s="418"/>
      <x:c r="Q21" s="418"/>
      <x:c r="R21" s="418"/>
      <x:c r="S21" s="418"/>
      <x:c r="T21" s="418"/>
      <x:c r="U21" s="418"/>
      <x:c r="V21" s="418"/>
      <x:c r="W21" s="418"/>
      <x:c r="X21" s="418"/>
      <x:c r="Y21" s="418"/>
      <x:c r="Z21" s="418"/>
    </x:row>
    <x:row r="22">
      <x:c r="A22" s="418"/>
      <x:c r="B22" s="418"/>
      <x:c r="C22" s="418"/>
      <x:c r="D22" s="418"/>
      <x:c r="E22" s="418"/>
      <x:c r="F22" s="418"/>
      <x:c r="G22" s="418"/>
      <x:c r="H22" s="418"/>
      <x:c r="I22" s="418"/>
      <x:c r="J22" s="418"/>
      <x:c r="K22" s="418"/>
      <x:c r="L22" s="418"/>
      <x:c r="M22" s="418"/>
      <x:c r="N22" s="418"/>
      <x:c r="O22" s="418"/>
      <x:c r="P22" s="418"/>
      <x:c r="Q22" s="418"/>
      <x:c r="R22" s="418"/>
      <x:c r="S22" s="418"/>
      <x:c r="T22" s="418"/>
      <x:c r="U22" s="418"/>
      <x:c r="V22" s="418"/>
      <x:c r="W22" s="418"/>
      <x:c r="X22" s="418"/>
      <x:c r="Y22" s="418"/>
      <x:c r="Z22" s="418"/>
    </x:row>
    <x:row r="23">
      <x:c r="A23" s="418"/>
      <x:c r="B23" s="418"/>
      <x:c r="C23" s="418"/>
      <x:c r="D23" s="418"/>
      <x:c r="E23" s="418"/>
      <x:c r="F23" s="418"/>
      <x:c r="G23" s="418"/>
      <x:c r="H23" s="418"/>
      <x:c r="I23" s="418"/>
      <x:c r="J23" s="418"/>
      <x:c r="K23" s="418"/>
      <x:c r="L23" s="418"/>
      <x:c r="M23" s="418"/>
      <x:c r="N23" s="418"/>
      <x:c r="O23" s="418"/>
      <x:c r="P23" s="418"/>
      <x:c r="Q23" s="418"/>
      <x:c r="R23" s="418"/>
      <x:c r="S23" s="418"/>
      <x:c r="T23" s="418"/>
      <x:c r="U23" s="418"/>
      <x:c r="V23" s="418"/>
      <x:c r="W23" s="418"/>
      <x:c r="X23" s="418"/>
      <x:c r="Y23" s="418"/>
      <x:c r="Z23" s="418"/>
    </x:row>
    <x:row r="24">
      <x:c r="A24" s="418"/>
      <x:c r="B24" s="418"/>
      <x:c r="C24" s="418"/>
      <x:c r="D24" s="418"/>
      <x:c r="E24" s="418"/>
      <x:c r="F24" s="418"/>
      <x:c r="G24" s="418"/>
      <x:c r="H24" s="418"/>
      <x:c r="I24" s="418"/>
      <x:c r="J24" s="418"/>
      <x:c r="K24" s="418"/>
      <x:c r="L24" s="418"/>
      <x:c r="M24" s="418"/>
      <x:c r="N24" s="418"/>
      <x:c r="O24" s="418"/>
      <x:c r="P24" s="418"/>
      <x:c r="Q24" s="418"/>
      <x:c r="R24" s="418"/>
      <x:c r="S24" s="418"/>
      <x:c r="T24" s="418"/>
      <x:c r="U24" s="418"/>
      <x:c r="V24" s="418"/>
      <x:c r="W24" s="418"/>
      <x:c r="X24" s="418"/>
      <x:c r="Y24" s="418"/>
      <x:c r="Z24" s="418"/>
    </x:row>
    <x:row r="25">
      <x:c r="A25" s="418"/>
      <x:c r="B25" s="418"/>
      <x:c r="C25" s="418"/>
      <x:c r="D25" s="418"/>
      <x:c r="E25" s="418"/>
      <x:c r="F25" s="418"/>
      <x:c r="G25" s="418"/>
      <x:c r="H25" s="418"/>
      <x:c r="I25" s="418"/>
      <x:c r="J25" s="418"/>
      <x:c r="K25" s="418"/>
      <x:c r="L25" s="418"/>
      <x:c r="M25" s="418"/>
      <x:c r="N25" s="418"/>
      <x:c r="O25" s="418"/>
      <x:c r="P25" s="418"/>
      <x:c r="Q25" s="418"/>
      <x:c r="R25" s="418"/>
      <x:c r="S25" s="418"/>
      <x:c r="T25" s="418"/>
      <x:c r="U25" s="418"/>
      <x:c r="V25" s="418"/>
      <x:c r="W25" s="418"/>
      <x:c r="X25" s="418"/>
      <x:c r="Y25" s="418"/>
      <x:c r="Z25" s="418"/>
    </x:row>
    <x:row r="26">
      <x:c r="A26" s="418"/>
      <x:c r="B26" s="418"/>
      <x:c r="C26" s="418"/>
      <x:c r="D26" s="418"/>
      <x:c r="E26" s="418"/>
      <x:c r="F26" s="418"/>
      <x:c r="G26" s="418"/>
      <x:c r="H26" s="418"/>
      <x:c r="I26" s="418"/>
      <x:c r="J26" s="418"/>
      <x:c r="K26" s="418"/>
      <x:c r="L26" s="418"/>
      <x:c r="M26" s="418"/>
      <x:c r="N26" s="418"/>
      <x:c r="O26" s="418"/>
      <x:c r="P26" s="418"/>
      <x:c r="Q26" s="418"/>
      <x:c r="R26" s="418"/>
      <x:c r="S26" s="418"/>
      <x:c r="T26" s="418"/>
      <x:c r="U26" s="418"/>
      <x:c r="V26" s="418"/>
      <x:c r="W26" s="418"/>
      <x:c r="X26" s="418"/>
      <x:c r="Y26" s="418"/>
      <x:c r="Z26" s="418"/>
    </x:row>
    <x:row r="27">
      <x:c r="A27" s="418"/>
      <x:c r="B27" s="418"/>
      <x:c r="C27" s="418"/>
      <x:c r="D27" s="418"/>
      <x:c r="E27" s="418"/>
      <x:c r="F27" s="418"/>
      <x:c r="G27" s="418"/>
      <x:c r="H27" s="418"/>
      <x:c r="I27" s="418"/>
      <x:c r="J27" s="418"/>
      <x:c r="K27" s="418"/>
      <x:c r="L27" s="418"/>
      <x:c r="M27" s="418"/>
      <x:c r="N27" s="418"/>
      <x:c r="O27" s="418"/>
      <x:c r="P27" s="418"/>
      <x:c r="Q27" s="418"/>
      <x:c r="R27" s="418"/>
      <x:c r="S27" s="418"/>
      <x:c r="T27" s="418"/>
      <x:c r="U27" s="418"/>
      <x:c r="V27" s="418"/>
      <x:c r="W27" s="418"/>
      <x:c r="X27" s="418"/>
      <x:c r="Y27" s="418"/>
      <x:c r="Z27" s="418"/>
    </x:row>
    <x:row r="28">
      <x:c r="A28" s="418"/>
      <x:c r="B28" s="418"/>
      <x:c r="C28" s="418"/>
      <x:c r="D28" s="418"/>
      <x:c r="E28" s="418"/>
      <x:c r="F28" s="418"/>
      <x:c r="G28" s="418"/>
      <x:c r="H28" s="418"/>
      <x:c r="I28" s="418"/>
      <x:c r="J28" s="418"/>
      <x:c r="K28" s="418"/>
      <x:c r="L28" s="418"/>
      <x:c r="M28" s="418"/>
      <x:c r="N28" s="418"/>
      <x:c r="O28" s="418"/>
      <x:c r="P28" s="418"/>
      <x:c r="Q28" s="418"/>
      <x:c r="R28" s="418"/>
      <x:c r="S28" s="418"/>
      <x:c r="T28" s="418"/>
      <x:c r="U28" s="418"/>
      <x:c r="V28" s="418"/>
      <x:c r="W28" s="418"/>
      <x:c r="X28" s="418"/>
      <x:c r="Y28" s="418"/>
      <x:c r="Z28" s="418"/>
    </x:row>
    <x:row r="29">
      <x:c r="A29" s="418"/>
      <x:c r="B29" s="418"/>
      <x:c r="C29" s="418"/>
      <x:c r="D29" s="418"/>
      <x:c r="E29" s="418"/>
      <x:c r="F29" s="418"/>
      <x:c r="G29" s="418"/>
      <x:c r="H29" s="418"/>
      <x:c r="I29" s="418"/>
      <x:c r="J29" s="418"/>
      <x:c r="K29" s="418"/>
      <x:c r="L29" s="418"/>
      <x:c r="M29" s="418"/>
      <x:c r="N29" s="418"/>
      <x:c r="O29" s="418"/>
      <x:c r="P29" s="418"/>
      <x:c r="Q29" s="418"/>
      <x:c r="R29" s="418"/>
      <x:c r="S29" s="418"/>
      <x:c r="T29" s="418"/>
      <x:c r="U29" s="418"/>
      <x:c r="V29" s="418"/>
      <x:c r="W29" s="418"/>
      <x:c r="X29" s="418"/>
      <x:c r="Y29" s="418"/>
      <x:c r="Z29" s="418"/>
    </x:row>
    <x:row r="30">
      <x:c r="A30" s="418"/>
      <x:c r="B30" s="418"/>
      <x:c r="C30" s="418"/>
      <x:c r="D30" s="418"/>
      <x:c r="E30" s="418"/>
      <x:c r="F30" s="418"/>
      <x:c r="G30" s="418"/>
      <x:c r="H30" s="418"/>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N1"/>
  </x:mergeCells>
  <x:conditionalFormatting sqref="M4:M7">
    <x:cfRule type="expression" dxfId="0" priority="1">
      <x:formula>OR(ISNUMBER(SEARCH("Incomplete",M4)),ISNUMBER(SEARCH("discrepancy",M4)))</x:formula>
    </x:cfRule>
    <x:cfRule type="expression" dxfId="1" priority="2">
      <x:formula>ISNUMBER(SEARCH("Complete",M4))</x:formula>
    </x:cfRule>
  </x:conditionalFormatting>
  <x:pageMargins left="0.7" right="0.7" top="0.75" bottom="0.75" header="0.3" footer="0.3"/>
  <x:tableParts count="1">
    <x:tablePart xmlns:r="http://schemas.openxmlformats.org/officeDocument/2006/relationships" r:id="Rc1d13e2ff7254c25"/>
  </x:tableParts>
</x:worksheet>
</file>

<file path=xl/worksheets/sheet3.xml><?xml version="1.0" encoding="utf-8"?>
<x:worksheet xmlns:x="http://schemas.openxmlformats.org/spreadsheetml/2006/main">
  <x:sheetFormatPr defaultRowHeight="15"/>
  <x:cols>
    <x:col min="1" max="1" width="17" hidden="0" customWidth="1"/>
    <x:col min="2" max="2" width="14" hidden="0" customWidth="1"/>
    <x:col min="3" max="3" width="95" hidden="0" customWidth="1"/>
    <x:col min="4" max="4" width="16" hidden="0" customWidth="1"/>
    <x:col min="5" max="5" width="23" hidden="0" customWidth="1"/>
    <x:col min="6" max="6" width="38" hidden="0" customWidth="1"/>
    <x:col min="7" max="7" width="18" hidden="0" customWidth="1"/>
    <x:col min="8" max="8" width="18" hidden="0" customWidth="1"/>
    <x:col min="9" max="9" width="50" hidden="0" customWidth="1"/>
    <x:col min="10" max="10" width="52" hidden="0" customWidth="1"/>
  </x:cols>
  <x:sheetData>
    <x:row r="1" ht="30" customHeight="1">
      <x:c r="A1" s="533" t="str">
        <x:v>Supplementary Table S1 — Exact Database-Specific Search Strategies</x:v>
      </x:c>
      <x:c r="B1" s="533"/>
      <x:c r="C1" s="533"/>
      <x:c r="D1" s="533"/>
      <x:c r="E1" s="533"/>
      <x:c r="F1" s="533"/>
      <x:c r="G1" s="533"/>
      <x:c r="H1" s="533"/>
      <x:c r="I1" s="533"/>
      <x:c r="J1" s="533"/>
      <x:c r="K1" s="418"/>
      <x:c r="L1" s="418"/>
      <x:c r="M1" s="418"/>
      <x:c r="N1" s="418"/>
      <x:c r="O1" s="418"/>
      <x:c r="P1" s="418"/>
      <x:c r="Q1" s="418"/>
      <x:c r="R1" s="418"/>
      <x:c r="S1" s="418"/>
      <x:c r="T1" s="418"/>
      <x:c r="U1" s="418"/>
      <x:c r="V1" s="418"/>
      <x:c r="W1" s="418"/>
      <x:c r="X1" s="418"/>
      <x:c r="Y1" s="418"/>
      <x:c r="Z1" s="418"/>
    </x:row>
    <x:row r="2">
      <x:c r="A2" s="418"/>
      <x:c r="B2" s="418"/>
      <x:c r="C2" s="418"/>
      <x:c r="D2" s="418"/>
      <x:c r="E2" s="418"/>
      <x:c r="F2" s="418"/>
      <x:c r="G2" s="418"/>
      <x:c r="H2" s="418"/>
      <x:c r="I2" s="418"/>
      <x:c r="J2" s="418"/>
      <x:c r="K2" s="418"/>
      <x:c r="L2" s="418"/>
      <x:c r="M2" s="418"/>
      <x:c r="N2" s="418"/>
      <x:c r="O2" s="418"/>
      <x:c r="P2" s="418"/>
      <x:c r="Q2" s="418"/>
      <x:c r="R2" s="418"/>
      <x:c r="S2" s="418"/>
      <x:c r="T2" s="418"/>
      <x:c r="U2" s="418"/>
      <x:c r="V2" s="418"/>
      <x:c r="W2" s="418"/>
      <x:c r="X2" s="418"/>
      <x:c r="Y2" s="418"/>
      <x:c r="Z2" s="418"/>
    </x:row>
    <x:row r="3">
      <x:c r="A3" s="425" t="str">
        <x:v>Database</x:v>
      </x:c>
      <x:c r="B3" s="425" t="str">
        <x:v>Search ID</x:v>
      </x:c>
      <x:c r="C3" s="425" t="str">
        <x:v>Exact search string</x:v>
      </x:c>
      <x:c r="D3" s="425" t="str">
        <x:v>Search date</x:v>
      </x:c>
      <x:c r="E3" s="425" t="str">
        <x:v>Coverage</x:v>
      </x:c>
      <x:c r="F3" s="425" t="str">
        <x:v>Filters/settings</x:v>
      </x:c>
      <x:c r="G3" s="425" t="str">
        <x:v>Displayed/original hits</x:v>
      </x:c>
      <x:c r="H3" s="425" t="str">
        <x:v>Currently imported</x:v>
      </x:c>
      <x:c r="I3" s="425" t="str">
        <x:v>Evidence</x:v>
      </x:c>
      <x:c r="J3" s="425" t="str">
        <x:v>Audit note</x:v>
      </x:c>
      <x:c r="K3" s="418"/>
      <x:c r="L3" s="418"/>
      <x:c r="M3" s="418"/>
      <x:c r="N3" s="418"/>
      <x:c r="O3" s="418"/>
      <x:c r="P3" s="418"/>
      <x:c r="Q3" s="418"/>
      <x:c r="R3" s="418"/>
      <x:c r="S3" s="418"/>
      <x:c r="T3" s="418"/>
      <x:c r="U3" s="418"/>
      <x:c r="V3" s="418"/>
      <x:c r="W3" s="418"/>
      <x:c r="X3" s="418"/>
      <x:c r="Y3" s="418"/>
      <x:c r="Z3" s="418"/>
    </x:row>
    <x:row r="4" ht="135" customHeight="1">
      <x:c r="A4" s="426" t="str">
        <x:v>PubMed</x:v>
      </x:c>
      <x:c r="B4" s="426" t="str">
        <x:v>PUBMED-01</x:v>
      </x:c>
      <x:c r="C4" s="426" t="str">
        <x:v>( "concept based explainable AI"[tiab:~0] OR "concept based XAI"[tiab:~0] OR "concept based model"[tiab:~0] OR "concept based models"[tiab:~0] OR "concept bottleneck"[tiab:~0] OR "concept bottleneck model"[tiab:~0] OR "concept bottleneck models"[tiab:~0] OR "concept embedding model"[tiab:~0] OR "concept embedding models"[tiab:~0] OR "concept activation"[tiab:~0] OR "concept activation vector"[tiab:~0] OR "concept activation vectors"[tiab:~0] OR TCAV[tiab] OR "concept based explanation"[tiab:~0] OR "concept based explanations"[tiab:~0] OR "concept based interpretability"[tiab:~0] OR "post hoc concept"[tiab:~0] OR "post hoc concepts"[tiab:~0] OR "post hoc concept bottleneck"[tiab:~0] OR "self explainable AI"[tiab:~0] OR "self explaining neural network"[tiab:~0] OR "self explaining neural networks"[tiab:~0] OR "interpretable representation learning"[tiab:~0] OR "prototype learning"[tiab:~0] OR "prototype based explanation"[tiab:~0] OR "prototype based explanations"[tiab:~0] OR "prototypical part network"[tiab:~0] OR "prototypical part networks"[tiab:~0] OR ProtoPNet[tiab] OR "case based reasoning"[tiab:~0] OR "example based explanation"[tiab:~0] OR "example based explanations"[tiab:~0] OR "neuro symbolic AI"[tiab:~0] OR neurosymbolic[tiab] OR "relational concept"[tiab:~0] OR "relational concepts"[tiab:~0] OR "concept discovery"[tiab:~0] OR "concept intervention"[tiab:~0] OR "concept interventions"[tiab:~0] OR "concept whitening"[tiab:~0] OR "language guided concept"[tiab:~0] OR "language guided concepts"[tiab:~0] OR "explainable by design"[tiab:~0] OR "intrinsically interpretable model"[tiab:~0] OR "intrinsically interpretable models"[tiab:~0] OR ( ( "vision language model"[tiab:~0] OR "vision language models"[tiab:~0] OR VLM[tiab] OR VLMs[tiab] ) AND ( concept*[tiab] OR explainab*[tiab] OR interpretab*[tiab] ) ) ) AND ( "Retina"[MeSH Terms] OR "Retinal Diseases"[MeSH Terms] OR "Ophthalmology"[MeSH Terms] OR "Fundus Oculi"[MeSH Terms] OR "Tomography, Optical Coherence"[MeSH Terms] OR "Fluorescein Angiography"[MeSH Terms] OR "Diabetic Retinopathy"[MeSH Terms] OR "Glaucoma"[MeSH Terms] OR "Macular Degeneration"[MeSH Terms] OR retina*[tiab] OR ophthalm*[tiab] OR "retinal imaging"[tiab:~0] OR "fundus image"[tiab:~0] OR "fundus images"[tiab:~0] OR "fundus photograph"[tiab:~0] OR "fundus photographs"[tiab:~0] OR "fundus photography"[tiab:~0] OR "colour fundus image"[tiab:~0] OR "colour fundus images"[tiab:~0] OR "color fundus image"[tiab:~0] OR "color fundus images"[tiab:~0] OR "colour fundus photography"[tiab:~0] OR "color fundus photography"[tiab:~0] OR "retinal fundus"[tiab:~0] OR "retinal photograph"[tiab:~0] OR "retinal photographs"[tiab:~0] OR "retinal OCT"[tiab:~0] OR "optical coherence tomography"[tiab:~0] OR OCT[tiab] OR OCTA[tiab] OR "OCT angiography"[tiab:~0] OR "optical coherence tomography angiography"[tiab:~0] OR "fluorescein angiography"[tiab:~0] OR "multimodal retinal imaging"[tiab:~0] OR "retinal multimodal imaging"[tiab:~0] OR "diabetic retinopathy"[tiab:~0] OR glaucoma[tiab] OR "age related macular degeneration"[tiab:~0] OR "diabetic macular edema"[tiab:~0] OR "diabetic macular oedema"[tiab:~0] OR "retinal vein occlusion"[tiab:~0] OR "retinal artery occlusion"[tiab:~0] OR "hypertensive retinopathy"[tiab:~0] OR "retinitis pigmentosa"[tiab:~0] OR "retinal disease"[tiab:~0] OR "retinal diseases"[tiab:~0] OR "retinal pathology"[tiab:~0] OR "retinal biomarker"[tiab:~0] OR "retinal biomarkers"[tiab:~0] OR "ophthalmic biomarker"[tiab:~0] OR "ophthalmic biomarkers"[tiab:~0] OR microaneurysm*[tiab] OR drusen[tiab] OR "optic disc"[tiab:~0] OR "optic nerve head"[tiab:~0] OR macula[tiab] OR fovea[tiab] OR "retinal vessel"[tiab:~0] OR "retinal vessels"[tiab:~0] ) AND 2017/01/01:2026/08/06[dp]</x:v>
      </x:c>
      <x:c r="D4" s="426" t="str">
        <x:v>6 August 2026</x:v>
      </x:c>
      <x:c r="E4" s="426" t="str">
        <x:v>1 January 2017–6 August 2026</x:v>
      </x:c>
      <x:c r="F4" s="426" t="str">
        <x:v>Publication date only; no language or article-type filters</x:v>
      </x:c>
      <x:c r="G4" s="426" t="str">
        <x:v>24 original; 25 rerun</x:v>
      </x:c>
      <x:c r="H4" s="426" t="n">
        <x:v>25</x:v>
      </x:c>
      <x:c r="I4" s="426" t="str">
        <x:v>PubMedSearchHistory.csv; PubMed_Search_Results_2026-08-06.png; csv-conceptbas-set.csv</x:v>
      </x:c>
      <x:c r="J4" s="426" t="str">
        <x:v>Original search returned 24. The identical search was rerun to obtain a complete export and returned 25; all 25 rerun records are retained for screening and the discrepancy is documented.</x:v>
      </x:c>
      <x:c r="K4" s="418"/>
      <x:c r="L4" s="418"/>
      <x:c r="M4" s="418"/>
      <x:c r="N4" s="418"/>
      <x:c r="O4" s="418"/>
      <x:c r="P4" s="418"/>
      <x:c r="Q4" s="418"/>
      <x:c r="R4" s="418"/>
      <x:c r="S4" s="418"/>
      <x:c r="T4" s="418"/>
      <x:c r="U4" s="418"/>
      <x:c r="V4" s="418"/>
      <x:c r="W4" s="418"/>
      <x:c r="X4" s="418"/>
      <x:c r="Y4" s="418"/>
      <x:c r="Z4" s="418"/>
    </x:row>
    <x:row r="5" ht="135" customHeight="1">
      <x:c r="A5" s="426" t="str">
        <x:v>IEEE Xplore</x:v>
      </x:c>
      <x:c r="B5" s="426" t="str">
        <x:v>IEEE-01</x:v>
      </x:c>
      <x:c r="C5" s="426" t="str">
        <x:v>("All Metadata":"concept bottleneck"
OR "All Metadata":"concept-based XAI"
OR "All Metadata":"concept-based explainability"
OR "All Metadata":"concept-based explanation"
OR "All Metadata":"concept activation vector"
OR "All Metadata":TCAV
OR "All Metadata":"concept embedding model"
OR "All Metadata":"self-explaining neural network"
OR "All Metadata":"interpretable representation learning"
OR "All Metadata":"prototype learning"
OR "All Metadata":"prototype-based explanation"
OR "All Metadata":"case-based reasoning"
OR "All Metadata":"example-based explanation"
OR "All Metadata":neurosymbolic
OR "All Metadata":"neuro-symbolic AI"
OR "All Metadata":"concept discovery"
OR "All Metadata":"concept intervention"
OR "All Metadata":"concept whitening"
OR "All Metadata":"language-guided concept")
AND
("All Metadata":retina
OR "All Metadata":retinal
OR "All Metadata":ophthalmology
OR "All Metadata":ophthalmic
OR "All Metadata":fundus
OR "All Metadata":"fundus photography"
OR "All Metadata":OCT
OR "All Metadata":OCTA
OR "All Metadata":"optical coherence tomography"
OR "All Metadata":"diabetic retinopathy"
OR "All Metadata":glaucoma
OR "All Metadata":"macular degeneration"
OR "All Metadata":microaneurysm
OR "All Metadata":exudate
OR "All Metadata":drusen
OR "All Metadata":"optic disc"
OR "All Metadata":macula
OR "All Metadata":"retinal vessel")</x:v>
      </x:c>
      <x:c r="D5" s="426" t="str">
        <x:v>6 August 2026</x:v>
      </x:c>
      <x:c r="E5" s="426" t="str">
        <x:v>1 January 2017–6 August 2026</x:v>
      </x:c>
      <x:c r="F5" s="426" t="str">
        <x:v>Command Search; All Metadata; years 2017–2026; no access/content-type filters</x:v>
      </x:c>
      <x:c r="G5" s="426" t="n">
        <x:v>19</x:v>
      </x:c>
      <x:c r="H5" s="426" t="n">
        <x:v>19</x:v>
      </x:c>
      <x:c r="I5" s="426" t="str">
        <x:v>IEEE_Search_Results_2026-08-06.png; IEEE_R1_2026-08-06_19records.csv</x:v>
      </x:c>
      <x:c r="J5" s="426" t="str">
        <x:v>Fourteen conference papers and five journal articles were displayed.</x:v>
      </x:c>
      <x:c r="K5" s="418"/>
      <x:c r="L5" s="418"/>
      <x:c r="M5" s="418"/>
      <x:c r="N5" s="418"/>
      <x:c r="O5" s="418"/>
      <x:c r="P5" s="418"/>
      <x:c r="Q5" s="418"/>
      <x:c r="R5" s="418"/>
      <x:c r="S5" s="418"/>
      <x:c r="T5" s="418"/>
      <x:c r="U5" s="418"/>
      <x:c r="V5" s="418"/>
      <x:c r="W5" s="418"/>
      <x:c r="X5" s="418"/>
      <x:c r="Y5" s="418"/>
      <x:c r="Z5" s="418"/>
    </x:row>
    <x:row r="6" ht="72" customHeight="1">
      <x:c r="A6" s="426" t="str">
        <x:v>Google Scholar</x:v>
      </x:c>
      <x:c r="B6" s="426" t="str">
        <x:v>GS-01</x:v>
      </x:c>
      <x:c r="C6" s="426" t="str">
        <x:v>retina OR retinal OR ophthalmology OR ophthalmic OR fundus OR OCT "concept bo...</x:v>
      </x:c>
      <x:c r="D6" s="426" t="str">
        <x:v>6 August 2026</x:v>
      </x:c>
      <x:c r="E6" s="426" t="str">
        <x:v>2017–2026</x:v>
      </x:c>
      <x:c r="F6" s="426" t="str">
        <x:v>Sorted by relevance; patents off; citation-only records off</x:v>
      </x:c>
      <x:c r="G6" s="426" t="n">
        <x:v>478</x:v>
      </x:c>
      <x:c r="H6" s="426" t="n">
        <x:v>100</x:v>
      </x:c>
      <x:c r="I6" s="426" t="str">
        <x:v>Captured Google Scholar result pages for GS-01</x:v>
      </x:c>
      <x:c r="J6" s="426" t="str">
        <x:v>Supplementary targeted search. The first 100 relevance-ranked results were captured for screening; the displayed hit estimate is approximate and is not used as the PRISMA identification count.</x:v>
      </x:c>
      <x:c r="K6" s="418"/>
      <x:c r="L6" s="418"/>
      <x:c r="M6" s="418"/>
      <x:c r="N6" s="418"/>
      <x:c r="O6" s="418"/>
      <x:c r="P6" s="418"/>
      <x:c r="Q6" s="418"/>
      <x:c r="R6" s="418"/>
      <x:c r="S6" s="418"/>
      <x:c r="T6" s="418"/>
      <x:c r="U6" s="418"/>
      <x:c r="V6" s="418"/>
      <x:c r="W6" s="418"/>
      <x:c r="X6" s="418"/>
      <x:c r="Y6" s="418"/>
      <x:c r="Z6" s="418"/>
    </x:row>
    <x:row r="7" ht="72" customHeight="1">
      <x:c r="A7" s="426" t="str">
        <x:v>Google Scholar</x:v>
      </x:c>
      <x:c r="B7" s="426" t="str">
        <x:v>GS-02</x:v>
      </x:c>
      <x:c r="C7" s="426" t="str">
        <x:v>retina OR retinal OR ophthalmology OR ophthalmic OR fundus OR OCT "prototype ...</x:v>
      </x:c>
      <x:c r="D7" s="426" t="str">
        <x:v>6 August 2026</x:v>
      </x:c>
      <x:c r="E7" s="426" t="str">
        <x:v>2017–2026</x:v>
      </x:c>
      <x:c r="F7" s="426" t="str">
        <x:v>Sorted by relevance; patents off; citation-only records off</x:v>
      </x:c>
      <x:c r="G7" s="426" t="n">
        <x:v>1630</x:v>
      </x:c>
      <x:c r="H7" s="426" t="n">
        <x:v>100</x:v>
      </x:c>
      <x:c r="I7" s="426" t="str">
        <x:v>Captured Google Scholar result pages for GS-02</x:v>
      </x:c>
      <x:c r="J7" s="426" t="str">
        <x:v>Supplementary targeted search. The first 100 relevance-ranked results were captured for screening; the displayed hit estimate is approximate and is not used as the PRISMA identification count.</x:v>
      </x:c>
      <x:c r="K7" s="418"/>
      <x:c r="L7" s="418"/>
      <x:c r="M7" s="418"/>
      <x:c r="N7" s="418"/>
      <x:c r="O7" s="418"/>
      <x:c r="P7" s="418"/>
      <x:c r="Q7" s="418"/>
      <x:c r="R7" s="418"/>
      <x:c r="S7" s="418"/>
      <x:c r="T7" s="418"/>
      <x:c r="U7" s="418"/>
      <x:c r="V7" s="418"/>
      <x:c r="W7" s="418"/>
      <x:c r="X7" s="418"/>
      <x:c r="Y7" s="418"/>
      <x:c r="Z7" s="418"/>
    </x:row>
    <x:row r="8" ht="72" customHeight="1">
      <x:c r="A8" s="426" t="str">
        <x:v>Google Scholar</x:v>
      </x:c>
      <x:c r="B8" s="426" t="str">
        <x:v>GS-03</x:v>
      </x:c>
      <x:c r="C8" s="426" t="str">
        <x:v>retina OR retinal OR ophthalmology OR ophthalmic OR fundus OR OCT "case-based...</x:v>
      </x:c>
      <x:c r="D8" s="426" t="str">
        <x:v>6 August 2026</x:v>
      </x:c>
      <x:c r="E8" s="426" t="str">
        <x:v>2017–2026</x:v>
      </x:c>
      <x:c r="F8" s="426" t="str">
        <x:v>Sorted by relevance; patents off; citation-only records off</x:v>
      </x:c>
      <x:c r="G8" s="426" t="n">
        <x:v>5830</x:v>
      </x:c>
      <x:c r="H8" s="426" t="n">
        <x:v>100</x:v>
      </x:c>
      <x:c r="I8" s="426" t="str">
        <x:v>Captured Google Scholar result pages for GS-03</x:v>
      </x:c>
      <x:c r="J8" s="426" t="str">
        <x:v>Supplementary targeted search. The first 100 relevance-ranked results were captured for screening; the displayed hit estimate is approximate and is not used as the PRISMA identification count.</x:v>
      </x:c>
      <x:c r="K8" s="418"/>
      <x:c r="L8" s="418"/>
      <x:c r="M8" s="418"/>
      <x:c r="N8" s="418"/>
      <x:c r="O8" s="418"/>
      <x:c r="P8" s="418"/>
      <x:c r="Q8" s="418"/>
      <x:c r="R8" s="418"/>
      <x:c r="S8" s="418"/>
      <x:c r="T8" s="418"/>
      <x:c r="U8" s="418"/>
      <x:c r="V8" s="418"/>
      <x:c r="W8" s="418"/>
      <x:c r="X8" s="418"/>
      <x:c r="Y8" s="418"/>
      <x:c r="Z8" s="418"/>
    </x:row>
    <x:row r="9" ht="72" customHeight="1">
      <x:c r="A9" s="426" t="str">
        <x:v>Google Scholar</x:v>
      </x:c>
      <x:c r="B9" s="426" t="str">
        <x:v>GS-04</x:v>
      </x:c>
      <x:c r="C9" s="426" t="str">
        <x:v>neurosymbolic retina</x:v>
      </x:c>
      <x:c r="D9" s="426" t="str">
        <x:v>6 August 2026</x:v>
      </x:c>
      <x:c r="E9" s="426" t="str">
        <x:v>2017–2026</x:v>
      </x:c>
      <x:c r="F9" s="426" t="str">
        <x:v>Sorted by relevance; patents off; citation-only records off</x:v>
      </x:c>
      <x:c r="G9" s="426" t="n">
        <x:v>534</x:v>
      </x:c>
      <x:c r="H9" s="426" t="n">
        <x:v>100</x:v>
      </x:c>
      <x:c r="I9" s="426" t="str">
        <x:v>Captured Google Scholar result pages for GS-04</x:v>
      </x:c>
      <x:c r="J9" s="426" t="str">
        <x:v>Supplementary targeted search. The first 100 relevance-ranked results were captured for screening; the displayed hit estimate is approximate and is not used as the PRISMA identification count.</x:v>
      </x:c>
      <x:c r="K9" s="418"/>
      <x:c r="L9" s="418"/>
      <x:c r="M9" s="418"/>
      <x:c r="N9" s="418"/>
      <x:c r="O9" s="418"/>
      <x:c r="P9" s="418"/>
      <x:c r="Q9" s="418"/>
      <x:c r="R9" s="418"/>
      <x:c r="S9" s="418"/>
      <x:c r="T9" s="418"/>
      <x:c r="U9" s="418"/>
      <x:c r="V9" s="418"/>
      <x:c r="W9" s="418"/>
      <x:c r="X9" s="418"/>
      <x:c r="Y9" s="418"/>
      <x:c r="Z9" s="418"/>
    </x:row>
    <x:row r="10" ht="72" customHeight="1">
      <x:c r="A10" s="426" t="str">
        <x:v>Google Scholar</x:v>
      </x:c>
      <x:c r="B10" s="426" t="str">
        <x:v>GS-05</x:v>
      </x:c>
      <x:c r="C10" s="426" t="str">
        <x:v>"neuro-symbolic" retina</x:v>
      </x:c>
      <x:c r="D10" s="426" t="str">
        <x:v>6 August 2026</x:v>
      </x:c>
      <x:c r="E10" s="426" t="str">
        <x:v>2017–2026</x:v>
      </x:c>
      <x:c r="F10" s="426" t="str">
        <x:v>Sorted by relevance; patents off; citation-only records off</x:v>
      </x:c>
      <x:c r="G10" s="426" t="n">
        <x:v>429</x:v>
      </x:c>
      <x:c r="H10" s="426" t="n">
        <x:v>100</x:v>
      </x:c>
      <x:c r="I10" s="426" t="str">
        <x:v>Captured Google Scholar result pages for GS-05</x:v>
      </x:c>
      <x:c r="J10" s="426" t="str">
        <x:v>Supplementary targeted search. The first 100 relevance-ranked results were captured for screening; the displayed hit estimate is approximate and is not used as the PRISMA identification count.</x:v>
      </x:c>
      <x:c r="K10" s="418"/>
      <x:c r="L10" s="418"/>
      <x:c r="M10" s="418"/>
      <x:c r="N10" s="418"/>
      <x:c r="O10" s="418"/>
      <x:c r="P10" s="418"/>
      <x:c r="Q10" s="418"/>
      <x:c r="R10" s="418"/>
      <x:c r="S10" s="418"/>
      <x:c r="T10" s="418"/>
      <x:c r="U10" s="418"/>
      <x:c r="V10" s="418"/>
      <x:c r="W10" s="418"/>
      <x:c r="X10" s="418"/>
      <x:c r="Y10" s="418"/>
      <x:c r="Z10" s="418"/>
    </x:row>
    <x:row r="11" ht="72" customHeight="1">
      <x:c r="A11" s="426" t="str">
        <x:v>Google Scholar</x:v>
      </x:c>
      <x:c r="B11" s="426" t="str">
        <x:v>GS-06</x:v>
      </x:c>
      <x:c r="C11" s="426" t="str">
        <x:v>"concept activation vector" retina</x:v>
      </x:c>
      <x:c r="D11" s="426" t="str">
        <x:v>6 August 2026</x:v>
      </x:c>
      <x:c r="E11" s="426" t="str">
        <x:v>2017–2026</x:v>
      </x:c>
      <x:c r="F11" s="426" t="str">
        <x:v>Sorted by relevance; patents off; citation-only records off</x:v>
      </x:c>
      <x:c r="G11" s="426" t="n">
        <x:v>41</x:v>
      </x:c>
      <x:c r="H11" s="426" t="n">
        <x:v>41</x:v>
      </x:c>
      <x:c r="I11" s="426" t="str">
        <x:v>Captured Google Scholar result pages for GS-06</x:v>
      </x:c>
      <x:c r="J11" s="426" t="str">
        <x:v>Supplementary targeted search. All 41 displayed results were captured for screening; the displayed hit estimate is not used as the PRISMA identification count.</x:v>
      </x:c>
      <x:c r="K11" s="418"/>
      <x:c r="L11" s="418"/>
      <x:c r="M11" s="418"/>
      <x:c r="N11" s="418"/>
      <x:c r="O11" s="418"/>
      <x:c r="P11" s="418"/>
      <x:c r="Q11" s="418"/>
      <x:c r="R11" s="418"/>
      <x:c r="S11" s="418"/>
      <x:c r="T11" s="418"/>
      <x:c r="U11" s="418"/>
      <x:c r="V11" s="418"/>
      <x:c r="W11" s="418"/>
      <x:c r="X11" s="418"/>
      <x:c r="Y11" s="418"/>
      <x:c r="Z11" s="418"/>
    </x:row>
    <x:row r="12" ht="72" customHeight="1">
      <x:c r="A12" s="426" t="str">
        <x:v>Google Scholar</x:v>
      </x:c>
      <x:c r="B12" s="426" t="str">
        <x:v>GS-07</x:v>
      </x:c>
      <x:c r="C12" s="426" t="str">
        <x:v>"self-explaining neural network" retina</x:v>
      </x:c>
      <x:c r="D12" s="426" t="str">
        <x:v>6 August 2026</x:v>
      </x:c>
      <x:c r="E12" s="426" t="str">
        <x:v>2017–2026</x:v>
      </x:c>
      <x:c r="F12" s="426" t="str">
        <x:v>Sorted by relevance; patents off; citation-only records off</x:v>
      </x:c>
      <x:c r="G12" s="426" t="n">
        <x:v>7</x:v>
      </x:c>
      <x:c r="H12" s="426" t="n">
        <x:v>7</x:v>
      </x:c>
      <x:c r="I12" s="426" t="str">
        <x:v>Captured Google Scholar result pages for GS-07</x:v>
      </x:c>
      <x:c r="J12" s="426" t="str">
        <x:v>Supplementary targeted search. All 7 displayed results were captured for screening; the displayed hit estimate is not used as the PRISMA identification count.</x:v>
      </x:c>
      <x:c r="K12" s="418"/>
      <x:c r="L12" s="418"/>
      <x:c r="M12" s="418"/>
      <x:c r="N12" s="418"/>
      <x:c r="O12" s="418"/>
      <x:c r="P12" s="418"/>
      <x:c r="Q12" s="418"/>
      <x:c r="R12" s="418"/>
      <x:c r="S12" s="418"/>
      <x:c r="T12" s="418"/>
      <x:c r="U12" s="418"/>
      <x:c r="V12" s="418"/>
      <x:c r="W12" s="418"/>
      <x:c r="X12" s="418"/>
      <x:c r="Y12" s="418"/>
      <x:c r="Z12" s="418"/>
    </x:row>
    <x:row r="13" ht="72" customHeight="1">
      <x:c r="A13" s="426" t="str">
        <x:v>Google Scholar</x:v>
      </x:c>
      <x:c r="B13" s="426" t="str">
        <x:v>GS-08</x:v>
      </x:c>
      <x:c r="C13" s="426" t="str">
        <x:v>"concept-based explanation" retina</x:v>
      </x:c>
      <x:c r="D13" s="426" t="str">
        <x:v>6 August 2026</x:v>
      </x:c>
      <x:c r="E13" s="426" t="str">
        <x:v>2017–2026</x:v>
      </x:c>
      <x:c r="F13" s="426" t="str">
        <x:v>Sorted by relevance; patents off; citation-only records off</x:v>
      </x:c>
      <x:c r="G13" s="426" t="n">
        <x:v>47</x:v>
      </x:c>
      <x:c r="H13" s="426" t="n">
        <x:v>47</x:v>
      </x:c>
      <x:c r="I13" s="426" t="str">
        <x:v>Captured Google Scholar result pages for GS-08</x:v>
      </x:c>
      <x:c r="J13" s="426" t="str">
        <x:v>Supplementary targeted search. All 47 displayed results were captured for screening; the displayed hit estimate is not used as the PRISMA identification count.</x:v>
      </x:c>
      <x:c r="K13" s="418"/>
      <x:c r="L13" s="418"/>
      <x:c r="M13" s="418"/>
      <x:c r="N13" s="418"/>
      <x:c r="O13" s="418"/>
      <x:c r="P13" s="418"/>
      <x:c r="Q13" s="418"/>
      <x:c r="R13" s="418"/>
      <x:c r="S13" s="418"/>
      <x:c r="T13" s="418"/>
      <x:c r="U13" s="418"/>
      <x:c r="V13" s="418"/>
      <x:c r="W13" s="418"/>
      <x:c r="X13" s="418"/>
      <x:c r="Y13" s="418"/>
      <x:c r="Z13" s="418"/>
    </x:row>
    <x:row r="14" ht="72" customHeight="1">
      <x:c r="A14" s="426" t="str">
        <x:v>arXiv</x:v>
      </x:c>
      <x:c r="B14" s="426" t="str">
        <x:v>ARXIV-01</x:v>
      </x:c>
      <x:c r="C14" s="426" t="str">
        <x:v>"concept bottleneck" AND retin*</x:v>
      </x:c>
      <x:c r="D14" s="426" t="str">
        <x:v>7 August 2026 recheck</x:v>
      </x:c>
      <x:c r="E14" s="426" t="str">
        <x:v>2017–2026</x:v>
      </x:c>
      <x:c r="F14" s="426" t="str">
        <x:v>All fields; include cross-listed papers; original submission date</x:v>
      </x:c>
      <x:c r="G14" s="426" t="n">
        <x:v>1</x:v>
      </x:c>
      <x:c r="H14" s="426" t="n">
        <x:v>1</x:v>
      </x:c>
      <x:c r="I14" s="426" t="str">
        <x:v>User-supplied arXiv rerun screenshots</x:v>
      </x:c>
      <x:c r="J14" s="426" t="str">
        <x:v>Per-query rerun count used for the working identification register. For searches with many hits, only part of the bibliographic metadata is visible in the supplied viewport and must be completed before final deduplication.</x:v>
      </x:c>
      <x:c r="K14" s="418"/>
      <x:c r="L14" s="418"/>
      <x:c r="M14" s="418"/>
      <x:c r="N14" s="418"/>
      <x:c r="O14" s="418"/>
      <x:c r="P14" s="418"/>
      <x:c r="Q14" s="418"/>
      <x:c r="R14" s="418"/>
      <x:c r="S14" s="418"/>
      <x:c r="T14" s="418"/>
      <x:c r="U14" s="418"/>
      <x:c r="V14" s="418"/>
      <x:c r="W14" s="418"/>
      <x:c r="X14" s="418"/>
      <x:c r="Y14" s="418"/>
      <x:c r="Z14" s="418"/>
    </x:row>
    <x:row r="15" ht="72" customHeight="1">
      <x:c r="A15" s="426" t="str">
        <x:v>arXiv</x:v>
      </x:c>
      <x:c r="B15" s="426" t="str">
        <x:v>ARXIV-02</x:v>
      </x:c>
      <x:c r="C15" s="426" t="str">
        <x:v>"prototype learning" AND retin*</x:v>
      </x:c>
      <x:c r="D15" s="426" t="str">
        <x:v>7 August 2026 recheck</x:v>
      </x:c>
      <x:c r="E15" s="426" t="str">
        <x:v>2017–2026</x:v>
      </x:c>
      <x:c r="F15" s="426" t="str">
        <x:v>All fields; include cross-listed papers; original submission date</x:v>
      </x:c>
      <x:c r="G15" s="426" t="n">
        <x:v>22</x:v>
      </x:c>
      <x:c r="H15" s="426" t="n">
        <x:v>22</x:v>
      </x:c>
      <x:c r="I15" s="426" t="str">
        <x:v>User-supplied arXiv rerun screenshots</x:v>
      </x:c>
      <x:c r="J15" s="426" t="str">
        <x:v>Per-query rerun count used for the working identification register. For searches with many hits, only part of the bibliographic metadata is visible in the supplied viewport and must be completed before final deduplication.</x:v>
      </x:c>
      <x:c r="K15" s="418"/>
      <x:c r="L15" s="418"/>
      <x:c r="M15" s="418"/>
      <x:c r="N15" s="418"/>
      <x:c r="O15" s="418"/>
      <x:c r="P15" s="418"/>
      <x:c r="Q15" s="418"/>
      <x:c r="R15" s="418"/>
      <x:c r="S15" s="418"/>
      <x:c r="T15" s="418"/>
      <x:c r="U15" s="418"/>
      <x:c r="V15" s="418"/>
      <x:c r="W15" s="418"/>
      <x:c r="X15" s="418"/>
      <x:c r="Y15" s="418"/>
      <x:c r="Z15" s="418"/>
    </x:row>
    <x:row r="16" ht="72" customHeight="1">
      <x:c r="A16" s="426" t="str">
        <x:v>arXiv</x:v>
      </x:c>
      <x:c r="B16" s="426" t="str">
        <x:v>ARXIV-03</x:v>
      </x:c>
      <x:c r="C16" s="426" t="str">
        <x:v>"case-based reasoning" AND retin*</x:v>
      </x:c>
      <x:c r="D16" s="426" t="str">
        <x:v>7 August 2026 recheck</x:v>
      </x:c>
      <x:c r="E16" s="426" t="str">
        <x:v>2017–2026</x:v>
      </x:c>
      <x:c r="F16" s="426" t="str">
        <x:v>All fields; include cross-listed papers; original submission date</x:v>
      </x:c>
      <x:c r="G16" s="426" t="n">
        <x:v>7</x:v>
      </x:c>
      <x:c r="H16" s="426" t="n">
        <x:v>7</x:v>
      </x:c>
      <x:c r="I16" s="426" t="str">
        <x:v>User-supplied arXiv rerun screenshots</x:v>
      </x:c>
      <x:c r="J16" s="426" t="str">
        <x:v>Per-query rerun count used for the working identification register. For searches with many hits, only part of the bibliographic metadata is visible in the supplied viewport and must be completed before final deduplication.</x:v>
      </x:c>
      <x:c r="K16" s="418"/>
      <x:c r="L16" s="418"/>
      <x:c r="M16" s="418"/>
      <x:c r="N16" s="418"/>
      <x:c r="O16" s="418"/>
      <x:c r="P16" s="418"/>
      <x:c r="Q16" s="418"/>
      <x:c r="R16" s="418"/>
      <x:c r="S16" s="418"/>
      <x:c r="T16" s="418"/>
      <x:c r="U16" s="418"/>
      <x:c r="V16" s="418"/>
      <x:c r="W16" s="418"/>
      <x:c r="X16" s="418"/>
      <x:c r="Y16" s="418"/>
      <x:c r="Z16" s="418"/>
    </x:row>
    <x:row r="17" ht="72" customHeight="1">
      <x:c r="A17" s="426" t="str">
        <x:v>arXiv</x:v>
      </x:c>
      <x:c r="B17" s="426" t="str">
        <x:v>ARXIV-04</x:v>
      </x:c>
      <x:c r="C17" s="426" t="str">
        <x:v>neurosymbolic AND retin*</x:v>
      </x:c>
      <x:c r="D17" s="426" t="str">
        <x:v>7 August 2026 recheck</x:v>
      </x:c>
      <x:c r="E17" s="426" t="str">
        <x:v>2017–2026</x:v>
      </x:c>
      <x:c r="F17" s="426" t="str">
        <x:v>All fields; include cross-listed papers; original submission date</x:v>
      </x:c>
      <x:c r="G17" s="426" t="n">
        <x:v>1</x:v>
      </x:c>
      <x:c r="H17" s="426" t="n">
        <x:v>1</x:v>
      </x:c>
      <x:c r="I17" s="426" t="str">
        <x:v>User-supplied arXiv rerun screenshots</x:v>
      </x:c>
      <x:c r="J17" s="426" t="str">
        <x:v>Per-query rerun count used for the working identification register. For searches with many hits, only part of the bibliographic metadata is visible in the supplied viewport and must be completed before final deduplication.</x:v>
      </x:c>
      <x:c r="K17" s="418"/>
      <x:c r="L17" s="418"/>
      <x:c r="M17" s="418"/>
      <x:c r="N17" s="418"/>
      <x:c r="O17" s="418"/>
      <x:c r="P17" s="418"/>
      <x:c r="Q17" s="418"/>
      <x:c r="R17" s="418"/>
      <x:c r="S17" s="418"/>
      <x:c r="T17" s="418"/>
      <x:c r="U17" s="418"/>
      <x:c r="V17" s="418"/>
      <x:c r="W17" s="418"/>
      <x:c r="X17" s="418"/>
      <x:c r="Y17" s="418"/>
      <x:c r="Z17" s="418"/>
    </x:row>
    <x:row r="18" ht="72" customHeight="1">
      <x:c r="A18" s="426" t="str">
        <x:v>arXiv</x:v>
      </x:c>
      <x:c r="B18" s="426" t="str">
        <x:v>ARXIV-05</x:v>
      </x:c>
      <x:c r="C18" s="426" t="str">
        <x:v>"neuro-symbolic" AND retin*</x:v>
      </x:c>
      <x:c r="D18" s="426" t="str">
        <x:v>7 August 2026 recheck</x:v>
      </x:c>
      <x:c r="E18" s="426" t="str">
        <x:v>2017–2026</x:v>
      </x:c>
      <x:c r="F18" s="426" t="str">
        <x:v>All fields; include cross-listed papers; original submission date</x:v>
      </x:c>
      <x:c r="G18" s="426" t="n">
        <x:v>4</x:v>
      </x:c>
      <x:c r="H18" s="426" t="n">
        <x:v>4</x:v>
      </x:c>
      <x:c r="I18" s="426" t="str">
        <x:v>User-supplied arXiv rerun screenshots</x:v>
      </x:c>
      <x:c r="J18" s="426" t="str">
        <x:v>Per-query rerun count used for the working identification register. For searches with many hits, only part of the bibliographic metadata is visible in the supplied viewport and must be completed before final deduplication.</x:v>
      </x:c>
      <x:c r="K18" s="418"/>
      <x:c r="L18" s="418"/>
      <x:c r="M18" s="418"/>
      <x:c r="N18" s="418"/>
      <x:c r="O18" s="418"/>
      <x:c r="P18" s="418"/>
      <x:c r="Q18" s="418"/>
      <x:c r="R18" s="418"/>
      <x:c r="S18" s="418"/>
      <x:c r="T18" s="418"/>
      <x:c r="U18" s="418"/>
      <x:c r="V18" s="418"/>
      <x:c r="W18" s="418"/>
      <x:c r="X18" s="418"/>
      <x:c r="Y18" s="418"/>
      <x:c r="Z18" s="418"/>
    </x:row>
    <x:row r="19" ht="72" customHeight="1">
      <x:c r="A19" s="426" t="str">
        <x:v>arXiv</x:v>
      </x:c>
      <x:c r="B19" s="426" t="str">
        <x:v>ARXIV-06</x:v>
      </x:c>
      <x:c r="C19" s="426" t="str">
        <x:v>"concept activation vector" AND retin*</x:v>
      </x:c>
      <x:c r="D19" s="426" t="str">
        <x:v>7 August 2026 recheck</x:v>
      </x:c>
      <x:c r="E19" s="426" t="str">
        <x:v>2017–2026</x:v>
      </x:c>
      <x:c r="F19" s="426" t="str">
        <x:v>All fields; include cross-listed papers; original submission date</x:v>
      </x:c>
      <x:c r="G19" s="426" t="n">
        <x:v>2</x:v>
      </x:c>
      <x:c r="H19" s="426" t="n">
        <x:v>2</x:v>
      </x:c>
      <x:c r="I19" s="426" t="str">
        <x:v>User-supplied arXiv rerun screenshots</x:v>
      </x:c>
      <x:c r="J19" s="426" t="str">
        <x:v>Per-query rerun count used for the working identification register. For searches with many hits, only part of the bibliographic metadata is visible in the supplied viewport and must be completed before final deduplication.</x:v>
      </x:c>
      <x:c r="K19" s="418"/>
      <x:c r="L19" s="418"/>
      <x:c r="M19" s="418"/>
      <x:c r="N19" s="418"/>
      <x:c r="O19" s="418"/>
      <x:c r="P19" s="418"/>
      <x:c r="Q19" s="418"/>
      <x:c r="R19" s="418"/>
      <x:c r="S19" s="418"/>
      <x:c r="T19" s="418"/>
      <x:c r="U19" s="418"/>
      <x:c r="V19" s="418"/>
      <x:c r="W19" s="418"/>
      <x:c r="X19" s="418"/>
      <x:c r="Y19" s="418"/>
      <x:c r="Z19" s="418"/>
    </x:row>
    <x:row r="20" ht="72" customHeight="1">
      <x:c r="A20" s="426" t="str">
        <x:v>arXiv</x:v>
      </x:c>
      <x:c r="B20" s="426" t="str">
        <x:v>ARXIV-07</x:v>
      </x:c>
      <x:c r="C20" s="426" t="str">
        <x:v>"self-explaining neural network" AND retin*</x:v>
      </x:c>
      <x:c r="D20" s="426" t="str">
        <x:v>7 August 2026 recheck</x:v>
      </x:c>
      <x:c r="E20" s="426" t="str">
        <x:v>2017–2026</x:v>
      </x:c>
      <x:c r="F20" s="426" t="str">
        <x:v>All fields; include cross-listed papers; original submission date</x:v>
      </x:c>
      <x:c r="G20" s="426" t="n">
        <x:v>0</x:v>
      </x:c>
      <x:c r="H20" s="426" t="n">
        <x:v>0</x:v>
      </x:c>
      <x:c r="I20" s="426" t="str">
        <x:v>User-supplied arXiv rerun screenshots</x:v>
      </x:c>
      <x:c r="J20" s="426" t="str">
        <x:v>Per-query rerun count used for the working identification register. For searches with many hits, only part of the bibliographic metadata is visible in the supplied viewport and must be completed before final deduplication.</x:v>
      </x:c>
      <x:c r="K20" s="418"/>
      <x:c r="L20" s="418"/>
      <x:c r="M20" s="418"/>
      <x:c r="N20" s="418"/>
      <x:c r="O20" s="418"/>
      <x:c r="P20" s="418"/>
      <x:c r="Q20" s="418"/>
      <x:c r="R20" s="418"/>
      <x:c r="S20" s="418"/>
      <x:c r="T20" s="418"/>
      <x:c r="U20" s="418"/>
      <x:c r="V20" s="418"/>
      <x:c r="W20" s="418"/>
      <x:c r="X20" s="418"/>
      <x:c r="Y20" s="418"/>
      <x:c r="Z20" s="418"/>
    </x:row>
    <x:row r="21" ht="72" customHeight="1">
      <x:c r="A21" s="426" t="str">
        <x:v>arXiv</x:v>
      </x:c>
      <x:c r="B21" s="426" t="str">
        <x:v>ARXIV-08</x:v>
      </x:c>
      <x:c r="C21" s="426" t="str">
        <x:v>"concept-based explanation" AND retin*</x:v>
      </x:c>
      <x:c r="D21" s="426" t="str">
        <x:v>7 August 2026 recheck</x:v>
      </x:c>
      <x:c r="E21" s="426" t="str">
        <x:v>2017–2026</x:v>
      </x:c>
      <x:c r="F21" s="426" t="str">
        <x:v>All fields; include cross-listed papers; original submission date</x:v>
      </x:c>
      <x:c r="G21" s="426" t="n">
        <x:v>0</x:v>
      </x:c>
      <x:c r="H21" s="426" t="n">
        <x:v>0</x:v>
      </x:c>
      <x:c r="I21" s="426" t="str">
        <x:v>User-supplied arXiv rerun screenshots</x:v>
      </x:c>
      <x:c r="J21" s="426" t="str">
        <x:v>Per-query rerun count used for the working identification register. For searches with many hits, only part of the bibliographic metadata is visible in the supplied viewport and must be completed before final deduplication.</x:v>
      </x:c>
      <x:c r="K21" s="418"/>
      <x:c r="L21" s="418"/>
      <x:c r="M21" s="418"/>
      <x:c r="N21" s="418"/>
      <x:c r="O21" s="418"/>
      <x:c r="P21" s="418"/>
      <x:c r="Q21" s="418"/>
      <x:c r="R21" s="418"/>
      <x:c r="S21" s="418"/>
      <x:c r="T21" s="418"/>
      <x:c r="U21" s="418"/>
      <x:c r="V21" s="418"/>
      <x:c r="W21" s="418"/>
      <x:c r="X21" s="418"/>
      <x:c r="Y21" s="418"/>
      <x:c r="Z21" s="418"/>
    </x:row>
    <x:row r="22" ht="72" customHeight="1">
      <x:c r="A22" s="426" t="str">
        <x:v>arXiv</x:v>
      </x:c>
      <x:c r="B22" s="426" t="str">
        <x:v>ARXIV-09</x:v>
      </x:c>
      <x:c r="C22" s="426" t="str">
        <x:v>"concept embedding model" AND retin*</x:v>
      </x:c>
      <x:c r="D22" s="426" t="str">
        <x:v>7 August 2026 recheck</x:v>
      </x:c>
      <x:c r="E22" s="426" t="str">
        <x:v>2017–2026</x:v>
      </x:c>
      <x:c r="F22" s="426" t="str">
        <x:v>All fields; include cross-listed papers; original submission date</x:v>
      </x:c>
      <x:c r="G22" s="426" t="n">
        <x:v>0</x:v>
      </x:c>
      <x:c r="H22" s="426" t="n">
        <x:v>0</x:v>
      </x:c>
      <x:c r="I22" s="426" t="str">
        <x:v>User-supplied arXiv rerun screenshots</x:v>
      </x:c>
      <x:c r="J22" s="426" t="str">
        <x:v>Per-query rerun count used for the working identification register. For searches with many hits, only part of the bibliographic metadata is visible in the supplied viewport and must be completed before final deduplication.</x:v>
      </x:c>
      <x:c r="K22" s="418"/>
      <x:c r="L22" s="418"/>
      <x:c r="M22" s="418"/>
      <x:c r="N22" s="418"/>
      <x:c r="O22" s="418"/>
      <x:c r="P22" s="418"/>
      <x:c r="Q22" s="418"/>
      <x:c r="R22" s="418"/>
      <x:c r="S22" s="418"/>
      <x:c r="T22" s="418"/>
      <x:c r="U22" s="418"/>
      <x:c r="V22" s="418"/>
      <x:c r="W22" s="418"/>
      <x:c r="X22" s="418"/>
      <x:c r="Y22" s="418"/>
      <x:c r="Z22" s="418"/>
    </x:row>
    <x:row r="23" ht="72" customHeight="1">
      <x:c r="A23" s="426" t="str">
        <x:v>arXiv</x:v>
      </x:c>
      <x:c r="B23" s="426" t="str">
        <x:v>ARXIV-10</x:v>
      </x:c>
      <x:c r="C23" s="426" t="str">
        <x:v>"interpretable representation learning" AND retin*</x:v>
      </x:c>
      <x:c r="D23" s="426" t="str">
        <x:v>7 August 2026 recheck</x:v>
      </x:c>
      <x:c r="E23" s="426" t="str">
        <x:v>2017–2026</x:v>
      </x:c>
      <x:c r="F23" s="426" t="str">
        <x:v>All fields; include cross-listed papers; original submission date</x:v>
      </x:c>
      <x:c r="G23" s="426" t="n">
        <x:v>35</x:v>
      </x:c>
      <x:c r="H23" s="426" t="n">
        <x:v>35</x:v>
      </x:c>
      <x:c r="I23" s="426" t="str">
        <x:v>User-supplied arXiv rerun screenshots</x:v>
      </x:c>
      <x:c r="J23" s="426" t="str">
        <x:v>Per-query rerun count used for the working identification register. For searches with many hits, only part of the bibliographic metadata is visible in the supplied viewport and must be completed before final deduplication.</x:v>
      </x:c>
      <x:c r="K23" s="418"/>
      <x:c r="L23" s="418"/>
      <x:c r="M23" s="418"/>
      <x:c r="N23" s="418"/>
      <x:c r="O23" s="418"/>
      <x:c r="P23" s="418"/>
      <x:c r="Q23" s="418"/>
      <x:c r="R23" s="418"/>
      <x:c r="S23" s="418"/>
      <x:c r="T23" s="418"/>
      <x:c r="U23" s="418"/>
      <x:c r="V23" s="418"/>
      <x:c r="W23" s="418"/>
      <x:c r="X23" s="418"/>
      <x:c r="Y23" s="418"/>
      <x:c r="Z23" s="418"/>
    </x:row>
    <x:row r="24" ht="72" customHeight="1">
      <x:c r="A24" s="426" t="str">
        <x:v>arXiv</x:v>
      </x:c>
      <x:c r="B24" s="426" t="str">
        <x:v>ARXIV-11</x:v>
      </x:c>
      <x:c r="C24" s="426" t="str">
        <x:v>"concept discovery" AND retin*</x:v>
      </x:c>
      <x:c r="D24" s="426" t="str">
        <x:v>7 August 2026 recheck</x:v>
      </x:c>
      <x:c r="E24" s="426" t="str">
        <x:v>2017–2026</x:v>
      </x:c>
      <x:c r="F24" s="426" t="str">
        <x:v>All fields; include cross-listed papers; original submission date</x:v>
      </x:c>
      <x:c r="G24" s="426" t="n">
        <x:v>2</x:v>
      </x:c>
      <x:c r="H24" s="426" t="n">
        <x:v>2</x:v>
      </x:c>
      <x:c r="I24" s="426" t="str">
        <x:v>User-supplied arXiv rerun screenshots</x:v>
      </x:c>
      <x:c r="J24" s="426" t="str">
        <x:v>Per-query rerun count used for the working identification register. For searches with many hits, only part of the bibliographic metadata is visible in the supplied viewport and must be completed before final deduplication.</x:v>
      </x:c>
      <x:c r="K24" s="418"/>
      <x:c r="L24" s="418"/>
      <x:c r="M24" s="418"/>
      <x:c r="N24" s="418"/>
      <x:c r="O24" s="418"/>
      <x:c r="P24" s="418"/>
      <x:c r="Q24" s="418"/>
      <x:c r="R24" s="418"/>
      <x:c r="S24" s="418"/>
      <x:c r="T24" s="418"/>
      <x:c r="U24" s="418"/>
      <x:c r="V24" s="418"/>
      <x:c r="W24" s="418"/>
      <x:c r="X24" s="418"/>
      <x:c r="Y24" s="418"/>
      <x:c r="Z24" s="418"/>
    </x:row>
    <x:row r="25" ht="72" customHeight="1">
      <x:c r="A25" s="426" t="str">
        <x:v>arXiv</x:v>
      </x:c>
      <x:c r="B25" s="426" t="str">
        <x:v>ARXIV-12</x:v>
      </x:c>
      <x:c r="C25" s="426" t="str">
        <x:v>"relational concept" AND retin*</x:v>
      </x:c>
      <x:c r="D25" s="426" t="str">
        <x:v>7 August 2026 recheck</x:v>
      </x:c>
      <x:c r="E25" s="426" t="str">
        <x:v>2017–2026</x:v>
      </x:c>
      <x:c r="F25" s="426" t="str">
        <x:v>All fields; include cross-listed papers; original submission date</x:v>
      </x:c>
      <x:c r="G25" s="426" t="n">
        <x:v>4</x:v>
      </x:c>
      <x:c r="H25" s="426" t="n">
        <x:v>4</x:v>
      </x:c>
      <x:c r="I25" s="426" t="str">
        <x:v>User-supplied arXiv rerun screenshots</x:v>
      </x:c>
      <x:c r="J25" s="426" t="str">
        <x:v>Per-query rerun count used for the working identification register. For searches with many hits, only part of the bibliographic metadata is visible in the supplied viewport and must be completed before final deduplication.</x:v>
      </x:c>
      <x:c r="K25" s="418"/>
      <x:c r="L25" s="418"/>
      <x:c r="M25" s="418"/>
      <x:c r="N25" s="418"/>
      <x:c r="O25" s="418"/>
      <x:c r="P25" s="418"/>
      <x:c r="Q25" s="418"/>
      <x:c r="R25" s="418"/>
      <x:c r="S25" s="418"/>
      <x:c r="T25" s="418"/>
      <x:c r="U25" s="418"/>
      <x:c r="V25" s="418"/>
      <x:c r="W25" s="418"/>
      <x:c r="X25" s="418"/>
      <x:c r="Y25" s="418"/>
      <x:c r="Z25" s="418"/>
    </x:row>
    <x:row r="26" ht="72" customHeight="1">
      <x:c r="A26" s="426" t="str">
        <x:v>arXiv</x:v>
      </x:c>
      <x:c r="B26" s="426" t="str">
        <x:v>ARXIV-13</x:v>
      </x:c>
      <x:c r="C26" s="426" t="str">
        <x:v>"prototypical part network" AND retin*</x:v>
      </x:c>
      <x:c r="D26" s="426" t="str">
        <x:v>7 August 2026 recheck</x:v>
      </x:c>
      <x:c r="E26" s="426" t="str">
        <x:v>2017–2026</x:v>
      </x:c>
      <x:c r="F26" s="426" t="str">
        <x:v>All fields; include cross-listed papers; original submission date</x:v>
      </x:c>
      <x:c r="G26" s="426" t="n">
        <x:v>1</x:v>
      </x:c>
      <x:c r="H26" s="426" t="n">
        <x:v>1</x:v>
      </x:c>
      <x:c r="I26" s="426" t="str">
        <x:v>User-supplied arXiv rerun screenshots</x:v>
      </x:c>
      <x:c r="J26" s="426" t="str">
        <x:v>Per-query rerun count used for the working identification register. For searches with many hits, only part of the bibliographic metadata is visible in the supplied viewport and must be completed before final deduplication.</x:v>
      </x:c>
      <x:c r="K26" s="418"/>
      <x:c r="L26" s="418"/>
      <x:c r="M26" s="418"/>
      <x:c r="N26" s="418"/>
      <x:c r="O26" s="418"/>
      <x:c r="P26" s="418"/>
      <x:c r="Q26" s="418"/>
      <x:c r="R26" s="418"/>
      <x:c r="S26" s="418"/>
      <x:c r="T26" s="418"/>
      <x:c r="U26" s="418"/>
      <x:c r="V26" s="418"/>
      <x:c r="W26" s="418"/>
      <x:c r="X26" s="418"/>
      <x:c r="Y26" s="418"/>
      <x:c r="Z26" s="418"/>
    </x:row>
    <x:row r="27" ht="72" customHeight="1">
      <x:c r="A27" s="426" t="str">
        <x:v>arXiv</x:v>
      </x:c>
      <x:c r="B27" s="426" t="str">
        <x:v>ARXIV-14</x:v>
      </x:c>
      <x:c r="C27" s="426" t="str">
        <x:v>"language-guided concept" AND retin*</x:v>
      </x:c>
      <x:c r="D27" s="426" t="str">
        <x:v>7 August 2026 recheck</x:v>
      </x:c>
      <x:c r="E27" s="426" t="str">
        <x:v>2017–2026</x:v>
      </x:c>
      <x:c r="F27" s="426" t="str">
        <x:v>All fields; include cross-listed papers; original submission date</x:v>
      </x:c>
      <x:c r="G27" s="426" t="n">
        <x:v>1</x:v>
      </x:c>
      <x:c r="H27" s="426" t="n">
        <x:v>1</x:v>
      </x:c>
      <x:c r="I27" s="426" t="str">
        <x:v>User-supplied arXiv rerun screenshots</x:v>
      </x:c>
      <x:c r="J27" s="426" t="str">
        <x:v>Per-query rerun count used for the working identification register. For searches with many hits, only part of the bibliographic metadata is visible in the supplied viewport and must be completed before final deduplication.</x:v>
      </x:c>
      <x:c r="K27" s="418"/>
      <x:c r="L27" s="418"/>
      <x:c r="M27" s="418"/>
      <x:c r="N27" s="418"/>
      <x:c r="O27" s="418"/>
      <x:c r="P27" s="418"/>
      <x:c r="Q27" s="418"/>
      <x:c r="R27" s="418"/>
      <x:c r="S27" s="418"/>
      <x:c r="T27" s="418"/>
      <x:c r="U27" s="418"/>
      <x:c r="V27" s="418"/>
      <x:c r="W27" s="418"/>
      <x:c r="X27" s="418"/>
      <x:c r="Y27" s="418"/>
      <x:c r="Z27" s="418"/>
    </x:row>
    <x:row r="28" ht="72" customHeight="1">
      <x:c r="A28" s="426" t="str">
        <x:v>arXiv</x:v>
      </x:c>
      <x:c r="B28" s="426" t="str">
        <x:v>TOTAL</x:v>
      </x:c>
      <x:c r="C28" s="426" t="str">
        <x:v>Fourteen targeted searches listed above</x:v>
      </x:c>
      <x:c r="D28" s="426" t="str">
        <x:v>7 August 2026 recheck</x:v>
      </x:c>
      <x:c r="E28" s="426" t="str">
        <x:v>2017–2026</x:v>
      </x:c>
      <x:c r="F28" s="426" t="str">
        <x:v>As above</x:v>
      </x:c>
      <x:c r="G28" s="426" t="n">
        <x:v>80</x:v>
      </x:c>
      <x:c r="H28" s="426" t="n">
        <x:v>80</x:v>
      </x:c>
      <x:c r="I28" s="426" t="str">
        <x:v>User-supplied arXiv rerun screenshots</x:v>
      </x:c>
      <x:c r="J28" s="426" t="str">
        <x:v>The earlier total of 81 is superseded by the documented per-query rerun total of 80. Final duplicate removal still depends on completing title-level metadata for the larger arXiv result sets.</x:v>
      </x:c>
      <x:c r="K28" s="418"/>
      <x:c r="L28" s="418"/>
      <x:c r="M28" s="418"/>
      <x:c r="N28" s="418"/>
      <x:c r="O28" s="418"/>
      <x:c r="P28" s="418"/>
      <x:c r="Q28" s="418"/>
      <x:c r="R28" s="418"/>
      <x:c r="S28" s="418"/>
      <x:c r="T28" s="418"/>
      <x:c r="U28" s="418"/>
      <x:c r="V28" s="418"/>
      <x:c r="W28" s="418"/>
      <x:c r="X28" s="418"/>
      <x:c r="Y28" s="418"/>
      <x:c r="Z28" s="418"/>
    </x:row>
    <x:row r="29">
      <x:c r="A29" s="418"/>
      <x:c r="B29" s="418"/>
      <x:c r="C29" s="418"/>
      <x:c r="D29" s="418"/>
      <x:c r="E29" s="418"/>
      <x:c r="F29" s="418"/>
      <x:c r="G29" s="418"/>
      <x:c r="H29" s="418"/>
      <x:c r="I29" s="418"/>
      <x:c r="J29" s="418"/>
      <x:c r="K29" s="418"/>
      <x:c r="L29" s="418"/>
      <x:c r="M29" s="418"/>
      <x:c r="N29" s="418"/>
      <x:c r="O29" s="418"/>
      <x:c r="P29" s="418"/>
      <x:c r="Q29" s="418"/>
      <x:c r="R29" s="418"/>
      <x:c r="S29" s="418"/>
      <x:c r="T29" s="418"/>
      <x:c r="U29" s="418"/>
      <x:c r="V29" s="418"/>
      <x:c r="W29" s="418"/>
      <x:c r="X29" s="418"/>
      <x:c r="Y29" s="418"/>
      <x:c r="Z29" s="418"/>
    </x:row>
    <x:row r="30">
      <x:c r="A30" s="418"/>
      <x:c r="B30" s="418"/>
      <x:c r="C30" s="418"/>
      <x:c r="D30" s="418"/>
      <x:c r="E30" s="418"/>
      <x:c r="F30" s="418"/>
      <x:c r="G30" s="418"/>
      <x:c r="H30" s="418"/>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J1"/>
  </x:mergeCells>
  <x:pageMargins left="0.7" right="0.7" top="0.75" bottom="0.75" header="0.3" footer="0.3"/>
  <x:tableParts count="1">
    <x:tablePart xmlns:r="http://schemas.openxmlformats.org/officeDocument/2006/relationships" r:id="R42207e13713147f3"/>
  </x:tableParts>
</x:worksheet>
</file>

<file path=xl/worksheets/sheet4.xml><?xml version="1.0" encoding="utf-8"?>
<x:worksheet xmlns:x="http://schemas.openxmlformats.org/spreadsheetml/2006/main">
  <x:sheetFormatPr defaultRowHeight="15"/>
  <x:cols>
    <x:col min="1" max="1" width="14" hidden="0" customWidth="1"/>
    <x:col min="2" max="2" width="15" hidden="0" customWidth="1"/>
    <x:col min="3" max="3" width="12" hidden="0" customWidth="1"/>
    <x:col min="4" max="4" width="42" hidden="0" customWidth="1"/>
    <x:col min="5" max="5" width="28" hidden="0" customWidth="1"/>
    <x:col min="6" max="6" width="11" hidden="0" customWidth="1"/>
    <x:col min="7" max="7" width="28" hidden="0" customWidth="1"/>
    <x:col min="8" max="8" width="22" hidden="0" customWidth="1"/>
    <x:col min="9" max="9" width="22" hidden="0" customWidth="1"/>
    <x:col min="10" max="10" width="18" hidden="0" customWidth="1"/>
    <x:col min="11" max="11" width="30" hidden="0" customWidth="1"/>
    <x:col min="12" max="12" width="45" hidden="0" customWidth="1"/>
    <x:col min="13" max="13" width="18" hidden="0" customWidth="1"/>
    <x:col min="14" max="14" width="12" hidden="0" customWidth="1"/>
    <x:col min="15" max="15" width="18" hidden="0" customWidth="1"/>
    <x:col min="16" max="16" width="16" hidden="0" customWidth="1"/>
    <x:col min="17" max="17" width="16" hidden="0" customWidth="1"/>
    <x:col min="18" max="18" width="28" hidden="0" customWidth="1"/>
    <x:col min="19" max="19" width="16" hidden="0" customWidth="1"/>
    <x:col min="20" max="20" width="28" hidden="0" customWidth="1"/>
    <x:col min="21" max="21" width="16" hidden="0" customWidth="1"/>
    <x:col min="22" max="22" width="28" hidden="0" customWidth="1"/>
    <x:col min="23" max="23" width="16" hidden="0" customWidth="1"/>
    <x:col min="24" max="24" width="16" hidden="0" customWidth="1"/>
    <x:col min="25" max="25" width="16" hidden="0" customWidth="1"/>
    <x:col min="26" max="26" width="28" hidden="0" customWidth="1"/>
    <x:col min="27" max="27" width="16" hidden="0" customWidth="1"/>
    <x:col min="28" max="28" width="28" hidden="0" customWidth="1"/>
    <x:col min="29" max="29" width="16" hidden="0" customWidth="1"/>
    <x:col min="30" max="30" width="28" hidden="0" customWidth="1"/>
    <x:col min="31" max="31" width="16" hidden="0" customWidth="1"/>
    <x:col min="32" max="32" width="24" hidden="0" customWidth="1"/>
    <x:col min="33" max="33" width="42" hidden="0" customWidth="1"/>
    <x:col min="34" max="34" width="38" hidden="0" customWidth="1"/>
  </x:cols>
  <x:sheetData>
    <x:row r="1" ht="30" customHeight="1">
      <x:c r="A1" s="533" t="str">
        <x:v>Master Record and Two-Stage Screening Log</x:v>
      </x:c>
      <x:c r="B1" s="533"/>
      <x:c r="C1" s="533"/>
      <x:c r="D1" s="533"/>
      <x:c r="E1" s="533"/>
      <x:c r="F1" s="533"/>
      <x:c r="G1" s="533"/>
      <x:c r="H1" s="533"/>
      <x:c r="I1" s="533"/>
      <x:c r="J1" s="533"/>
      <x:c r="K1" s="533"/>
      <x:c r="L1" s="533"/>
      <x:c r="M1" s="533"/>
      <x:c r="N1" s="533"/>
      <x:c r="O1" s="533"/>
      <x:c r="P1" s="533"/>
      <x:c r="Q1" s="533"/>
      <x:c r="R1" s="533"/>
      <x:c r="S1" s="533"/>
      <x:c r="T1" s="533"/>
      <x:c r="U1" s="533"/>
      <x:c r="V1" s="533"/>
      <x:c r="W1" s="533"/>
      <x:c r="X1" s="533"/>
      <x:c r="Y1" s="533"/>
      <x:c r="Z1" s="533"/>
      <x:c r="AA1" s="15"/>
      <x:c r="AB1" s="15"/>
      <x:c r="AC1" s="15"/>
      <x:c r="AD1" s="15"/>
      <x:c r="AE1" s="15"/>
      <x:c r="AF1" s="15"/>
      <x:c r="AG1" s="15"/>
    </x:row>
    <x:row r="2" ht="34" customHeight="1">
      <x:c r="A2" s="1179" t="str">
        <x:v>The corresponding author conducted the database searches and completed the primary title/abstract and full-text screening. Two additional authors performed random spot checks on selected papers against the predefined eligibility criteria as a quality-control step.</x:v>
      </x:c>
      <x:c r="B2" s="1179"/>
      <x:c r="C2" s="1179"/>
      <x:c r="D2" s="1179"/>
      <x:c r="E2" s="1179"/>
      <x:c r="F2" s="1179"/>
      <x:c r="G2" s="1179"/>
      <x:c r="H2" s="1179"/>
      <x:c r="I2" s="1179"/>
      <x:c r="J2" s="1179"/>
      <x:c r="K2" s="1179"/>
      <x:c r="L2" s="1179"/>
      <x:c r="M2" s="1179"/>
      <x:c r="N2" s="1179"/>
      <x:c r="O2" s="1179"/>
      <x:c r="P2" s="1179"/>
      <x:c r="Q2" s="1179"/>
      <x:c r="R2" s="1179"/>
      <x:c r="S2" s="1179"/>
      <x:c r="T2" s="1179"/>
      <x:c r="U2" s="1179"/>
      <x:c r="V2" s="1179"/>
      <x:c r="W2" s="1179"/>
      <x:c r="X2" s="1179"/>
      <x:c r="Y2" s="1179"/>
      <x:c r="Z2" s="1179"/>
      <x:c r="AA2" s="1180"/>
      <x:c r="AB2" s="1180"/>
      <x:c r="AC2" s="1180"/>
      <x:c r="AD2" s="1180"/>
      <x:c r="AE2" s="1180"/>
      <x:c r="AF2" s="1180"/>
      <x:c r="AG2" s="1180"/>
      <x:c r="AH2" s="1180"/>
    </x:row>
    <x:row r="3">
      <x:c r="A3" s="425" t="str">
        <x:v>Record ID</x:v>
      </x:c>
      <x:c r="B3" s="425" t="str">
        <x:v>Database</x:v>
      </x:c>
      <x:c r="C3" s="425" t="str">
        <x:v>Search ID</x:v>
      </x:c>
      <x:c r="D3" s="425" t="str">
        <x:v>Title</x:v>
      </x:c>
      <x:c r="E3" s="425" t="str">
        <x:v>Authors</x:v>
      </x:c>
      <x:c r="F3" s="425" t="str">
        <x:v>Publication Year</x:v>
      </x:c>
      <x:c r="G3" s="425" t="str">
        <x:v>Journal / Source</x:v>
      </x:c>
      <x:c r="H3" s="425" t="str">
        <x:v>Document Type</x:v>
      </x:c>
      <x:c r="I3" s="425" t="str">
        <x:v>DOI</x:v>
      </x:c>
      <x:c r="J3" s="425" t="str">
        <x:v>PMID / arXiv ID</x:v>
      </x:c>
      <x:c r="K3" s="425" t="str">
        <x:v>URL</x:v>
      </x:c>
      <x:c r="L3" s="425" t="str">
        <x:v>Abstract</x:v>
      </x:c>
      <x:c r="M3" s="425" t="str">
        <x:v>Duplicate Status</x:v>
      </x:c>
      <x:c r="N3" s="425" t="str">
        <x:v>Duplicate Group</x:v>
      </x:c>
      <x:c r="O3" s="425" t="str">
        <x:v>Duplicate of Record ID</x:v>
      </x:c>
      <x:c r="P3" s="425" t="str">
        <x:v>Preferred Version?</x:v>
      </x:c>
      <x:c r="Q3" s="425" t="str">
        <x:v>Primary TA Decision (Corresponding Author)</x:v>
      </x:c>
      <x:c r="R3" s="425" t="str">
        <x:v>Primary TA Reason</x:v>
      </x:c>
      <x:c r="S3" s="425" t="str">
        <x:v>TA Random Verification Status</x:v>
      </x:c>
      <x:c r="T3" s="425" t="str">
        <x:v>TA Random Verification Note</x:v>
      </x:c>
      <x:c r="U3" s="425" t="str">
        <x:v>Final TA Decision</x:v>
      </x:c>
      <x:c r="V3" s="425" t="str">
        <x:v>Final TA Decision Basis</x:v>
      </x:c>
      <x:c r="W3" s="425" t="str">
        <x:v>Full Text Sought?</x:v>
      </x:c>
      <x:c r="X3" s="425" t="str">
        <x:v>Full Text Retrieved?</x:v>
      </x:c>
      <x:c r="Y3" s="425" t="str">
        <x:v>Primary FT Decision (Corresponding Author)</x:v>
      </x:c>
      <x:c r="Z3" s="425" t="str">
        <x:v>Primary FT Reason</x:v>
      </x:c>
      <x:c r="AA3" s="6" t="str">
        <x:v>FT Random Verification Status</x:v>
      </x:c>
      <x:c r="AB3" s="6" t="str">
        <x:v>FT Random Verification Note</x:v>
      </x:c>
      <x:c r="AC3" s="6" t="str">
        <x:v>Final FT Decision</x:v>
      </x:c>
      <x:c r="AD3" s="6" t="str">
        <x:v>Final FT Decision Basis</x:v>
      </x:c>
      <x:c r="AE3" s="6" t="str">
        <x:v>Final Inclusion</x:v>
      </x:c>
      <x:c r="AF3" s="6" t="str">
        <x:v>Study Role</x:v>
      </x:c>
      <x:c r="AG3" s="6" t="str">
        <x:v>Notes</x:v>
      </x:c>
      <x:c r="AH3" s="638" t="str">
        <x:v>Duplicate Reason</x:v>
      </x:c>
    </x:row>
    <x:row r="4" ht="42" customHeight="1">
      <x:c r="A4" s="426" t="str">
        <x:v>PM-001</x:v>
      </x:c>
      <x:c r="B4" s="426" t="str">
        <x:v>PubMed</x:v>
      </x:c>
      <x:c r="C4" s="426" t="str">
        <x:v>PUBMED-01</x:v>
      </x:c>
      <x:c r="D4" s="426" t="str">
        <x:v>Vision language models in ophthalmology</x:v>
      </x:c>
      <x:c r="E4" s="426" t="str">
        <x:v>Lim G, Elangovan K, Jin L.</x:v>
      </x:c>
      <x:c r="F4" s="426" t="n">
        <x:v>2024</x:v>
      </x:c>
      <x:c r="G4" s="426" t="str">
        <x:v>Curr Opin Ophthalmol</x:v>
      </x:c>
      <x:c r="H4" s="426" t="str">
        <x:v>Journal Article; Review</x:v>
      </x:c>
      <x:c r="I4" s="426" t="str">
        <x:v>10.1097/ICU.0000000000001089</x:v>
      </x:c>
      <x:c r="J4" s="426" t="str">
        <x:v>39259649</x:v>
      </x:c>
      <x:c r="K4" s="426" t="str">
        <x:v>https://journals.lww.com/co-ophthalmology/fulltext/2024/11000/vision_language_models_in_ophthalmology.9.aspx</x:v>
      </x:c>
      <x:c r="L4" s="426" t="str">
        <x:v>PURPOSE OF REVIEW: Vision Language Models are an emerging paradigm in artific...</x:v>
      </x:c>
      <x:c r="M4" s="426" t="str">
        <x:v>No duplicate</x:v>
      </x:c>
      <x:c r="N4" s="426" t="str">
        <x:v>Not applicable — no duplicate group</x:v>
      </x:c>
      <x:c r="O4" s="426" t="str">
        <x:v>Not applicable</x:v>
      </x:c>
      <x:c r="P4" s="426" t="str">
        <x:v>Yes</x:v>
      </x:c>
      <x:c r="Q4" s="426" t="str">
        <x:v>Include</x:v>
      </x:c>
      <x:c r="R4" s="426" t="str">
        <x:v>The corresponding author judged the record potentially relevant to ophthalmic vision-language models and explainability; retain for further assessment.</x:v>
      </x:c>
      <x:c r="S4" s="426" t="str">
        <x:v>Verification documented at process level</x:v>
      </x:c>
      <x:c r="T4" s="426" t="str">
        <x:v>Two additional authors performed random spot checks; individual spot-check assignments are not recorded in this register.</x:v>
      </x:c>
      <x:c r="U4" s="426" t="str">
        <x:v>Include</x:v>
      </x:c>
      <x:c r="V4" s="426" t="str">
        <x:v>Primary decision by the corresponding author; two additional authors performed random spot checks as a quality-control step.</x:v>
      </x:c>
      <x:c r="W4" s="426" t="str">
        <x:v>Yes</x:v>
      </x:c>
      <x:c r="X4" s="426" t="str">
        <x:v>Yes</x:v>
      </x:c>
      <x:c r="Y4" s="426" t="str">
        <x:v>Include</x:v>
      </x:c>
      <x:c r="Z4" s="426" t="str">
        <x:v>The corresponding author assessed the complete report and judged it eligible for inclusion in the review.</x:v>
      </x:c>
      <x:c r="AA4" s="22" t="str">
        <x:v>Verification documented at process level</x:v>
      </x:c>
      <x:c r="AB4" s="22" t="str">
        <x:v>Two additional authors performed random spot checks; individual spot-check assignments are not recorded in this register.</x:v>
      </x:c>
      <x:c r="AC4" s="22" t="str">
        <x:v>Include</x:v>
      </x:c>
      <x:c r="AD4" s="22" t="str">
        <x:v>Primary decision by the corresponding author; two additional authors performed random spot checks as a quality-control step.</x:v>
      </x:c>
      <x:c r="AE4" s="22" t="str">
        <x:v>Include</x:v>
      </x:c>
      <x:c r="AF4" s="22" t="str">
        <x:v>Direct retinal/ophthalmic evidence</x:v>
      </x:c>
      <x:c r="AG4" s="22" t="str">
        <x:v>Complete PubMed CSV re-export. Create date: 2024/09/11. Citation: Curr Opin Ophthalmol. 2024 Nov 1;35(6):487-493. doi: 10.1097/ICU.0000000000001089. Epub 2024 Aug 26.</x:v>
      </x:c>
      <x:c r="AH4" s="20" t="str">
        <x:v>No duplicate identified under the documented matching rules.</x:v>
      </x:c>
    </x:row>
    <x:row r="5" ht="42" customHeight="1">
      <x:c r="A5" s="426" t="str">
        <x:v>PM-002</x:v>
      </x:c>
      <x:c r="B5" s="426" t="str">
        <x:v>PubMed</x:v>
      </x:c>
      <x:c r="C5" s="426" t="str">
        <x:v>PUBMED-01</x:v>
      </x:c>
      <x:c r="D5" s="426" t="str">
        <x:v>Foundation models for ophthalmic imaging</x:v>
      </x:c>
      <x:c r="E5" s="426" t="str">
        <x:v>Gharbi K, Wijngaarden PV, Hadoux X.</x:v>
      </x:c>
      <x:c r="F5" s="426" t="n">
        <x:v>2026</x:v>
      </x:c>
      <x:c r="G5" s="426" t="str">
        <x:v>Surv Ophthalmol</x:v>
      </x:c>
      <x:c r="H5" s="426" t="str">
        <x:v>Journal Article; Review</x:v>
      </x:c>
      <x:c r="I5" s="426" t="str">
        <x:v>10.1016/j.survophthal.2026.01.004</x:v>
      </x:c>
      <x:c r="J5" s="426" t="str">
        <x:v>41619947</x:v>
      </x:c>
      <x:c r="K5" s="426" t="str">
        <x:v>https://pubmed.ncbi.nlm.nih.gov/41619947/</x:v>
      </x:c>
      <x:c r="L5" s="426" t="str">
        <x:v>Foundation models represent a new frontier in ophthalmic artificial intellige...</x:v>
      </x:c>
      <x:c r="M5" s="426" t="str">
        <x:v>No duplicate</x:v>
      </x:c>
      <x:c r="N5" s="426" t="str">
        <x:v>Not applicable — no duplicate group</x:v>
      </x:c>
      <x:c r="O5" s="426" t="str">
        <x:v>Not applicable</x:v>
      </x:c>
      <x:c r="P5" s="426" t="str">
        <x:v>Yes</x:v>
      </x:c>
      <x:c r="Q5" s="426" t="str">
        <x:v>Exclude</x:v>
      </x:c>
      <x:c r="R5" s="426" t="str">
        <x:v>Review article with no original empirical evaluation; retained only for background and citation chasing.</x:v>
      </x:c>
      <x:c r="S5" s="426" t="str">
        <x:v>Verification documented at process level</x:v>
      </x:c>
      <x:c r="T5" s="426" t="str">
        <x:v>Two additional authors performed random spot checks; individual spot-check assignments are not recorded in this register.</x:v>
      </x:c>
      <x:c r="U5" s="426" t="str">
        <x:v>Exclude</x:v>
      </x:c>
      <x:c r="V5" s="426" t="str">
        <x:v>Primary decision by the corresponding author; two additional authors performed random spot checks as a quality-control step.</x:v>
      </x:c>
      <x:c r="W5" s="426" t="str">
        <x:v>No</x:v>
      </x:c>
      <x:c r="X5" s="426" t="str">
        <x:v>Not applicable</x:v>
      </x:c>
      <x:c r="Y5" s="426" t="str">
        <x:v>Not assessed</x:v>
      </x:c>
      <x:c r="Z5" s="426" t="str">
        <x:v>Not advanced to full-text assessment after the title/abstract decision.</x:v>
      </x:c>
      <x:c r="AA5" s="22" t="str">
        <x:v>Not applicable</x:v>
      </x:c>
      <x:c r="AB5" s="22" t="str">
        <x:v>Record was not advanced to full-text assessment.</x:v>
      </x:c>
      <x:c r="AC5" s="22" t="str">
        <x:v>Not assessed</x:v>
      </x:c>
      <x:c r="AD5" s="22" t="str">
        <x:v>Not applicable — no full-text assessment was required.</x:v>
      </x:c>
      <x:c r="AE5" s="22" t="str">
        <x:v>Not included — title/abstract exclusion</x:v>
      </x:c>
      <x:c r="AF5" s="22" t="str">
        <x:v>Not applicable — not included</x:v>
      </x:c>
      <x:c r="AG5" s="22" t="str">
        <x:v>Complete PubMed CSV re-export. Create date: 2026/01/31. Citation: Surv Ophthalmol. 2026 Jul-Aug;71(4):1129-1147. doi: 10.1016/j.survophthal.2026.01.004. Epub 2026 Jan 29.</x:v>
      </x:c>
      <x:c r="AH5" s="20" t="str">
        <x:v>No duplicate identified under the documented matching rules.</x:v>
      </x:c>
    </x:row>
    <x:row r="6" ht="42" customHeight="1">
      <x:c r="A6" s="426" t="str">
        <x:v>PM-003</x:v>
      </x:c>
      <x:c r="B6" s="426" t="str">
        <x:v>PubMed</x:v>
      </x:c>
      <x:c r="C6" s="426" t="str">
        <x:v>PUBMED-01</x:v>
      </x:c>
      <x:c r="D6" s="426" t="str">
        <x:v>A multimodal vision-language model for generalizable annotation-free pathology localization</x:v>
      </x:c>
      <x:c r="E6" s="426" t="str">
        <x:v>Yang H, Zhou HY, Liu J, Huang W, Li C, Li Z, Gao Y, Liu Q, Liang Y, Yang Q, Wu S, Tan T, Zheng H, Zhang K, Wang S.</x:v>
      </x:c>
      <x:c r="F6" s="426" t="n">
        <x:v>2026</x:v>
      </x:c>
      <x:c r="G6" s="426" t="str">
        <x:v>Nat Biomed Eng</x:v>
      </x:c>
      <x:c r="H6" s="426" t="str">
        <x:v>Journal Article</x:v>
      </x:c>
      <x:c r="I6" s="426" t="str">
        <x:v>10.1038/s41551-025-01574-7</x:v>
      </x:c>
      <x:c r="J6" s="426" t="str">
        <x:v>41495192</x:v>
      </x:c>
      <x:c r="K6" s="426" t="str">
        <x:v>https://www.nature.com/articles/s41551-025-01574-7</x:v>
      </x:c>
      <x:c r="L6" s="426" t="str">
        <x:v>Existing deep learning models for defining pathology from clinical imaging da...</x:v>
      </x:c>
      <x:c r="M6" s="426" t="str">
        <x:v>No duplicate</x:v>
      </x:c>
      <x:c r="N6" s="426" t="str">
        <x:v>Not applicable — no duplicate group</x:v>
      </x:c>
      <x:c r="O6" s="426" t="str">
        <x:v>Not applicable</x:v>
      </x:c>
      <x:c r="P6" s="426" t="str">
        <x:v>Yes</x:v>
      </x:c>
      <x:c r="Q6" s="426" t="str">
        <x:v>Include</x:v>
      </x:c>
      <x:c r="R6" s="426" t="str">
        <x:v>Original vision-language model aligning multigranularity medical concepts with image features and including retinal fundus validation; retained as potentially relevant evidence.</x:v>
      </x:c>
      <x:c r="S6" s="426" t="str">
        <x:v>Verification documented at process level</x:v>
      </x:c>
      <x:c r="T6" s="426" t="str">
        <x:v>Two additional authors performed random spot checks; individual spot-check assignments are not recorded in this register.</x:v>
      </x:c>
      <x:c r="U6" s="426" t="str">
        <x:v>Include</x:v>
      </x:c>
      <x:c r="V6" s="426" t="str">
        <x:v>Primary decision by the corresponding author; two additional authors performed random spot checks as a quality-control step.</x:v>
      </x:c>
      <x:c r="W6" s="426" t="str">
        <x:v>Yes</x:v>
      </x:c>
      <x:c r="X6" s="426" t="str">
        <x:v>Yes</x:v>
      </x:c>
      <x:c r="Y6" s="426" t="str">
        <x:v>Include</x:v>
      </x:c>
      <x:c r="Z6" s="426" t="str">
        <x:v>The corresponding author confirmed full-text assessment. Abstract/official-record rationale (I2–I4): The abstract presents AFLoc, a multilevel semantic vision–language model that aligns medical concepts with image features and validates generalisation on retinal fundus images; this is original concept-oriented medical-imaging evidence.</x:v>
      </x:c>
      <x:c r="AA6" s="22" t="str">
        <x:v>Verification documented at process level</x:v>
      </x:c>
      <x:c r="AB6" s="22" t="str">
        <x:v>Two additional authors performed random spot checks; individual spot-check assignments are not recorded in this register.</x:v>
      </x:c>
      <x:c r="AC6" s="22" t="str">
        <x:v>Include</x:v>
      </x:c>
      <x:c r="AD6" s="22" t="str">
        <x:v>Primary decision by the corresponding author; two additional authors performed random spot checks as a quality-control step.</x:v>
      </x:c>
      <x:c r="AE6" s="22" t="str">
        <x:v>Include</x:v>
      </x:c>
      <x:c r="AF6" s="22" t="str">
        <x:v>Direct retinal/ophthalmic evidence</x:v>
      </x:c>
      <x:c r="AG6" s="22" t="str">
        <x:v>Complete PubMed CSV re-export. Create date: 2026/01/06. Citation: Nat Biomed Eng. 2026 Jan 6. doi: 10.1038/s41551-025-01574-7. Online ahead of print.</x:v>
      </x:c>
      <x:c r="AH6" s="20" t="str">
        <x:v>No duplicate identified under the documented matching rules.</x:v>
      </x:c>
    </x:row>
    <x:row r="7" ht="42" customHeight="1">
      <x:c r="A7" s="426" t="str">
        <x:v>PM-004</x:v>
      </x:c>
      <x:c r="B7" s="426" t="str">
        <x:v>PubMed</x:v>
      </x:c>
      <x:c r="C7" s="426" t="str">
        <x:v>PUBMED-01</x:v>
      </x:c>
      <x:c r="D7" s="426" t="str">
        <x:v>An Interpretable and Accurate Deep-Learning Diagnosis Framework Modeled With Fully and Semi-Supervised Reciprocal Learning</x:v>
      </x:c>
      <x:c r="E7" s="426" t="str">
        <x:v>Wang C, Chen Y, Liu F, Elliott M, Kwok CF, Pena-Solorzano C, Frazer H, McCarthy DJ, Carneiro G.</x:v>
      </x:c>
      <x:c r="F7" s="426" t="n">
        <x:v>2024</x:v>
      </x:c>
      <x:c r="G7" s="426" t="str">
        <x:v>IEEE Trans Med Imaging</x:v>
      </x:c>
      <x:c r="H7" s="426" t="str">
        <x:v>Journal Article; Research Support, Non-U.S. Gov't</x:v>
      </x:c>
      <x:c r="I7" s="426" t="str">
        <x:v>10.1109/TMI.2023.3306781</x:v>
      </x:c>
      <x:c r="J7" s="426" t="str">
        <x:v>37603481</x:v>
      </x:c>
      <x:c r="K7" s="426" t="str">
        <x:v>https://ieeexplore.ieee.org/document/10225391/</x:v>
      </x:c>
      <x:c r="L7" s="426" t="str">
        <x:v>The deployment of automated deep-learning classifiers in clinical practice ha...</x:v>
      </x:c>
      <x:c r="M7" s="426" t="str">
        <x:v>No duplicate</x:v>
      </x:c>
      <x:c r="N7" s="426" t="str">
        <x:v>DG-001</x:v>
      </x:c>
      <x:c r="O7" s="426" t="str">
        <x:v>Not applicable</x:v>
      </x:c>
      <x:c r="P7" s="426" t="str">
        <x:v>Yes</x:v>
      </x:c>
      <x:c r="Q7" s="426" t="str">
        <x:v>Include</x:v>
      </x:c>
      <x:c r="R7" s="426" t="str">
        <x:v>Original prototype-based interpretable medical-imaging framework evaluated on retinopathy OCT; retained as directly relevant evidence.</x:v>
      </x:c>
      <x:c r="S7" s="426" t="str">
        <x:v>Verification documented at process level</x:v>
      </x:c>
      <x:c r="T7" s="426" t="str">
        <x:v>Two additional authors performed random spot checks; individual spot-check assignments are not recorded in this register.</x:v>
      </x:c>
      <x:c r="U7" s="426" t="str">
        <x:v>Include</x:v>
      </x:c>
      <x:c r="V7" s="426" t="str">
        <x:v>Primary decision by the corresponding author; two additional authors performed random spot checks as a quality-control step.</x:v>
      </x:c>
      <x:c r="W7" s="426" t="str">
        <x:v>Yes</x:v>
      </x:c>
      <x:c r="X7" s="426" t="str">
        <x:v>Yes</x:v>
      </x:c>
      <x:c r="Y7" s="426" t="str">
        <x:v>Include</x:v>
      </x:c>
      <x:c r="Z7" s="426" t="str">
        <x:v>The corresponding author confirmed full-text assessment. Abstract/official-record rationale (I2–I4): The abstract reports InterNRL, an interpretable prototype-based student–teacher framework with empirical evaluation on retinal-disease diagnosis; it directly meets the retinal, concept-method and original-evidence criteria.</x:v>
      </x:c>
      <x:c r="AA7" s="22" t="str">
        <x:v>Verification documented at process level</x:v>
      </x:c>
      <x:c r="AB7" s="22" t="str">
        <x:v>Two additional authors performed random spot checks; individual spot-check assignments are not recorded in this register.</x:v>
      </x:c>
      <x:c r="AC7" s="22" t="str">
        <x:v>Include</x:v>
      </x:c>
      <x:c r="AD7" s="22" t="str">
        <x:v>Primary decision by the corresponding author; two additional authors performed random spot checks as a quality-control step.</x:v>
      </x:c>
      <x:c r="AE7" s="22" t="str">
        <x:v>Include</x:v>
      </x:c>
      <x:c r="AF7" s="22" t="str">
        <x:v>Direct retinal/ophthalmic evidence</x:v>
      </x:c>
      <x:c r="AG7" s="22" t="str">
        <x:v>Complete PubMed CSV re-export. Create date: 2023/08/21. Citation: IEEE Trans Med Imaging. 2024 Jan;43(1):392-404. doi: 10.1109/TMI.2023.3306781. Epub 2024 Jan 2.</x:v>
      </x:c>
      <x:c r="AH7" s="20" t="str">
        <x:v>Confirmed using DOI/title evidence; identifier/title evidence; normalized title across captured searches.</x:v>
      </x:c>
    </x:row>
    <x:row r="8" ht="42" customHeight="1">
      <x:c r="A8" s="426" t="str">
        <x:v>PM-005</x:v>
      </x:c>
      <x:c r="B8" s="426" t="str">
        <x:v>PubMed</x:v>
      </x:c>
      <x:c r="C8" s="426" t="str">
        <x:v>PUBMED-01</x:v>
      </x:c>
      <x:c r="D8" s="426" t="str">
        <x:v>Concept-based AI interpretability in physiological time-series data: Example of abnormality detection in electroencephalography</x:v>
      </x:c>
      <x:c r="E8" s="426" t="str">
        <x:v>Brenner A, Knispel F, Fischer FP, Rossmanith P, Weber Y, Koch H, Röhrig R, Varghese J, Kutafina E.</x:v>
      </x:c>
      <x:c r="F8" s="426" t="n">
        <x:v>2024</x:v>
      </x:c>
      <x:c r="G8" s="426" t="str">
        <x:v>Comput Methods Programs Biomed</x:v>
      </x:c>
      <x:c r="H8" s="426" t="str">
        <x:v>Journal Article</x:v>
      </x:c>
      <x:c r="I8" s="426" t="str">
        <x:v>10.1016/j.cmpb.2024.108448</x:v>
      </x:c>
      <x:c r="J8" s="426" t="str">
        <x:v>39395304</x:v>
      </x:c>
      <x:c r="K8" s="426" t="str">
        <x:v>https://www.sciencedirect.com/science/article/pii/S0169260724004413</x:v>
      </x:c>
      <x:c r="L8" s="426" t="str">
        <x:v>BACKGROUND AND OBJECTIVE: Despite recent performance advancements, deep learn...</x:v>
      </x:c>
      <x:c r="M8" s="426" t="str">
        <x:v>No duplicate</x:v>
      </x:c>
      <x:c r="N8" s="426" t="str">
        <x:v>DG-099</x:v>
      </x:c>
      <x:c r="O8" s="426" t="str">
        <x:v>Not applicable</x:v>
      </x:c>
      <x:c r="P8" s="426" t="str">
        <x:v>Yes</x:v>
      </x:c>
      <x:c r="Q8" s="426" t="str">
        <x:v>Include</x:v>
      </x:c>
      <x:c r="R8" s="426" t="str">
        <x:v>Original concept-based interpretability study in EEG; retained as contextual medical concept-XAI evidence.</x:v>
      </x:c>
      <x:c r="S8" s="426" t="str">
        <x:v>Verification documented at process level</x:v>
      </x:c>
      <x:c r="T8" s="426" t="str">
        <x:v>Two additional authors performed random spot checks; individual spot-check assignments are not recorded in this register.</x:v>
      </x:c>
      <x:c r="U8" s="426" t="str">
        <x:v>Include</x:v>
      </x:c>
      <x:c r="V8" s="426" t="str">
        <x:v>Primary decision by the corresponding author; two additional authors performed random spot checks as a quality-control step.</x:v>
      </x:c>
      <x:c r="W8" s="426" t="str">
        <x:v>Yes</x:v>
      </x:c>
      <x:c r="X8" s="426" t="str">
        <x:v>Yes</x:v>
      </x:c>
      <x:c r="Y8" s="426" t="str">
        <x:v>Include</x:v>
      </x:c>
      <x:c r="Z8" s="426" t="str">
        <x:v>The corresponding author confirmed full-text assessment. Abstract/official-record rationale (I5): The abstract evaluates concept-based interpretability for EEG time-series abnormality detection; it is retained as contextual medical concept-XAI evidence rather than direct retinal evidence.</x:v>
      </x:c>
      <x:c r="AA8" s="22" t="str">
        <x:v>Verification documented at process level</x:v>
      </x:c>
      <x:c r="AB8" s="22" t="str">
        <x:v>Two additional authors performed random spot checks; individual spot-check assignments are not recorded in this register.</x:v>
      </x:c>
      <x:c r="AC8" s="22" t="str">
        <x:v>Include</x:v>
      </x:c>
      <x:c r="AD8" s="22" t="str">
        <x:v>Primary decision by the corresponding author; two additional authors performed random spot checks as a quality-control step.</x:v>
      </x:c>
      <x:c r="AE8" s="22" t="str">
        <x:v>Include</x:v>
      </x:c>
      <x:c r="AF8" s="22" t="str">
        <x:v>Contextual medical concept-XAI evidence</x:v>
      </x:c>
      <x:c r="AG8" s="22" t="str">
        <x:v>Complete PubMed CSV re-export. Create date: 2024/10/12. Citation: Comput Methods Programs Biomed. 2024 Dec;257:108448. doi: 10.1016/j.cmpb.2024.108448. Epub 2024 Sep 30.</x:v>
      </x:c>
      <x:c r="AH8" s="20" t="str">
        <x:v>No duplicate identified under the documented matching rules.</x:v>
      </x:c>
    </x:row>
    <x:row r="9" ht="42" customHeight="1">
      <x:c r="A9" s="426" t="str">
        <x:v>PM-006</x:v>
      </x:c>
      <x:c r="B9" s="426" t="str">
        <x:v>PubMed</x:v>
      </x:c>
      <x:c r="C9" s="426" t="str">
        <x:v>PUBMED-01</x:v>
      </x:c>
      <x:c r="D9" s="426" t="str">
        <x:v>An integrated language-vision foundation model for conversational diagnostics and triaging in primary eye care</x:v>
      </x:c>
      <x:c r="E9" s="426" t="str">
        <x:v>Soh ZD, Bai Y, Yu K, Zhou Y, Lei X, Thakur S, Lee Z, Phang LCL, Peng Q, Xue CC, Chong RS, Hoang QV, Raghavan L, Tham YC, Sabanayagam C, Wu WC, Ho MC, He J, Gupta P, Lamoureux E, Saw SM, Nangia V, Panda-Jonas S, Xu J, Wang YX, Xu X, Jonas JB, Wong TY, Goh RSM, Liu Y, Cheng CY.</x:v>
      </x:c>
      <x:c r="F9" s="426" t="n">
        <x:v>2025</x:v>
      </x:c>
      <x:c r="G9" s="426" t="str">
        <x:v>Cell Rep Med</x:v>
      </x:c>
      <x:c r="H9" s="426" t="str">
        <x:v>Journal Article</x:v>
      </x:c>
      <x:c r="I9" s="426" t="str">
        <x:v>10.1016/j.xcrm.2025.102476</x:v>
      </x:c>
      <x:c r="J9" s="426" t="str">
        <x:v>41349528</x:v>
      </x:c>
      <x:c r="K9" s="426" t="str">
        <x:v>https://pubmed.ncbi.nlm.nih.gov/41349528/</x:v>
      </x:c>
      <x:c r="L9" s="426" t="str">
        <x:v>We present Meta-EyeFM, an integrated language-vision foundation model designe...</x:v>
      </x:c>
      <x:c r="M9" s="426" t="str">
        <x:v>No duplicate</x:v>
      </x:c>
      <x:c r="N9" s="426" t="str">
        <x:v>Not applicable — no duplicate group</x:v>
      </x:c>
      <x:c r="O9" s="426" t="str">
        <x:v>Not applicable</x:v>
      </x:c>
      <x:c r="P9" s="426" t="str">
        <x:v>Yes</x:v>
      </x:c>
      <x:c r="Q9" s="426" t="str">
        <x:v>Exclude</x:v>
      </x:c>
      <x:c r="R9" s="426" t="str">
        <x:v>Ophthalmic foundation-model study without a clear concept-based or structured explainability method.</x:v>
      </x:c>
      <x:c r="S9" s="426" t="str">
        <x:v>Verification documented at process level</x:v>
      </x:c>
      <x:c r="T9" s="426" t="str">
        <x:v>Two additional authors performed random spot checks; individual spot-check assignments are not recorded in this register.</x:v>
      </x:c>
      <x:c r="U9" s="426" t="str">
        <x:v>Exclude</x:v>
      </x:c>
      <x:c r="V9" s="426" t="str">
        <x:v>Primary decision by the corresponding author; two additional authors performed random spot checks as a quality-control step.</x:v>
      </x:c>
      <x:c r="W9" s="426" t="str">
        <x:v>No</x:v>
      </x:c>
      <x:c r="X9" s="426" t="str">
        <x:v>Not applicable</x:v>
      </x:c>
      <x:c r="Y9" s="426" t="str">
        <x:v>Not assessed</x:v>
      </x:c>
      <x:c r="Z9" s="426" t="str">
        <x:v>Not advanced to full-text assessment after the title/abstract decision.</x:v>
      </x:c>
      <x:c r="AA9" s="22" t="str">
        <x:v>Not applicable</x:v>
      </x:c>
      <x:c r="AB9" s="22" t="str">
        <x:v>Record was not advanced to full-text assessment.</x:v>
      </x:c>
      <x:c r="AC9" s="22" t="str">
        <x:v>Not assessed</x:v>
      </x:c>
      <x:c r="AD9" s="22" t="str">
        <x:v>Not applicable — no full-text assessment was required.</x:v>
      </x:c>
      <x:c r="AE9" s="22" t="str">
        <x:v>Not included — title/abstract exclusion</x:v>
      </x:c>
      <x:c r="AF9" s="22" t="str">
        <x:v>Not applicable — not included</x:v>
      </x:c>
      <x:c r="AG9" s="22" t="str">
        <x:v>Complete PubMed CSV re-export. Create date: 2025/12/05. Citation: Cell Rep Med. 2025 Dec 16;6(12):102476. doi: 10.1016/j.xcrm.2025.102476. Epub 2025 Dec 4.</x:v>
      </x:c>
      <x:c r="AH9" s="20" t="str">
        <x:v>No duplicate identified under the documented matching rules.</x:v>
      </x:c>
    </x:row>
    <x:row r="10" ht="42" customHeight="1">
      <x:c r="A10" s="426" t="str">
        <x:v>PM-007</x:v>
      </x:c>
      <x:c r="B10" s="426" t="str">
        <x:v>PubMed</x:v>
      </x:c>
      <x:c r="C10" s="426" t="str">
        <x:v>PUBMED-01</x:v>
      </x:c>
      <x:c r="D10" s="426" t="str">
        <x:v>Robust and Interpretable Convolutional Neural Networks to Detect Glaucoma in Optical Coherence Tomography Images</x:v>
      </x:c>
      <x:c r="E10" s="426" t="str">
        <x:v>Thakoor KA, Koorathota SC, Hood DC, Sajda P.</x:v>
      </x:c>
      <x:c r="F10" s="426" t="n">
        <x:v>2021</x:v>
      </x:c>
      <x:c r="G10" s="426" t="str">
        <x:v>IEEE Trans Biomed Eng</x:v>
      </x:c>
      <x:c r="H10" s="426" t="str">
        <x:v>Journal Article; Research Support, N.I.H., Extramural; Research Support, U.S....</x:v>
      </x:c>
      <x:c r="I10" s="426" t="str">
        <x:v>10.1109/TBME.2020.3043215</x:v>
      </x:c>
      <x:c r="J10" s="426" t="str">
        <x:v>33290209</x:v>
      </x:c>
      <x:c r="K10" s="426" t="str">
        <x:v>https://doi.org/10.1109/TBME.2020.3043215</x:v>
      </x:c>
      <x:c r="L10" s="426" t="str">
        <x:v>Recent studies suggest that deep learning systems can now achieve performance...</x:v>
      </x:c>
      <x:c r="M10" s="426" t="str">
        <x:v>No duplicate</x:v>
      </x:c>
      <x:c r="N10" s="426" t="str">
        <x:v>DG-002</x:v>
      </x:c>
      <x:c r="O10" s="426" t="str">
        <x:v>Not applicable</x:v>
      </x:c>
      <x:c r="P10" s="426" t="str">
        <x:v>Yes</x:v>
      </x:c>
      <x:c r="Q10" s="426" t="str">
        <x:v>Include</x:v>
      </x:c>
      <x:c r="R10" s="426" t="str">
        <x:v>Original glaucoma OCT study using TCAV concept activation and expert-supported interpretation; directly relevant retinal concept-XAI evidence.</x:v>
      </x:c>
      <x:c r="S10" s="426" t="str">
        <x:v>Verification documented at process level</x:v>
      </x:c>
      <x:c r="T10" s="426" t="str">
        <x:v>Two additional authors performed random spot checks; individual spot-check assignments are not recorded in this register.</x:v>
      </x:c>
      <x:c r="U10" s="426" t="str">
        <x:v>Include</x:v>
      </x:c>
      <x:c r="V10" s="426" t="str">
        <x:v>Primary decision by the corresponding author; two additional authors performed random spot checks as a quality-control step.</x:v>
      </x:c>
      <x:c r="W10" s="426" t="str">
        <x:v>Yes</x:v>
      </x:c>
      <x:c r="X10" s="426" t="str">
        <x:v>Yes</x:v>
      </x:c>
      <x:c r="Y10" s="426" t="str">
        <x:v>Include</x:v>
      </x:c>
      <x:c r="Z10" s="426" t="str">
        <x:v>The corresponding author confirmed full-text assessment. Abstract/official-record rationale (I2–I4): The abstract applies TCAV to glaucoma OCT models and compares learned concepts with clinicians’ eye fixations, providing direct retinal concept-XAI and human-alignment evidence.</x:v>
      </x:c>
      <x:c r="AA10" s="22" t="str">
        <x:v>Verification documented at process level</x:v>
      </x:c>
      <x:c r="AB10" s="22" t="str">
        <x:v>Two additional authors performed random spot checks; individual spot-check assignments are not recorded in this register.</x:v>
      </x:c>
      <x:c r="AC10" s="22" t="str">
        <x:v>Include</x:v>
      </x:c>
      <x:c r="AD10" s="22" t="str">
        <x:v>Primary decision by the corresponding author; two additional authors performed random spot checks as a quality-control step.</x:v>
      </x:c>
      <x:c r="AE10" s="22" t="str">
        <x:v>Include</x:v>
      </x:c>
      <x:c r="AF10" s="22" t="str">
        <x:v>Direct retinal/ophthalmic evidence</x:v>
      </x:c>
      <x:c r="AG10" s="22" t="str">
        <x:v>Complete PubMed CSV re-export. Create date: 2020/12/08. Citation: IEEE Trans Biomed Eng. 2021 Aug;68(8):2456-2466. doi: 10.1109/TBME.2020.3043215. Epub 2021 Jul 19.</x:v>
      </x:c>
      <x:c r="AH10" s="20" t="str">
        <x:v>Confirmed using DOI/title evidence; identifier/title evidence.</x:v>
      </x:c>
    </x:row>
    <x:row r="11" ht="42" customHeight="1">
      <x:c r="A11" s="426" t="str">
        <x:v>PM-008</x:v>
      </x:c>
      <x:c r="B11" s="426" t="str">
        <x:v>PubMed</x:v>
      </x:c>
      <x:c r="C11" s="426" t="str">
        <x:v>PUBMED-01</x:v>
      </x:c>
      <x:c r="D11" s="426" t="str">
        <x:v>Neurosymbolic AI Framework for Explainable Retinal Disease Classification From OCT Images</x:v>
      </x:c>
      <x:c r="E11" s="426" t="str">
        <x:v>Miladinovic A, Biscontin A, Ajcevic M, Kresevic S, Accardo A, Tognetto D, Inferrera L.</x:v>
      </x:c>
      <x:c r="F11" s="426" t="n">
        <x:v>2026</x:v>
      </x:c>
      <x:c r="G11" s="426" t="str">
        <x:v>Transl Vis Sci Technol</x:v>
      </x:c>
      <x:c r="H11" s="426" t="str">
        <x:v>Journal Article</x:v>
      </x:c>
      <x:c r="I11" s="426" t="str">
        <x:v>10.1167/tvst.15.1.6</x:v>
      </x:c>
      <x:c r="J11" s="426" t="str">
        <x:v>41533847</x:v>
      </x:c>
      <x:c r="K11" s="426" t="str">
        <x:v>https://tvst.arvojournals.org/article.aspx?articleid=2811318</x:v>
      </x:c>
      <x:c r="L11" s="426" t="str">
        <x:v>PURPOSE: Accurate classification of retinal diseases such as dry age-related ...</x:v>
      </x:c>
      <x:c r="M11" s="426" t="str">
        <x:v>No duplicate</x:v>
      </x:c>
      <x:c r="N11" s="426" t="str">
        <x:v>DG-078</x:v>
      </x:c>
      <x:c r="O11" s="426" t="str">
        <x:v>Not applicable</x:v>
      </x:c>
      <x:c r="P11" s="426" t="str">
        <x:v>Yes</x:v>
      </x:c>
      <x:c r="Q11" s="426" t="str">
        <x:v>Include</x:v>
      </x:c>
      <x:c r="R11" s="426" t="str">
        <x:v>Original neurosymbolic framework for explainable retinal disease classification from OCT; directly relevant evidence.</x:v>
      </x:c>
      <x:c r="S11" s="426" t="str">
        <x:v>Verification documented at process level</x:v>
      </x:c>
      <x:c r="T11" s="426" t="str">
        <x:v>Two additional authors performed random spot checks; individual spot-check assignments are not recorded in this register.</x:v>
      </x:c>
      <x:c r="U11" s="426" t="str">
        <x:v>Include</x:v>
      </x:c>
      <x:c r="V11" s="426" t="str">
        <x:v>Primary decision by the corresponding author; two additional authors performed random spot checks as a quality-control step.</x:v>
      </x:c>
      <x:c r="W11" s="426" t="str">
        <x:v>Yes</x:v>
      </x:c>
      <x:c r="X11" s="426" t="str">
        <x:v>Yes</x:v>
      </x:c>
      <x:c r="Y11" s="426" t="str">
        <x:v>Include</x:v>
      </x:c>
      <x:c r="Z11" s="426" t="str">
        <x:v>The corresponding author assessed the complete report and judged it eligible for inclusion in the review.</x:v>
      </x:c>
      <x:c r="AA11" s="22" t="str">
        <x:v>Verification documented at process level</x:v>
      </x:c>
      <x:c r="AB11" s="22" t="str">
        <x:v>Two additional authors performed random spot checks; individual spot-check assignments are not recorded in this register.</x:v>
      </x:c>
      <x:c r="AC11" s="22" t="str">
        <x:v>Include</x:v>
      </x:c>
      <x:c r="AD11" s="22" t="str">
        <x:v>Primary decision by the corresponding author; two additional authors performed random spot checks as a quality-control step.</x:v>
      </x:c>
      <x:c r="AE11" s="22" t="str">
        <x:v>Include</x:v>
      </x:c>
      <x:c r="AF11" s="22" t="str">
        <x:v>Direct retinal/ophthalmic evidence</x:v>
      </x:c>
      <x:c r="AG11" s="22" t="str">
        <x:v>Complete PubMed CSV re-export. Create date: 2026/01/14. Citation: Transl Vis Sci Technol. 2026 Jan 5;15(1):6. doi: 10.1167/tvst.15.1.6.</x:v>
      </x:c>
      <x:c r="AH11" s="20" t="str">
        <x:v>No duplicate identified under the documented matching rules.</x:v>
      </x:c>
    </x:row>
    <x:row r="12" ht="42" customHeight="1">
      <x:c r="A12" s="426" t="str">
        <x:v>PM-009</x:v>
      </x:c>
      <x:c r="B12" s="426" t="str">
        <x:v>PubMed</x:v>
      </x:c>
      <x:c r="C12" s="426" t="str">
        <x:v>PUBMED-01</x:v>
      </x:c>
      <x:c r="D12" s="426" t="str">
        <x:v>Grounded report generation for enhancing ophthalmic ultrasound interpretation using Vision-Language Segmentation models</x:v>
      </x:c>
      <x:c r="E12" s="426" t="str">
        <x:v>Jin K, Sun Q, Kang D, Luo Z, Yu T, Han W, Zhang Y, Wang M, Shi D, Grzybowski A.</x:v>
      </x:c>
      <x:c r="F12" s="426" t="n">
        <x:v>2026</x:v>
      </x:c>
      <x:c r="G12" s="426" t="str">
        <x:v>NPJ Digit Med</x:v>
      </x:c>
      <x:c r="H12" s="426" t="str">
        <x:v>Journal Article</x:v>
      </x:c>
      <x:c r="I12" s="426" t="str">
        <x:v>10.1038/s41746-025-02300-y</x:v>
      </x:c>
      <x:c r="J12" s="426" t="str">
        <x:v>41484436</x:v>
      </x:c>
      <x:c r="K12" s="426" t="str">
        <x:v>https://www.nature.com/articles/s41746-025-02300-y</x:v>
      </x:c>
      <x:c r="L12" s="426" t="str">
        <x:v>Accurate interpretation of ophthalmic ultrasound is crucial for diagnosing ey...</x:v>
      </x:c>
      <x:c r="M12" s="426" t="str">
        <x:v>No duplicate</x:v>
      </x:c>
      <x:c r="N12" s="426" t="str">
        <x:v>Not applicable — no duplicate group</x:v>
      </x:c>
      <x:c r="O12" s="426" t="str">
        <x:v>Not applicable</x:v>
      </x:c>
      <x:c r="P12" s="426" t="str">
        <x:v>Yes</x:v>
      </x:c>
      <x:c r="Q12" s="426" t="str">
        <x:v>Include</x:v>
      </x:c>
      <x:c r="R12" s="426" t="str">
        <x:v>Original ophthalmic study using grounded vision-language segmentation to provide structured and localized interpretability; potentially relevant contextual evidence.</x:v>
      </x:c>
      <x:c r="S12" s="426" t="str">
        <x:v>Verification documented at process level</x:v>
      </x:c>
      <x:c r="T12" s="426" t="str">
        <x:v>Two additional authors performed random spot checks; individual spot-check assignments are not recorded in this register.</x:v>
      </x:c>
      <x:c r="U12" s="426" t="str">
        <x:v>Include</x:v>
      </x:c>
      <x:c r="V12" s="426" t="str">
        <x:v>Primary decision by the corresponding author; two additional authors performed random spot checks as a quality-control step.</x:v>
      </x:c>
      <x:c r="W12" s="426" t="str">
        <x:v>Yes</x:v>
      </x:c>
      <x:c r="X12" s="426" t="str">
        <x:v>Yes</x:v>
      </x:c>
      <x:c r="Y12" s="426" t="str">
        <x:v>Include</x:v>
      </x:c>
      <x:c r="Z12" s="426" t="str">
        <x:v>The corresponding author assessed the complete report and judged it eligible for inclusion in the review.</x:v>
      </x:c>
      <x:c r="AA12" s="22" t="str">
        <x:v>Verification documented at process level</x:v>
      </x:c>
      <x:c r="AB12" s="22" t="str">
        <x:v>Two additional authors performed random spot checks; individual spot-check assignments are not recorded in this register.</x:v>
      </x:c>
      <x:c r="AC12" s="22" t="str">
        <x:v>Include</x:v>
      </x:c>
      <x:c r="AD12" s="22" t="str">
        <x:v>Primary decision by the corresponding author; two additional authors performed random spot checks as a quality-control step.</x:v>
      </x:c>
      <x:c r="AE12" s="22" t="str">
        <x:v>Include</x:v>
      </x:c>
      <x:c r="AF12" s="22" t="str">
        <x:v>Direct retinal/ophthalmic evidence</x:v>
      </x:c>
      <x:c r="AG12" s="22" t="str">
        <x:v>Complete PubMed CSV re-export. Create date: 2026/01/04. Citation: NPJ Digit Med. 2026 Jan 3;9(1):99. doi: 10.1038/s41746-025-02300-y.</x:v>
      </x:c>
      <x:c r="AH12" s="20" t="str">
        <x:v>No duplicate identified under the documented matching rules.</x:v>
      </x:c>
    </x:row>
    <x:row r="13" ht="42" customHeight="1">
      <x:c r="A13" s="426" t="str">
        <x:v>PM-010</x:v>
      </x:c>
      <x:c r="B13" s="426" t="str">
        <x:v>PubMed</x:v>
      </x:c>
      <x:c r="C13" s="426" t="str">
        <x:v>PUBMED-01</x:v>
      </x:c>
      <x:c r="D13" s="426" t="str">
        <x:v>Comparative evaluation of large language models and clinicians in real-world glaucoma clinical reasoning</x:v>
      </x:c>
      <x:c r="E13" s="426" t="str">
        <x:v>Yin H, Shen L, Cai H, Wu W, Grzybowski A, Jin K.</x:v>
      </x:c>
      <x:c r="F13" s="426" t="n">
        <x:v>2026</x:v>
      </x:c>
      <x:c r="G13" s="426" t="str">
        <x:v>Graefes Arch Clin Exp Ophthalmol</x:v>
      </x:c>
      <x:c r="H13" s="426" t="str">
        <x:v>PubMed record</x:v>
      </x:c>
      <x:c r="I13" s="426" t="str">
        <x:v>10.1007/s00417-026-07442-7</x:v>
      </x:c>
      <x:c r="J13" s="426" t="str">
        <x:v>42560500</x:v>
      </x:c>
      <x:c r="K13" s="426" t="str">
        <x:v>https://pubmed.ncbi.nlm.nih.gov/42560500/</x:v>
      </x:c>
      <x:c r="L13" s="426" t="str">
        <x:v>Not available in the captured evidence; the screening decision used the title and available source metadata.</x:v>
      </x:c>
      <x:c r="M13" s="426" t="str">
        <x:v>No duplicate</x:v>
      </x:c>
      <x:c r="N13" s="426" t="str">
        <x:v>DG-003</x:v>
      </x:c>
      <x:c r="O13" s="426" t="str">
        <x:v>Not applicable</x:v>
      </x:c>
      <x:c r="P13" s="426" t="str">
        <x:v>Yes</x:v>
      </x:c>
      <x:c r="Q13" s="426" t="str">
        <x:v>Exclude</x:v>
      </x:c>
      <x:c r="R13" s="426" t="str">
        <x:v>Evaluates LLM clinical reasoning performance but does not introduce or assess an eligible concept-based or structured XAI method.</x:v>
      </x:c>
      <x:c r="S13" s="426" t="str">
        <x:v>Verification documented at process level</x:v>
      </x:c>
      <x:c r="T13" s="426" t="str">
        <x:v>Two additional authors performed random spot checks; individual spot-check assignments are not recorded in this register.</x:v>
      </x:c>
      <x:c r="U13" s="426" t="str">
        <x:v>Exclude</x:v>
      </x:c>
      <x:c r="V13" s="426" t="str">
        <x:v>Primary decision by the corresponding author; two additional authors performed random spot checks as a quality-control step.</x:v>
      </x:c>
      <x:c r="W13" s="426" t="str">
        <x:v>No</x:v>
      </x:c>
      <x:c r="X13" s="426" t="str">
        <x:v>Not applicable</x:v>
      </x:c>
      <x:c r="Y13" s="426" t="str">
        <x:v>Not assessed</x:v>
      </x:c>
      <x:c r="Z13" s="426" t="str">
        <x:v>Not advanced to full-text assessment after the title/abstract decision.</x:v>
      </x:c>
      <x:c r="AA13" s="22" t="str">
        <x:v>Not applicable</x:v>
      </x:c>
      <x:c r="AB13" s="22" t="str">
        <x:v>Record was not advanced to full-text assessment.</x:v>
      </x:c>
      <x:c r="AC13" s="22" t="str">
        <x:v>Not assessed</x:v>
      </x:c>
      <x:c r="AD13" s="22" t="str">
        <x:v>Not applicable — no full-text assessment was required.</x:v>
      </x:c>
      <x:c r="AE13" s="22" t="str">
        <x:v>Not included — title/abstract exclusion</x:v>
      </x:c>
      <x:c r="AF13" s="22" t="str">
        <x:v>Not applicable — not included</x:v>
      </x:c>
      <x:c r="AG13" s="22" t="str">
        <x:v>Complete PubMed CSV re-export. Create date: 2026/08/06. Citation: Graefes Arch Clin Exp Ophthalmol. 2026 Aug 6. doi: 10.1007/s00417-026-07442-7. Online ahead of print.</x:v>
      </x:c>
      <x:c r="AH13" s="20" t="str">
        <x:v>Confirmed using DOI/title evidence; identifier/title evidence; normalized title across captured searches.</x:v>
      </x:c>
    </x:row>
    <x:row r="14" ht="42" customHeight="1">
      <x:c r="A14" s="426" t="str">
        <x:v>PM-011</x:v>
      </x:c>
      <x:c r="B14" s="426" t="str">
        <x:v>PubMed</x:v>
      </x:c>
      <x:c r="C14" s="426" t="str">
        <x:v>PUBMED-01</x:v>
      </x:c>
      <x:c r="D14" s="426" t="str">
        <x:v>Overview of State-of-the-Art Learning-Based Classification Methods in Medical Imaging</x:v>
      </x:c>
      <x:c r="E14" s="426" t="str">
        <x:v>Ghaffar Nia N, Manwar R, Avanaki K.</x:v>
      </x:c>
      <x:c r="F14" s="426" t="n">
        <x:v>2026</x:v>
      </x:c>
      <x:c r="G14" s="426" t="str">
        <x:v>Ann Biomed Eng</x:v>
      </x:c>
      <x:c r="H14" s="426" t="str">
        <x:v>Journal Article; Review</x:v>
      </x:c>
      <x:c r="I14" s="426" t="str">
        <x:v>10.1007/s10439-026-04241-3</x:v>
      </x:c>
      <x:c r="J14" s="426" t="str">
        <x:v>42303852</x:v>
      </x:c>
      <x:c r="K14" s="426" t="str">
        <x:v>https://pubmed.ncbi.nlm.nih.gov/42303852/</x:v>
      </x:c>
      <x:c r="L14" s="426" t="str">
        <x:v>Learning-based image classification has become central to modern medical imag...</x:v>
      </x:c>
      <x:c r="M14" s="426" t="str">
        <x:v>No duplicate</x:v>
      </x:c>
      <x:c r="N14" s="426" t="str">
        <x:v>Not applicable — no duplicate group</x:v>
      </x:c>
      <x:c r="O14" s="426" t="str">
        <x:v>Not applicable</x:v>
      </x:c>
      <x:c r="P14" s="426" t="str">
        <x:v>Yes</x:v>
      </x:c>
      <x:c r="Q14" s="426" t="str">
        <x:v>Exclude</x:v>
      </x:c>
      <x:c r="R14" s="426" t="str">
        <x:v>Broad review article with no original empirical concept-XAI evaluation.</x:v>
      </x:c>
      <x:c r="S14" s="426" t="str">
        <x:v>Verification documented at process level</x:v>
      </x:c>
      <x:c r="T14" s="426" t="str">
        <x:v>Two additional authors performed random spot checks; individual spot-check assignments are not recorded in this register.</x:v>
      </x:c>
      <x:c r="U14" s="426" t="str">
        <x:v>Exclude</x:v>
      </x:c>
      <x:c r="V14" s="426" t="str">
        <x:v>Primary decision by the corresponding author; two additional authors performed random spot checks as a quality-control step.</x:v>
      </x:c>
      <x:c r="W14" s="426" t="str">
        <x:v>No</x:v>
      </x:c>
      <x:c r="X14" s="426" t="str">
        <x:v>Not applicable</x:v>
      </x:c>
      <x:c r="Y14" s="426" t="str">
        <x:v>Not assessed</x:v>
      </x:c>
      <x:c r="Z14" s="426" t="str">
        <x:v>Not advanced to full-text assessment after the title/abstract decision.</x:v>
      </x:c>
      <x:c r="AA14" s="22" t="str">
        <x:v>Not applicable</x:v>
      </x:c>
      <x:c r="AB14" s="22" t="str">
        <x:v>Record was not advanced to full-text assessment.</x:v>
      </x:c>
      <x:c r="AC14" s="22" t="str">
        <x:v>Not assessed</x:v>
      </x:c>
      <x:c r="AD14" s="22" t="str">
        <x:v>Not applicable — no full-text assessment was required.</x:v>
      </x:c>
      <x:c r="AE14" s="22" t="str">
        <x:v>Not included — title/abstract exclusion</x:v>
      </x:c>
      <x:c r="AF14" s="22" t="str">
        <x:v>Not applicable — not included</x:v>
      </x:c>
      <x:c r="AG14" s="22" t="str">
        <x:v>Complete PubMed CSV re-export. Create date: 2026/06/16. Citation: Ann Biomed Eng. 2026 Jun 16. doi: 10.1007/s10439-026-04241-3. Online ahead of print.</x:v>
      </x:c>
      <x:c r="AH14" s="20" t="str">
        <x:v>No duplicate identified under the documented matching rules.</x:v>
      </x:c>
    </x:row>
    <x:row r="15" ht="42" customHeight="1">
      <x:c r="A15" s="426" t="str">
        <x:v>PM-012</x:v>
      </x:c>
      <x:c r="B15" s="426" t="str">
        <x:v>PubMed</x:v>
      </x:c>
      <x:c r="C15" s="426" t="str">
        <x:v>PUBMED-01</x:v>
      </x:c>
      <x:c r="D15" s="426" t="str">
        <x:v>Cross- and Intra-Image Prototypical Learning for Multi-Label Disease Diagnosis and Interpretation</x:v>
      </x:c>
      <x:c r="E15" s="426" t="str">
        <x:v>Wang C, Liu F, Chen Y, Frazer H, Carneiro G.</x:v>
      </x:c>
      <x:c r="F15" s="426" t="n">
        <x:v>2025</x:v>
      </x:c>
      <x:c r="G15" s="426" t="str">
        <x:v>IEEE Trans Med Imaging</x:v>
      </x:c>
      <x:c r="H15" s="426" t="str">
        <x:v>PubMed record</x:v>
      </x:c>
      <x:c r="I15" s="426" t="str">
        <x:v>10.1109/TMI.2025.3541830</x:v>
      </x:c>
      <x:c r="J15" s="426" t="str">
        <x:v>40036430</x:v>
      </x:c>
      <x:c r="K15" s="426" t="str">
        <x:v>https://ieeexplore.ieee.org/iel8/42/4359023/10887396.pdf</x:v>
      </x:c>
      <x:c r="L15" s="426" t="str">
        <x:v>Recent advances in prototypical learning have shown remarkable potential to provide useful decision interpretations associating activation maps and predictions with class-specific training prototypes. Such prototypical learning has been well-studied for various single-label diseases, but for quite relevant and more challenging multi-label diagnosis, where multiple diseases are often concurrent within an image, existing prototypical learning models struggle to obtain meaningful activation maps and effective class prototypes due to the entanglement of the multiple diseases. In this paper, we present a novel Cross- and Intra-image Prototypical Learning (CIPL) framework, for accurate multi-label disease diagnosis and interpretation from medical images. CIPL takes advantage of common cross-image semantics to disentangle the multiple diseases when learning the prototypes, allowing a comprehensive understanding of complicated pathological lesions. Furthermore, we propose a new two-level alignment-based regularisation strategy that effectively leverages consistent intra-image information to enhance interpretation robustness and predictive performance. Extensive experiments show that our CIPL attains the state-of-the-art (SOTA) classification accuracy in two public multi-label benchmarks of disease diagnosis: thoracic radiography and fundus images. Quantitative interpretability results show that CIPL also has superiority in weakly-supervised thoracic disease localisation over other leading saliency- and prototype-based explanation methods.</x:v>
      </x:c>
      <x:c r="M15" s="426" t="str">
        <x:v>No duplicate</x:v>
      </x:c>
      <x:c r="N15" s="426" t="str">
        <x:v>DG-004</x:v>
      </x:c>
      <x:c r="O15" s="426" t="str">
        <x:v>Not applicable</x:v>
      </x:c>
      <x:c r="P15" s="426" t="str">
        <x:v>Yes</x:v>
      </x:c>
      <x:c r="Q15" s="426" t="str">
        <x:v>Include</x:v>
      </x:c>
      <x:c r="R15" s="426" t="str">
        <x:v>Original prototype-based interpretation method evaluated on ODIR fundus images; directly relevant retinal concept-XAI evidence.</x:v>
      </x:c>
      <x:c r="S15" s="426" t="str">
        <x:v>Verification documented at process level</x:v>
      </x:c>
      <x:c r="T15" s="426" t="str">
        <x:v>Two additional authors performed random spot checks; individual spot-check assignments are not recorded in this register.</x:v>
      </x:c>
      <x:c r="U15" s="426" t="str">
        <x:v>Include</x:v>
      </x:c>
      <x:c r="V15" s="426" t="str">
        <x:v>Primary decision by the corresponding author; two additional authors performed random spot checks as a quality-control step.</x:v>
      </x:c>
      <x:c r="W15" s="426" t="str">
        <x:v>Yes</x:v>
      </x:c>
      <x:c r="X15" s="426" t="str">
        <x:v>Yes</x:v>
      </x:c>
      <x:c r="Y15" s="426" t="str">
        <x:v>Include</x:v>
      </x:c>
      <x:c r="Z15" s="426" t="str">
        <x:v>The corresponding author assessed the complete report and judged it eligible for inclusion in the review.</x:v>
      </x:c>
      <x:c r="AA15" s="22" t="str">
        <x:v>Verification documented at process level</x:v>
      </x:c>
      <x:c r="AB15" s="22" t="str">
        <x:v>Two additional authors performed random spot checks; individual spot-check assignments are not recorded in this register.</x:v>
      </x:c>
      <x:c r="AC15" s="22" t="str">
        <x:v>Include</x:v>
      </x:c>
      <x:c r="AD15" s="22" t="str">
        <x:v>Primary decision by the corresponding author; two additional authors performed random spot checks as a quality-control step.</x:v>
      </x:c>
      <x:c r="AE15" s="22" t="str">
        <x:v>Include</x:v>
      </x:c>
      <x:c r="AF15" s="22" t="str">
        <x:v>Contextual medical concept-XAI evidence</x:v>
      </x:c>
      <x:c r="AG15" s="22" t="str">
        <x:v>Complete PubMed CSV re-export. Create date: 2025/03/04. Citation: IEEE Trans Med Imaging. 2025 Jun;44(6):2568-2580. doi: 10.1109/TMI.2025.3541830.</x:v>
      </x:c>
      <x:c r="AH15" s="20" t="str">
        <x:v>Confirmed using DOI/title evidence; identifier/title evidence; normalized title across captured searches.</x:v>
      </x:c>
    </x:row>
    <x:row r="16" ht="42" customHeight="1">
      <x:c r="A16" s="426" t="str">
        <x:v>PM-013</x:v>
      </x:c>
      <x:c r="B16" s="426" t="str">
        <x:v>PubMed</x:v>
      </x:c>
      <x:c r="C16" s="426" t="str">
        <x:v>PUBMED-01</x:v>
      </x:c>
      <x:c r="D16" s="426" t="str">
        <x:v>A systematic review of vision and vision-language foundation models in ophthalmology</x:v>
      </x:c>
      <x:c r="E16" s="426" t="str">
        <x:v>Jin K, Yu T, Ying GS, Ge Z, Li KZ, Zhou Y, Shi D, Wang M, Goktas P, Grzybowski A.</x:v>
      </x:c>
      <x:c r="F16" s="426" t="n">
        <x:v>2025</x:v>
      </x:c>
      <x:c r="G16" s="426" t="str">
        <x:v>Adv Ophthalmol Pract Res</x:v>
      </x:c>
      <x:c r="H16" s="426" t="str">
        <x:v>PubMed record</x:v>
      </x:c>
      <x:c r="I16" s="426" t="str">
        <x:v>10.1016/j.aopr.2025.10.004</x:v>
      </x:c>
      <x:c r="J16" s="426" t="str">
        <x:v>41532028</x:v>
      </x:c>
      <x:c r="K16" s="426" t="str">
        <x:v>https://pubmed.ncbi.nlm.nih.gov/41532028/</x:v>
      </x:c>
      <x:c r="L16" s="426" t="str">
        <x:v>Not available in the captured evidence; the screening decision used the title and available source metadata.</x:v>
      </x:c>
      <x:c r="M16" s="426" t="str">
        <x:v>No duplicate</x:v>
      </x:c>
      <x:c r="N16" s="426" t="str">
        <x:v>Not applicable — no duplicate group</x:v>
      </x:c>
      <x:c r="O16" s="426" t="str">
        <x:v>Not applicable</x:v>
      </x:c>
      <x:c r="P16" s="426" t="str">
        <x:v>Yes</x:v>
      </x:c>
      <x:c r="Q16" s="426" t="str">
        <x:v>Exclude</x:v>
      </x:c>
      <x:c r="R16" s="426" t="str">
        <x:v>Systematic review; non-original evidence, retained only for background and citation chasing.</x:v>
      </x:c>
      <x:c r="S16" s="426" t="str">
        <x:v>Verification documented at process level</x:v>
      </x:c>
      <x:c r="T16" s="426" t="str">
        <x:v>Two additional authors performed random spot checks; individual spot-check assignments are not recorded in this register.</x:v>
      </x:c>
      <x:c r="U16" s="426" t="str">
        <x:v>Exclude</x:v>
      </x:c>
      <x:c r="V16" s="426" t="str">
        <x:v>Primary decision by the corresponding author; two additional authors performed random spot checks as a quality-control step.</x:v>
      </x:c>
      <x:c r="W16" s="426" t="str">
        <x:v>No</x:v>
      </x:c>
      <x:c r="X16" s="426" t="str">
        <x:v>Not applicable</x:v>
      </x:c>
      <x:c r="Y16" s="426" t="str">
        <x:v>Not assessed</x:v>
      </x:c>
      <x:c r="Z16" s="426" t="str">
        <x:v>Not advanced to full-text assessment after the title/abstract decision.</x:v>
      </x:c>
      <x:c r="AA16" s="22" t="str">
        <x:v>Not applicable</x:v>
      </x:c>
      <x:c r="AB16" s="22" t="str">
        <x:v>Record was not advanced to full-text assessment.</x:v>
      </x:c>
      <x:c r="AC16" s="22" t="str">
        <x:v>Not assessed</x:v>
      </x:c>
      <x:c r="AD16" s="22" t="str">
        <x:v>Not applicable — no full-text assessment was required.</x:v>
      </x:c>
      <x:c r="AE16" s="22" t="str">
        <x:v>Not included — title/abstract exclusion</x:v>
      </x:c>
      <x:c r="AF16" s="22" t="str">
        <x:v>Not applicable — not included</x:v>
      </x:c>
      <x:c r="AG16" s="22" t="str">
        <x:v>Complete PubMed CSV re-export. Create date: 2026/01/14. Citation: Adv Ophthalmol Pract Res. 2025 Oct 24;6(1):8-19. doi: 10.1016/j.aopr.2025.10.004. eCollection 2026 Feb-Mar.</x:v>
      </x:c>
      <x:c r="AH16" s="20" t="str">
        <x:v>No duplicate identified under the documented matching rules.</x:v>
      </x:c>
    </x:row>
    <x:row r="17" ht="42" customHeight="1">
      <x:c r="A17" s="426" t="str">
        <x:v>PM-014</x:v>
      </x:c>
      <x:c r="B17" s="426" t="str">
        <x:v>PubMed</x:v>
      </x:c>
      <x:c r="C17" s="426" t="str">
        <x:v>PUBMED-01</x:v>
      </x:c>
      <x:c r="D17" s="426" t="str">
        <x:v>Making Chatbots more human: deep reasoning large language models in ophthalmology</x:v>
      </x:c>
      <x:c r="E17" s="426" t="str">
        <x:v>Lin X, Yang Y, Ren Y.</x:v>
      </x:c>
      <x:c r="F17" s="426" t="n">
        <x:v>2026</x:v>
      </x:c>
      <x:c r="G17" s="426" t="str">
        <x:v>Front Med (Lausanne)</x:v>
      </x:c>
      <x:c r="H17" s="426" t="str">
        <x:v>PubMed record</x:v>
      </x:c>
      <x:c r="I17" s="426" t="str">
        <x:v>10.3389/fmed.2025.1741888</x:v>
      </x:c>
      <x:c r="J17" s="426" t="str">
        <x:v>41601784</x:v>
      </x:c>
      <x:c r="K17" s="426" t="str">
        <x:v>https://pubmed.ncbi.nlm.nih.gov/41601784/</x:v>
      </x:c>
      <x:c r="L17" s="426" t="str">
        <x:v>Not available in the captured evidence; the screening decision used the title and available source metadata.</x:v>
      </x:c>
      <x:c r="M17" s="426" t="str">
        <x:v>No duplicate</x:v>
      </x:c>
      <x:c r="N17" s="426" t="str">
        <x:v>Not applicable — no duplicate group</x:v>
      </x:c>
      <x:c r="O17" s="426" t="str">
        <x:v>Not applicable</x:v>
      </x:c>
      <x:c r="P17" s="426" t="str">
        <x:v>Yes</x:v>
      </x:c>
      <x:c r="Q17" s="426" t="str">
        <x:v>Exclude</x:v>
      </x:c>
      <x:c r="R17" s="426" t="str">
        <x:v>Mini-review/non-original publication without an eligible empirical concept-based or structured XAI evaluation.</x:v>
      </x:c>
      <x:c r="S17" s="426" t="str">
        <x:v>Verification documented at process level</x:v>
      </x:c>
      <x:c r="T17" s="426" t="str">
        <x:v>Two additional authors performed random spot checks; individual spot-check assignments are not recorded in this register.</x:v>
      </x:c>
      <x:c r="U17" s="426" t="str">
        <x:v>Exclude</x:v>
      </x:c>
      <x:c r="V17" s="426" t="str">
        <x:v>Primary decision by the corresponding author; two additional authors performed random spot checks as a quality-control step.</x:v>
      </x:c>
      <x:c r="W17" s="426" t="str">
        <x:v>No</x:v>
      </x:c>
      <x:c r="X17" s="426" t="str">
        <x:v>Not applicable</x:v>
      </x:c>
      <x:c r="Y17" s="426" t="str">
        <x:v>Not assessed</x:v>
      </x:c>
      <x:c r="Z17" s="426" t="str">
        <x:v>Not advanced to full-text assessment after the title/abstract decision.</x:v>
      </x:c>
      <x:c r="AA17" s="22" t="str">
        <x:v>Not applicable</x:v>
      </x:c>
      <x:c r="AB17" s="22" t="str">
        <x:v>Record was not advanced to full-text assessment.</x:v>
      </x:c>
      <x:c r="AC17" s="22" t="str">
        <x:v>Not assessed</x:v>
      </x:c>
      <x:c r="AD17" s="22" t="str">
        <x:v>Not applicable — no full-text assessment was required.</x:v>
      </x:c>
      <x:c r="AE17" s="22" t="str">
        <x:v>Not included — title/abstract exclusion</x:v>
      </x:c>
      <x:c r="AF17" s="22" t="str">
        <x:v>Not applicable — not included</x:v>
      </x:c>
      <x:c r="AG17" s="22" t="str">
        <x:v>Complete PubMed CSV re-export. Create date: 2026/01/28. Citation: Front Med (Lausanne). 2026 Jan 12;12:1741888. doi: 10.3389/fmed.2025.1741888. eCollection 2025.</x:v>
      </x:c>
      <x:c r="AH17" s="20" t="str">
        <x:v>No duplicate identified under the documented matching rules.</x:v>
      </x:c>
    </x:row>
    <x:row r="18" ht="42" customHeight="1">
      <x:c r="A18" s="426" t="str">
        <x:v>PM-015</x:v>
      </x:c>
      <x:c r="B18" s="426" t="str">
        <x:v>PubMed</x:v>
      </x:c>
      <x:c r="C18" s="426" t="str">
        <x:v>PUBMED-01</x:v>
      </x:c>
      <x:c r="D18" s="426" t="str">
        <x:v>SAVLT: Structure-Aware Vision-Language Tuning for Multi-Center Cervical OCT Diagnosis</x:v>
      </x:c>
      <x:c r="E18" s="426" t="str">
        <x:v>Yin M, Pei Y, Zou Y, Zhang Y, Ma Y.</x:v>
      </x:c>
      <x:c r="F18" s="426" t="n">
        <x:v>2026</x:v>
      </x:c>
      <x:c r="G18" s="426" t="str">
        <x:v>IEEE J Biomed Health Inform</x:v>
      </x:c>
      <x:c r="H18" s="426" t="str">
        <x:v>PubMed record</x:v>
      </x:c>
      <x:c r="I18" s="426" t="str">
        <x:v>10.1109/JBHI.2026.3687998</x:v>
      </x:c>
      <x:c r="J18" s="426" t="str">
        <x:v>42044002</x:v>
      </x:c>
      <x:c r="K18" s="426" t="str">
        <x:v>https://pubmed.ncbi.nlm.nih.gov/42044002/</x:v>
      </x:c>
      <x:c r="L18" s="426" t="str">
        <x:v>Not available in the captured evidence; the screening decision used the title and available source metadata.</x:v>
      </x:c>
      <x:c r="M18" s="426" t="str">
        <x:v>No duplicate</x:v>
      </x:c>
      <x:c r="N18" s="426" t="str">
        <x:v>Not applicable — no duplicate group</x:v>
      </x:c>
      <x:c r="O18" s="426" t="str">
        <x:v>Not applicable</x:v>
      </x:c>
      <x:c r="P18" s="426" t="str">
        <x:v>Yes</x:v>
      </x:c>
      <x:c r="Q18" s="426" t="str">
        <x:v>Exclude</x:v>
      </x:c>
      <x:c r="R18" s="426" t="str">
        <x:v>Uses cervical OCT rather than retinal or ophthalmic imaging; outside the review domain.</x:v>
      </x:c>
      <x:c r="S18" s="426" t="str">
        <x:v>Verification documented at process level</x:v>
      </x:c>
      <x:c r="T18" s="426" t="str">
        <x:v>Two additional authors performed random spot checks; individual spot-check assignments are not recorded in this register.</x:v>
      </x:c>
      <x:c r="U18" s="426" t="str">
        <x:v>Exclude</x:v>
      </x:c>
      <x:c r="V18" s="426" t="str">
        <x:v>Primary decision by the corresponding author; two additional authors performed random spot checks as a quality-control step.</x:v>
      </x:c>
      <x:c r="W18" s="426" t="str">
        <x:v>No</x:v>
      </x:c>
      <x:c r="X18" s="426" t="str">
        <x:v>Not applicable</x:v>
      </x:c>
      <x:c r="Y18" s="426" t="str">
        <x:v>Not assessed</x:v>
      </x:c>
      <x:c r="Z18" s="426" t="str">
        <x:v>Not advanced to full-text assessment after the title/abstract decision.</x:v>
      </x:c>
      <x:c r="AA18" s="22" t="str">
        <x:v>Not applicable</x:v>
      </x:c>
      <x:c r="AB18" s="22" t="str">
        <x:v>Record was not advanced to full-text assessment.</x:v>
      </x:c>
      <x:c r="AC18" s="22" t="str">
        <x:v>Not assessed</x:v>
      </x:c>
      <x:c r="AD18" s="22" t="str">
        <x:v>Not applicable — no full-text assessment was required.</x:v>
      </x:c>
      <x:c r="AE18" s="22" t="str">
        <x:v>Not included — title/abstract exclusion</x:v>
      </x:c>
      <x:c r="AF18" s="22" t="str">
        <x:v>Not applicable — not included</x:v>
      </x:c>
      <x:c r="AG18" s="22" t="str">
        <x:v>Complete PubMed CSV re-export. Create date: 2026/04/27. Citation: IEEE J Biomed Health Inform. 2026 Apr 27;PP. doi: 10.1109/JBHI.2026.3687998. Online ahead of print.</x:v>
      </x:c>
      <x:c r="AH18" s="20" t="str">
        <x:v>No duplicate identified under the documented matching rules.</x:v>
      </x:c>
    </x:row>
    <x:row r="19" ht="42" customHeight="1">
      <x:c r="A19" s="426" t="str">
        <x:v>PM-016</x:v>
      </x:c>
      <x:c r="B19" s="426" t="str">
        <x:v>PubMed</x:v>
      </x:c>
      <x:c r="C19" s="426" t="str">
        <x:v>PUBMED-01</x:v>
      </x:c>
      <x:c r="D19" s="426" t="str">
        <x:v>An Explainable AI Framework for Corneal Imaging Interpretation and Refractive Surgery Decision Support</x:v>
      </x:c>
      <x:c r="E19" s="426" t="str">
        <x:v>Wang MH.</x:v>
      </x:c>
      <x:c r="F19" s="426" t="n">
        <x:v>2025</x:v>
      </x:c>
      <x:c r="G19" s="426" t="str">
        <x:v>Bioengineering (Basel)</x:v>
      </x:c>
      <x:c r="H19" s="426" t="str">
        <x:v>PubMed record</x:v>
      </x:c>
      <x:c r="I19" s="426" t="str">
        <x:v>10.3390/bioengineering12111174</x:v>
      </x:c>
      <x:c r="J19" s="426" t="str">
        <x:v>41301129</x:v>
      </x:c>
      <x:c r="K19" s="426" t="str">
        <x:v>https://www.mdpi.com/2306-5354/12/11/1174</x:v>
      </x:c>
      <x:c r="L19" s="426" t="str">
        <x:v>This study introduces an explainable neuro-symbolic and large language model (LLM)-driven framework for intelligent interpretation of corneal topography and precision surgical decision support. In a prospective cohort of 20 eyes, comprehensive IOLMaster 700 reports were analyzed through a four-stage pipeline: (1) automated extraction of key parameters—including corneal curvature, pachymetry, and axial biometry; (2) mapping of these quantitative features onto a curated corneal disease and refractive-surgery knowledge graph; (3) Bayesian probabilistic inference to evaluate early keratoconus and surgical eligibility; and (4) explainable multi-model LLM reporting, employing DeepSeek and GPT-4.0, to generate bilingual physician- and patient-facing narratives. By transforming complex imaging data into transparent reasoning chains, the pipeline delivered case-level outputs within ~95 ± 12 s. When benchmarked against independent evaluations by two senior corneal specialists, the framework achieved 92 ± 4% sensitivity, 94 ± 5% specificity, 93 ± 4% accuracy, and an AUC of 0.95 ± 0.03 for early keratoconus detection, alongside an F1 score of 0.90 ± 0.04 for refractive surgery eligibility. The generated bilingual reports were rated ≥4.8/5 for logical clarity, clinical usefulness, and comprehensibility, with representative cases fully concordant with expert judgment. Comparative benchmarking against baseline CNN and ViT models demonstrated superior diagnostic accuracy (AUC = 0.95 ± 0.03 vs. 0.88 and 0.90, p &amp;lt; 0.05), confirming the added value of the neuro-symbolic reasoning layer. All analyses were executed on a workstation equipped with an NVIDIA RTX 4090 GPU and implemented in Python 3.10/PyTorch 2.2.1 for full reproducibility. By explicitly coupling symbolic medical knowledge with advanced language models and embedding explainable artificial intelligence (XAI) principles throughout data processing, reasoning, and reporting, this framework provides a transparent, rapid, and clinically actionable AI solution. The approach holds significant promise for improving early ectatic disease detection and supporting individualized refractive surgery planning in routine ophthalmic practice.</x:v>
      </x:c>
      <x:c r="M19" s="426" t="str">
        <x:v>No duplicate</x:v>
      </x:c>
      <x:c r="N19" s="426" t="str">
        <x:v>DG-005</x:v>
      </x:c>
      <x:c r="O19" s="426" t="str">
        <x:v>Not applicable</x:v>
      </x:c>
      <x:c r="P19" s="426" t="str">
        <x:v>Yes</x:v>
      </x:c>
      <x:c r="Q19" s="426" t="str">
        <x:v>Include</x:v>
      </x:c>
      <x:c r="R19" s="426" t="str">
        <x:v>Original structured neuro-symbolic ophthalmic XAI framework for corneal imaging; relevant contextual evidence.</x:v>
      </x:c>
      <x:c r="S19" s="426" t="str">
        <x:v>Verification documented at process level</x:v>
      </x:c>
      <x:c r="T19" s="426" t="str">
        <x:v>Two additional authors performed random spot checks; individual spot-check assignments are not recorded in this register.</x:v>
      </x:c>
      <x:c r="U19" s="426" t="str">
        <x:v>Include</x:v>
      </x:c>
      <x:c r="V19" s="426" t="str">
        <x:v>Primary decision by the corresponding author; two additional authors performed random spot checks as a quality-control step.</x:v>
      </x:c>
      <x:c r="W19" s="426" t="str">
        <x:v>Yes</x:v>
      </x:c>
      <x:c r="X19" s="426" t="str">
        <x:v>Yes</x:v>
      </x:c>
      <x:c r="Y19" s="426" t="str">
        <x:v>Include</x:v>
      </x:c>
      <x:c r="Z19" s="426" t="str">
        <x:v>The corresponding author assessed the complete report and judged it eligible for inclusion in the review.</x:v>
      </x:c>
      <x:c r="AA19" s="22" t="str">
        <x:v>Verification documented at process level</x:v>
      </x:c>
      <x:c r="AB19" s="22" t="str">
        <x:v>Two additional authors performed random spot checks; individual spot-check assignments are not recorded in this register.</x:v>
      </x:c>
      <x:c r="AC19" s="22" t="str">
        <x:v>Include</x:v>
      </x:c>
      <x:c r="AD19" s="22" t="str">
        <x:v>Primary decision by the corresponding author; two additional authors performed random spot checks as a quality-control step.</x:v>
      </x:c>
      <x:c r="AE19" s="22" t="str">
        <x:v>Include</x:v>
      </x:c>
      <x:c r="AF19" s="22" t="str">
        <x:v>Contextual medical concept-XAI evidence</x:v>
      </x:c>
      <x:c r="AG19" s="22" t="str">
        <x:v>Complete PubMed CSV re-export. Create date: 2025/11/27. Citation: Bioengineering (Basel). 2025 Oct 28;12(11):1174. doi: 10.3390/bioengineering12111174.</x:v>
      </x:c>
      <x:c r="AH19" s="20" t="str">
        <x:v>Confirmed using DOI/title evidence; identifier/title evidence; normalized title across captured searches.</x:v>
      </x:c>
    </x:row>
    <x:row r="20" ht="42" customHeight="1">
      <x:c r="A20" s="426" t="str">
        <x:v>PM-017</x:v>
      </x:c>
      <x:c r="B20" s="426" t="str">
        <x:v>PubMed</x:v>
      </x:c>
      <x:c r="C20" s="426" t="str">
        <x:v>PUBMED-01</x:v>
      </x:c>
      <x:c r="D20" s="426" t="str">
        <x:v>Explainable Artificial Intelligence Framework for Predicting Treatment Outcomes in Age-Related Macular Degeneration</x:v>
      </x:c>
      <x:c r="E20" s="426" t="str">
        <x:v>Wang MH.</x:v>
      </x:c>
      <x:c r="F20" s="426" t="n">
        <x:v>2025</x:v>
      </x:c>
      <x:c r="G20" s="426" t="str">
        <x:v>Sensors (Basel)</x:v>
      </x:c>
      <x:c r="H20" s="426" t="str">
        <x:v>PubMed record</x:v>
      </x:c>
      <x:c r="I20" s="426" t="str">
        <x:v>10.3390/s25226879</x:v>
      </x:c>
      <x:c r="J20" s="426" t="str">
        <x:v>41305085</x:v>
      </x:c>
      <x:c r="K20" s="426" t="str">
        <x:v>https://www.mdpi.com/1424-8220/25/22/6879</x:v>
      </x:c>
      <x:c r="L20" s="426" t="str">
        <x:v>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 0.01). Explainability metrics showed that &amp;gt;85% of predictions were supported by high-confidence knowledge-graph rules, and &amp;gt;90% of generated narratives accurately cited key biomarkers. A detailed case study demonstrated real-time, individualized risk stratification—for example, predicting an &amp;gt;70% probability of requiring three or more anti-VEGF injections within 12 months and a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x:v>
      </x:c>
      <x:c r="M20" s="426" t="str">
        <x:v>No duplicate</x:v>
      </x:c>
      <x:c r="N20" s="426" t="str">
        <x:v>DG-006</x:v>
      </x:c>
      <x:c r="O20" s="426" t="str">
        <x:v>Not applicable</x:v>
      </x:c>
      <x:c r="P20" s="426" t="str">
        <x:v>Yes</x:v>
      </x:c>
      <x:c r="Q20" s="426" t="str">
        <x:v>Include</x:v>
      </x:c>
      <x:c r="R20" s="426" t="str">
        <x:v>Original explainable AI study for AMD treatment-outcome prediction; directly relevant retinal evidence.</x:v>
      </x:c>
      <x:c r="S20" s="426" t="str">
        <x:v>Verification documented at process level</x:v>
      </x:c>
      <x:c r="T20" s="426" t="str">
        <x:v>Two additional authors performed random spot checks; individual spot-check assignments are not recorded in this register.</x:v>
      </x:c>
      <x:c r="U20" s="426" t="str">
        <x:v>Include</x:v>
      </x:c>
      <x:c r="V20" s="426" t="str">
        <x:v>Primary decision by the corresponding author; two additional authors performed random spot checks as a quality-control step.</x:v>
      </x:c>
      <x:c r="W20" s="426" t="str">
        <x:v>Yes</x:v>
      </x:c>
      <x:c r="X20" s="426" t="str">
        <x:v>Yes</x:v>
      </x:c>
      <x:c r="Y20" s="426" t="str">
        <x:v>Include</x:v>
      </x:c>
      <x:c r="Z20" s="426" t="str">
        <x:v>The corresponding author assessed the complete report and judged it eligible for inclusion in the review.</x:v>
      </x:c>
      <x:c r="AA20" s="22" t="str">
        <x:v>Verification documented at process level</x:v>
      </x:c>
      <x:c r="AB20" s="22" t="str">
        <x:v>Two additional authors performed random spot checks; individual spot-check assignments are not recorded in this register.</x:v>
      </x:c>
      <x:c r="AC20" s="22" t="str">
        <x:v>Include</x:v>
      </x:c>
      <x:c r="AD20" s="22" t="str">
        <x:v>Primary decision by the corresponding author; two additional authors performed random spot checks as a quality-control step.</x:v>
      </x:c>
      <x:c r="AE20" s="22" t="str">
        <x:v>Include</x:v>
      </x:c>
      <x:c r="AF20" s="22" t="str">
        <x:v>Direct retinal/ophthalmic evidence</x:v>
      </x:c>
      <x:c r="AG20" s="22" t="str">
        <x:v>Complete PubMed CSV re-export. Create date: 2025/11/27. Citation: Sensors (Basel). 2025 Nov 11;25(22):6879. doi: 10.3390/s25226879.</x:v>
      </x:c>
      <x:c r="AH20" s="20" t="str">
        <x:v>Confirmed using DOI/title evidence; identifier/title evidence; normalized title across captured searches.</x:v>
      </x:c>
    </x:row>
    <x:row r="21" ht="42" customHeight="1">
      <x:c r="A21" s="426" t="str">
        <x:v>PM-018</x:v>
      </x:c>
      <x:c r="B21" s="426" t="str">
        <x:v>PubMed</x:v>
      </x:c>
      <x:c r="C21" s="426" t="str">
        <x:v>PUBMED-01</x:v>
      </x:c>
      <x:c r="D21" s="426" t="str">
        <x:v>Explainable neuro-symbolic artificial intelligence for automated interpretation of corneal topography and early keratoconus detection</x:v>
      </x:c>
      <x:c r="E21" s="426" t="str">
        <x:v>Wang MH, Qin S.</x:v>
      </x:c>
      <x:c r="F21" s="426" t="n">
        <x:v>2026</x:v>
      </x:c>
      <x:c r="G21" s="426" t="str">
        <x:v>Front Artif Intell</x:v>
      </x:c>
      <x:c r="H21" s="426" t="str">
        <x:v>PubMed record</x:v>
      </x:c>
      <x:c r="I21" s="426" t="str">
        <x:v>10.3389/frai.2026.1713747</x:v>
      </x:c>
      <x:c r="J21" s="426" t="str">
        <x:v>42052214</x:v>
      </x:c>
      <x:c r="K21" s="426" t="str">
        <x:v>https://www.frontiersin.org/journals/artificial-intelligence/articles/10.3389/frai.2026.1713747/pdf</x:v>
      </x:c>
      <x:c r="L21" s="426" t="str">
        <x:v>Background: Early detection of keratoconus is essential for preventing postoperative complications in refractive surgery and preserving long-term visual function. Although artificial intelligence has demonstrated strong potential in ophthalmic image analysis, many existing models operate as black-box systems and provide limited clinical interpretability. Transparent decision support is therefore critical for safe deployment of AI in clinical practice. Methods: We propose an explainable neuro-symbolic framework for automated interpretation of corneal topography reports and refractive surgery eligibility assessment. The proposed system integrates multimodal feature extraction, a symbolic corneal knowledge graph, probabilistic reasoning, and large language model (LLM)-based report generation. Quantitative biometric parameters and corneal curvature maps extracted from IOLMaster 700 reports were processed through a hybrid convolutional neural network-Vision Transformer (CNN-ViT) module to capture spatial corneal morphology. These representations were aligned with a clinically curated knowledge graph encoding relationships between corneal parameters, disease states, and surgical decision criteria. Bayesian probabilistic inference was then applied to estimate disease likelihoods, while an ensemble LLM module generated structured bilingual clinical reports explaining the reasoning process. Results: In a prospective pilot cohort of 20 eyes, the proposed framework demonstrated strong diagnostic performance for early keratoconus detection, achieving an area under the receiver operating characteristic curve (AUC) of approximately 0.95. Sensitivity and specificity remained high across decision thresholds, and the system achieved a balanced F1 score for refractive surgery eligibility classification. Expert evaluation indicated high interpretability and clinical usefulness of the generated reports. The end-to-end pipeline required approximately 95 ± 12 s per case, supporting near-real-time clinical decision support. Conclusion: The proposed neuro-symbolic framework combines deep representation learning, structured medical knowledge, and explainable language-based reporting to provide transparent AI-assisted corneal diagnostics. Although the current results are based on a pilot cohort, the framework demonstrates the potential of integrating neural networks, knowledge graphs, and large language models for interpretable ophthalmic AI systems. Future studies using larger multicenter datasets are required to further validate clinical performance and generalizability.</x:v>
      </x:c>
      <x:c r="M21" s="426" t="str">
        <x:v>No duplicate</x:v>
      </x:c>
      <x:c r="N21" s="426" t="str">
        <x:v>DG-007</x:v>
      </x:c>
      <x:c r="O21" s="426" t="str">
        <x:v>Not applicable</x:v>
      </x:c>
      <x:c r="P21" s="426" t="str">
        <x:v>Yes</x:v>
      </x:c>
      <x:c r="Q21" s="426" t="str">
        <x:v>Include</x:v>
      </x:c>
      <x:c r="R21" s="426" t="str">
        <x:v>Original neuro-symbolic ophthalmic XAI using structured clinical knowledge for keratoconus detection.</x:v>
      </x:c>
      <x:c r="S21" s="426" t="str">
        <x:v>Verification documented at process level</x:v>
      </x:c>
      <x:c r="T21" s="426" t="str">
        <x:v>Two additional authors performed random spot checks; individual spot-check assignments are not recorded in this register.</x:v>
      </x:c>
      <x:c r="U21" s="426" t="str">
        <x:v>Include</x:v>
      </x:c>
      <x:c r="V21" s="426" t="str">
        <x:v>Primary decision by the corresponding author; two additional authors performed random spot checks as a quality-control step.</x:v>
      </x:c>
      <x:c r="W21" s="426" t="str">
        <x:v>Yes</x:v>
      </x:c>
      <x:c r="X21" s="426" t="str">
        <x:v>Yes</x:v>
      </x:c>
      <x:c r="Y21" s="426" t="str">
        <x:v>Include</x:v>
      </x:c>
      <x:c r="Z21" s="426" t="str">
        <x:v>The corresponding author assessed the complete report and judged it eligible for inclusion in the review.</x:v>
      </x:c>
      <x:c r="AA21" s="22" t="str">
        <x:v>Verification documented at process level</x:v>
      </x:c>
      <x:c r="AB21" s="22" t="str">
        <x:v>Two additional authors performed random spot checks; individual spot-check assignments are not recorded in this register.</x:v>
      </x:c>
      <x:c r="AC21" s="22" t="str">
        <x:v>Include</x:v>
      </x:c>
      <x:c r="AD21" s="22" t="str">
        <x:v>Primary decision by the corresponding author; two additional authors performed random spot checks as a quality-control step.</x:v>
      </x:c>
      <x:c r="AE21" s="22" t="str">
        <x:v>Include</x:v>
      </x:c>
      <x:c r="AF21" s="22" t="str">
        <x:v>Contextual medical concept-XAI evidence</x:v>
      </x:c>
      <x:c r="AG21" s="22" t="str">
        <x:v>Complete PubMed CSV re-export. Create date: 2026/04/29. Citation: Front Artif Intell. 2026 Apr 13;9:1713747. doi: 10.3389/frai.2026.1713747. eCollection 2026.</x:v>
      </x:c>
      <x:c r="AH21" s="20" t="str">
        <x:v>Confirmed using DOI/title evidence; identifier/title evidence; normalized title across captured searches.</x:v>
      </x:c>
    </x:row>
    <x:row r="22" ht="42" customHeight="1">
      <x:c r="A22" s="426" t="str">
        <x:v>PM-019</x:v>
      </x:c>
      <x:c r="B22" s="426" t="str">
        <x:v>PubMed</x:v>
      </x:c>
      <x:c r="C22" s="426" t="str">
        <x:v>PUBMED-01</x:v>
      </x:c>
      <x:c r="D22" s="426" t="str">
        <x:v>Compact Vision-Language Models Enable Efficient and Interpretable Automated OCT Analysis Through Layer Specific Multimodal Learning</x:v>
      </x:c>
      <x:c r="E22" s="426" t="str">
        <x:v>Haghighi T, Gholami S, Sokol JT, Lim JI, Leng T, Thompson AC, Tabkhi H, Alam MN.</x:v>
      </x:c>
      <x:c r="F22" s="426" t="n">
        <x:v>2025</x:v>
      </x:c>
      <x:c r="G22" s="426" t="str">
        <x:v>bioRxiv</x:v>
      </x:c>
      <x:c r="H22" s="426" t="str">
        <x:v>PubMed record</x:v>
      </x:c>
      <x:c r="I22" s="426" t="str">
        <x:v>10.1101/2025.08.07.669187</x:v>
      </x:c>
      <x:c r="J22" s="426" t="str">
        <x:v>40832232</x:v>
      </x:c>
      <x:c r="K22" s="426" t="str">
        <x:v>https://pubmed.ncbi.nlm.nih.gov/40832232/</x:v>
      </x:c>
      <x:c r="L22" s="426" t="str">
        <x:v>Not available in the captured evidence; the screening decision used the title and available source metadata.</x:v>
      </x:c>
      <x:c r="M22" s="426" t="str">
        <x:v>Confirmed duplicate</x:v>
      </x:c>
      <x:c r="N22" s="426" t="str">
        <x:v>DG-008</x:v>
      </x:c>
      <x:c r="O22" s="426" t="str">
        <x:v>PM-020</x:v>
      </x:c>
      <x:c r="P22" s="426" t="str">
        <x:v>No</x:v>
      </x:c>
      <x:c r="Q22" s="426" t="str">
        <x:v>Not screened</x:v>
      </x:c>
      <x:c r="R22" s="426" t="str">
        <x:v>Removed before title/abstract screening as a confirmed duplicate.</x:v>
      </x:c>
      <x:c r="S22" s="426" t="str">
        <x:v>Not applicable — removed before screening</x:v>
      </x:c>
      <x:c r="T22" s="426" t="str">
        <x:v>Record was outside the active screening set.</x:v>
      </x:c>
      <x:c r="U22" s="426" t="str">
        <x:v>Removed before screening</x:v>
      </x:c>
      <x:c r="V22" s="426" t="str">
        <x:v>Confirmed duplicate removed during deduplication.</x:v>
      </x:c>
      <x:c r="W22" s="426" t="str">
        <x:v>No</x:v>
      </x:c>
      <x:c r="X22" s="426" t="str">
        <x:v>Not applicable</x:v>
      </x:c>
      <x:c r="Y22" s="426" t="str">
        <x:v>Not assessed</x:v>
      </x:c>
      <x:c r="Z22" s="426" t="str">
        <x:v>Not applicable — record removed before screening.</x:v>
      </x:c>
      <x:c r="AA22" s="22" t="str">
        <x:v>Not applicable</x:v>
      </x:c>
      <x:c r="AB22" s="22" t="str">
        <x:v>Record was not advanced to full-text assessment.</x:v>
      </x:c>
      <x:c r="AC22" s="22" t="str">
        <x:v>Not assessed</x:v>
      </x:c>
      <x:c r="AD22" s="22" t="str">
        <x:v>Not applicable — no full-text assessment was required.</x:v>
      </x:c>
      <x:c r="AE22" s="22" t="str">
        <x:v>Removed before screening</x:v>
      </x:c>
      <x:c r="AF22" s="22" t="str">
        <x:v>Not applicable — not included</x:v>
      </x:c>
      <x:c r="AG22" s="22" t="str">
        <x:v>Complete PubMed CSV re-export. Create date: 2025/08/20. Citation: bioRxiv [Preprint]. 2025 Aug 11:2025.08.07.669187. doi: 10.1101/2025.08.07.669187.</x:v>
      </x:c>
      <x:c r="AH22" s="20" t="str">
        <x:v>Preprint superseded by the linked journal article PM-020.</x:v>
      </x:c>
    </x:row>
    <x:row r="23" ht="42" customHeight="1">
      <x:c r="A23" s="426" t="str">
        <x:v>PM-020</x:v>
      </x:c>
      <x:c r="B23" s="426" t="str">
        <x:v>PubMed</x:v>
      </x:c>
      <x:c r="C23" s="426" t="str">
        <x:v>PUBMED-01</x:v>
      </x:c>
      <x:c r="D23" s="426" t="str">
        <x:v>Compact vision language models enable efficient and interpretable optical coherence tomography through layer-specific multimodal learning</x:v>
      </x:c>
      <x:c r="E23" s="426" t="str">
        <x:v>Haghighi T, Gholami S, Sokol JT, Biswas A, Lim JI, Leng T, Thompson AC, Tabkhi H, Alam MN.</x:v>
      </x:c>
      <x:c r="F23" s="426" t="n">
        <x:v>2025</x:v>
      </x:c>
      <x:c r="G23" s="426" t="str">
        <x:v>Commun Med (Lond)</x:v>
      </x:c>
      <x:c r="H23" s="426" t="str">
        <x:v>PubMed record</x:v>
      </x:c>
      <x:c r="I23" s="426" t="str">
        <x:v>10.1038/s43856-025-01293-9</x:v>
      </x:c>
      <x:c r="J23" s="426" t="str">
        <x:v>41455821</x:v>
      </x:c>
      <x:c r="K23" s="426" t="str">
        <x:v>https://www.nature.com/articles/s43856-025-01293-9</x:v>
      </x:c>
      <x:c r="L23" s="426" t="str">
        <x:v>Translating the intricate anatomical signatures of retinal disease from optical coherence tomography (OCT) B-scans into clear, accurate clinical narratives demands algorithms that seamlessly fuse visual features with domain expertise. We curated a multimodal dataset of 40,000 OCT B-scans from public repositories and private clinical cohorts, each paired with expert-validated summaries spanning six conditions: diabetic macular edema, diabetic retinopathy, geographic atrophy, drusen, choroidal neovascularization, and healthy retina. We introduce LO-VLM, a compact (247M parameter) vision-language model (VLM) that infuses anatomical guidance into both encoder and decoder for free-form summary generation and multiclass disease classification. Benchmarking against state-of-the-art RetinaVLM, LLaVA-Med, and a ViT vision only model demonstrates superior performance. In a blinded evaluation by three board certified retina specialists, LO-VLM narratives achieves a mean = 8.5 (standard deviation = 1.15) out of 10, compared to a mean = 5.5 (standard 32 deviation = 1.13) for RetinaVLM (p &lt; 0.0001). In quantitative evaluations, LO-VLM achieves an SBERT similarity of 80.3% and a BERTScore F1 of 71.5%, representing improvements of 8.2% and 28.8% over specialized VLM baselines. For disease classification, LO-VLM reaches 96% accuracy (F1 = 96%), outperforming ViT by 13% and exceeding medical VLM benchmarks by over 62% (p &lt; 0.05). By reconciling interpretability with computational efficiency, LO-VLM establishes a paradigm for efficient AI models in OCT interpretation. Eye diseases such as diabetic retinopathy and macular degeneration can cause vision loss if not detected early. Doctors use a type of imaging called optical coherence tomography (OCT) to examine the layers of the retina, but interpreting the images obtained can be time-consuming and requires specialist training. In this study, we developed LO-VLM, an artificial intelligence system that learns from both images and descriptions written by experts to enable analysis of OCT scans. Using 40,000 examples, it can accurately identify different retinal diseases and generate clear, human readable summaries. LO-VLM achieves high accuracy and produces reports clinicians find useful. This technology could support faster, more consistent eye disease diagnosis and provide interpretation similar to that seen by specialists in routine and remote care settings. Wang et al at introduce a dynamic, network-based tool to predict the risk of hepatic encephalopathy in patients with cirrhosis. The model integrates expert knowledge with data-driven insights to enable early prediction and risk stratification across diverse patient populations.</x:v>
      </x:c>
      <x:c r="M23" s="426" t="str">
        <x:v>No duplicate</x:v>
      </x:c>
      <x:c r="N23" s="426" t="str">
        <x:v>DG-008</x:v>
      </x:c>
      <x:c r="O23" s="426" t="str">
        <x:v>Not applicable</x:v>
      </x:c>
      <x:c r="P23" s="426" t="str">
        <x:v>Yes</x:v>
      </x:c>
      <x:c r="Q23" s="426" t="str">
        <x:v>Include</x:v>
      </x:c>
      <x:c r="R23" s="426" t="str">
        <x:v>Original interpretable retinal OCT vision-language model with anatomically meaningful layer-specific learning.</x:v>
      </x:c>
      <x:c r="S23" s="426" t="str">
        <x:v>Verification documented at process level</x:v>
      </x:c>
      <x:c r="T23" s="426" t="str">
        <x:v>Two additional authors performed random spot checks; individual spot-check assignments are not recorded in this register.</x:v>
      </x:c>
      <x:c r="U23" s="426" t="str">
        <x:v>Include</x:v>
      </x:c>
      <x:c r="V23" s="426" t="str">
        <x:v>Primary decision by the corresponding author; two additional authors performed random spot checks as a quality-control step.</x:v>
      </x:c>
      <x:c r="W23" s="426" t="str">
        <x:v>Yes</x:v>
      </x:c>
      <x:c r="X23" s="426" t="str">
        <x:v>Yes</x:v>
      </x:c>
      <x:c r="Y23" s="426" t="str">
        <x:v>Include</x:v>
      </x:c>
      <x:c r="Z23" s="426" t="str">
        <x:v>The corresponding author assessed the complete report and judged it eligible for inclusion in the review.</x:v>
      </x:c>
      <x:c r="AA23" s="22" t="str">
        <x:v>Verification documented at process level</x:v>
      </x:c>
      <x:c r="AB23" s="22" t="str">
        <x:v>Two additional authors performed random spot checks; individual spot-check assignments are not recorded in this register.</x:v>
      </x:c>
      <x:c r="AC23" s="22" t="str">
        <x:v>Include</x:v>
      </x:c>
      <x:c r="AD23" s="22" t="str">
        <x:v>Primary decision by the corresponding author; two additional authors performed random spot checks as a quality-control step.</x:v>
      </x:c>
      <x:c r="AE23" s="22" t="str">
        <x:v>Include</x:v>
      </x:c>
      <x:c r="AF23" s="22" t="str">
        <x:v>Contextual medical concept-XAI evidence</x:v>
      </x:c>
      <x:c r="AG23" s="22" t="str">
        <x:v>Complete PubMed CSV re-export. Create date: 2025/12/27. Citation: Commun Med (Lond). 2025 Dec 27;6(1):32. doi: 10.1038/s43856-025-01293-9.</x:v>
      </x:c>
      <x:c r="AH23" s="20" t="str">
        <x:v>Confirmed using DOI/title evidence; identifier/title evidence.</x:v>
      </x:c>
    </x:row>
    <x:row r="24" ht="42" customHeight="1">
      <x:c r="A24" s="426" t="str">
        <x:v>PM-021</x:v>
      </x:c>
      <x:c r="B24" s="426" t="str">
        <x:v>PubMed</x:v>
      </x:c>
      <x:c r="C24" s="426" t="str">
        <x:v>PUBMED-01</x:v>
      </x:c>
      <x:c r="D24" s="426" t="str">
        <x:v>ORBIT-AMD: Ordinal Risk, Bilateral Imaging, and Trajectory Learning for Age-Related Macular Degeneration in Multi-Cohorts</x:v>
      </x:c>
      <x:c r="E24" s="426" t="str">
        <x:v>Cui X, Wen D, Yu-Wai-Man P, Li X.</x:v>
      </x:c>
      <x:c r="F24" s="426" t="n">
        <x:v>2026</x:v>
      </x:c>
      <x:c r="G24" s="426" t="str">
        <x:v>Adv Sci (Weinh)</x:v>
      </x:c>
      <x:c r="H24" s="426" t="str">
        <x:v>PubMed record</x:v>
      </x:c>
      <x:c r="I24" s="426" t="str">
        <x:v>10.1002/advs.76361</x:v>
      </x:c>
      <x:c r="J24" s="426" t="str">
        <x:v>42363829</x:v>
      </x:c>
      <x:c r="K24" s="426" t="str">
        <x:v>https://advanced.onlinelibrary.wiley.com/doi/10.1002/advs.76361</x:v>
      </x:c>
      <x:c r="L24" s="426" t="str">
        <x:v>Age-related macular degeneration (AMD) is an ordered, bilateral, and longitudinal disease, yet many artificial intelligence systems treat it as static binary image classification. We developed ORBIT-AMD, a multimodal trajectory-learning framework integrating color fundus photography and optical coherence tomography, bilateral eye-graph attention, concept bottlenecks, ordinal staging, cause-specific discrete-time survival prediction, and protocol alignment. In a UK Biobank development/internal-testing cohort of 58 214 participants and 109 691 eyes, and an external Tianjin Medical University Eye Hospital cohort of 1996 participants and 3780 eyes, ORBIT-AMD achieved AUROC values of 0.984 internally and 0.975 externally for prevalent late-AMD detection. Five-year late-AMD progression prediction achieved AUROC values of 0.825 and 0.767, respectively. Calibration and threshold analyses showed cohort-dependent workload and absolute-risk behavior, supporting site-specific calibration assessment and clinical-workflow evaluation before deployment. The concept bottleneck provided auditable lesion-level explanations, but these outputs should be interpreted as structured predictive explanations rather than causal evidence. ORBIT-AMD provides a trajectory-aware framework for AMD risk stratification and review prioritization, with prospective validation required before clinical implementation.</x:v>
      </x:c>
      <x:c r="M24" s="426" t="str">
        <x:v>No duplicate</x:v>
      </x:c>
      <x:c r="N24" s="426" t="str">
        <x:v>DG-009</x:v>
      </x:c>
      <x:c r="O24" s="426" t="str">
        <x:v>Not applicable</x:v>
      </x:c>
      <x:c r="P24" s="426" t="str">
        <x:v>Yes</x:v>
      </x:c>
      <x:c r="Q24" s="426" t="str">
        <x:v>Include</x:v>
      </x:c>
      <x:c r="R24" s="426" t="str">
        <x:v>Direct retinal AMD framework with an auditable lesion-level concept bottleneck and structured explanations.</x:v>
      </x:c>
      <x:c r="S24" s="426" t="str">
        <x:v>Verification documented at process level</x:v>
      </x:c>
      <x:c r="T24" s="426" t="str">
        <x:v>Two additional authors performed random spot checks; individual spot-check assignments are not recorded in this register.</x:v>
      </x:c>
      <x:c r="U24" s="426" t="str">
        <x:v>Include</x:v>
      </x:c>
      <x:c r="V24" s="426" t="str">
        <x:v>Primary decision by the corresponding author; two additional authors performed random spot checks as a quality-control step.</x:v>
      </x:c>
      <x:c r="W24" s="426" t="str">
        <x:v>Yes</x:v>
      </x:c>
      <x:c r="X24" s="426" t="str">
        <x:v>Yes</x:v>
      </x:c>
      <x:c r="Y24" s="426" t="str">
        <x:v>Include</x:v>
      </x:c>
      <x:c r="Z24" s="426" t="str">
        <x:v>The corresponding author assessed the complete report and judged it eligible for inclusion in the review.</x:v>
      </x:c>
      <x:c r="AA24" s="22" t="str">
        <x:v>Verification documented at process level</x:v>
      </x:c>
      <x:c r="AB24" s="22" t="str">
        <x:v>Two additional authors performed random spot checks; individual spot-check assignments are not recorded in this register.</x:v>
      </x:c>
      <x:c r="AC24" s="22" t="str">
        <x:v>Include</x:v>
      </x:c>
      <x:c r="AD24" s="22" t="str">
        <x:v>Primary decision by the corresponding author; two additional authors performed random spot checks as a quality-control step.</x:v>
      </x:c>
      <x:c r="AE24" s="22" t="str">
        <x:v>Include</x:v>
      </x:c>
      <x:c r="AF24" s="22" t="str">
        <x:v>Direct retinal/ophthalmic evidence</x:v>
      </x:c>
      <x:c r="AG24" s="22" t="str">
        <x:v>Complete PubMed CSV re-export. Create date: 2026/06/27. Citation: Adv Sci (Weinh). 2026 Jun 27:e76361. doi: 10.1002/advs.76361. Online ahead of print.</x:v>
      </x:c>
      <x:c r="AH24" s="20" t="str">
        <x:v>Confirmed using DOI/title evidence; identifier/title evidence; normalized title across captured searches.</x:v>
      </x:c>
    </x:row>
    <x:row r="25" ht="42" customHeight="1">
      <x:c r="A25" s="426" t="str">
        <x:v>PM-022</x:v>
      </x:c>
      <x:c r="B25" s="426" t="str">
        <x:v>PubMed</x:v>
      </x:c>
      <x:c r="C25" s="426" t="str">
        <x:v>PUBMED-01</x:v>
      </x:c>
      <x:c r="D25" s="426" t="str">
        <x:v>The choroid vascular index and its association with visual acuity in children and young adults with high myopia</x:v>
      </x:c>
      <x:c r="E25" s="426" t="str">
        <x:v>Han R, Chang W, Ding X, Jiang R, Chang Q, Xu G, Yu Z, Wei Q.</x:v>
      </x:c>
      <x:c r="F25" s="426" t="n">
        <x:v>2023</x:v>
      </x:c>
      <x:c r="G25" s="426" t="str">
        <x:v>Eye (Lond)</x:v>
      </x:c>
      <x:c r="H25" s="426" t="str">
        <x:v>PubMed record</x:v>
      </x:c>
      <x:c r="I25" s="426" t="str">
        <x:v>10.1038/s41433-022-02369-9</x:v>
      </x:c>
      <x:c r="J25" s="426" t="str">
        <x:v>36539600</x:v>
      </x:c>
      <x:c r="K25" s="426" t="str">
        <x:v>https://pubmed.ncbi.nlm.nih.gov/36539600/</x:v>
      </x:c>
      <x:c r="L25" s="426" t="str">
        <x:v>Not available in the captured evidence; the screening decision used the title and available source metadata.</x:v>
      </x:c>
      <x:c r="M25" s="426" t="str">
        <x:v>No duplicate</x:v>
      </x:c>
      <x:c r="N25" s="426" t="str">
        <x:v>Not applicable — no duplicate group</x:v>
      </x:c>
      <x:c r="O25" s="426" t="str">
        <x:v>Not applicable</x:v>
      </x:c>
      <x:c r="P25" s="426" t="str">
        <x:v>Yes</x:v>
      </x:c>
      <x:c r="Q25" s="426" t="str">
        <x:v>Exclude</x:v>
      </x:c>
      <x:c r="R25" s="426" t="str">
        <x:v>Clinical choroidal biomarker association study without an AI or explainability component.</x:v>
      </x:c>
      <x:c r="S25" s="426" t="str">
        <x:v>Verification documented at process level</x:v>
      </x:c>
      <x:c r="T25" s="426" t="str">
        <x:v>Two additional authors performed random spot checks; individual spot-check assignments are not recorded in this register.</x:v>
      </x:c>
      <x:c r="U25" s="426" t="str">
        <x:v>Exclude</x:v>
      </x:c>
      <x:c r="V25" s="426" t="str">
        <x:v>Primary decision by the corresponding author; two additional authors performed random spot checks as a quality-control step.</x:v>
      </x:c>
      <x:c r="W25" s="426" t="str">
        <x:v>No</x:v>
      </x:c>
      <x:c r="X25" s="426" t="str">
        <x:v>Not applicable</x:v>
      </x:c>
      <x:c r="Y25" s="426" t="str">
        <x:v>Not assessed</x:v>
      </x:c>
      <x:c r="Z25" s="426" t="str">
        <x:v>Not advanced to full-text assessment after the title/abstract decision.</x:v>
      </x:c>
      <x:c r="AA25" s="22" t="str">
        <x:v>Not applicable</x:v>
      </x:c>
      <x:c r="AB25" s="22" t="str">
        <x:v>Record was not advanced to full-text assessment.</x:v>
      </x:c>
      <x:c r="AC25" s="22" t="str">
        <x:v>Not assessed</x:v>
      </x:c>
      <x:c r="AD25" s="22" t="str">
        <x:v>Not applicable — no full-text assessment was required.</x:v>
      </x:c>
      <x:c r="AE25" s="22" t="str">
        <x:v>Not included — title/abstract exclusion</x:v>
      </x:c>
      <x:c r="AF25" s="22" t="str">
        <x:v>Not applicable — not included</x:v>
      </x:c>
      <x:c r="AG25" s="22" t="str">
        <x:v>Complete PubMed CSV re-export. Create date: 2022/12/20. Citation: Eye (Lond). 2023 Aug;37(12):2542-2547. doi: 10.1038/s41433-022-02369-9. Epub 2022 Dec 20.</x:v>
      </x:c>
      <x:c r="AH25" s="20" t="str">
        <x:v>No duplicate identified under the documented matching rules.</x:v>
      </x:c>
    </x:row>
    <x:row r="26" ht="42" customHeight="1">
      <x:c r="A26" s="426" t="str">
        <x:v>PM-023</x:v>
      </x:c>
      <x:c r="B26" s="426" t="str">
        <x:v>PubMed</x:v>
      </x:c>
      <x:c r="C26" s="426" t="str">
        <x:v>PUBMED-01</x:v>
      </x:c>
      <x:c r="D26" s="426" t="str">
        <x:v>Using Provenance Dispersion to Triage Uncertain Neurosymbolic OCT Diagnoses</x:v>
      </x:c>
      <x:c r="E26" s="426" t="str">
        <x:v>Bair H.</x:v>
      </x:c>
      <x:c r="F26" s="426" t="n">
        <x:v>2026</x:v>
      </x:c>
      <x:c r="G26" s="426" t="str">
        <x:v>Transl Vis Sci Technol</x:v>
      </x:c>
      <x:c r="H26" s="426" t="str">
        <x:v>PubMed record</x:v>
      </x:c>
      <x:c r="I26" s="426" t="str">
        <x:v>10.1167/tvst.15.3.9</x:v>
      </x:c>
      <x:c r="J26" s="426" t="str">
        <x:v>41800851</x:v>
      </x:c>
      <x:c r="K26" s="426" t="str">
        <x:v>https://pubmed.ncbi.nlm.nih.gov/41800851/</x:v>
      </x:c>
      <x:c r="L26" s="426" t="str">
        <x:v>Not available in the captured evidence; the screening decision used the title and available source metadata.</x:v>
      </x:c>
      <x:c r="M26" s="426" t="str">
        <x:v>No duplicate</x:v>
      </x:c>
      <x:c r="N26" s="426" t="str">
        <x:v>Not applicable — no duplicate group</x:v>
      </x:c>
      <x:c r="O26" s="426" t="str">
        <x:v>Not applicable</x:v>
      </x:c>
      <x:c r="P26" s="426" t="str">
        <x:v>Yes</x:v>
      </x:c>
      <x:c r="Q26" s="426" t="str">
        <x:v>Exclude</x:v>
      </x:c>
      <x:c r="R26" s="426" t="str">
        <x:v>Commentary/letter rather than an original empirical study.</x:v>
      </x:c>
      <x:c r="S26" s="426" t="str">
        <x:v>Verification documented at process level</x:v>
      </x:c>
      <x:c r="T26" s="426" t="str">
        <x:v>Two additional authors performed random spot checks; individual spot-check assignments are not recorded in this register.</x:v>
      </x:c>
      <x:c r="U26" s="426" t="str">
        <x:v>Exclude</x:v>
      </x:c>
      <x:c r="V26" s="426" t="str">
        <x:v>Primary decision by the corresponding author; two additional authors performed random spot checks as a quality-control step.</x:v>
      </x:c>
      <x:c r="W26" s="426" t="str">
        <x:v>No</x:v>
      </x:c>
      <x:c r="X26" s="426" t="str">
        <x:v>Not applicable</x:v>
      </x:c>
      <x:c r="Y26" s="426" t="str">
        <x:v>Not assessed</x:v>
      </x:c>
      <x:c r="Z26" s="426" t="str">
        <x:v>Not advanced to full-text assessment after the title/abstract decision.</x:v>
      </x:c>
      <x:c r="AA26" s="22" t="str">
        <x:v>Not applicable</x:v>
      </x:c>
      <x:c r="AB26" s="22" t="str">
        <x:v>Record was not advanced to full-text assessment.</x:v>
      </x:c>
      <x:c r="AC26" s="22" t="str">
        <x:v>Not assessed</x:v>
      </x:c>
      <x:c r="AD26" s="22" t="str">
        <x:v>Not applicable — no full-text assessment was required.</x:v>
      </x:c>
      <x:c r="AE26" s="22" t="str">
        <x:v>Not included — title/abstract exclusion</x:v>
      </x:c>
      <x:c r="AF26" s="22" t="str">
        <x:v>Not applicable — not included</x:v>
      </x:c>
      <x:c r="AG26" s="22" t="str">
        <x:v>Complete PubMed CSV re-export. Create date: 2026/03/09. Citation: Transl Vis Sci Technol. 2026 Mar 2;15(3):9. doi: 10.1167/tvst.15.3.9.</x:v>
      </x:c>
      <x:c r="AH26" s="20" t="str">
        <x:v>No duplicate identified under the documented matching rules.</x:v>
      </x:c>
    </x:row>
    <x:row r="27" ht="42" customHeight="1">
      <x:c r="A27" s="426" t="str">
        <x:v>PM-024</x:v>
      </x:c>
      <x:c r="B27" s="426" t="str">
        <x:v>PubMed</x:v>
      </x:c>
      <x:c r="C27" s="426" t="str">
        <x:v>PUBMED-01</x:v>
      </x:c>
      <x:c r="D27" s="426" t="str">
        <x:v>Explainable multimodal AI and neuro-symbolic clinical decision support system for chronic eye disease management: a digital health implementation study</x:v>
      </x:c>
      <x:c r="E27" s="426" t="str">
        <x:v>Wang MH, Lee SMY, Hou G, Wang Y, Alves JC, Xie R, He Y, Liu J, Fang X, Yang Y, Cai X, Zheng S, Yu Z, Lin EZ, Cheang C, Ian KK, Qin S.</x:v>
      </x:c>
      <x:c r="F27" s="426" t="n">
        <x:v>2026</x:v>
      </x:c>
      <x:c r="G27" s="426" t="str">
        <x:v>Front Digit Health</x:v>
      </x:c>
      <x:c r="H27" s="426" t="str">
        <x:v>PubMed record</x:v>
      </x:c>
      <x:c r="I27" s="426" t="str">
        <x:v>10.3389/fdgth.2026.1836890</x:v>
      </x:c>
      <x:c r="J27" s="426" t="str">
        <x:v>42495049</x:v>
      </x:c>
      <x:c r="K27" s="426" t="str">
        <x:v>https://www.frontiersin.org/journals/digital-health/articles/10.3389/fdgth.2026.1836890/full</x:v>
      </x:c>
      <x:c r="L27" s="426" t="str">
        <x:v>Introduction: Administrative burden and documentation workload are increasingly recognized as major contributors to healthcare costs and clinician burnout, particularly in chronic disease management such as age-related macular degeneration (AMD). These non-clinical tasks reduce time available for patient care and introduce inefficiencies in coding, billing, and compliance workflows. This study aimed to evaluate the technical feasibility and economic impact of an artificial intelligence-based system for automating administrative documentation in AMD care. Methods: A longitudinal proof-of-concept study was conducted in a tertiary ophthalmology network. A hybrid Neuro-Symbolic and Large Language Model (LLM) framework was developed to automate information extraction, clinical documentation structuring, and billing code validation. The system was applied to 24 de-identified unstructured clinical documents, including outpatient notes, operative reports, optical coherence tomography reports, and billing records. The processing pipeline included optical character recognition, knowledge-augmented LLM-based entity extraction, and neuro-symbolic rule-based validation to ensure clinical consistency, ICD-10/CPT coding accuracy, and reimbursement eligibility. Outputs were structured into standardized JSON clinical documentation formats. Results: The system achieved 98.3% accuracy in clinical entity extraction and 96.7% accuracy in administrative information extraction. Automated rule validation achieved 100% reimbursement compliance with no denied insurance claims. Mean documentation time per encounter decreased from 25.0 ± 5.0 min to 3.2 ± 1.1 min, representing an 88% reduction in documentation time. This resulted in an estimated labor cost saving of approximately 52 CNY (≈7 USD) per visit and projected annual savings of 42-56 USD per AMD patient under standard treatment schedules. Discussion: This study demonstrates the feasibility of integrating neuro-symbolic reasoning with large language models to automate administrative workflows in ophthalmology. The proposed system improves documentation efficiency, coding accuracy, and auditability while reducing hidden administrative costs. Although limited by a small sample size and single-center design, the framework provides a scalable and explainable architecture for AI-assisted administrative automation in digital health systems and chronic disease management. Conclusion: AI-enabled administrative automation using a neuro-symbolic and LLM framework has the potential to significantly improve operational efficiency and reduce costs in AMD care, supporting the development of sustainable and value-based digital healthcare systems.</x:v>
      </x:c>
      <x:c r="M27" s="426" t="str">
        <x:v>No duplicate</x:v>
      </x:c>
      <x:c r="N27" s="426" t="str">
        <x:v>DG-121</x:v>
      </x:c>
      <x:c r="O27" s="426" t="str">
        <x:v>Not applicable</x:v>
      </x:c>
      <x:c r="P27" s="426" t="str">
        <x:v>Yes</x:v>
      </x:c>
      <x:c r="Q27" s="426" t="str">
        <x:v>Include</x:v>
      </x:c>
      <x:c r="R27" s="426" t="str">
        <x:v>Original ophthalmic multimodal neuro-symbolic XAI implementation study (I2–I4).</x:v>
      </x:c>
      <x:c r="S27" s="426" t="str">
        <x:v>Verification documented at process level</x:v>
      </x:c>
      <x:c r="T27" s="426" t="str">
        <x:v>Two additional authors performed random spot checks; individual spot-check assignments are not recorded in this register.</x:v>
      </x:c>
      <x:c r="U27" s="426" t="str">
        <x:v>Include</x:v>
      </x:c>
      <x:c r="V27" s="426" t="str">
        <x:v>Primary decision by the corresponding author; two additional authors performed random spot checks as a quality-control step.</x:v>
      </x:c>
      <x:c r="W27" s="426" t="str">
        <x:v>Yes</x:v>
      </x:c>
      <x:c r="X27" s="426" t="str">
        <x:v>Yes</x:v>
      </x:c>
      <x:c r="Y27" s="426" t="str">
        <x:v>Include</x:v>
      </x:c>
      <x:c r="Z27" s="426" t="str">
        <x:v>The corresponding author assessed the complete report and judged it eligible for inclusion in the review.</x:v>
      </x:c>
      <x:c r="AA27" s="22" t="str">
        <x:v>Verification documented at process level</x:v>
      </x:c>
      <x:c r="AB27" s="22" t="str">
        <x:v>Two additional authors performed random spot checks; individual spot-check assignments are not recorded in this register.</x:v>
      </x:c>
      <x:c r="AC27" s="22" t="str">
        <x:v>Include</x:v>
      </x:c>
      <x:c r="AD27" s="22" t="str">
        <x:v>Primary decision by the corresponding author; two additional authors performed random spot checks as a quality-control step.</x:v>
      </x:c>
      <x:c r="AE27" s="22" t="str">
        <x:v>Include</x:v>
      </x:c>
      <x:c r="AF27" s="22" t="str">
        <x:v>Contextual medical concept-XAI evidence</x:v>
      </x:c>
      <x:c r="AG27" s="22" t="str">
        <x:v>Complete PubMed CSV re-export. Create date: 2026/07/24. Citation: Front Digit Health. 2026 Jul 9;8:1836890. doi: 10.3389/fdgth.2026.1836890. eCollection 2026.</x:v>
      </x:c>
      <x:c r="AH27" s="20" t="str">
        <x:v>No duplicate identified under the documented matching rules.</x:v>
      </x:c>
    </x:row>
    <x:row r="28" ht="42" customHeight="1">
      <x:c r="A28" s="426" t="str">
        <x:v>PM-025</x:v>
      </x:c>
      <x:c r="B28" s="426" t="str">
        <x:v>PubMed</x:v>
      </x:c>
      <x:c r="C28" s="426" t="str">
        <x:v>PUBMED-01</x:v>
      </x:c>
      <x:c r="D28" s="426" t="str">
        <x:v>Author Response: Using Provenance Dispersion to Triage Uncertain Neurosymbolic OCT Diagnoses</x:v>
      </x:c>
      <x:c r="E28" s="426" t="str">
        <x:v>Miladinovic A, Biscontin A, Ajcevic M, Kresevic S, Accardo A, Tognetto D, Inferrera L.</x:v>
      </x:c>
      <x:c r="F28" s="426" t="n">
        <x:v>2026</x:v>
      </x:c>
      <x:c r="G28" s="426" t="str">
        <x:v>Transl Vis Sci Technol</x:v>
      </x:c>
      <x:c r="H28" s="426" t="str">
        <x:v>PubMed record</x:v>
      </x:c>
      <x:c r="I28" s="426" t="str">
        <x:v>10.1167/tvst.15.4.9</x:v>
      </x:c>
      <x:c r="J28" s="426" t="str">
        <x:v>41972869</x:v>
      </x:c>
      <x:c r="K28" s="426" t="str">
        <x:v>https://pubmed.ncbi.nlm.nih.gov/41972869/</x:v>
      </x:c>
      <x:c r="L28" s="426" t="str">
        <x:v>Not available in the captured evidence; the screening decision used the title and available source metadata.</x:v>
      </x:c>
      <x:c r="M28" s="426" t="str">
        <x:v>No duplicate</x:v>
      </x:c>
      <x:c r="N28" s="426" t="str">
        <x:v>DG-092</x:v>
      </x:c>
      <x:c r="O28" s="426" t="str">
        <x:v>Not applicable</x:v>
      </x:c>
      <x:c r="P28" s="426" t="str">
        <x:v>Yes</x:v>
      </x:c>
      <x:c r="Q28" s="426" t="str">
        <x:v>Exclude</x:v>
      </x:c>
      <x:c r="R28" s="426" t="str">
        <x:v>Author response; non-original evidence (E4).</x:v>
      </x:c>
      <x:c r="S28" s="426" t="str">
        <x:v>Verification documented at process level</x:v>
      </x:c>
      <x:c r="T28" s="426" t="str">
        <x:v>Two additional authors performed random spot checks; individual spot-check assignments are not recorded in this register.</x:v>
      </x:c>
      <x:c r="U28" s="426" t="str">
        <x:v>Exclude</x:v>
      </x:c>
      <x:c r="V28" s="426" t="str">
        <x:v>Primary decision by the corresponding author; two additional authors performed random spot checks as a quality-control step.</x:v>
      </x:c>
      <x:c r="W28" s="426" t="str">
        <x:v>No</x:v>
      </x:c>
      <x:c r="X28" s="426" t="str">
        <x:v>Not applicable</x:v>
      </x:c>
      <x:c r="Y28" s="426" t="str">
        <x:v>Not assessed</x:v>
      </x:c>
      <x:c r="Z28" s="426" t="str">
        <x:v>Not advanced to full-text assessment after the title/abstract decision.</x:v>
      </x:c>
      <x:c r="AA28" s="22" t="str">
        <x:v>Not applicable</x:v>
      </x:c>
      <x:c r="AB28" s="22" t="str">
        <x:v>Record was not advanced to full-text assessment.</x:v>
      </x:c>
      <x:c r="AC28" s="22" t="str">
        <x:v>Not assessed</x:v>
      </x:c>
      <x:c r="AD28" s="22" t="str">
        <x:v>Not applicable — no full-text assessment was required.</x:v>
      </x:c>
      <x:c r="AE28" s="22" t="str">
        <x:v>Not included — title/abstract exclusion</x:v>
      </x:c>
      <x:c r="AF28" s="22" t="str">
        <x:v>Not applicable — not included</x:v>
      </x:c>
      <x:c r="AG28" s="22" t="str">
        <x:v>Complete PubMed CSV re-export. Create date: 2026/04/13. Citation: Transl Vis Sci Technol. 2026 Apr 6;15(4):9. doi: 10.1167/tvst.15.4.9.</x:v>
      </x:c>
      <x:c r="AH28" s="20" t="str">
        <x:v>No duplicate identified under the documented matching rules.</x:v>
      </x:c>
    </x:row>
    <x:row r="29" ht="42" customHeight="1">
      <x:c r="A29" s="426" t="str">
        <x:v>IEEE-001</x:v>
      </x:c>
      <x:c r="B29" s="426" t="str">
        <x:v>IEEE Xplore</x:v>
      </x:c>
      <x:c r="C29" s="426" t="str">
        <x:v>IEEE-01</x:v>
      </x:c>
      <x:c r="D29" s="426" t="str">
        <x:v>Case Based Reasoning in Retina Abnormalities Detection</x:v>
      </x:c>
      <x:c r="E29" s="426" t="str">
        <x:v>A. R. Chowdhury; S. Banerjee</x:v>
      </x:c>
      <x:c r="F29" s="426" t="str">
        <x:v>2019</x:v>
      </x:c>
      <x:c r="G29" s="426" t="str">
        <x:v>2019 4th International Conference on Information Systems and Computer Network...</x:v>
      </x:c>
      <x:c r="H29" s="426" t="str">
        <x:v>IEEE Conferences</x:v>
      </x:c>
      <x:c r="I29" s="426" t="str">
        <x:v>10.1109/ISCON47742.2019.9036318</x:v>
      </x:c>
      <x:c r="J29" s="426" t="str">
        <x:v>NR</x:v>
      </x:c>
      <x:c r="K29" s="426" t="str">
        <x:v>https://ieeexplore.ieee.org/iel7/9018167/9036148/09036318.pdf</x:v>
      </x:c>
      <x:c r="L29" s="426" t="str">
        <x:v>This research is an effort to assist the ophthalmologists in the primary pred...</x:v>
      </x:c>
      <x:c r="M29" s="426" t="str">
        <x:v>No duplicate</x:v>
      </x:c>
      <x:c r="N29" s="426" t="str">
        <x:v>DG-079</x:v>
      </x:c>
      <x:c r="O29" s="426" t="str">
        <x:v>Not applicable</x:v>
      </x:c>
      <x:c r="P29" s="426" t="str">
        <x:v>Yes</x:v>
      </x:c>
      <x:c r="Q29" s="426" t="str">
        <x:v>Include</x:v>
      </x:c>
      <x:c r="R29" s="426" t="str">
        <x:v>Direct retinal case-based reasoning study (I2–I4).</x:v>
      </x:c>
      <x:c r="S29" s="426" t="str">
        <x:v>Verification documented at process level</x:v>
      </x:c>
      <x:c r="T29" s="426" t="str">
        <x:v>Two additional authors performed random spot checks; individual spot-check assignments are not recorded in this register.</x:v>
      </x:c>
      <x:c r="U29" s="426" t="str">
        <x:v>Include</x:v>
      </x:c>
      <x:c r="V29" s="426" t="str">
        <x:v>Primary decision by the corresponding author; two additional authors performed random spot checks as a quality-control step.</x:v>
      </x:c>
      <x:c r="W29" s="426" t="str">
        <x:v>Yes</x:v>
      </x:c>
      <x:c r="X29" s="426" t="str">
        <x:v>Yes</x:v>
      </x:c>
      <x:c r="Y29" s="426" t="str">
        <x:v>Include</x:v>
      </x:c>
      <x:c r="Z29" s="426" t="str">
        <x:v>The corresponding author assessed the complete report and judged it eligible for inclusion in the review.</x:v>
      </x:c>
      <x:c r="AA29" s="22" t="str">
        <x:v>Verification documented at process level</x:v>
      </x:c>
      <x:c r="AB29" s="22" t="str">
        <x:v>Two additional authors performed random spot checks; individual spot-check assignments are not recorded in this register.</x:v>
      </x:c>
      <x:c r="AC29" s="22" t="str">
        <x:v>Include</x:v>
      </x:c>
      <x:c r="AD29" s="22" t="str">
        <x:v>Primary decision by the corresponding author; two additional authors performed random spot checks as a quality-control step.</x:v>
      </x:c>
      <x:c r="AE29" s="22" t="str">
        <x:v>Include</x:v>
      </x:c>
      <x:c r="AF29" s="22" t="str">
        <x:v>Direct retinal/ophthalmic evidence</x:v>
      </x:c>
      <x:c r="AG29" s="22" t="str">
        <x:v>Preferred record for exact-title duplicate group DG-002.</x:v>
      </x:c>
      <x:c r="AH29" s="20" t="str">
        <x:v>No duplicate identified under the documented matching rules.</x:v>
      </x:c>
    </x:row>
    <x:row r="30" ht="42" customHeight="1">
      <x:c r="A30" s="426" t="str">
        <x:v>IEEE-002</x:v>
      </x:c>
      <x:c r="B30" s="426" t="str">
        <x:v>IEEE Xplore</x:v>
      </x:c>
      <x:c r="C30" s="426" t="str">
        <x:v>IEEE-01</x:v>
      </x:c>
      <x:c r="D30" s="426" t="str">
        <x:v>Protostage-NET: A Clinically Guided Foundation Model With Prototypical Learni...</x:v>
      </x:c>
      <x:c r="E30" s="426" t="str">
        <x:v>M. Elsharkawy; M. El-Melegy; A. Ali; A. Mahmoud; M. Ghazal; A. Khalil; W. Wan...</x:v>
      </x:c>
      <x:c r="F30" s="426" t="str">
        <x:v>2026</x:v>
      </x:c>
      <x:c r="G30" s="426" t="str">
        <x:v>2026 IEEE 23rd International Symposium on Biomedical Imaging (ISBI)</x:v>
      </x:c>
      <x:c r="H30" s="426" t="str">
        <x:v>IEEE Conferences</x:v>
      </x:c>
      <x:c r="I30" s="426" t="str">
        <x:v>10.1109/ISBI61048.2026.11515452</x:v>
      </x:c>
      <x:c r="J30" s="426" t="str">
        <x:v>NR</x:v>
      </x:c>
      <x:c r="K30" s="426" t="str">
        <x:v>https://ieeexplore.ieee.org/iel8/11515282/11515297/11515452.pdf</x:v>
      </x:c>
      <x:c r="L30" s="426" t="str">
        <x:v>Age-related macular degeneration (AMD) is a major cause of vision loss, where...</x:v>
      </x:c>
      <x:c r="M30" s="426" t="str">
        <x:v>No duplicate</x:v>
      </x:c>
      <x:c r="N30" s="426" t="str">
        <x:v>DG-122</x:v>
      </x:c>
      <x:c r="O30" s="426" t="str">
        <x:v>Not applicable</x:v>
      </x:c>
      <x:c r="P30" s="426" t="str">
        <x:v>Yes</x:v>
      </x:c>
      <x:c r="Q30" s="426" t="str">
        <x:v>Include</x:v>
      </x:c>
      <x:c r="R30" s="426" t="str">
        <x:v>Direct AMD OCT study using clinically guided prototypical learning (I2–I4).</x:v>
      </x:c>
      <x:c r="S30" s="426" t="str">
        <x:v>Verification documented at process level</x:v>
      </x:c>
      <x:c r="T30" s="426" t="str">
        <x:v>Two additional authors performed random spot checks; individual spot-check assignments are not recorded in this register.</x:v>
      </x:c>
      <x:c r="U30" s="426" t="str">
        <x:v>Include</x:v>
      </x:c>
      <x:c r="V30" s="426" t="str">
        <x:v>Primary decision by the corresponding author; two additional authors performed random spot checks as a quality-control step.</x:v>
      </x:c>
      <x:c r="W30" s="426" t="str">
        <x:v>Yes</x:v>
      </x:c>
      <x:c r="X30" s="426" t="str">
        <x:v>Yes</x:v>
      </x:c>
      <x:c r="Y30" s="426" t="str">
        <x:v>Include</x:v>
      </x:c>
      <x:c r="Z30" s="426" t="str">
        <x:v>The corresponding author assessed the complete report and judged it eligible for inclusion in the review.</x:v>
      </x:c>
      <x:c r="AA30" s="22" t="str">
        <x:v>Verification documented at process level</x:v>
      </x:c>
      <x:c r="AB30" s="22" t="str">
        <x:v>Two additional authors performed random spot checks; individual spot-check assignments are not recorded in this register.</x:v>
      </x:c>
      <x:c r="AC30" s="22" t="str">
        <x:v>Include</x:v>
      </x:c>
      <x:c r="AD30" s="22" t="str">
        <x:v>Primary decision by the corresponding author; two additional authors performed random spot checks as a quality-control step.</x:v>
      </x:c>
      <x:c r="AE30" s="22" t="str">
        <x:v>Include</x:v>
      </x:c>
      <x:c r="AF30" s="22" t="str">
        <x:v>Direct retinal/ophthalmic evidence</x:v>
      </x:c>
      <x:c r="AG30" s="22" t="str">
        <x:v>No additional note.</x:v>
      </x:c>
      <x:c r="AH30" s="20" t="str">
        <x:v>No duplicate identified under the documented matching rules.</x:v>
      </x:c>
    </x:row>
    <x:row r="31" ht="42" customHeight="1">
      <x:c r="A31" s="426" t="str">
        <x:v>IEEE-003</x:v>
      </x:c>
      <x:c r="B31" s="426" t="str">
        <x:v>IEEE Xplore</x:v>
      </x:c>
      <x:c r="C31" s="426" t="str">
        <x:v>IEEE-01</x:v>
      </x:c>
      <x:c r="D31" s="426" t="str">
        <x:v>Robust and Interpretable Convolutional Neural Networks to Detect Glaucoma in ...</x:v>
      </x:c>
      <x:c r="E31" s="426" t="str">
        <x:v>K. A. Thakoor; S. C. Koorathota; D. C. Hood; P. Sajda</x:v>
      </x:c>
      <x:c r="F31" s="426" t="str">
        <x:v>2021</x:v>
      </x:c>
      <x:c r="G31" s="426" t="str">
        <x:v>IEEE Transactions on Biomedical Engineering</x:v>
      </x:c>
      <x:c r="H31" s="426" t="str">
        <x:v>IEEE Journals</x:v>
      </x:c>
      <x:c r="I31" s="426" t="str">
        <x:v>10.1109/TBME.2020.3043215</x:v>
      </x:c>
      <x:c r="J31" s="426" t="str">
        <x:v>NR</x:v>
      </x:c>
      <x:c r="K31" s="426" t="str">
        <x:v>https://ieeexplore.ieee.org/stamp/stamp.jsp?arnumber=9286420</x:v>
      </x:c>
      <x:c r="L31" s="426" t="str">
        <x:v>Recent studies suggest that deep learning systems can now achieve performance...</x:v>
      </x:c>
      <x:c r="M31" s="426" t="str">
        <x:v>Confirmed duplicate</x:v>
      </x:c>
      <x:c r="N31" s="426" t="str">
        <x:v>DG-002</x:v>
      </x:c>
      <x:c r="O31" s="426" t="str">
        <x:v>PM-007</x:v>
      </x:c>
      <x:c r="P31" s="426" t="str">
        <x:v>No</x:v>
      </x:c>
      <x:c r="Q31" s="426" t="str">
        <x:v>Not screened</x:v>
      </x:c>
      <x:c r="R31" s="426" t="str">
        <x:v>Removed before title/abstract screening as a confirmed duplicate.</x:v>
      </x:c>
      <x:c r="S31" s="426" t="str">
        <x:v>Not applicable — removed before screening</x:v>
      </x:c>
      <x:c r="T31" s="426" t="str">
        <x:v>Record was outside the active screening set.</x:v>
      </x:c>
      <x:c r="U31" s="426" t="str">
        <x:v>Removed before screening</x:v>
      </x:c>
      <x:c r="V31" s="426" t="str">
        <x:v>Confirmed duplicate removed during deduplication.</x:v>
      </x:c>
      <x:c r="W31" s="426" t="str">
        <x:v>No</x:v>
      </x:c>
      <x:c r="X31" s="426" t="str">
        <x:v>Not applicable</x:v>
      </x:c>
      <x:c r="Y31" s="426" t="str">
        <x:v>Not assessed</x:v>
      </x:c>
      <x:c r="Z31" s="426" t="str">
        <x:v>Not applicable — record removed before screening.</x:v>
      </x:c>
      <x:c r="AA31" s="22" t="str">
        <x:v>Not applicable</x:v>
      </x:c>
      <x:c r="AB31" s="22" t="str">
        <x:v>Record was not advanced to full-text assessment.</x:v>
      </x:c>
      <x:c r="AC31" s="22" t="str">
        <x:v>Not assessed</x:v>
      </x:c>
      <x:c r="AD31" s="22" t="str">
        <x:v>Not applicable — no full-text assessment was required.</x:v>
      </x:c>
      <x:c r="AE31" s="22" t="str">
        <x:v>Removed before screening</x:v>
      </x:c>
      <x:c r="AF31" s="22" t="str">
        <x:v>Not applicable — not included</x:v>
      </x:c>
      <x:c r="AG31" s="22" t="str">
        <x:v>Potential exact-title duplicate; preferred record: PM-007; group DG-011.</x:v>
      </x:c>
      <x:c r="AH31" s="20" t="str">
        <x:v>Confirmed using DOI/title evidence; identifier/title evidence.</x:v>
      </x:c>
    </x:row>
    <x:row r="32" ht="42" customHeight="1">
      <x:c r="A32" s="426" t="str">
        <x:v>IEEE-004</x:v>
      </x:c>
      <x:c r="B32" s="426" t="str">
        <x:v>IEEE Xplore</x:v>
      </x:c>
      <x:c r="C32" s="426" t="str">
        <x:v>IEEE-01</x:v>
      </x:c>
      <x:c r="D32" s="426" t="str">
        <x:v>A Neuro-Symbolic Framework for Automated Glaucoma Detection using Optic Disc-...</x:v>
      </x:c>
      <x:c r="E32" s="426" t="str">
        <x:v>T. Sangeetha; S. U; S. R. Arulprakash; S. R</x:v>
      </x:c>
      <x:c r="F32" s="426" t="str">
        <x:v>2026</x:v>
      </x:c>
      <x:c r="G32" s="426" t="str">
        <x:v>2026 6th International Conference on Expert Clouds and Applications (ICOECA)</x:v>
      </x:c>
      <x:c r="H32" s="426" t="str">
        <x:v>IEEE Conferences</x:v>
      </x:c>
      <x:c r="I32" s="426" t="str">
        <x:v>10.1109/ICOECA68095.2026.11485500</x:v>
      </x:c>
      <x:c r="J32" s="426" t="str">
        <x:v>NR</x:v>
      </x:c>
      <x:c r="K32" s="426" t="str">
        <x:v>https://ieeexplore.ieee.org/abstract/document/11485500/</x:v>
      </x:c>
      <x:c r="L32" s="426" t="str">
        <x:v>Glaucoma is one of the leading causes of irreversible blindness and early, ac...</x:v>
      </x:c>
      <x:c r="M32" s="426" t="str">
        <x:v>No duplicate</x:v>
      </x:c>
      <x:c r="N32" s="426" t="str">
        <x:v>DG-116</x:v>
      </x:c>
      <x:c r="O32" s="426" t="str">
        <x:v>Not applicable</x:v>
      </x:c>
      <x:c r="P32" s="426" t="str">
        <x:v>Yes</x:v>
      </x:c>
      <x:c r="Q32" s="426" t="str">
        <x:v>Include</x:v>
      </x:c>
      <x:c r="R32" s="426" t="str">
        <x:v>Direct glaucoma neuro-symbolic framework using optic disc/cup information (I2–I4).</x:v>
      </x:c>
      <x:c r="S32" s="426" t="str">
        <x:v>Verification documented at process level</x:v>
      </x:c>
      <x:c r="T32" s="426" t="str">
        <x:v>Two additional authors performed random spot checks; individual spot-check assignments are not recorded in this register.</x:v>
      </x:c>
      <x:c r="U32" s="426" t="str">
        <x:v>Include</x:v>
      </x:c>
      <x:c r="V32" s="426" t="str">
        <x:v>Primary decision by the corresponding author; two additional authors performed random spot checks as a quality-control step.</x:v>
      </x:c>
      <x:c r="W32" s="426" t="str">
        <x:v>Yes</x:v>
      </x:c>
      <x:c r="X32" s="426" t="str">
        <x:v>Yes</x:v>
      </x:c>
      <x:c r="Y32" s="426" t="str">
        <x:v>Include</x:v>
      </x:c>
      <x:c r="Z32" s="426" t="str">
        <x:v>The corresponding author confirmed full-text assessment. Abstract/official-record rationale (I2–I4): The abstract describes automated glaucoma detection from optic-disc and optic-cup fundus information integrated with neuro-symbolic reasoning; it is a direct ophthalmic structured-explainability study.</x:v>
      </x:c>
      <x:c r="AA32" s="22" t="str">
        <x:v>Verification documented at process level</x:v>
      </x:c>
      <x:c r="AB32" s="22" t="str">
        <x:v>Two additional authors performed random spot checks; individual spot-check assignments are not recorded in this register.</x:v>
      </x:c>
      <x:c r="AC32" s="22" t="str">
        <x:v>Include</x:v>
      </x:c>
      <x:c r="AD32" s="22" t="str">
        <x:v>Primary decision by the corresponding author; two additional authors performed random spot checks as a quality-control step.</x:v>
      </x:c>
      <x:c r="AE32" s="22" t="str">
        <x:v>Include</x:v>
      </x:c>
      <x:c r="AF32" s="22" t="str">
        <x:v>Direct retinal/ophthalmic evidence</x:v>
      </x:c>
      <x:c r="AG32" s="22" t="str">
        <x:v>No additional note.</x:v>
      </x:c>
      <x:c r="AH32" s="20" t="str">
        <x:v>No duplicate identified under the documented matching rules.</x:v>
      </x:c>
    </x:row>
    <x:row r="33" ht="42" customHeight="1">
      <x:c r="A33" s="426" t="str">
        <x:v>IEEE-005</x:v>
      </x:c>
      <x:c r="B33" s="426" t="str">
        <x:v>IEEE Xplore</x:v>
      </x:c>
      <x:c r="C33" s="426" t="str">
        <x:v>IEEE-01</x:v>
      </x:c>
      <x:c r="D33" s="426" t="str">
        <x:v>Classification of Eye Diseases and Detection of Cataract using Digital Fundus...</x:v>
      </x:c>
      <x:c r="E33" s="426" t="str">
        <x:v>A. Raza; M. U. Khan; Z. Saeed; S. Samer; A. Mobeen; A. Samer</x:v>
      </x:c>
      <x:c r="F33" s="426" t="str">
        <x:v>2021</x:v>
      </x:c>
      <x:c r="G33" s="426" t="str">
        <x:v>2021 International Conference on Frontiers of Information Technology (FIT)</x:v>
      </x:c>
      <x:c r="H33" s="426" t="str">
        <x:v>IEEE Conferences</x:v>
      </x:c>
      <x:c r="I33" s="426" t="str">
        <x:v>10.1109/FIT53504.2021.00034</x:v>
      </x:c>
      <x:c r="J33" s="426" t="str">
        <x:v>NR</x:v>
      </x:c>
      <x:c r="K33" s="426" t="str">
        <x:v>https://ieeexplore.ieee.org/stamp/stamp.jsp?arnumber=9701378</x:v>
      </x:c>
      <x:c r="L33" s="426" t="str">
        <x:v>Ophthalmologists use retinal imaging to diagnose a variety of eye disorders, ...</x:v>
      </x:c>
      <x:c r="M33" s="426" t="str">
        <x:v>No duplicate</x:v>
      </x:c>
      <x:c r="N33" s="426" t="str">
        <x:v>Not applicable — no duplicate group</x:v>
      </x:c>
      <x:c r="O33" s="426" t="str">
        <x:v>Not applicable</x:v>
      </x:c>
      <x:c r="P33" s="426" t="str">
        <x:v>Yes</x:v>
      </x:c>
      <x:c r="Q33" s="426" t="str">
        <x:v>Exclude</x:v>
      </x:c>
      <x:c r="R33" s="426" t="str">
        <x:v>Ophthalmic classification without an eligible concept-based explanation (E2).</x:v>
      </x:c>
      <x:c r="S33" s="426" t="str">
        <x:v>Verification documented at process level</x:v>
      </x:c>
      <x:c r="T33" s="426" t="str">
        <x:v>Two additional authors performed random spot checks; individual spot-check assignments are not recorded in this register.</x:v>
      </x:c>
      <x:c r="U33" s="426" t="str">
        <x:v>Exclude</x:v>
      </x:c>
      <x:c r="V33" s="426" t="str">
        <x:v>Primary decision by the corresponding author; two additional authors performed random spot checks as a quality-control step.</x:v>
      </x:c>
      <x:c r="W33" s="426" t="str">
        <x:v>No</x:v>
      </x:c>
      <x:c r="X33" s="426" t="str">
        <x:v>Not applicable</x:v>
      </x:c>
      <x:c r="Y33" s="426" t="str">
        <x:v>Not assessed</x:v>
      </x:c>
      <x:c r="Z33" s="426" t="str">
        <x:v>Not advanced to full-text assessment after the title/abstract decision.</x:v>
      </x:c>
      <x:c r="AA33" s="22" t="str">
        <x:v>Not applicable</x:v>
      </x:c>
      <x:c r="AB33" s="22" t="str">
        <x:v>Record was not advanced to full-text assessment.</x:v>
      </x:c>
      <x:c r="AC33" s="22" t="str">
        <x:v>Not assessed</x:v>
      </x:c>
      <x:c r="AD33" s="22" t="str">
        <x:v>Not applicable — no full-text assessment was required.</x:v>
      </x:c>
      <x:c r="AE33" s="22" t="str">
        <x:v>Not included — title/abstract exclusion</x:v>
      </x:c>
      <x:c r="AF33" s="22" t="str">
        <x:v>Not applicable — not included</x:v>
      </x:c>
      <x:c r="AG33" s="22" t="str">
        <x:v>No additional note.</x:v>
      </x:c>
      <x:c r="AH33" s="20" t="str">
        <x:v>No duplicate identified under the documented matching rules.</x:v>
      </x:c>
    </x:row>
    <x:row r="34" ht="42" customHeight="1">
      <x:c r="A34" s="426" t="str">
        <x:v>IEEE-006</x:v>
      </x:c>
      <x:c r="B34" s="426" t="str">
        <x:v>IEEE Xplore</x:v>
      </x:c>
      <x:c r="C34" s="426" t="str">
        <x:v>IEEE-01</x:v>
      </x:c>
      <x:c r="D34" s="426" t="str">
        <x:v>Inception V3 Based Approach for the Recognition of Age-related macular degene...</x:v>
      </x:c>
      <x:c r="E34" s="426" t="str">
        <x:v>R. O. Ogundokun; A. T. Abdulahi; A. R. Adenike; A. N. Babatunde; R. S. Babatunde</x:v>
      </x:c>
      <x:c r="F34" s="426" t="str">
        <x:v>2023</x:v>
      </x:c>
      <x:c r="G34" s="426" t="str">
        <x:v>2023 International Conference on Science, Engineering and Business for Sustai...</x:v>
      </x:c>
      <x:c r="H34" s="426" t="str">
        <x:v>IEEE Conferences</x:v>
      </x:c>
      <x:c r="I34" s="426" t="str">
        <x:v>10.1109/SEB-SDG57117.2023.10124539</x:v>
      </x:c>
      <x:c r="J34" s="426" t="str">
        <x:v>NR</x:v>
      </x:c>
      <x:c r="K34" s="426" t="str">
        <x:v>https://ieeexplore.ieee.org/stamp/stamp.jsp?arnumber=10124539</x:v>
      </x:c>
      <x:c r="L34" s="426" t="str">
        <x:v>Millions of people around the world are infected with age-related macular deg...</x:v>
      </x:c>
      <x:c r="M34" s="426" t="str">
        <x:v>No duplicate</x:v>
      </x:c>
      <x:c r="N34" s="426" t="str">
        <x:v>Not applicable — no duplicate group</x:v>
      </x:c>
      <x:c r="O34" s="426" t="str">
        <x:v>Not applicable</x:v>
      </x:c>
      <x:c r="P34" s="426" t="str">
        <x:v>Yes</x:v>
      </x:c>
      <x:c r="Q34" s="426" t="str">
        <x:v>Exclude</x:v>
      </x:c>
      <x:c r="R34" s="426" t="str">
        <x:v>Conventional AMD classifier without concept-based or structured XAI (E2).</x:v>
      </x:c>
      <x:c r="S34" s="426" t="str">
        <x:v>Verification documented at process level</x:v>
      </x:c>
      <x:c r="T34" s="426" t="str">
        <x:v>Two additional authors performed random spot checks; individual spot-check assignments are not recorded in this register.</x:v>
      </x:c>
      <x:c r="U34" s="426" t="str">
        <x:v>Exclude</x:v>
      </x:c>
      <x:c r="V34" s="426" t="str">
        <x:v>Primary decision by the corresponding author; two additional authors performed random spot checks as a quality-control step.</x:v>
      </x:c>
      <x:c r="W34" s="426" t="str">
        <x:v>No</x:v>
      </x:c>
      <x:c r="X34" s="426" t="str">
        <x:v>Not applicable</x:v>
      </x:c>
      <x:c r="Y34" s="426" t="str">
        <x:v>Not assessed</x:v>
      </x:c>
      <x:c r="Z34" s="426" t="str">
        <x:v>Not advanced to full-text assessment after the title/abstract decision.</x:v>
      </x:c>
      <x:c r="AA34" s="22" t="str">
        <x:v>Not applicable</x:v>
      </x:c>
      <x:c r="AB34" s="22" t="str">
        <x:v>Record was not advanced to full-text assessment.</x:v>
      </x:c>
      <x:c r="AC34" s="22" t="str">
        <x:v>Not assessed</x:v>
      </x:c>
      <x:c r="AD34" s="22" t="str">
        <x:v>Not applicable — no full-text assessment was required.</x:v>
      </x:c>
      <x:c r="AE34" s="22" t="str">
        <x:v>Not included — title/abstract exclusion</x:v>
      </x:c>
      <x:c r="AF34" s="22" t="str">
        <x:v>Not applicable — not included</x:v>
      </x:c>
      <x:c r="AG34" s="22" t="str">
        <x:v>No additional note.</x:v>
      </x:c>
      <x:c r="AH34" s="20" t="str">
        <x:v>No duplicate identified under the documented matching rules.</x:v>
      </x:c>
    </x:row>
    <x:row r="35" ht="42" customHeight="1">
      <x:c r="A35" s="426" t="str">
        <x:v>IEEE-007</x:v>
      </x:c>
      <x:c r="B35" s="426" t="str">
        <x:v>IEEE Xplore</x:v>
      </x:c>
      <x:c r="C35" s="426" t="str">
        <x:v>IEEE-01</x:v>
      </x:c>
      <x:c r="D35" s="426" t="str">
        <x:v>Fairness-Aware Multimodal Glaucoma Detection via Neurosymbolic Learning with ...</x:v>
      </x:c>
      <x:c r="E35" s="426" t="str">
        <x:v>A. Ferraro; M. Iammarino; F. Pecorelli; S. Mondal; G. De Pietro</x:v>
      </x:c>
      <x:c r="F35" s="426" t="str">
        <x:v>2026</x:v>
      </x:c>
      <x:c r="G35" s="426" t="str">
        <x:v>2026 6th International Conference on Machine Learning and Intelligent Systems...</x:v>
      </x:c>
      <x:c r="H35" s="426" t="str">
        <x:v>IEEE Conferences</x:v>
      </x:c>
      <x:c r="I35" s="426" t="str">
        <x:v>10.1109/MLISE70044.2026.11607573</x:v>
      </x:c>
      <x:c r="J35" s="426" t="str">
        <x:v>NR</x:v>
      </x:c>
      <x:c r="K35" s="426" t="str">
        <x:v>https://doi.org/10.1109/MLISE70044.2026.11607573</x:v>
      </x:c>
      <x:c r="L35" s="426" t="str">
        <x:v>Ensuring both predictive performance and demographic fairness in the medical ...</x:v>
      </x:c>
      <x:c r="M35" s="426" t="str">
        <x:v>No duplicate</x:v>
      </x:c>
      <x:c r="N35" s="426" t="str">
        <x:v>DG-118</x:v>
      </x:c>
      <x:c r="O35" s="426" t="str">
        <x:v>Not applicable</x:v>
      </x:c>
      <x:c r="P35" s="426" t="str">
        <x:v>Yes</x:v>
      </x:c>
      <x:c r="Q35" s="426" t="str">
        <x:v>Include</x:v>
      </x:c>
      <x:c r="R35" s="426" t="str">
        <x:v>Direct glaucoma neurosymbolic learning with clinical constraints (I2–I4).</x:v>
      </x:c>
      <x:c r="S35" s="426" t="str">
        <x:v>Verification documented at process level</x:v>
      </x:c>
      <x:c r="T35" s="426" t="str">
        <x:v>Two additional authors performed random spot checks; individual spot-check assignments are not recorded in this register.</x:v>
      </x:c>
      <x:c r="U35" s="426" t="str">
        <x:v>Include</x:v>
      </x:c>
      <x:c r="V35" s="426" t="str">
        <x:v>Primary decision by the corresponding author; two additional authors performed random spot checks as a quality-control step.</x:v>
      </x:c>
      <x:c r="W35" s="426" t="str">
        <x:v>Yes</x:v>
      </x:c>
      <x:c r="X35" s="426" t="str">
        <x:v>Yes</x:v>
      </x:c>
      <x:c r="Y35" s="426" t="str">
        <x:v>Include</x:v>
      </x:c>
      <x:c r="Z35" s="426" t="str">
        <x:v>The corresponding author confirmed full-text assessment. Abstract/official-record rationale (I2–I4): The abstract presents multimodal glaucoma detection using neuro-symbolic learning with differentiable clinical constraints and fairness objectives, constituting direct structured ophthalmic XAI evidence.</x:v>
      </x:c>
      <x:c r="AA35" s="22" t="str">
        <x:v>Verification documented at process level</x:v>
      </x:c>
      <x:c r="AB35" s="22" t="str">
        <x:v>Two additional authors performed random spot checks; individual spot-check assignments are not recorded in this register.</x:v>
      </x:c>
      <x:c r="AC35" s="22" t="str">
        <x:v>Include</x:v>
      </x:c>
      <x:c r="AD35" s="22" t="str">
        <x:v>Primary decision by the corresponding author; two additional authors performed random spot checks as a quality-control step.</x:v>
      </x:c>
      <x:c r="AE35" s="22" t="str">
        <x:v>Include</x:v>
      </x:c>
      <x:c r="AF35" s="22" t="str">
        <x:v>Direct retinal/ophthalmic evidence</x:v>
      </x:c>
      <x:c r="AG35" s="22" t="str">
        <x:v>No additional note.</x:v>
      </x:c>
      <x:c r="AH35" s="20" t="str">
        <x:v>No duplicate identified under the documented matching rules.</x:v>
      </x:c>
    </x:row>
    <x:row r="36" ht="42" customHeight="1">
      <x:c r="A36" s="426" t="str">
        <x:v>IEEE-008</x:v>
      </x:c>
      <x:c r="B36" s="426" t="str">
        <x:v>IEEE Xplore</x:v>
      </x:c>
      <x:c r="C36" s="426" t="str">
        <x:v>IEEE-01</x:v>
      </x:c>
      <x:c r="D36" s="426" t="str">
        <x:v>Calibration Matters: Prototype-Aware Diffusion for OCT Cervical Classificatio...</x:v>
      </x:c>
      <x:c r="E36" s="426" t="str">
        <x:v>Y. Xiong; Z. Zhao; Y. Xu; Y. Zhang; B. Du</x:v>
      </x:c>
      <x:c r="F36" s="426" t="str">
        <x:v>2025</x:v>
      </x:c>
      <x:c r="G36" s="426" t="str">
        <x:v>IEEE Signal Processing Letters</x:v>
      </x:c>
      <x:c r="H36" s="426" t="str">
        <x:v>IEEE Journals</x:v>
      </x:c>
      <x:c r="I36" s="426" t="str">
        <x:v>10.1109/LSP.2024.3520010</x:v>
      </x:c>
      <x:c r="J36" s="426" t="str">
        <x:v>NR</x:v>
      </x:c>
      <x:c r="K36" s="426" t="str">
        <x:v>https://ieeexplore.ieee.org/stamp/stamp.jsp?arnumber=10806844</x:v>
      </x:c>
      <x:c r="L36" s="426" t="str">
        <x:v>Cervical optical coherence tomography (OCT) imaging serves as an effective di...</x:v>
      </x:c>
      <x:c r="M36" s="426" t="str">
        <x:v>No duplicate</x:v>
      </x:c>
      <x:c r="N36" s="426" t="str">
        <x:v>DG-115</x:v>
      </x:c>
      <x:c r="O36" s="426" t="str">
        <x:v>Not applicable</x:v>
      </x:c>
      <x:c r="P36" s="426" t="str">
        <x:v>Yes</x:v>
      </x:c>
      <x:c r="Q36" s="426" t="str">
        <x:v>Exclude</x:v>
      </x:c>
      <x:c r="R36" s="426" t="str">
        <x:v>Cervical rather than retinal or ophthalmic OCT (E1).</x:v>
      </x:c>
      <x:c r="S36" s="426" t="str">
        <x:v>Verification documented at process level</x:v>
      </x:c>
      <x:c r="T36" s="426" t="str">
        <x:v>Two additional authors performed random spot checks; individual spot-check assignments are not recorded in this register.</x:v>
      </x:c>
      <x:c r="U36" s="426" t="str">
        <x:v>Exclude</x:v>
      </x:c>
      <x:c r="V36" s="426" t="str">
        <x:v>Primary decision by the corresponding author; two additional authors performed random spot checks as a quality-control step.</x:v>
      </x:c>
      <x:c r="W36" s="426" t="str">
        <x:v>No</x:v>
      </x:c>
      <x:c r="X36" s="426" t="str">
        <x:v>Not applicable</x:v>
      </x:c>
      <x:c r="Y36" s="426" t="str">
        <x:v>Not assessed</x:v>
      </x:c>
      <x:c r="Z36" s="426" t="str">
        <x:v>Not advanced to full-text assessment after the title/abstract decision.</x:v>
      </x:c>
      <x:c r="AA36" s="22" t="str">
        <x:v>Not applicable</x:v>
      </x:c>
      <x:c r="AB36" s="22" t="str">
        <x:v>Record was not advanced to full-text assessment.</x:v>
      </x:c>
      <x:c r="AC36" s="22" t="str">
        <x:v>Not assessed</x:v>
      </x:c>
      <x:c r="AD36" s="22" t="str">
        <x:v>Not applicable — no full-text assessment was required.</x:v>
      </x:c>
      <x:c r="AE36" s="22" t="str">
        <x:v>Not included — title/abstract exclusion</x:v>
      </x:c>
      <x:c r="AF36" s="22" t="str">
        <x:v>Not applicable — not included</x:v>
      </x:c>
      <x:c r="AG36" s="22" t="str">
        <x:v>No additional note.</x:v>
      </x:c>
      <x:c r="AH36" s="20" t="str">
        <x:v>No duplicate identified under the documented matching rules.</x:v>
      </x:c>
    </x:row>
    <x:row r="37" ht="42" customHeight="1">
      <x:c r="A37" s="426" t="str">
        <x:v>IEEE-009</x:v>
      </x:c>
      <x:c r="B37" s="426" t="str">
        <x:v>IEEE Xplore</x:v>
      </x:c>
      <x:c r="C37" s="426" t="str">
        <x:v>IEEE-01</x:v>
      </x:c>
      <x:c r="D37" s="426" t="str">
        <x:v>Managing uncertainty during CBR systems vocabulary maintenance using Relation...</x:v>
      </x:c>
      <x:c r="E37" s="426" t="str">
        <x:v>S. Ben Ayed; Z. Elouedi; E. Lefevre</x:v>
      </x:c>
      <x:c r="F37" s="426" t="str">
        <x:v>2020</x:v>
      </x:c>
      <x:c r="G37" s="426" t="str">
        <x:v>2020 International Multi-Conference on: “Organization of Knowledge and Advanc...</x:v>
      </x:c>
      <x:c r="H37" s="426" t="str">
        <x:v>IEEE Conferences</x:v>
      </x:c>
      <x:c r="I37" s="426" t="str">
        <x:v>10.1109/OCTA49274.2020.9151771</x:v>
      </x:c>
      <x:c r="J37" s="426" t="str">
        <x:v>NR</x:v>
      </x:c>
      <x:c r="K37" s="426" t="str">
        <x:v>https://ieeexplore.ieee.org/stamp/stamp.jsp?arnumber=9151771</x:v>
      </x:c>
      <x:c r="L37" s="426" t="str">
        <x:v>Due to the incremental learning of Case-Based Reasoning (CBR) systems, there ...</x:v>
      </x:c>
      <x:c r="M37" s="426" t="str">
        <x:v>No duplicate</x:v>
      </x:c>
      <x:c r="N37" s="426" t="str">
        <x:v>Not applicable — no duplicate group</x:v>
      </x:c>
      <x:c r="O37" s="426" t="str">
        <x:v>Not applicable</x:v>
      </x:c>
      <x:c r="P37" s="426" t="str">
        <x:v>Yes</x:v>
      </x:c>
      <x:c r="Q37" s="426" t="str">
        <x:v>Exclude</x:v>
      </x:c>
      <x:c r="R37" s="426" t="str">
        <x:v>Generic CBR vocabulary-maintenance study outside the clinical domain (E1).</x:v>
      </x:c>
      <x:c r="S37" s="426" t="str">
        <x:v>Verification documented at process level</x:v>
      </x:c>
      <x:c r="T37" s="426" t="str">
        <x:v>Two additional authors performed random spot checks; individual spot-check assignments are not recorded in this register.</x:v>
      </x:c>
      <x:c r="U37" s="426" t="str">
        <x:v>Exclude</x:v>
      </x:c>
      <x:c r="V37" s="426" t="str">
        <x:v>Primary decision by the corresponding author; two additional authors performed random spot checks as a quality-control step.</x:v>
      </x:c>
      <x:c r="W37" s="426" t="str">
        <x:v>No</x:v>
      </x:c>
      <x:c r="X37" s="426" t="str">
        <x:v>Not applicable</x:v>
      </x:c>
      <x:c r="Y37" s="426" t="str">
        <x:v>Not assessed</x:v>
      </x:c>
      <x:c r="Z37" s="426" t="str">
        <x:v>Not advanced to full-text assessment after the title/abstract decision.</x:v>
      </x:c>
      <x:c r="AA37" s="22" t="str">
        <x:v>Not applicable</x:v>
      </x:c>
      <x:c r="AB37" s="22" t="str">
        <x:v>Record was not advanced to full-text assessment.</x:v>
      </x:c>
      <x:c r="AC37" s="22" t="str">
        <x:v>Not assessed</x:v>
      </x:c>
      <x:c r="AD37" s="22" t="str">
        <x:v>Not applicable — no full-text assessment was required.</x:v>
      </x:c>
      <x:c r="AE37" s="22" t="str">
        <x:v>Not included — title/abstract exclusion</x:v>
      </x:c>
      <x:c r="AF37" s="22" t="str">
        <x:v>Not applicable — not included</x:v>
      </x:c>
      <x:c r="AG37" s="22" t="str">
        <x:v>No additional note.</x:v>
      </x:c>
      <x:c r="AH37" s="20" t="str">
        <x:v>No duplicate identified under the documented matching rules.</x:v>
      </x:c>
    </x:row>
    <x:row r="38" ht="42" customHeight="1">
      <x:c r="A38" s="426" t="str">
        <x:v>IEEE-010</x:v>
      </x:c>
      <x:c r="B38" s="426" t="str">
        <x:v>IEEE Xplore</x:v>
      </x:c>
      <x:c r="C38" s="426" t="str">
        <x:v>IEEE-01</x:v>
      </x:c>
      <x:c r="D38" s="426" t="str">
        <x:v>MedXAI-MM: A Unified Multi-Modality Explainable Artificial Intelligence Frame...</x:v>
      </x:c>
      <x:c r="E38" s="426" t="str">
        <x:v>O. Ghribi; M. Kharrat; M. Chaabane</x:v>
      </x:c>
      <x:c r="F38" s="426" t="str">
        <x:v>2025</x:v>
      </x:c>
      <x:c r="G38" s="426" t="str">
        <x:v>2025 IEEE 22nd International Conference on Sciences and Techniques of Automat...</x:v>
      </x:c>
      <x:c r="H38" s="426" t="str">
        <x:v>IEEE Conferences</x:v>
      </x:c>
      <x:c r="I38" s="426" t="str">
        <x:v>10.1109/STA66620.2025.11364859</x:v>
      </x:c>
      <x:c r="J38" s="426" t="str">
        <x:v>NR</x:v>
      </x:c>
      <x:c r="K38" s="426" t="str">
        <x:v>https://ieeexplore.ieee.org/stamp/stamp.jsp?arnumber=11364859</x:v>
      </x:c>
      <x:c r="L38" s="426" t="str">
        <x:v>Explainable Artificial Intelligence (XAI) is now crucial for ensuring the saf...</x:v>
      </x:c>
      <x:c r="M38" s="426" t="str">
        <x:v>No duplicate</x:v>
      </x:c>
      <x:c r="N38" s="426" t="str">
        <x:v>Not applicable — no duplicate group</x:v>
      </x:c>
      <x:c r="O38" s="426" t="str">
        <x:v>Not applicable</x:v>
      </x:c>
      <x:c r="P38" s="426" t="str">
        <x:v>Yes</x:v>
      </x:c>
      <x:c r="Q38" s="426" t="str">
        <x:v>Exclude</x:v>
      </x:c>
      <x:c r="R38" s="426" t="str">
        <x:v>Human decision: eligible concept-based or structured explanation is not established (E2).</x:v>
      </x:c>
      <x:c r="S38" s="426" t="str">
        <x:v>Verification documented at process level</x:v>
      </x:c>
      <x:c r="T38" s="426" t="str">
        <x:v>Two additional authors performed random spot checks; individual spot-check assignments are not recorded in this register.</x:v>
      </x:c>
      <x:c r="U38" s="426" t="str">
        <x:v>Exclude</x:v>
      </x:c>
      <x:c r="V38" s="426" t="str">
        <x:v>Primary decision by the corresponding author; two additional authors performed random spot checks as a quality-control step.</x:v>
      </x:c>
      <x:c r="W38" s="426" t="str">
        <x:v>No</x:v>
      </x:c>
      <x:c r="X38" s="426" t="str">
        <x:v>Not applicable</x:v>
      </x:c>
      <x:c r="Y38" s="426" t="str">
        <x:v>Not assessed</x:v>
      </x:c>
      <x:c r="Z38" s="426" t="str">
        <x:v>Not advanced to full-text assessment after the title/abstract decision.</x:v>
      </x:c>
      <x:c r="AA38" s="22" t="str">
        <x:v>Not applicable</x:v>
      </x:c>
      <x:c r="AB38" s="22" t="str">
        <x:v>Record was not advanced to full-text assessment.</x:v>
      </x:c>
      <x:c r="AC38" s="22" t="str">
        <x:v>Not assessed</x:v>
      </x:c>
      <x:c r="AD38" s="22" t="str">
        <x:v>Not applicable — no full-text assessment was required.</x:v>
      </x:c>
      <x:c r="AE38" s="22" t="str">
        <x:v>Not included — title/abstract exclusion</x:v>
      </x:c>
      <x:c r="AF38" s="22" t="str">
        <x:v>Not applicable — not included</x:v>
      </x:c>
      <x:c r="AG38" s="22" t="str">
        <x:v>No additional note.</x:v>
      </x:c>
      <x:c r="AH38" s="20" t="str">
        <x:v>No duplicate identified under the documented matching rules.</x:v>
      </x:c>
    </x:row>
    <x:row r="39" ht="42" customHeight="1">
      <x:c r="A39" s="426" t="str">
        <x:v>IEEE-011</x:v>
      </x:c>
      <x:c r="B39" s="426" t="str">
        <x:v>IEEE Xplore</x:v>
      </x:c>
      <x:c r="C39" s="426" t="str">
        <x:v>IEEE-01</x:v>
      </x:c>
      <x:c r="D39" s="426" t="str">
        <x:v>Expert System for Diagnosis of Cataracts in Children With Bayes Theorem</x:v>
      </x:c>
      <x:c r="E39" s="426" t="str">
        <x:v>R. Sovia; S. Defit</x:v>
      </x:c>
      <x:c r="F39" s="426" t="str">
        <x:v>2021</x:v>
      </x:c>
      <x:c r="G39" s="426" t="str">
        <x:v>2021 International Conference on Computer Science and Engineering (IC2SE)</x:v>
      </x:c>
      <x:c r="H39" s="426" t="str">
        <x:v>IEEE Conferences</x:v>
      </x:c>
      <x:c r="I39" s="426" t="str">
        <x:v>10.1109/IC2SE52832.2021.9791931</x:v>
      </x:c>
      <x:c r="J39" s="426" t="str">
        <x:v>NR</x:v>
      </x:c>
      <x:c r="K39" s="426" t="str">
        <x:v>https://ieeexplore.ieee.org/stamp/stamp.jsp?arnumber=9791931</x:v>
      </x:c>
      <x:c r="L39" s="426" t="str">
        <x:v>The branch of Artificial Intelligence science is an expert system that is a c...</x:v>
      </x:c>
      <x:c r="M39" s="426" t="str">
        <x:v>No duplicate</x:v>
      </x:c>
      <x:c r="N39" s="426" t="str">
        <x:v>Not applicable — no duplicate group</x:v>
      </x:c>
      <x:c r="O39" s="426" t="str">
        <x:v>Not applicable</x:v>
      </x:c>
      <x:c r="P39" s="426" t="str">
        <x:v>Yes</x:v>
      </x:c>
      <x:c r="Q39" s="426" t="str">
        <x:v>Exclude</x:v>
      </x:c>
      <x:c r="R39" s="426" t="str">
        <x:v>Bayesian cataract expert system without an eligible concept-XAI contribution (E2).</x:v>
      </x:c>
      <x:c r="S39" s="426" t="str">
        <x:v>Verification documented at process level</x:v>
      </x:c>
      <x:c r="T39" s="426" t="str">
        <x:v>Two additional authors performed random spot checks; individual spot-check assignments are not recorded in this register.</x:v>
      </x:c>
      <x:c r="U39" s="426" t="str">
        <x:v>Exclude</x:v>
      </x:c>
      <x:c r="V39" s="426" t="str">
        <x:v>Primary decision by the corresponding author; two additional authors performed random spot checks as a quality-control step.</x:v>
      </x:c>
      <x:c r="W39" s="426" t="str">
        <x:v>No</x:v>
      </x:c>
      <x:c r="X39" s="426" t="str">
        <x:v>Not applicable</x:v>
      </x:c>
      <x:c r="Y39" s="426" t="str">
        <x:v>Not assessed</x:v>
      </x:c>
      <x:c r="Z39" s="426" t="str">
        <x:v>Not advanced to full-text assessment after the title/abstract decision.</x:v>
      </x:c>
      <x:c r="AA39" s="22" t="str">
        <x:v>Not applicable</x:v>
      </x:c>
      <x:c r="AB39" s="22" t="str">
        <x:v>Record was not advanced to full-text assessment.</x:v>
      </x:c>
      <x:c r="AC39" s="22" t="str">
        <x:v>Not assessed</x:v>
      </x:c>
      <x:c r="AD39" s="22" t="str">
        <x:v>Not applicable — no full-text assessment was required.</x:v>
      </x:c>
      <x:c r="AE39" s="22" t="str">
        <x:v>Not included — title/abstract exclusion</x:v>
      </x:c>
      <x:c r="AF39" s="22" t="str">
        <x:v>Not applicable — not included</x:v>
      </x:c>
      <x:c r="AG39" s="22" t="str">
        <x:v>No additional note.</x:v>
      </x:c>
      <x:c r="AH39" s="20" t="str">
        <x:v>No duplicate identified under the documented matching rules.</x:v>
      </x:c>
    </x:row>
    <x:row r="40" ht="42" customHeight="1">
      <x:c r="A40" s="426" t="str">
        <x:v>IEEE-012</x:v>
      </x:c>
      <x:c r="B40" s="426" t="str">
        <x:v>IEEE Xplore</x:v>
      </x:c>
      <x:c r="C40" s="426" t="str">
        <x:v>IEEE-01</x:v>
      </x:c>
      <x:c r="D40" s="426" t="str">
        <x:v>Cross- and Intra-Image Prototypical Learning for Multi-Label Disease Diagnosi...</x:v>
      </x:c>
      <x:c r="E40" s="426" t="str">
        <x:v>C. Wang; F. Liu; Y. Chen; H. Frazer; G. Carneiro</x:v>
      </x:c>
      <x:c r="F40" s="426" t="str">
        <x:v>2025</x:v>
      </x:c>
      <x:c r="G40" s="426" t="str">
        <x:v>IEEE Transactions on Medical Imaging</x:v>
      </x:c>
      <x:c r="H40" s="426" t="str">
        <x:v>IEEE Journals</x:v>
      </x:c>
      <x:c r="I40" s="426" t="str">
        <x:v>10.1109/TMI.2025.3541830</x:v>
      </x:c>
      <x:c r="J40" s="426" t="str">
        <x:v>NR</x:v>
      </x:c>
      <x:c r="K40" s="426" t="str">
        <x:v>https://ieeexplore.ieee.org/stamp/stamp.jsp?arnumber=10887396</x:v>
      </x:c>
      <x:c r="L40" s="426" t="str">
        <x:v>Recent advances in prototypical learning have shown remarkable potential to p...</x:v>
      </x:c>
      <x:c r="M40" s="426" t="str">
        <x:v>Confirmed duplicate</x:v>
      </x:c>
      <x:c r="N40" s="426" t="str">
        <x:v>DG-004</x:v>
      </x:c>
      <x:c r="O40" s="426" t="str">
        <x:v>PM-012</x:v>
      </x:c>
      <x:c r="P40" s="426" t="str">
        <x:v>No</x:v>
      </x:c>
      <x:c r="Q40" s="426" t="str">
        <x:v>Not screened</x:v>
      </x:c>
      <x:c r="R40" s="426" t="str">
        <x:v>Removed before title/abstract screening as a confirmed duplicate.</x:v>
      </x:c>
      <x:c r="S40" s="426" t="str">
        <x:v>Not applicable — removed before screening</x:v>
      </x:c>
      <x:c r="T40" s="426" t="str">
        <x:v>Record was outside the active screening set.</x:v>
      </x:c>
      <x:c r="U40" s="426" t="str">
        <x:v>Removed before screening</x:v>
      </x:c>
      <x:c r="V40" s="426" t="str">
        <x:v>Confirmed duplicate removed during deduplication.</x:v>
      </x:c>
      <x:c r="W40" s="426" t="str">
        <x:v>No</x:v>
      </x:c>
      <x:c r="X40" s="426" t="str">
        <x:v>Not applicable</x:v>
      </x:c>
      <x:c r="Y40" s="426" t="str">
        <x:v>Not assessed</x:v>
      </x:c>
      <x:c r="Z40" s="426" t="str">
        <x:v>Not applicable — record removed before screening.</x:v>
      </x:c>
      <x:c r="AA40" s="22" t="str">
        <x:v>Not applicable</x:v>
      </x:c>
      <x:c r="AB40" s="22" t="str">
        <x:v>Record was not advanced to full-text assessment.</x:v>
      </x:c>
      <x:c r="AC40" s="22" t="str">
        <x:v>Not assessed</x:v>
      </x:c>
      <x:c r="AD40" s="22" t="str">
        <x:v>Not applicable — no full-text assessment was required.</x:v>
      </x:c>
      <x:c r="AE40" s="22" t="str">
        <x:v>Removed before screening</x:v>
      </x:c>
      <x:c r="AF40" s="22" t="str">
        <x:v>Not applicable — not included</x:v>
      </x:c>
      <x:c r="AG40" s="22" t="str">
        <x:v>Preferred record for exact-title duplicate group DG-005.</x:v>
      </x:c>
      <x:c r="AH40" s="20" t="str">
        <x:v>Confirmed using DOI/title evidence; identifier/title evidence; normalized title across captured searches.</x:v>
      </x:c>
    </x:row>
    <x:row r="41" ht="42" customHeight="1">
      <x:c r="A41" s="426" t="str">
        <x:v>IEEE-013</x:v>
      </x:c>
      <x:c r="B41" s="426" t="str">
        <x:v>IEEE Xplore</x:v>
      </x:c>
      <x:c r="C41" s="426" t="str">
        <x:v>IEEE-01</x:v>
      </x:c>
      <x:c r="D41" s="426" t="str">
        <x:v>ProtoD2C2: Prototype-Based Dual-Supervision, Dual-Consistency, and Dual-Contr...</x:v>
      </x:c>
      <x:c r="E41" s="426" t="str">
        <x:v>J. Liu; M. Zhang; Q. Tang; Y. Li; X. Wei; H. Zhang</x:v>
      </x:c>
      <x:c r="F41" s="426" t="str">
        <x:v>2025</x:v>
      </x:c>
      <x:c r="G41" s="426" t="str">
        <x:v>2025 IEEE International Conference on Bioinformatics and Biomedicine (BIBM)</x:v>
      </x:c>
      <x:c r="H41" s="426" t="str">
        <x:v>IEEE Conferences</x:v>
      </x:c>
      <x:c r="I41" s="426" t="str">
        <x:v>10.1109/BIBM66473.2025.11356061</x:v>
      </x:c>
      <x:c r="J41" s="426" t="str">
        <x:v>NR</x:v>
      </x:c>
      <x:c r="K41" s="426" t="str">
        <x:v>https://doi.org/10.1109/BIBM66473.2025.11356061</x:v>
      </x:c>
      <x:c r="L41" s="426" t="str">
        <x:v>Mixed supervision strikes a balance between performance and annotation effici...</x:v>
      </x:c>
      <x:c r="M41" s="426" t="str">
        <x:v>No duplicate</x:v>
      </x:c>
      <x:c r="N41" s="426" t="str">
        <x:v>DG-123</x:v>
      </x:c>
      <x:c r="O41" s="426" t="str">
        <x:v>Not applicable</x:v>
      </x:c>
      <x:c r="P41" s="426" t="str">
        <x:v>Yes</x:v>
      </x:c>
      <x:c r="Q41" s="426" t="str">
        <x:v>Include</x:v>
      </x:c>
      <x:c r="R41" s="426" t="str">
        <x:v>Retinal OCT fluid segmentation with prototype-based learning; retain for full-text assessment (I2–I4).</x:v>
      </x:c>
      <x:c r="S41" s="426" t="str">
        <x:v>Verification documented at process level</x:v>
      </x:c>
      <x:c r="T41" s="426" t="str">
        <x:v>Two additional authors performed random spot checks; individual spot-check assignments are not recorded in this register.</x:v>
      </x:c>
      <x:c r="U41" s="426" t="str">
        <x:v>Include</x:v>
      </x:c>
      <x:c r="V41" s="426" t="str">
        <x:v>Primary decision by the corresponding author; two additional authors performed random spot checks as a quality-control step.</x:v>
      </x:c>
      <x:c r="W41" s="426" t="str">
        <x:v>Yes</x:v>
      </x:c>
      <x:c r="X41" s="426" t="str">
        <x:v>Yes</x:v>
      </x:c>
      <x:c r="Y41" s="426" t="str">
        <x:v>Include</x:v>
      </x:c>
      <x:c r="Z41" s="426" t="str">
        <x:v>The corresponding author confirmed full-text assessment. Abstract/official-record rationale (I2–I4): The abstract presents prototype-based dual-supervision, consistency and contrastive learning for OCT fluid segmentation; the explicit prototype representation makes it relevant retinal concept-oriented evidence.</x:v>
      </x:c>
      <x:c r="AA41" s="22" t="str">
        <x:v>Verification documented at process level</x:v>
      </x:c>
      <x:c r="AB41" s="22" t="str">
        <x:v>Two additional authors performed random spot checks; individual spot-check assignments are not recorded in this register.</x:v>
      </x:c>
      <x:c r="AC41" s="22" t="str">
        <x:v>Include</x:v>
      </x:c>
      <x:c r="AD41" s="22" t="str">
        <x:v>Primary decision by the corresponding author; two additional authors performed random spot checks as a quality-control step.</x:v>
      </x:c>
      <x:c r="AE41" s="22" t="str">
        <x:v>Include</x:v>
      </x:c>
      <x:c r="AF41" s="22" t="str">
        <x:v>Direct retinal/ophthalmic evidence</x:v>
      </x:c>
      <x:c r="AG41" s="22" t="str">
        <x:v>No additional note.</x:v>
      </x:c>
      <x:c r="AH41" s="20" t="str">
        <x:v>No duplicate identified under the documented matching rules.</x:v>
      </x:c>
    </x:row>
    <x:row r="42" ht="42" customHeight="1">
      <x:c r="A42" s="426" t="str">
        <x:v>IEEE-014</x:v>
      </x:c>
      <x:c r="B42" s="426" t="str">
        <x:v>IEEE Xplore</x:v>
      </x:c>
      <x:c r="C42" s="426" t="str">
        <x:v>IEEE-01</x:v>
      </x:c>
      <x:c r="D42" s="426" t="str">
        <x:v>Cross-Modality Image Interpretation via Concept Decomposition Vector of Visua...</x:v>
      </x:c>
      <x:c r="E42" s="426" t="str">
        <x:v>Z. Fang; Z. Yuan; Z. Li; J. Chen; K. Kuang; Y. -F. Yao; F. Wu</x:v>
      </x:c>
      <x:c r="F42" s="426" t="str">
        <x:v>2025</x:v>
      </x:c>
      <x:c r="G42" s="426" t="str">
        <x:v>IEEE Transactions on Circuits and Systems for Video Technology</x:v>
      </x:c>
      <x:c r="H42" s="426" t="str">
        <x:v>IEEE Journals</x:v>
      </x:c>
      <x:c r="I42" s="426" t="str">
        <x:v>10.1109/TCSVT.2024.3403167</x:v>
      </x:c>
      <x:c r="J42" s="426" t="str">
        <x:v>NR</x:v>
      </x:c>
      <x:c r="K42" s="426" t="str">
        <x:v>https://ieeexplore.ieee.org/stamp/stamp.jsp?arnumber=10535313</x:v>
      </x:c>
      <x:c r="L42" s="426" t="str">
        <x:v>Interpretable image classification is crucial for making decisions in high-st...</x:v>
      </x:c>
      <x:c r="M42" s="426" t="str">
        <x:v>No duplicate</x:v>
      </x:c>
      <x:c r="N42" s="426" t="str">
        <x:v>DG-077</x:v>
      </x:c>
      <x:c r="O42" s="426" t="str">
        <x:v>Not applicable</x:v>
      </x:c>
      <x:c r="P42" s="426" t="str">
        <x:v>Yes</x:v>
      </x:c>
      <x:c r="Q42" s="426" t="str">
        <x:v>Exclude</x:v>
      </x:c>
      <x:c r="R42" s="426" t="str">
        <x:v>General computer-vision concept decomposition without medical or ophthalmic evaluation (E1).</x:v>
      </x:c>
      <x:c r="S42" s="426" t="str">
        <x:v>Verification documented at process level</x:v>
      </x:c>
      <x:c r="T42" s="426" t="str">
        <x:v>Two additional authors performed random spot checks; individual spot-check assignments are not recorded in this register.</x:v>
      </x:c>
      <x:c r="U42" s="426" t="str">
        <x:v>Exclude</x:v>
      </x:c>
      <x:c r="V42" s="426" t="str">
        <x:v>Primary decision by the corresponding author; two additional authors performed random spot checks as a quality-control step.</x:v>
      </x:c>
      <x:c r="W42" s="426" t="str">
        <x:v>No</x:v>
      </x:c>
      <x:c r="X42" s="426" t="str">
        <x:v>Not applicable</x:v>
      </x:c>
      <x:c r="Y42" s="426" t="str">
        <x:v>Not assessed</x:v>
      </x:c>
      <x:c r="Z42" s="426" t="str">
        <x:v>Not advanced to full-text assessment after the title/abstract decision.</x:v>
      </x:c>
      <x:c r="AA42" s="22" t="str">
        <x:v>Not applicable</x:v>
      </x:c>
      <x:c r="AB42" s="22" t="str">
        <x:v>Record was not advanced to full-text assessment.</x:v>
      </x:c>
      <x:c r="AC42" s="22" t="str">
        <x:v>Not assessed</x:v>
      </x:c>
      <x:c r="AD42" s="22" t="str">
        <x:v>Not applicable — no full-text assessment was required.</x:v>
      </x:c>
      <x:c r="AE42" s="22" t="str">
        <x:v>Not included — title/abstract exclusion</x:v>
      </x:c>
      <x:c r="AF42" s="22" t="str">
        <x:v>Not applicable — not included</x:v>
      </x:c>
      <x:c r="AG42" s="22" t="str">
        <x:v>No additional note.</x:v>
      </x:c>
      <x:c r="AH42" s="20" t="str">
        <x:v>No duplicate identified under the documented matching rules.</x:v>
      </x:c>
    </x:row>
    <x:row r="43" ht="42" customHeight="1">
      <x:c r="A43" s="426" t="str">
        <x:v>IEEE-015</x:v>
      </x:c>
      <x:c r="B43" s="426" t="str">
        <x:v>IEEE Xplore</x:v>
      </x:c>
      <x:c r="C43" s="426" t="str">
        <x:v>IEEE-01</x:v>
      </x:c>
      <x:c r="D43" s="426" t="str">
        <x:v>Noisy Pixels, Credible Decisions – A Robust, Edge-Ready Neuro-Symbolic Archit...</x:v>
      </x:c>
      <x:c r="E43" s="426" t="str">
        <x:v>C. K. Kubakisa; K. Kyamakya; W. V. Kambale; I. Lukusa Kayembe; D. K. Kabeya; ...</x:v>
      </x:c>
      <x:c r="F43" s="426" t="str">
        <x:v>2025</x:v>
      </x:c>
      <x:c r="G43" s="426" t="str">
        <x:v>2025 IEEE AFRICON</x:v>
      </x:c>
      <x:c r="H43" s="426" t="str">
        <x:v>IEEE Conferences</x:v>
      </x:c>
      <x:c r="I43" s="426" t="str">
        <x:v>10.1109/AFRICON66545.2025.11533754</x:v>
      </x:c>
      <x:c r="J43" s="426" t="str">
        <x:v>NR</x:v>
      </x:c>
      <x:c r="K43" s="426" t="str">
        <x:v>https://ieeexplore.ieee.org/stamp/stamp.jsp?arnumber=11533754</x:v>
      </x:c>
      <x:c r="L43" s="426" t="str">
        <x:v>Deploying robust and interpretable medical-image analysis in real-world setti...</x:v>
      </x:c>
      <x:c r="M43" s="426" t="str">
        <x:v>No duplicate</x:v>
      </x:c>
      <x:c r="N43" s="426" t="str">
        <x:v>Not applicable — no duplicate group</x:v>
      </x:c>
      <x:c r="O43" s="426" t="str">
        <x:v>Not applicable</x:v>
      </x:c>
      <x:c r="P43" s="426" t="str">
        <x:v>Yes</x:v>
      </x:c>
      <x:c r="Q43" s="426" t="str">
        <x:v>Exclude</x:v>
      </x:c>
      <x:c r="R43" s="426" t="str">
        <x:v>Conceptual architecture/evaluation roadmap without completed empirical validation (E4).</x:v>
      </x:c>
      <x:c r="S43" s="426" t="str">
        <x:v>Verification documented at process level</x:v>
      </x:c>
      <x:c r="T43" s="426" t="str">
        <x:v>Two additional authors performed random spot checks; individual spot-check assignments are not recorded in this register.</x:v>
      </x:c>
      <x:c r="U43" s="426" t="str">
        <x:v>Exclude</x:v>
      </x:c>
      <x:c r="V43" s="426" t="str">
        <x:v>Primary decision by the corresponding author; two additional authors performed random spot checks as a quality-control step.</x:v>
      </x:c>
      <x:c r="W43" s="426" t="str">
        <x:v>No</x:v>
      </x:c>
      <x:c r="X43" s="426" t="str">
        <x:v>Not applicable</x:v>
      </x:c>
      <x:c r="Y43" s="426" t="str">
        <x:v>Not assessed</x:v>
      </x:c>
      <x:c r="Z43" s="426" t="str">
        <x:v>Not advanced to full-text assessment after the title/abstract decision.</x:v>
      </x:c>
      <x:c r="AA43" s="22" t="str">
        <x:v>Not applicable</x:v>
      </x:c>
      <x:c r="AB43" s="22" t="str">
        <x:v>Record was not advanced to full-text assessment.</x:v>
      </x:c>
      <x:c r="AC43" s="22" t="str">
        <x:v>Not assessed</x:v>
      </x:c>
      <x:c r="AD43" s="22" t="str">
        <x:v>Not applicable — no full-text assessment was required.</x:v>
      </x:c>
      <x:c r="AE43" s="22" t="str">
        <x:v>Not included — title/abstract exclusion</x:v>
      </x:c>
      <x:c r="AF43" s="22" t="str">
        <x:v>Not applicable — not included</x:v>
      </x:c>
      <x:c r="AG43" s="22" t="str">
        <x:v>No additional note.</x:v>
      </x:c>
      <x:c r="AH43" s="20" t="str">
        <x:v>No duplicate identified under the documented matching rules.</x:v>
      </x:c>
    </x:row>
    <x:row r="44" ht="42" customHeight="1">
      <x:c r="A44" s="426" t="str">
        <x:v>IEEE-016</x:v>
      </x:c>
      <x:c r="B44" s="426" t="str">
        <x:v>IEEE Xplore</x:v>
      </x:c>
      <x:c r="C44" s="426" t="str">
        <x:v>IEEE-01</x:v>
      </x:c>
      <x:c r="D44" s="426" t="str">
        <x:v>Exploring AI Integration in Autonomous Robotics for Precision Farming to Enha...</x:v>
      </x:c>
      <x:c r="E44" s="426" t="str">
        <x:v>J. Osei-Asiamah; J. R. R. Al-Assal; V. S. Rao; S. S. C. Mary; S. P; S. V</x:v>
      </x:c>
      <x:c r="F44" s="426" t="str">
        <x:v>2025</x:v>
      </x:c>
      <x:c r="G44" s="426" t="str">
        <x:v>2025 IEEE Pune Section International Conference (PuneCon)</x:v>
      </x:c>
      <x:c r="H44" s="426" t="str">
        <x:v>IEEE Conferences</x:v>
      </x:c>
      <x:c r="I44" s="426" t="str">
        <x:v>10.1109/PuneCon67554.2025.11378750</x:v>
      </x:c>
      <x:c r="J44" s="426" t="str">
        <x:v>NR</x:v>
      </x:c>
      <x:c r="K44" s="426" t="str">
        <x:v>https://ieeexplore.ieee.org/stamp/stamp.jsp?arnumber=11378750</x:v>
      </x:c>
      <x:c r="L44" s="426" t="str">
        <x:v>Precision farming implements AI-driven automation systems to enhance agricult...</x:v>
      </x:c>
      <x:c r="M44" s="426" t="str">
        <x:v>No duplicate</x:v>
      </x:c>
      <x:c r="N44" s="426" t="str">
        <x:v>Not applicable — no duplicate group</x:v>
      </x:c>
      <x:c r="O44" s="426" t="str">
        <x:v>Not applicable</x:v>
      </x:c>
      <x:c r="P44" s="426" t="str">
        <x:v>Yes</x:v>
      </x:c>
      <x:c r="Q44" s="426" t="str">
        <x:v>Exclude</x:v>
      </x:c>
      <x:c r="R44" s="426" t="str">
        <x:v>Precision-farming application outside the review domain (E1).</x:v>
      </x:c>
      <x:c r="S44" s="426" t="str">
        <x:v>Verification documented at process level</x:v>
      </x:c>
      <x:c r="T44" s="426" t="str">
        <x:v>Two additional authors performed random spot checks; individual spot-check assignments are not recorded in this register.</x:v>
      </x:c>
      <x:c r="U44" s="426" t="str">
        <x:v>Exclude</x:v>
      </x:c>
      <x:c r="V44" s="426" t="str">
        <x:v>Primary decision by the corresponding author; two additional authors performed random spot checks as a quality-control step.</x:v>
      </x:c>
      <x:c r="W44" s="426" t="str">
        <x:v>No</x:v>
      </x:c>
      <x:c r="X44" s="426" t="str">
        <x:v>Not applicable</x:v>
      </x:c>
      <x:c r="Y44" s="426" t="str">
        <x:v>Not assessed</x:v>
      </x:c>
      <x:c r="Z44" s="426" t="str">
        <x:v>Not advanced to full-text assessment after the title/abstract decision.</x:v>
      </x:c>
      <x:c r="AA44" s="22" t="str">
        <x:v>Not applicable</x:v>
      </x:c>
      <x:c r="AB44" s="22" t="str">
        <x:v>Record was not advanced to full-text assessment.</x:v>
      </x:c>
      <x:c r="AC44" s="22" t="str">
        <x:v>Not assessed</x:v>
      </x:c>
      <x:c r="AD44" s="22" t="str">
        <x:v>Not applicable — no full-text assessment was required.</x:v>
      </x:c>
      <x:c r="AE44" s="22" t="str">
        <x:v>Not included — title/abstract exclusion</x:v>
      </x:c>
      <x:c r="AF44" s="22" t="str">
        <x:v>Not applicable — not included</x:v>
      </x:c>
      <x:c r="AG44" s="22" t="str">
        <x:v>No additional note.</x:v>
      </x:c>
      <x:c r="AH44" s="20" t="str">
        <x:v>No duplicate identified under the documented matching rules.</x:v>
      </x:c>
    </x:row>
    <x:row r="45" ht="42" customHeight="1">
      <x:c r="A45" s="426" t="str">
        <x:v>IEEE-017</x:v>
      </x:c>
      <x:c r="B45" s="426" t="str">
        <x:v>IEEE Xplore</x:v>
      </x:c>
      <x:c r="C45" s="426" t="str">
        <x:v>IEEE-01</x:v>
      </x:c>
      <x:c r="D45" s="426" t="str">
        <x:v>Predicting Early Risk of Diabetes using Hierarchical Fuzzy Logic</x:v>
      </x:c>
      <x:c r="E45" s="426" t="str">
        <x:v>K. Ananya; P. Nayak; V. Trivedi; A. S. Hanuman; K. Swaraja; A. Alkhayyat</x:v>
      </x:c>
      <x:c r="F45" s="426" t="str">
        <x:v>2024</x:v>
      </x:c>
      <x:c r="G45" s="426" t="str">
        <x:v>2024 4th International Conference on Sustainable Expert Systems (ICSES)</x:v>
      </x:c>
      <x:c r="H45" s="426" t="str">
        <x:v>IEEE Conferences</x:v>
      </x:c>
      <x:c r="I45" s="426" t="str">
        <x:v>10.1109/ICSES63445.2024.10763099</x:v>
      </x:c>
      <x:c r="J45" s="426" t="str">
        <x:v>NR</x:v>
      </x:c>
      <x:c r="K45" s="426" t="str">
        <x:v>https://ieeexplore.ieee.org/stamp/stamp.jsp?arnumber=10763099</x:v>
      </x:c>
      <x:c r="L45" s="426" t="str">
        <x:v>In recent years, diabetes has become a common disease that has affected peopl...</x:v>
      </x:c>
      <x:c r="M45" s="426" t="str">
        <x:v>No duplicate</x:v>
      </x:c>
      <x:c r="N45" s="426" t="str">
        <x:v>Not applicable — no duplicate group</x:v>
      </x:c>
      <x:c r="O45" s="426" t="str">
        <x:v>Not applicable</x:v>
      </x:c>
      <x:c r="P45" s="426" t="str">
        <x:v>Yes</x:v>
      </x:c>
      <x:c r="Q45" s="426" t="str">
        <x:v>Exclude</x:v>
      </x:c>
      <x:c r="R45" s="426" t="str">
        <x:v>Non-ophthalmic diabetes-risk study without relevant imaging concept-XAI (E1).</x:v>
      </x:c>
      <x:c r="S45" s="426" t="str">
        <x:v>Verification documented at process level</x:v>
      </x:c>
      <x:c r="T45" s="426" t="str">
        <x:v>Two additional authors performed random spot checks; individual spot-check assignments are not recorded in this register.</x:v>
      </x:c>
      <x:c r="U45" s="426" t="str">
        <x:v>Exclude</x:v>
      </x:c>
      <x:c r="V45" s="426" t="str">
        <x:v>Primary decision by the corresponding author; two additional authors performed random spot checks as a quality-control step.</x:v>
      </x:c>
      <x:c r="W45" s="426" t="str">
        <x:v>No</x:v>
      </x:c>
      <x:c r="X45" s="426" t="str">
        <x:v>Not applicable</x:v>
      </x:c>
      <x:c r="Y45" s="426" t="str">
        <x:v>Not assessed</x:v>
      </x:c>
      <x:c r="Z45" s="426" t="str">
        <x:v>Not advanced to full-text assessment after the title/abstract decision.</x:v>
      </x:c>
      <x:c r="AA45" s="22" t="str">
        <x:v>Not applicable</x:v>
      </x:c>
      <x:c r="AB45" s="22" t="str">
        <x:v>Record was not advanced to full-text assessment.</x:v>
      </x:c>
      <x:c r="AC45" s="22" t="str">
        <x:v>Not assessed</x:v>
      </x:c>
      <x:c r="AD45" s="22" t="str">
        <x:v>Not applicable — no full-text assessment was required.</x:v>
      </x:c>
      <x:c r="AE45" s="22" t="str">
        <x:v>Not included — title/abstract exclusion</x:v>
      </x:c>
      <x:c r="AF45" s="22" t="str">
        <x:v>Not applicable — not included</x:v>
      </x:c>
      <x:c r="AG45" s="22" t="str">
        <x:v>No additional note.</x:v>
      </x:c>
      <x:c r="AH45" s="20" t="str">
        <x:v>No duplicate identified under the documented matching rules.</x:v>
      </x:c>
    </x:row>
    <x:row r="46" ht="42" customHeight="1">
      <x:c r="A46" s="426" t="str">
        <x:v>IEEE-018</x:v>
      </x:c>
      <x:c r="B46" s="426" t="str">
        <x:v>IEEE Xplore</x:v>
      </x:c>
      <x:c r="C46" s="426" t="str">
        <x:v>IEEE-01</x:v>
      </x:c>
      <x:c r="D46" s="426" t="str">
        <x:v>Novel Robust Photoplethysmogram-Based Authentication</x:v>
      </x:c>
      <x:c r="E46" s="426" t="str">
        <x:v>L. Pu; P. J. Chacon; H. -C. Wu; J. -W. Choi</x:v>
      </x:c>
      <x:c r="F46" s="426" t="str">
        <x:v>2022</x:v>
      </x:c>
      <x:c r="G46" s="426" t="str">
        <x:v>IEEE Sensors Journal</x:v>
      </x:c>
      <x:c r="H46" s="426" t="str">
        <x:v>IEEE Journals</x:v>
      </x:c>
      <x:c r="I46" s="426" t="str">
        <x:v>10.1109/JSEN.2022.3146291</x:v>
      </x:c>
      <x:c r="J46" s="426" t="str">
        <x:v>NR</x:v>
      </x:c>
      <x:c r="K46" s="426" t="str">
        <x:v>https://ieeexplore.ieee.org/stamp/stamp.jsp?arnumber=9691326</x:v>
      </x:c>
      <x:c r="L46" s="426" t="str">
        <x:v>As the tremendous advances in the biosensing technology, the biometric authen...</x:v>
      </x:c>
      <x:c r="M46" s="426" t="str">
        <x:v>No duplicate</x:v>
      </x:c>
      <x:c r="N46" s="426" t="str">
        <x:v>Not applicable — no duplicate group</x:v>
      </x:c>
      <x:c r="O46" s="426" t="str">
        <x:v>Not applicable</x:v>
      </x:c>
      <x:c r="P46" s="426" t="str">
        <x:v>Yes</x:v>
      </x:c>
      <x:c r="Q46" s="426" t="str">
        <x:v>Exclude</x:v>
      </x:c>
      <x:c r="R46" s="426" t="str">
        <x:v>Biometric authentication application outside the review domain (E1).</x:v>
      </x:c>
      <x:c r="S46" s="426" t="str">
        <x:v>Verification documented at process level</x:v>
      </x:c>
      <x:c r="T46" s="426" t="str">
        <x:v>Two additional authors performed random spot checks; individual spot-check assignments are not recorded in this register.</x:v>
      </x:c>
      <x:c r="U46" s="426" t="str">
        <x:v>Exclude</x:v>
      </x:c>
      <x:c r="V46" s="426" t="str">
        <x:v>Primary decision by the corresponding author; two additional authors performed random spot checks as a quality-control step.</x:v>
      </x:c>
      <x:c r="W46" s="426" t="str">
        <x:v>No</x:v>
      </x:c>
      <x:c r="X46" s="426" t="str">
        <x:v>Not applicable</x:v>
      </x:c>
      <x:c r="Y46" s="426" t="str">
        <x:v>Not assessed</x:v>
      </x:c>
      <x:c r="Z46" s="426" t="str">
        <x:v>Not advanced to full-text assessment after the title/abstract decision.</x:v>
      </x:c>
      <x:c r="AA46" s="22" t="str">
        <x:v>Not applicable</x:v>
      </x:c>
      <x:c r="AB46" s="22" t="str">
        <x:v>Record was not advanced to full-text assessment.</x:v>
      </x:c>
      <x:c r="AC46" s="22" t="str">
        <x:v>Not assessed</x:v>
      </x:c>
      <x:c r="AD46" s="22" t="str">
        <x:v>Not applicable — no full-text assessment was required.</x:v>
      </x:c>
      <x:c r="AE46" s="22" t="str">
        <x:v>Not included — title/abstract exclusion</x:v>
      </x:c>
      <x:c r="AF46" s="22" t="str">
        <x:v>Not applicable — not included</x:v>
      </x:c>
      <x:c r="AG46" s="22" t="str">
        <x:v>No additional note.</x:v>
      </x:c>
      <x:c r="AH46" s="20" t="str">
        <x:v>No duplicate identified under the documented matching rules.</x:v>
      </x:c>
    </x:row>
    <x:row r="47" ht="42" customHeight="1">
      <x:c r="A47" s="426" t="str">
        <x:v>IEEE-019</x:v>
      </x:c>
      <x:c r="B47" s="426" t="str">
        <x:v>IEEE Xplore</x:v>
      </x:c>
      <x:c r="C47" s="426" t="str">
        <x:v>IEEE-01</x:v>
      </x:c>
      <x:c r="D47" s="426" t="str">
        <x:v>On Interpretability of Deep Learning based Skin Lesion Classifiers using Conc...</x:v>
      </x:c>
      <x:c r="E47" s="426" t="str">
        <x:v>A. Lucieri; M. N. Bajwa; S. Alexander Braun; M. I. Malik; A. Dengel; S. Ahmed</x:v>
      </x:c>
      <x:c r="F47" s="426" t="str">
        <x:v>2020</x:v>
      </x:c>
      <x:c r="G47" s="426" t="str">
        <x:v>2020 International Joint Conference on Neural Networks (IJCNN)</x:v>
      </x:c>
      <x:c r="H47" s="426" t="str">
        <x:v>IEEE Conferences</x:v>
      </x:c>
      <x:c r="I47" s="426" t="str">
        <x:v>10.1109/IJCNN48605.2020.9206946</x:v>
      </x:c>
      <x:c r="J47" s="426" t="str">
        <x:v>NR</x:v>
      </x:c>
      <x:c r="K47" s="426" t="str">
        <x:v>https://ieeexplore.ieee.org/document/9206946/</x:v>
      </x:c>
      <x:c r="L47" s="426" t="str">
        <x:v>Deep learning based medical image classifiers have shown remarkable prowess i...</x:v>
      </x:c>
      <x:c r="M47" s="426" t="str">
        <x:v>No duplicate</x:v>
      </x:c>
      <x:c r="N47" s="426" t="str">
        <x:v>DG-113</x:v>
      </x:c>
      <x:c r="O47" s="426" t="str">
        <x:v>Not applicable</x:v>
      </x:c>
      <x:c r="P47" s="426" t="str">
        <x:v>Yes</x:v>
      </x:c>
      <x:c r="Q47" s="426" t="str">
        <x:v>Include</x:v>
      </x:c>
      <x:c r="R47" s="426" t="str">
        <x:v>Original medical-imaging CAV study retained as contextual concept-XAI evidence (I5).</x:v>
      </x:c>
      <x:c r="S47" s="426" t="str">
        <x:v>Verification documented at process level</x:v>
      </x:c>
      <x:c r="T47" s="426" t="str">
        <x:v>Two additional authors performed random spot checks; individual spot-check assignments are not recorded in this register.</x:v>
      </x:c>
      <x:c r="U47" s="426" t="str">
        <x:v>Include</x:v>
      </x:c>
      <x:c r="V47" s="426" t="str">
        <x:v>Primary decision by the corresponding author; two additional authors performed random spot checks as a quality-control step.</x:v>
      </x:c>
      <x:c r="W47" s="426" t="str">
        <x:v>Yes</x:v>
      </x:c>
      <x:c r="X47" s="426" t="str">
        <x:v>Yes</x:v>
      </x:c>
      <x:c r="Y47" s="426" t="str">
        <x:v>Include</x:v>
      </x:c>
      <x:c r="Z47" s="426" t="str">
        <x:v>The corresponding author confirmed full-text assessment. Abstract/official-record rationale (I5): The abstract maps dermatologist-defined concepts to a skin-lesion classifier using CAV/TCAV with significance testing; it is retained as contextual medical concept-XAI evidence.</x:v>
      </x:c>
      <x:c r="AA47" s="22" t="str">
        <x:v>Verification documented at process level</x:v>
      </x:c>
      <x:c r="AB47" s="22" t="str">
        <x:v>Two additional authors performed random spot checks; individual spot-check assignments are not recorded in this register.</x:v>
      </x:c>
      <x:c r="AC47" s="22" t="str">
        <x:v>Include</x:v>
      </x:c>
      <x:c r="AD47" s="22" t="str">
        <x:v>Primary decision by the corresponding author; two additional authors performed random spot checks as a quality-control step.</x:v>
      </x:c>
      <x:c r="AE47" s="22" t="str">
        <x:v>Include</x:v>
      </x:c>
      <x:c r="AF47" s="22" t="str">
        <x:v>Contextual medical concept-XAI evidence</x:v>
      </x:c>
      <x:c r="AG47" s="22" t="str">
        <x:v>No additional note.</x:v>
      </x:c>
      <x:c r="AH47" s="20" t="str">
        <x:v>No duplicate identified under the documented matching rules.</x:v>
      </x:c>
    </x:row>
    <x:row r="48" ht="42" customHeight="1">
      <x:c r="A48" s="426" t="str">
        <x:v>GS-01-001</x:v>
      </x:c>
      <x:c r="B48" s="426" t="str">
        <x:v>Google Scholar</x:v>
      </x:c>
      <x:c r="C48" s="426" t="str">
        <x:v>GS-01</x:v>
      </x:c>
      <x:c r="D48" s="426" t="str">
        <x:v>interpretable few-shot retinal disease diagnosis with concept-guided prompting of vision-language models</x:v>
      </x:c>
      <x:c r="E48" s="426" t="str">
        <x:v>D Mehta. ¥ Jiang, 5 Jan Moe, KJadhay</x:v>
      </x:c>
      <x:c r="F48" s="426" t="n">
        <x:v>2025</x:v>
      </x:c>
      <x:c r="G48" s="426" t="str">
        <x:v>. Conference on Information 2025 - Scringe:</x:v>
      </x:c>
      <x:c r="H48" s="426" t="str">
        <x:v>Google Scholar result</x:v>
      </x:c>
      <x:c r="I48" s="426" t="str">
        <x:v>NR</x:v>
      </x:c>
      <x:c r="J48" s="426" t="str">
        <x:v>NR</x:v>
      </x:c>
      <x:c r="K48" s="426" t="str">
        <x:v>NR — URL not captured in the available source record</x:v>
      </x:c>
      <x:c r="L48" s="426" t="str">
        <x:v>Not available in the captured evidence; the screening decision used the title and available source metadata.</x:v>
      </x:c>
      <x:c r="M48" s="426" t="str">
        <x:v>Confirmed duplicate</x:v>
      </x:c>
      <x:c r="N48" s="426" t="str">
        <x:v>DG-010</x:v>
      </x:c>
      <x:c r="O48" s="426" t="str">
        <x:v>ARXIV-14-001</x:v>
      </x:c>
      <x:c r="P48" s="426" t="str">
        <x:v>No</x:v>
      </x:c>
      <x:c r="Q48" s="426" t="str">
        <x:v>Not screened</x:v>
      </x:c>
      <x:c r="R48" s="426" t="str">
        <x:v>Removed before title/abstract screening as a confirmed duplicate.</x:v>
      </x:c>
      <x:c r="S48" s="426" t="str">
        <x:v>Not applicable — removed before screening</x:v>
      </x:c>
      <x:c r="T48" s="426" t="str">
        <x:v>Record was outside the active screening set.</x:v>
      </x:c>
      <x:c r="U48" s="426" t="str">
        <x:v>Removed before screening</x:v>
      </x:c>
      <x:c r="V48" s="426" t="str">
        <x:v>Confirmed duplicate removed during deduplication.</x:v>
      </x:c>
      <x:c r="W48" s="426" t="str">
        <x:v>No</x:v>
      </x:c>
      <x:c r="X48" s="426" t="str">
        <x:v>Not applicable</x:v>
      </x:c>
      <x:c r="Y48" s="426" t="str">
        <x:v>Not assessed</x:v>
      </x:c>
      <x:c r="Z48" s="426" t="str">
        <x:v>Not applicable — record removed before screening.</x:v>
      </x:c>
      <x:c r="AA48" s="22" t="str">
        <x:v>Not applicable</x:v>
      </x:c>
      <x:c r="AB48" s="22" t="str">
        <x:v>Record was not advanced to full-text assessment.</x:v>
      </x:c>
      <x:c r="AC48" s="22" t="str">
        <x:v>Not assessed</x:v>
      </x:c>
      <x:c r="AD48" s="22" t="str">
        <x:v>Not applicable — no full-text assessment was required.</x:v>
      </x:c>
      <x:c r="AE48" s="22" t="str">
        <x:v>Removed before screening</x:v>
      </x:c>
      <x:c r="AF48" s="22" t="str">
        <x:v>Not applicable — not included</x:v>
      </x:c>
      <x:c r="AG48" s="22" t="str">
        <x:v>Evidence: 8a5b49a3-4bf5-4cca-a6e9-c52bb1f5e858.png; page 1, result 1. Metadata transcribed from captured Google Scholar page; OCR-normalised, verify against publication before citation.</x:v>
      </x:c>
      <x:c r="AH48" s="20" t="str">
        <x:v>Confirmed using identifier/title evidence; normalized title across captured searches.</x:v>
      </x:c>
    </x:row>
    <x:row r="49" ht="42" customHeight="1">
      <x:c r="A49" s="426" t="str">
        <x:v>GS-01-002</x:v>
      </x:c>
      <x:c r="B49" s="426" t="str">
        <x:v>Google Scholar</x:v>
      </x:c>
      <x:c r="C49" s="426" t="str">
        <x:v>GS-01</x:v>
      </x:c>
      <x:c r="D49" s="426" t="str">
        <x:v>Vision-language models guided graph concept reasoning for interpretable diabetic retinopathy diagnosis</x:v>
      </x:c>
      <x:c r="E49" s="426" t="str">
        <x:v>O Xu XLuo, ¥ Lin. Cliu Y¥Hu Jli XLyu + Proceedings af tna AAAI 2026</x:v>
      </x:c>
      <x:c r="F49" s="426" t="n">
        <x:v>2026</x:v>
      </x:c>
      <x:c r="G49" s="426" t="str">
        <x:v>ojs aagi org</x:v>
      </x:c>
      <x:c r="H49" s="426" t="str">
        <x:v>Google Scholar result</x:v>
      </x:c>
      <x:c r="I49" s="426" t="str">
        <x:v>10.1609/aaai.v40i32.39948</x:v>
      </x:c>
      <x:c r="J49" s="426" t="str">
        <x:v>NR</x:v>
      </x:c>
      <x:c r="K49" s="426" t="str">
        <x:v>https://ojs.aaai.org/index.php/AAAI/article/view/39948/43909</x:v>
      </x:c>
      <x:c r="L49" s="426" t="str">
        <x:v>Deep neural networks (DNNs) have significantly advanced diabetic retinopathy (DR) diagnosis, yet their black-box nature limits clinical acceptance due to a lack of interpretability. Concept bottleneck model (CBM) offers a promising solution by enabling concept-level reasoning and test-time intervention, with recent DR studies modeling lesions as concepts and grades as outcomes. However, current methods often ignore relationships between lesion concepts across different DR grades and struggle when fine-grained lesion concepts are unavailable, limiting their interpretability and real-world applicability. To bridge these gaps, we propose VLM-GCR, a vision-language model guided graph concept reasoning framework for interpretable DR diagnosis. VLM-GCR emulates the diagnostic process of ophthalmologists by constructing a grading-aware lesion concept graph that explicitly models the interactions among lesions and their relationships to disease grades. In concept-free clinical scenarios, our method introduces a vision-language guided dynamic concept pseudo-labeling mechanism to mitigate the challenges of existing concept-based models in fine-grained lesion recognition. Additionally, we introduce a multi-level intervention method that supports error correction, enabling transparent and robust human-AI collaboration. Experiments on two public DR benchmarks show that VLM-GCR achieves strong performance in both lesion and grading tasks, while delivering clear and clinically meaningful reasoning steps.</x:v>
      </x:c>
      <x:c r="M49" s="426" t="str">
        <x:v>No duplicate</x:v>
      </x:c>
      <x:c r="N49" s="426" t="str">
        <x:v>Not applicable — no duplicate group</x:v>
      </x:c>
      <x:c r="O49" s="426" t="str">
        <x:v>Not applicable</x:v>
      </x:c>
      <x:c r="P49" s="426" t="str">
        <x:v>Yes</x:v>
      </x:c>
      <x:c r="Q49" s="426" t="str">
        <x:v>Include</x:v>
      </x:c>
      <x:c r="R49" s="426" t="str">
        <x:v>Direct graph-concept reasoning for interpretable diabetic-retinopathy diagnosis (I2–I4).</x:v>
      </x:c>
      <x:c r="S49" s="426" t="str">
        <x:v>Verification documented at process level</x:v>
      </x:c>
      <x:c r="T49" s="426" t="str">
        <x:v>Two additional authors performed random spot checks; individual spot-check assignments are not recorded in this register.</x:v>
      </x:c>
      <x:c r="U49" s="426" t="str">
        <x:v>Include</x:v>
      </x:c>
      <x:c r="V49" s="426" t="str">
        <x:v>Primary decision by the corresponding author; two additional authors performed random spot checks as a quality-control step.</x:v>
      </x:c>
      <x:c r="W49" s="426" t="str">
        <x:v>Yes</x:v>
      </x:c>
      <x:c r="X49" s="426" t="str">
        <x:v>Yes</x:v>
      </x:c>
      <x:c r="Y49" s="426" t="str">
        <x:v>Include</x:v>
      </x:c>
      <x:c r="Z49" s="426" t="str">
        <x:v>The corresponding author assessed the complete report and judged it eligible for inclusion in the review.</x:v>
      </x:c>
      <x:c r="AA49" s="22" t="str">
        <x:v>Verification documented at process level</x:v>
      </x:c>
      <x:c r="AB49" s="22" t="str">
        <x:v>Two additional authors performed random spot checks; individual spot-check assignments are not recorded in this register.</x:v>
      </x:c>
      <x:c r="AC49" s="22" t="str">
        <x:v>Include</x:v>
      </x:c>
      <x:c r="AD49" s="22" t="str">
        <x:v>Primary decision by the corresponding author; two additional authors performed random spot checks as a quality-control step.</x:v>
      </x:c>
      <x:c r="AE49" s="22" t="str">
        <x:v>Include</x:v>
      </x:c>
      <x:c r="AF49" s="22" t="str">
        <x:v>Direct retinal/ophthalmic evidence</x:v>
      </x:c>
      <x:c r="AG49" s="22" t="str">
        <x:v>Evidence: 8a5b49a3-4bf5-4cca-a6e9-c52bb1f5e858.png; page 1, result 2. Metadata transcribed from captured Google Scholar page; OCR-normalised, verify against publication before citation.</x:v>
      </x:c>
      <x:c r="AH49" s="20" t="str">
        <x:v>No duplicate identified under the documented matching rules.</x:v>
      </x:c>
    </x:row>
    <x:row r="50" ht="42" customHeight="1">
      <x:c r="A50" s="426" t="str">
        <x:v>GS-01-003</x:v>
      </x:c>
      <x:c r="B50" s="426" t="str">
        <x:v>Google Scholar</x:v>
      </x:c>
      <x:c r="C50" s="426" t="str">
        <x:v>GS-01</x:v>
      </x:c>
      <x:c r="D50" s="426" t="str">
        <x:v>MultEYE: Dataset and benchmark for OC T-enhanced retinal disease recognition from fundus images</x:v>
      </x:c>
      <x:c r="E50" s="426" t="str">
        <x:v>LWang CCi.o Cu LAr MJic</x:v>
      </x:c>
      <x:c r="F50" s="426" t="str">
        <x:v>NR</x:v>
      </x:c>
      <x:c r="G50" s="426" t="str">
        <x:v>IEEE Transactions on . 2924 - iasexplors isea org</x:v>
      </x:c>
      <x:c r="H50" s="426" t="str">
        <x:v>Google Scholar result</x:v>
      </x:c>
      <x:c r="I50" s="426" t="str">
        <x:v>NR</x:v>
      </x:c>
      <x:c r="J50" s="426" t="str">
        <x:v>NR</x:v>
      </x:c>
      <x:c r="K50" s="426" t="str">
        <x:v>NR — URL not captured in the available source record</x:v>
      </x:c>
      <x:c r="L50" s="426" t="str">
        <x:v>Not available in the captured evidence; the screening decision used the title and available source metadata.</x:v>
      </x:c>
      <x:c r="M50" s="426" t="str">
        <x:v>No duplicate</x:v>
      </x:c>
      <x:c r="N50" s="426" t="str">
        <x:v>Not applicable — no duplicate group</x:v>
      </x:c>
      <x:c r="O50" s="426" t="str">
        <x:v>Not applicable</x:v>
      </x:c>
      <x:c r="P50" s="426" t="str">
        <x:v>Yes</x:v>
      </x:c>
      <x:c r="Q50" s="426" t="str">
        <x:v>Exclude</x:v>
      </x:c>
      <x:c r="R50" s="426" t="str">
        <x:v>Retinal dataset/recognition benchmark without concept-based XAI (E2).</x:v>
      </x:c>
      <x:c r="S50" s="426" t="str">
        <x:v>Verification documented at process level</x:v>
      </x:c>
      <x:c r="T50" s="426" t="str">
        <x:v>Two additional authors performed random spot checks; individual spot-check assignments are not recorded in this register.</x:v>
      </x:c>
      <x:c r="U50" s="426" t="str">
        <x:v>Exclude</x:v>
      </x:c>
      <x:c r="V50" s="426" t="str">
        <x:v>Primary decision by the corresponding author; two additional authors performed random spot checks as a quality-control step.</x:v>
      </x:c>
      <x:c r="W50" s="426" t="str">
        <x:v>No</x:v>
      </x:c>
      <x:c r="X50" s="426" t="str">
        <x:v>Not applicable</x:v>
      </x:c>
      <x:c r="Y50" s="426" t="str">
        <x:v>Not assessed</x:v>
      </x:c>
      <x:c r="Z50" s="426" t="str">
        <x:v>Not advanced to full-text assessment after the title/abstract decision.</x:v>
      </x:c>
      <x:c r="AA50" s="22" t="str">
        <x:v>Not applicable</x:v>
      </x:c>
      <x:c r="AB50" s="22" t="str">
        <x:v>Record was not advanced to full-text assessment.</x:v>
      </x:c>
      <x:c r="AC50" s="22" t="str">
        <x:v>Not assessed</x:v>
      </x:c>
      <x:c r="AD50" s="22" t="str">
        <x:v>Not applicable — no full-text assessment was required.</x:v>
      </x:c>
      <x:c r="AE50" s="22" t="str">
        <x:v>Not included — title/abstract exclusion</x:v>
      </x:c>
      <x:c r="AF50" s="22" t="str">
        <x:v>Not applicable — not included</x:v>
      </x:c>
      <x:c r="AG50" s="22" t="str">
        <x:v>Evidence: 8a5b49a3-4bf5-4cca-a6e9-c52bb1f5e858.png; page 1, result 3. Metadata transcribed from captured Google Scholar page; OCR-normalised, verify against publication before citation.</x:v>
      </x:c>
      <x:c r="AH50" s="20" t="str">
        <x:v>No duplicate identified under the documented matching rules.</x:v>
      </x:c>
    </x:row>
    <x:row r="51" ht="42" customHeight="1">
      <x:c r="A51" s="426" t="str">
        <x:v>GS-01-004</x:v>
      </x:c>
      <x:c r="B51" s="426" t="str">
        <x:v>Google Scholar</x:v>
      </x:c>
      <x:c r="C51" s="426" t="str">
        <x:v>GS-01</x:v>
      </x:c>
      <x:c r="D51" s="426" t="str">
        <x:v>Looking into concept explanation methods for diabetic retinopathy classification</x:v>
      </x:c>
      <x:c r="E51" s="426" t="str">
        <x:v>AM Storas JV Surdgaard</x:v>
      </x:c>
      <x:c r="F51" s="426" t="n">
        <x:v>2024</x:v>
      </x:c>
      <x:c r="G51" s="426" t="str">
        <x:v>arXiv preprirl arXiv 2410 23188. 2024 - arxiv arg</x:v>
      </x:c>
      <x:c r="H51" s="426" t="str">
        <x:v>Google Scholar result</x:v>
      </x:c>
      <x:c r="I51" s="426" t="str">
        <x:v>NR</x:v>
      </x:c>
      <x:c r="J51" s="426" t="str">
        <x:v>NR</x:v>
      </x:c>
      <x:c r="K51" s="426" t="str">
        <x:v>NR — URL not captured in the available source record</x:v>
      </x:c>
      <x:c r="L51" s="426" t="str">
        <x:v>Not available in the captured evidence; the screening decision used the title and available source metadata.</x:v>
      </x:c>
      <x:c r="M51" s="426" t="str">
        <x:v>Confirmed duplicate</x:v>
      </x:c>
      <x:c r="N51" s="426" t="str">
        <x:v>DG-011</x:v>
      </x:c>
      <x:c r="O51" s="426" t="str">
        <x:v>ARXIV-01-001</x:v>
      </x:c>
      <x:c r="P51" s="426" t="str">
        <x:v>No</x:v>
      </x:c>
      <x:c r="Q51" s="426" t="str">
        <x:v>Not screened</x:v>
      </x:c>
      <x:c r="R51" s="426" t="str">
        <x:v>Removed before title/abstract screening as a confirmed duplicate.</x:v>
      </x:c>
      <x:c r="S51" s="426" t="str">
        <x:v>Not applicable — removed before screening</x:v>
      </x:c>
      <x:c r="T51" s="426" t="str">
        <x:v>Record was outside the active screening set.</x:v>
      </x:c>
      <x:c r="U51" s="426" t="str">
        <x:v>Removed before screening</x:v>
      </x:c>
      <x:c r="V51" s="426" t="str">
        <x:v>Confirmed duplicate removed during deduplication.</x:v>
      </x:c>
      <x:c r="W51" s="426" t="str">
        <x:v>No</x:v>
      </x:c>
      <x:c r="X51" s="426" t="str">
        <x:v>Not applicable</x:v>
      </x:c>
      <x:c r="Y51" s="426" t="str">
        <x:v>Not assessed</x:v>
      </x:c>
      <x:c r="Z51" s="426" t="str">
        <x:v>Not applicable — record removed before screening.</x:v>
      </x:c>
      <x:c r="AA51" s="22" t="str">
        <x:v>Not applicable</x:v>
      </x:c>
      <x:c r="AB51" s="22" t="str">
        <x:v>Record was not advanced to full-text assessment.</x:v>
      </x:c>
      <x:c r="AC51" s="22" t="str">
        <x:v>Not assessed</x:v>
      </x:c>
      <x:c r="AD51" s="22" t="str">
        <x:v>Not applicable — no full-text assessment was required.</x:v>
      </x:c>
      <x:c r="AE51" s="22" t="str">
        <x:v>Removed before screening</x:v>
      </x:c>
      <x:c r="AF51" s="22" t="str">
        <x:v>Not applicable — not included</x:v>
      </x:c>
      <x:c r="AG51" s="22" t="str">
        <x:v>Evidence: 8a5b49a3-4bf5-4cca-a6e9-c52bb1f5e858.png; page 1, result 4. Metadata transcribed from captured Google Scholar page; OCR-normalised, verify against publication before citation.</x:v>
      </x:c>
      <x:c r="AH51" s="20" t="str">
        <x:v>Confirmed using identifier/title evidence; normalized title across captured searches.</x:v>
      </x:c>
    </x:row>
    <x:row r="52" ht="42" customHeight="1">
      <x:c r="A52" s="426" t="str">
        <x:v>GS-01-005</x:v>
      </x:c>
      <x:c r="B52" s="426" t="str">
        <x:v>Google Scholar</x:v>
      </x:c>
      <x:c r="C52" s="426" t="str">
        <x:v>GS-01</x:v>
      </x:c>
      <x:c r="D52" s="426" t="str">
        <x:v>Mitigating domain shift in concept bottleneck models for diadatic retinopathy grading via learnable concept projection</x:v>
      </x:c>
      <x:c r="E52" s="426" t="str">
        <x:v>Yea ELee- Medical Imaging 2926 tage Perceptian §«—-2126</x:v>
      </x:c>
      <x:c r="F52" s="426" t="str">
        <x:v>NR</x:v>
      </x:c>
      <x:c r="G52" s="426" t="str">
        <x:v>spiedigitailibrary o-g</x:v>
      </x:c>
      <x:c r="H52" s="426" t="str">
        <x:v>Google Scholar result</x:v>
      </x:c>
      <x:c r="I52" s="426" t="str">
        <x:v>10.1117/12.3088213</x:v>
      </x:c>
      <x:c r="J52" s="426" t="str">
        <x:v>NR</x:v>
      </x:c>
      <x:c r="K52" s="426" t="str">
        <x:v>https://www.spiedigitallibrary.org/conference-proceedings-of-spie/13928/139280X/Mitigating-domain-shift-in-concept-bottleneck-models-for-diabetic-retinopathy/10.1117/12.3088213.full</x:v>
      </x:c>
      <x:c r="L52" s="426" t="str">
        <x:v>Concept bottleneck models (CBMs) offer interpretable diabetic retinopathy (DR) grading by routing predictions through clinically meaningful lesion concepts, yet they assume that training and deployment data share the same distribution. In practice, fundus images vary substantially across hospital sites due to differences in camera hardware, field of view, and patient demographics, causing concept predictors to misfire on out-of-distribution inputs. To address this limitation, we propose DICAN, a few-shot domain incremental learning framework that freezes all diagnostic components (backbone, prototype bank, and classification head) and trains only a low-rank residual projector (262K parameters). This projector realigns backbone features with frozen concept prototypes when a new hospital domain arrives with as few as 10 labeled images per grade. A multi-cluster prototype bank with best-match-then-aggregate scoring compresses sub-cluster similarities into three fixed statistics per concept, decoupling prototype granularity from classifier complexity and stabilizing few-shot adaptation. In this study, we evaluate DICAN across four sequential sessions using five multi-national DR datasets (DDR, FGADR, APTOS, Messidor-2, DRAC 2022). The proposed method achieves 54.37% average accuracy and 0.48 quadratic weighted kappa after all sessions, outperforming the strongest baseline by 10 percentage points in accuracy while halving forgetting. The concept bottleneck remains fully inspectable and correctable across all sessions, allowing clinicians to override lesion-concept scores and observe deterministic changes in the diagnostic output.</x:v>
      </x:c>
      <x:c r="M52" s="426" t="str">
        <x:v>No duplicate</x:v>
      </x:c>
      <x:c r="N52" s="426" t="str">
        <x:v>Not applicable — no duplicate group</x:v>
      </x:c>
      <x:c r="O52" s="426" t="str">
        <x:v>Not applicable</x:v>
      </x:c>
      <x:c r="P52" s="426" t="str">
        <x:v>Yes</x:v>
      </x:c>
      <x:c r="Q52" s="426" t="str">
        <x:v>Include</x:v>
      </x:c>
      <x:c r="R52" s="426" t="str">
        <x:v>Direct concept-bottleneck study for diabetic-retinopathy grading (I2–I4).</x:v>
      </x:c>
      <x:c r="S52" s="426" t="str">
        <x:v>Verification documented at process level</x:v>
      </x:c>
      <x:c r="T52" s="426" t="str">
        <x:v>Two additional authors performed random spot checks; individual spot-check assignments are not recorded in this register.</x:v>
      </x:c>
      <x:c r="U52" s="426" t="str">
        <x:v>Include</x:v>
      </x:c>
      <x:c r="V52" s="426" t="str">
        <x:v>Primary decision by the corresponding author; two additional authors performed random spot checks as a quality-control step.</x:v>
      </x:c>
      <x:c r="W52" s="426" t="str">
        <x:v>Yes</x:v>
      </x:c>
      <x:c r="X52" s="426" t="str">
        <x:v>Yes</x:v>
      </x:c>
      <x:c r="Y52" s="426" t="str">
        <x:v>Include</x:v>
      </x:c>
      <x:c r="Z52" s="426" t="str">
        <x:v>The corresponding author confirmed full-text assessment. Abstract/official-record rationale (I2–I4): The abstract develops a concept bottleneck model with learnable concept projection to improve domain-shift robustness in diabetic-retinopathy grading; it is direct retinal concept-based evidence.</x:v>
      </x:c>
      <x:c r="AA52" s="22" t="str">
        <x:v>Verification documented at process level</x:v>
      </x:c>
      <x:c r="AB52" s="22" t="str">
        <x:v>Two additional authors performed random spot checks; individual spot-check assignments are not recorded in this register.</x:v>
      </x:c>
      <x:c r="AC52" s="22" t="str">
        <x:v>Include</x:v>
      </x:c>
      <x:c r="AD52" s="22" t="str">
        <x:v>Primary decision by the corresponding author; two additional authors performed random spot checks as a quality-control step.</x:v>
      </x:c>
      <x:c r="AE52" s="22" t="str">
        <x:v>Include</x:v>
      </x:c>
      <x:c r="AF52" s="22" t="str">
        <x:v>Direct retinal/ophthalmic evidence</x:v>
      </x:c>
      <x:c r="AG52" s="22" t="str">
        <x:v>Evidence: 8a5b49a3-4bf5-4cca-a6e9-c52bb1f5e858.png; page 1, result 5. Metadata transcribed from captured Google Scholar page; OCR-normalised, verify against publication before citation.</x:v>
      </x:c>
      <x:c r="AH52" s="20" t="str">
        <x:v>No duplicate identified under the documented matching rules.</x:v>
      </x:c>
    </x:row>
    <x:row r="53" ht="42" customHeight="1">
      <x:c r="A53" s="426" t="str">
        <x:v>GS-01-006</x:v>
      </x:c>
      <x:c r="B53" s="426" t="str">
        <x:v>Google Scholar</x:v>
      </x:c>
      <x:c r="C53" s="426" t="str">
        <x:v>GS-01</x:v>
      </x:c>
      <x:c r="D53" s="426" t="str">
        <x:v>Concept-based lesion aware transformer for interpretable retinal disease diagnosis</x:v>
      </x:c>
      <x:c r="E53" s="426" t="str">
        <x:v>CwWer MY2 HLi Tohen</x:v>
      </x:c>
      <x:c r="F53" s="426" t="n">
        <x:v>2024</x:v>
      </x:c>
      <x:c r="G53" s="426" t="str">
        <x:v>EEE Transactionsan 2024 -ieeexptore ieee org</x:v>
      </x:c>
      <x:c r="H53" s="426" t="str">
        <x:v>Google Scholar result</x:v>
      </x:c>
      <x:c r="I53" s="426" t="str">
        <x:v>10.1109/TMI.2024.3429148</x:v>
      </x:c>
      <x:c r="J53" s="426" t="str">
        <x:v>39012729</x:v>
      </x:c>
      <x:c r="K53" s="426" t="str">
        <x:v>https://pubmed.ncbi.nlm.nih.gov/39012729/</x:v>
      </x:c>
      <x:c r="L53" s="426" t="str">
        <x:v>Existing deep learning methods have achieved remarkable results in diagnosing retinal diseases, showcasing the potential of advanced AI in ophthalmology. However, the black-box nature of these methods obscures the decision-making process, compromising their trustworthiness and acceptability. Inspired by the concept-based approaches and recognizing the intrinsic correlation between retinal lesions and diseases, we regard retinal lesions as concepts and propose an inherently interpretable framework designed to enhance both the performance and explainability of diagnostic models. Leveraging the transformer architecture, known for its proficiency in capturing long-range dependencies, our model can effectively identify lesion features. By integrating with image-level annotations, it achieves the alignment of lesion concepts with human cognition under the guidance of a retinal foundation model. Furthermore, to attain interpretability without losing lesion-specific information, our method employs a classifier built on a cross-attention mechanism for disease diagnosis and explanation, where explanations are grounded in the contributions of human-understandable lesion concepts and their visual localization. Notably, due to the structure and inherent interpretability of our model, clinicians can implement concept-level interventions to correct the diagnostic errors by simply adjusting erroneous lesion predictions. Experiments conducted on four fundus image datasets demonstrate that our method achieves favorable performance against state-of-the-art methods while providing faithful explanations and enabling concept-level interventions. Our code is publicly available at https://github.com/Sorades/CLAT.</x:v>
      </x:c>
      <x:c r="M53" s="426" t="str">
        <x:v>No duplicate</x:v>
      </x:c>
      <x:c r="N53" s="426" t="str">
        <x:v>DG-012</x:v>
      </x:c>
      <x:c r="O53" s="426" t="str">
        <x:v>Not applicable</x:v>
      </x:c>
      <x:c r="P53" s="426" t="str">
        <x:v>Yes</x:v>
      </x:c>
      <x:c r="Q53" s="426" t="str">
        <x:v>Include</x:v>
      </x:c>
      <x:c r="R53" s="426" t="str">
        <x:v>Direct concept-based lesion-aware retinal diagnosis method (I2–I4).</x:v>
      </x:c>
      <x:c r="S53" s="426" t="str">
        <x:v>Verification documented at process level</x:v>
      </x:c>
      <x:c r="T53" s="426" t="str">
        <x:v>Two additional authors performed random spot checks; individual spot-check assignments are not recorded in this register.</x:v>
      </x:c>
      <x:c r="U53" s="426" t="str">
        <x:v>Include</x:v>
      </x:c>
      <x:c r="V53" s="426" t="str">
        <x:v>Primary decision by the corresponding author; two additional authors performed random spot checks as a quality-control step.</x:v>
      </x:c>
      <x:c r="W53" s="426" t="str">
        <x:v>Yes</x:v>
      </x:c>
      <x:c r="X53" s="426" t="str">
        <x:v>Yes</x:v>
      </x:c>
      <x:c r="Y53" s="426" t="str">
        <x:v>Include</x:v>
      </x:c>
      <x:c r="Z53" s="426" t="str">
        <x:v>The corresponding author confirmed full-text assessment. Abstract/official-record rationale (I2–I4): The abstract presents a concept-based lesion-aware transformer that links retinal lesion concepts to disease diagnosis and evaluates interpretability; it directly meets the review criteria.</x:v>
      </x:c>
      <x:c r="AA53" s="22" t="str">
        <x:v>Verification documented at process level</x:v>
      </x:c>
      <x:c r="AB53" s="22" t="str">
        <x:v>Two additional authors performed random spot checks; individual spot-check assignments are not recorded in this register.</x:v>
      </x:c>
      <x:c r="AC53" s="22" t="str">
        <x:v>Include</x:v>
      </x:c>
      <x:c r="AD53" s="22" t="str">
        <x:v>Primary decision by the corresponding author; two additional authors performed random spot checks as a quality-control step.</x:v>
      </x:c>
      <x:c r="AE53" s="22" t="str">
        <x:v>Include</x:v>
      </x:c>
      <x:c r="AF53" s="22" t="str">
        <x:v>Direct retinal/ophthalmic evidence</x:v>
      </x:c>
      <x:c r="AG53" s="22" t="str">
        <x:v>Evidence: 8a5b49a3-4bf5-4cca-a6e9-c52bb1f5e858.png; page 1, result 6. Metadata transcribed from captured Google Scholar page; OCR-normalised, verify against publication before citation.</x:v>
      </x:c>
      <x:c r="AH53" s="20" t="str">
        <x:v>Confirmed using normalized title across captured searches.</x:v>
      </x:c>
    </x:row>
    <x:row r="54" ht="42" customHeight="1">
      <x:c r="A54" s="426" t="str">
        <x:v>GS-01-007</x:v>
      </x:c>
      <x:c r="B54" s="426" t="str">
        <x:v>Google Scholar</x:v>
      </x:c>
      <x:c r="C54" s="426" t="str">
        <x:v>GS-01</x:v>
      </x:c>
      <x:c r="D54" s="426" t="str">
        <x:v>Adacbm An adaplive concept bottleneck model for explainable and accurate diagnasis</x:v>
      </x:c>
      <x:c r="E54" s="426" t="str">
        <x:v>TF Chowdhury YMH Phan KLiao MSTo</x:v>
      </x:c>
      <x:c r="F54" s="426" t="n">
        <x:v>2024</x:v>
      </x:c>
      <x:c r="G54" s="426" t="str">
        <x:v>Corference on Medica 2024 - Scringe’</x:v>
      </x:c>
      <x:c r="H54" s="426" t="str">
        <x:v>Google Scholar result</x:v>
      </x:c>
      <x:c r="I54" s="426" t="str">
        <x:v>NR</x:v>
      </x:c>
      <x:c r="J54" s="426" t="str">
        <x:v>2408.02001</x:v>
      </x:c>
      <x:c r="K54" s="426" t="str">
        <x:v>https://arxiv.org/pdf/2408.02001</x:v>
      </x:c>
      <x:c r="L54" s="426" t="str">
        <x:v>The integration of vision-language models such as CLIP and Concept Bottleneck Models (CBMs) offers a promising approach to explaining deep neural network (DNN) decisions using concepts understandable by humans, addressing the black-box concern of DNNs. While CLIP provides both explainability and zero-shot classification capability, its pre-training on generic image and text data may limit its classification accuracy and applicability to medical image diagnostic tasks, creating a transfer learning problem. To maintain explainability and address transfer learning needs, CBM methods commonly design post-processing modules after the bottleneck module. However, this way has been ineffective. This paper takes an unconventional approach by re-examining the CBM framework through the lens of its geometrical representation as a simple linear classification system. The analysis uncovers that post-CBM fine-tuning modules merely rescale and shift the classification outcome of the system, failing to fully leverage the system's learning potential. We introduce an adaptive module strategically positioned between CLIP and CBM to bridge the gap between source and downstream domains. This simple yet effective approach enhances classification performance while preserving the explainability afforded by the framework. Our work offers a comprehensive solution that encompasses the entire process, from concept discovery to model training, providing a holistic recipe for leveraging the strengths of GPT, CLIP, and CBM.</x:v>
      </x:c>
      <x:c r="M54" s="426" t="str">
        <x:v>No duplicate</x:v>
      </x:c>
      <x:c r="N54" s="426" t="str">
        <x:v>Not applicable — no duplicate group</x:v>
      </x:c>
      <x:c r="O54" s="426" t="str">
        <x:v>Not applicable</x:v>
      </x:c>
      <x:c r="P54" s="426" t="str">
        <x:v>Yes</x:v>
      </x:c>
      <x:c r="Q54" s="426" t="str">
        <x:v>Include</x:v>
      </x:c>
      <x:c r="R54" s="426" t="str">
        <x:v>Original concept-bottleneck medical-imaging method retained as contextual evidence (I5).</x:v>
      </x:c>
      <x:c r="S54" s="426" t="str">
        <x:v>Verification documented at process level</x:v>
      </x:c>
      <x:c r="T54" s="426" t="str">
        <x:v>Two additional authors performed random spot checks; individual spot-check assignments are not recorded in this register.</x:v>
      </x:c>
      <x:c r="U54" s="426" t="str">
        <x:v>Include</x:v>
      </x:c>
      <x:c r="V54" s="426" t="str">
        <x:v>Primary decision by the corresponding author; two additional authors performed random spot checks as a quality-control step.</x:v>
      </x:c>
      <x:c r="W54" s="426" t="str">
        <x:v>Yes</x:v>
      </x:c>
      <x:c r="X54" s="426" t="str">
        <x:v>Yes</x:v>
      </x:c>
      <x:c r="Y54" s="426" t="str">
        <x:v>Include</x:v>
      </x:c>
      <x:c r="Z54" s="426" t="str">
        <x:v>The corresponding author assessed the complete report and judged it eligible for inclusion in the review.</x:v>
      </x:c>
      <x:c r="AA54" s="22" t="str">
        <x:v>Verification documented at process level</x:v>
      </x:c>
      <x:c r="AB54" s="22" t="str">
        <x:v>Two additional authors performed random spot checks; individual spot-check assignments are not recorded in this register.</x:v>
      </x:c>
      <x:c r="AC54" s="22" t="str">
        <x:v>Include</x:v>
      </x:c>
      <x:c r="AD54" s="22" t="str">
        <x:v>Primary decision by the corresponding author; two additional authors performed random spot checks as a quality-control step.</x:v>
      </x:c>
      <x:c r="AE54" s="22" t="str">
        <x:v>Include</x:v>
      </x:c>
      <x:c r="AF54" s="22" t="str">
        <x:v>Contextual medical concept-XAI evidence</x:v>
      </x:c>
      <x:c r="AG54" s="22" t="str">
        <x:v>Evidence: 8a5b49a3-4bf5-4cca-a6e9-c52bb1f5e858.png; page 1, result 7. Metadata transcribed from captured Google Scholar page; OCR-normalised, verify against publication before citation.</x:v>
      </x:c>
      <x:c r="AH54" s="20" t="str">
        <x:v>No duplicate identified under the documented matching rules.</x:v>
      </x:c>
    </x:row>
    <x:row r="55" ht="42" customHeight="1">
      <x:c r="A55" s="426" t="str">
        <x:v>GS-01-008</x:v>
      </x:c>
      <x:c r="B55" s="426" t="str">
        <x:v>Google Scholar</x:v>
      </x:c>
      <x:c r="C55" s="426" t="str">
        <x:v>GS-01</x:v>
      </x:c>
      <x:c r="D55" s="426" t="str">
        <x:v>Mvp-cbm: Mult-layer visual preference-enhanced concept bottleneck model for explainable medical image classificatian</x:v>
      </x:c>
      <x:c r="E55" s="426" t="str">
        <x:v>Cyvang Kgharg ¥Liv,2He. X90</x:v>
      </x:c>
      <x:c r="F55" s="426" t="n">
        <x:v>2025</x:v>
      </x:c>
      <x:c r="G55" s="426" t="str">
        <x:v>ark peeprintarty = 2025 - amev arg</x:v>
      </x:c>
      <x:c r="H55" s="426" t="str">
        <x:v>Google Scholar result</x:v>
      </x:c>
      <x:c r="I55" s="426" t="str">
        <x:v>NR</x:v>
      </x:c>
      <x:c r="J55" s="426" t="str">
        <x:v>2506.12568</x:v>
      </x:c>
      <x:c r="K55" s="426" t="str">
        <x:v>https://arxiv.org/pdf/2506.12568</x:v>
      </x:c>
      <x:c r="L55" s="426" t="str">
        <x:v>The concept bottleneck model (CBM), as a technique improving interpretability via linking predictions to human-understandable concepts, makes high-risk and life-critical medical image classification credible. Typically, existing CBM methods associate the final layer of visual encoders with concepts to explain the model's predictions. However, we empirically discover the phenomenon of concept preference variation, that is, the concepts are preferably associated with the features at different layers than those only at the final layer; yet a blind last-layer-based association neglects such a preference variation and thus weakens the accurate correspondences between features and concepts, impairing model interpretability. To address this issue, we propose a novel Multi-layer Visual Preference-enhanced Concept Bottleneck Model (MVP-CBM), which comprises two key novel modules: (1) intra-layer concept preference modeling, which captures the preferred association of different concepts with features at various visual layers, and (2) multi-layer concept sparse activation fusion, which sparsely aggregates concept activations from multiple layers to enhance performance. Thus, by explicitly modeling concept preferences, MVP-CBM can comprehensively leverage multi-layer visual information to provide a more nuanced and accurate explanation of model decisions. Extensive experiments on several public medical classification benchmarks demonstrate that MVP-CBM achieves state-of-the-art accuracy and interoperability, verifying its superiority. Code is available at https://github.com/wcj6/MVP-CBM.</x:v>
      </x:c>
      <x:c r="M55" s="426" t="str">
        <x:v>No duplicate</x:v>
      </x:c>
      <x:c r="N55" s="426" t="str">
        <x:v>Not applicable — no duplicate group</x:v>
      </x:c>
      <x:c r="O55" s="426" t="str">
        <x:v>Not applicable</x:v>
      </x:c>
      <x:c r="P55" s="426" t="str">
        <x:v>Yes</x:v>
      </x:c>
      <x:c r="Q55" s="426" t="str">
        <x:v>Include</x:v>
      </x:c>
      <x:c r="R55" s="426" t="str">
        <x:v>Original explainable medical-image CBM retained as contextual evidence (I5).</x:v>
      </x:c>
      <x:c r="S55" s="426" t="str">
        <x:v>Verification documented at process level</x:v>
      </x:c>
      <x:c r="T55" s="426" t="str">
        <x:v>Two additional authors performed random spot checks; individual spot-check assignments are not recorded in this register.</x:v>
      </x:c>
      <x:c r="U55" s="426" t="str">
        <x:v>Include</x:v>
      </x:c>
      <x:c r="V55" s="426" t="str">
        <x:v>Primary decision by the corresponding author; two additional authors performed random spot checks as a quality-control step.</x:v>
      </x:c>
      <x:c r="W55" s="426" t="str">
        <x:v>Yes</x:v>
      </x:c>
      <x:c r="X55" s="426" t="str">
        <x:v>Yes</x:v>
      </x:c>
      <x:c r="Y55" s="426" t="str">
        <x:v>Include</x:v>
      </x:c>
      <x:c r="Z55" s="426" t="str">
        <x:v>The corresponding author assessed the complete report and judged it eligible for inclusion in the review.</x:v>
      </x:c>
      <x:c r="AA55" s="22" t="str">
        <x:v>Verification documented at process level</x:v>
      </x:c>
      <x:c r="AB55" s="22" t="str">
        <x:v>Two additional authors performed random spot checks; individual spot-check assignments are not recorded in this register.</x:v>
      </x:c>
      <x:c r="AC55" s="22" t="str">
        <x:v>Include</x:v>
      </x:c>
      <x:c r="AD55" s="22" t="str">
        <x:v>Primary decision by the corresponding author; two additional authors performed random spot checks as a quality-control step.</x:v>
      </x:c>
      <x:c r="AE55" s="22" t="str">
        <x:v>Include</x:v>
      </x:c>
      <x:c r="AF55" s="22" t="str">
        <x:v>Contextual medical concept-XAI evidence</x:v>
      </x:c>
      <x:c r="AG55" s="22" t="str">
        <x:v>Evidence: 8a5b49a3-4bf5-4cca-a6e9-c52bb1f5e858.png; page 1, result 8. Metadata transcribed from captured Google Scholar page; OCR-normalised, verify against publication before citation.</x:v>
      </x:c>
      <x:c r="AH55" s="20" t="str">
        <x:v>No duplicate identified under the documented matching rules.</x:v>
      </x:c>
    </x:row>
    <x:row r="56" ht="42" customHeight="1">
      <x:c r="A56" s="426" t="str">
        <x:v>GS-01-009</x:v>
      </x:c>
      <x:c r="B56" s="426" t="str">
        <x:v>Google Scholar</x:v>
      </x:c>
      <x:c r="C56" s="426" t="str">
        <x:v>GS-01</x:v>
      </x:c>
      <x:c r="D56" s="426" t="str">
        <x:v>Robust and interpretable medical image classifiers via concept bottleneck models</x:v>
      </x:c>
      <x:c r="E56" s="426" t="str">
        <x:v>AYar YwWang YZhong Zhe, PKarypis</x:v>
      </x:c>
      <x:c r="F56" s="426" t="n">
        <x:v>2023</x:v>
      </x:c>
      <x:c r="G56" s="426" t="str">
        <x:v>arXiv preprini arXiv = 2023 - arxivorg</x:v>
      </x:c>
      <x:c r="H56" s="426" t="str">
        <x:v>Google Scholar result</x:v>
      </x:c>
      <x:c r="I56" s="426" t="str">
        <x:v>10.48550/arxiv.2310.03182</x:v>
      </x:c>
      <x:c r="J56" s="426" t="str">
        <x:v>2310.03182</x:v>
      </x:c>
      <x:c r="K56" s="426" t="str">
        <x:v>https://arxiv.org/pdf/2310.03182</x:v>
      </x:c>
      <x:c r="L56" s="426" t="str">
        <x:v>Medical image classification is a critical problem for healthcare, with the potential to alleviate the workload of doctors and facilitate diagnoses of patients. However, two challenges arise when deploying deep learning models to real-world healthcare applications. First, neural models tend to learn spurious correlations instead of desired features, which could fall short when generalizing to new domains (e.g., patients with different ages). Second, these black-box models lack interpretability. When making diagnostic predictions, it is important to understand why a model makes a decision for trustworthy and safety considerations. In this paper, to address these two limitations, we propose a new paradigm to build robust and interpretable medical image classifiers with natural language concepts. Specifically, we first query clinical concepts from GPT-4, then transform latent image features into explicit concepts with a vision-language model. We systematically evaluate our method on eight medical image classification datasets to verify its effectiveness. On challenging datasets with strong confounding factors, our method can mitigate spurious correlations thus substantially outperform standard visual encoders and other baselines. Finally, we show how classification with a small number of concepts brings a level of interpretability for understanding model decisions through case studies in real medical data.</x:v>
      </x:c>
      <x:c r="M56" s="426" t="str">
        <x:v>No duplicate</x:v>
      </x:c>
      <x:c r="N56" s="426" t="str">
        <x:v>Not applicable — no duplicate group</x:v>
      </x:c>
      <x:c r="O56" s="426" t="str">
        <x:v>Not applicable</x:v>
      </x:c>
      <x:c r="P56" s="426" t="str">
        <x:v>Yes</x:v>
      </x:c>
      <x:c r="Q56" s="426" t="str">
        <x:v>Include</x:v>
      </x:c>
      <x:c r="R56" s="426" t="str">
        <x:v>Medical-image classification with explicit clinical concepts; contextual evidence (I5).</x:v>
      </x:c>
      <x:c r="S56" s="426" t="str">
        <x:v>Verification documented at process level</x:v>
      </x:c>
      <x:c r="T56" s="426" t="str">
        <x:v>Two additional authors performed random spot checks; individual spot-check assignments are not recorded in this register.</x:v>
      </x:c>
      <x:c r="U56" s="426" t="str">
        <x:v>Include</x:v>
      </x:c>
      <x:c r="V56" s="426" t="str">
        <x:v>Primary decision by the corresponding author; two additional authors performed random spot checks as a quality-control step.</x:v>
      </x:c>
      <x:c r="W56" s="426" t="str">
        <x:v>Yes</x:v>
      </x:c>
      <x:c r="X56" s="426" t="str">
        <x:v>Yes</x:v>
      </x:c>
      <x:c r="Y56" s="426" t="str">
        <x:v>Include</x:v>
      </x:c>
      <x:c r="Z56" s="426" t="str">
        <x:v>The corresponding author assessed the complete report and judged it eligible for inclusion in the review.</x:v>
      </x:c>
      <x:c r="AA56" s="22" t="str">
        <x:v>Verification documented at process level</x:v>
      </x:c>
      <x:c r="AB56" s="22" t="str">
        <x:v>Two additional authors performed random spot checks; individual spot-check assignments are not recorded in this register.</x:v>
      </x:c>
      <x:c r="AC56" s="22" t="str">
        <x:v>Include</x:v>
      </x:c>
      <x:c r="AD56" s="22" t="str">
        <x:v>Primary decision by the corresponding author; two additional authors performed random spot checks as a quality-control step.</x:v>
      </x:c>
      <x:c r="AE56" s="22" t="str">
        <x:v>Include</x:v>
      </x:c>
      <x:c r="AF56" s="22" t="str">
        <x:v>Contextual medical concept-XAI evidence</x:v>
      </x:c>
      <x:c r="AG56" s="22" t="str">
        <x:v>Evidence: 8a5b49a3-4bf5-4cca-a6e9-c52bb1f5e858.png; page 1, result 9. Metadata transcribed from captured Google Scholar page; OCR-normalised, verify against publication before citation.</x:v>
      </x:c>
      <x:c r="AH56" s="20" t="str">
        <x:v>No duplicate identified under the documented matching rules.</x:v>
      </x:c>
    </x:row>
    <x:row r="57" ht="42" customHeight="1">
      <x:c r="A57" s="426" t="str">
        <x:v>GS-01-010</x:v>
      </x:c>
      <x:c r="B57" s="426" t="str">
        <x:v>Google Scholar</x:v>
      </x:c>
      <x:c r="C57" s="426" t="str">
        <x:v>GS-01</x:v>
      </x:c>
      <x:c r="D57" s="426" t="str">
        <x:v>Concept bottleneck models</x:v>
      </x:c>
      <x:c r="E57" s="426" t="str">
        <x:v>PW Kob Laven YS Tang -Iniernational 2023</x:v>
      </x:c>
      <x:c r="F57" s="426" t="n">
        <x:v>2023</x:v>
      </x:c>
      <x:c r="G57" s="426" t="str">
        <x:v>proceedings mir press</x:v>
      </x:c>
      <x:c r="H57" s="426" t="str">
        <x:v>Google Scholar result</x:v>
      </x:c>
      <x:c r="I57" s="426" t="str">
        <x:v>NR</x:v>
      </x:c>
      <x:c r="J57" s="426" t="str">
        <x:v>NR</x:v>
      </x:c>
      <x:c r="K57" s="426" t="str">
        <x:v>NR — URL not captured in the available source record</x:v>
      </x:c>
      <x:c r="L57" s="426" t="str">
        <x:v>Not available in the captured evidence; the screening decision used the title and available source metadata.</x:v>
      </x:c>
      <x:c r="M57" s="426" t="str">
        <x:v>No duplicate</x:v>
      </x:c>
      <x:c r="N57" s="426" t="str">
        <x:v>Not applicable — no duplicate group</x:v>
      </x:c>
      <x:c r="O57" s="426" t="str">
        <x:v>Not applicable</x:v>
      </x:c>
      <x:c r="P57" s="426" t="str">
        <x:v>Yes</x:v>
      </x:c>
      <x:c r="Q57" s="426" t="str">
        <x:v>Exclude</x:v>
      </x:c>
      <x:c r="R57" s="426" t="str">
        <x:v>General concept-bottleneck method without medical or ophthalmic evaluation (E1).</x:v>
      </x:c>
      <x:c r="S57" s="426" t="str">
        <x:v>Verification documented at process level</x:v>
      </x:c>
      <x:c r="T57" s="426" t="str">
        <x:v>Two additional authors performed random spot checks; individual spot-check assignments are not recorded in this register.</x:v>
      </x:c>
      <x:c r="U57" s="426" t="str">
        <x:v>Exclude</x:v>
      </x:c>
      <x:c r="V57" s="426" t="str">
        <x:v>Primary decision by the corresponding author; two additional authors performed random spot checks as a quality-control step.</x:v>
      </x:c>
      <x:c r="W57" s="426" t="str">
        <x:v>No</x:v>
      </x:c>
      <x:c r="X57" s="426" t="str">
        <x:v>Not applicable</x:v>
      </x:c>
      <x:c r="Y57" s="426" t="str">
        <x:v>Not assessed</x:v>
      </x:c>
      <x:c r="Z57" s="426" t="str">
        <x:v>Not advanced to full-text assessment after the title/abstract decision.</x:v>
      </x:c>
      <x:c r="AA57" s="22" t="str">
        <x:v>Not applicable</x:v>
      </x:c>
      <x:c r="AB57" s="22" t="str">
        <x:v>Record was not advanced to full-text assessment.</x:v>
      </x:c>
      <x:c r="AC57" s="22" t="str">
        <x:v>Not assessed</x:v>
      </x:c>
      <x:c r="AD57" s="22" t="str">
        <x:v>Not applicable — no full-text assessment was required.</x:v>
      </x:c>
      <x:c r="AE57" s="22" t="str">
        <x:v>Not included — title/abstract exclusion</x:v>
      </x:c>
      <x:c r="AF57" s="22" t="str">
        <x:v>Not applicable — not included</x:v>
      </x:c>
      <x:c r="AG57" s="22" t="str">
        <x:v>Evidence: 8a5b49a3-4bf5-4cca-a6e9-c52bb1f5e858.png; page 1, result 10. Metadata transcribed from captured Google Scholar page; OCR-normalised, verify against publication before citation.</x:v>
      </x:c>
      <x:c r="AH57" s="20" t="str">
        <x:v>No duplicate identified under the documented matching rules.</x:v>
      </x:c>
    </x:row>
    <x:row r="58" ht="42" customHeight="1">
      <x:c r="A58" s="426" t="str">
        <x:v>GS-01-011</x:v>
      </x:c>
      <x:c r="B58" s="426" t="str">
        <x:v>Google Scholar</x:v>
      </x:c>
      <x:c r="C58" s="426" t="str">
        <x:v>GS-01</x:v>
      </x:c>
      <x:c r="D58" s="426" t="str">
        <x:v>Learning optimal summanies of clinical tme-series with concept bottleneck models</x:v>
      </x:c>
      <x:c r="E58" s="426" t="str">
        <x:v>CwWu § Parbhso M~avasi -MachineLearnngfor 2022</x:v>
      </x:c>
      <x:c r="F58" s="426" t="n">
        <x:v>2022</x:v>
      </x:c>
      <x:c r="G58" s="426" t="str">
        <x:v>proceedings mir press</x:v>
      </x:c>
      <x:c r="H58" s="426" t="str">
        <x:v>Google Scholar result</x:v>
      </x:c>
      <x:c r="I58" s="426" t="str">
        <x:v>NR</x:v>
      </x:c>
      <x:c r="J58" s="426" t="str">
        <x:v>NR</x:v>
      </x:c>
      <x:c r="K58" s="426" t="str">
        <x:v>https://proceedings.mlr.press/v182/wu22a/wu22a.pdf</x:v>
      </x:c>
      <x:c r="L58" s="426" t="str">
        <x:v>Despite machine learning models’ state-of-the-art performance in numerous clinical predic- tion and intervention tasks, their complex black-box processes pose a great barrier to their real-world deployment. Clinical experts must be able to understand the reasons behind a model’s recommendation before taking action, as it is crucial to assess for criteria other than accuracy, such as trust, safety, fairness, and robustness. In this work, we enable hu- man inspection of clinical timeseries prediction models by learning concepts, or groupings of features into high-level clinical ideas such as illness severity or kidney function. We also propose an optimization method which then selects the most important features within each concept, learning a collection of sparse prediction models that are sufficiently expres- sive for examination. On a real-world task of predicting vasopressor onset in ICU units, our algorithm achieves predictive performance comparable to state-of-the-art deep learning models while learning concise groupings conducive for clinical inspection.1</x:v>
      </x:c>
      <x:c r="M58" s="426" t="str">
        <x:v>No duplicate</x:v>
      </x:c>
      <x:c r="N58" s="426" t="str">
        <x:v>Not applicable — no duplicate group</x:v>
      </x:c>
      <x:c r="O58" s="426" t="str">
        <x:v>Not applicable</x:v>
      </x:c>
      <x:c r="P58" s="426" t="str">
        <x:v>Yes</x:v>
      </x:c>
      <x:c r="Q58" s="426" t="str">
        <x:v>Include</x:v>
      </x:c>
      <x:c r="R58" s="426" t="str">
        <x:v>Original clinical concept-bottleneck study retained as contextual evidence (I5).</x:v>
      </x:c>
      <x:c r="S58" s="426" t="str">
        <x:v>Verification documented at process level</x:v>
      </x:c>
      <x:c r="T58" s="426" t="str">
        <x:v>Two additional authors performed random spot checks; individual spot-check assignments are not recorded in this register.</x:v>
      </x:c>
      <x:c r="U58" s="426" t="str">
        <x:v>Include</x:v>
      </x:c>
      <x:c r="V58" s="426" t="str">
        <x:v>Primary decision by the corresponding author; two additional authors performed random spot checks as a quality-control step.</x:v>
      </x:c>
      <x:c r="W58" s="426" t="str">
        <x:v>Yes</x:v>
      </x:c>
      <x:c r="X58" s="426" t="str">
        <x:v>Yes</x:v>
      </x:c>
      <x:c r="Y58" s="426" t="str">
        <x:v>Include</x:v>
      </x:c>
      <x:c r="Z58" s="426" t="str">
        <x:v>The corresponding author assessed the complete report and judged it eligible for inclusion in the review.</x:v>
      </x:c>
      <x:c r="AA58" s="22" t="str">
        <x:v>Verification documented at process level</x:v>
      </x:c>
      <x:c r="AB58" s="22" t="str">
        <x:v>Two additional authors performed random spot checks; individual spot-check assignments are not recorded in this register.</x:v>
      </x:c>
      <x:c r="AC58" s="22" t="str">
        <x:v>Include</x:v>
      </x:c>
      <x:c r="AD58" s="22" t="str">
        <x:v>Primary decision by the corresponding author; two additional authors performed random spot checks as a quality-control step.</x:v>
      </x:c>
      <x:c r="AE58" s="22" t="str">
        <x:v>Include</x:v>
      </x:c>
      <x:c r="AF58" s="22" t="str">
        <x:v>Contextual medical concept-XAI evidence</x:v>
      </x:c>
      <x:c r="AG58" s="22" t="str">
        <x:v>Evidence: a7bf3d47-410b-422d-9d43-3204eee74b5b.png; page 2, result 1. Metadata transcribed from captured Google Scholar page; OCR-normalised, verify against publication before citation.</x:v>
      </x:c>
      <x:c r="AH58" s="20" t="str">
        <x:v>No duplicate identified under the documented matching rules.</x:v>
      </x:c>
    </x:row>
    <x:row r="59" ht="42" customHeight="1">
      <x:c r="A59" s="426" t="str">
        <x:v>GS-01-012</x:v>
      </x:c>
      <x:c r="B59" s="426" t="str">
        <x:v>Google Scholar</x:v>
      </x:c>
      <x:c r="C59" s="426" t="str">
        <x:v>GS-01</x:v>
      </x:c>
      <x:c r="D59" s="426" t="str">
        <x:v>Graph integrated multimodal concept bottleneck model</x:v>
      </x:c>
      <x:c r="E59" s="426" t="str">
        <x:v>JLin J Zhang GLu- arXiv preprini arXiv 2510 OC701 2026</x:v>
      </x:c>
      <x:c r="F59" s="426" t="n">
        <x:v>2026</x:v>
      </x:c>
      <x:c r="G59" s="426" t="str">
        <x:v>arxiv org</x:v>
      </x:c>
      <x:c r="H59" s="426" t="str">
        <x:v>Google Scholar result</x:v>
      </x:c>
      <x:c r="I59" s="426" t="str">
        <x:v>NR</x:v>
      </x:c>
      <x:c r="J59" s="426" t="str">
        <x:v>NR</x:v>
      </x:c>
      <x:c r="K59" s="426" t="str">
        <x:v>NR — URL not captured in the available source record</x:v>
      </x:c>
      <x:c r="L59" s="426" t="str">
        <x:v>Not available in the captured evidence; the screening decision used the title and available source metadata.</x:v>
      </x:c>
      <x:c r="M59" s="426" t="str">
        <x:v>No duplicate</x:v>
      </x:c>
      <x:c r="N59" s="426" t="str">
        <x:v>Not applicable — no duplicate group</x:v>
      </x:c>
      <x:c r="O59" s="426" t="str">
        <x:v>Not applicable</x:v>
      </x:c>
      <x:c r="P59" s="426" t="str">
        <x:v>Yes</x:v>
      </x:c>
      <x:c r="Q59" s="426" t="str">
        <x:v>Exclude</x:v>
      </x:c>
      <x:c r="R59" s="426" t="str">
        <x:v>General multimodal concept reasoning without medical or ophthalmic evaluation (E1).</x:v>
      </x:c>
      <x:c r="S59" s="426" t="str">
        <x:v>Verification documented at process level</x:v>
      </x:c>
      <x:c r="T59" s="426" t="str">
        <x:v>Two additional authors performed random spot checks; individual spot-check assignments are not recorded in this register.</x:v>
      </x:c>
      <x:c r="U59" s="426" t="str">
        <x:v>Exclude</x:v>
      </x:c>
      <x:c r="V59" s="426" t="str">
        <x:v>Primary decision by the corresponding author; two additional authors performed random spot checks as a quality-control step.</x:v>
      </x:c>
      <x:c r="W59" s="426" t="str">
        <x:v>No</x:v>
      </x:c>
      <x:c r="X59" s="426" t="str">
        <x:v>Not applicable</x:v>
      </x:c>
      <x:c r="Y59" s="426" t="str">
        <x:v>Not assessed</x:v>
      </x:c>
      <x:c r="Z59" s="426" t="str">
        <x:v>Not advanced to full-text assessment after the title/abstract decision.</x:v>
      </x:c>
      <x:c r="AA59" s="22" t="str">
        <x:v>Not applicable</x:v>
      </x:c>
      <x:c r="AB59" s="22" t="str">
        <x:v>Record was not advanced to full-text assessment.</x:v>
      </x:c>
      <x:c r="AC59" s="22" t="str">
        <x:v>Not assessed</x:v>
      </x:c>
      <x:c r="AD59" s="22" t="str">
        <x:v>Not applicable — no full-text assessment was required.</x:v>
      </x:c>
      <x:c r="AE59" s="22" t="str">
        <x:v>Not included — title/abstract exclusion</x:v>
      </x:c>
      <x:c r="AF59" s="22" t="str">
        <x:v>Not applicable — not included</x:v>
      </x:c>
      <x:c r="AG59" s="22" t="str">
        <x:v>Evidence: a7bf3d47-410b-422d-9d43-3204eee74b5b.png; page 2, result 2. Metadata transcribed from captured Google Scholar page; OCR-normalised, verify against publication before citation.</x:v>
      </x:c>
      <x:c r="AH59" s="20" t="str">
        <x:v>No duplicate identified under the documented matching rules.</x:v>
      </x:c>
    </x:row>
    <x:row r="60" ht="42" customHeight="1">
      <x:c r="A60" s="426" t="str">
        <x:v>GS-01-013</x:v>
      </x:c>
      <x:c r="B60" s="426" t="str">
        <x:v>Google Scholar</x:v>
      </x:c>
      <x:c r="C60" s="426" t="str">
        <x:v>GS-01</x:v>
      </x:c>
      <x:c r="D60" s="426" t="str">
        <x:v>Hyperbolic Concept Bottleneck Model for Interpretable Fine-grained Image Classification</x:v>
      </x:c>
      <x:c r="E60" s="426" t="str">
        <x:v>HM Zhou S Zhacg.- Fu. J Z-ang + EEE Teansactonson 2025</x:v>
      </x:c>
      <x:c r="F60" s="426" t="n">
        <x:v>2025</x:v>
      </x:c>
      <x:c r="G60" s="426" t="str">
        <x:v>iseexplare ieea org</x:v>
      </x:c>
      <x:c r="H60" s="426" t="str">
        <x:v>Google Scholar result</x:v>
      </x:c>
      <x:c r="I60" s="426" t="str">
        <x:v>NR</x:v>
      </x:c>
      <x:c r="J60" s="426" t="str">
        <x:v>NR</x:v>
      </x:c>
      <x:c r="K60" s="426" t="str">
        <x:v>NR — URL not captured in the available source record</x:v>
      </x:c>
      <x:c r="L60" s="426" t="str">
        <x:v>Not available in the captured evidence; the screening decision used the title and available source metadata.</x:v>
      </x:c>
      <x:c r="M60" s="426" t="str">
        <x:v>No duplicate</x:v>
      </x:c>
      <x:c r="N60" s="426" t="str">
        <x:v>Not applicable — no duplicate group</x:v>
      </x:c>
      <x:c r="O60" s="426" t="str">
        <x:v>Not applicable</x:v>
      </x:c>
      <x:c r="P60" s="426" t="str">
        <x:v>Yes</x:v>
      </x:c>
      <x:c r="Q60" s="426" t="str">
        <x:v>Exclude</x:v>
      </x:c>
      <x:c r="R60" s="426" t="str">
        <x:v>General fine-grained image classification outside the clinical domain (E1).</x:v>
      </x:c>
      <x:c r="S60" s="426" t="str">
        <x:v>Verification documented at process level</x:v>
      </x:c>
      <x:c r="T60" s="426" t="str">
        <x:v>Two additional authors performed random spot checks; individual spot-check assignments are not recorded in this register.</x:v>
      </x:c>
      <x:c r="U60" s="426" t="str">
        <x:v>Exclude</x:v>
      </x:c>
      <x:c r="V60" s="426" t="str">
        <x:v>Primary decision by the corresponding author; two additional authors performed random spot checks as a quality-control step.</x:v>
      </x:c>
      <x:c r="W60" s="426" t="str">
        <x:v>No</x:v>
      </x:c>
      <x:c r="X60" s="426" t="str">
        <x:v>Not applicable</x:v>
      </x:c>
      <x:c r="Y60" s="426" t="str">
        <x:v>Not assessed</x:v>
      </x:c>
      <x:c r="Z60" s="426" t="str">
        <x:v>Not advanced to full-text assessment after the title/abstract decision.</x:v>
      </x:c>
      <x:c r="AA60" s="22" t="str">
        <x:v>Not applicable</x:v>
      </x:c>
      <x:c r="AB60" s="22" t="str">
        <x:v>Record was not advanced to full-text assessment.</x:v>
      </x:c>
      <x:c r="AC60" s="22" t="str">
        <x:v>Not assessed</x:v>
      </x:c>
      <x:c r="AD60" s="22" t="str">
        <x:v>Not applicable — no full-text assessment was required.</x:v>
      </x:c>
      <x:c r="AE60" s="22" t="str">
        <x:v>Not included — title/abstract exclusion</x:v>
      </x:c>
      <x:c r="AF60" s="22" t="str">
        <x:v>Not applicable — not included</x:v>
      </x:c>
      <x:c r="AG60" s="22" t="str">
        <x:v>Evidence: a7bf3d47-410b-422d-9d43-3204eee74b5b.png; page 2, result 3. Metadata transcribed from captured Google Scholar page; OCR-normalised, verify against publication before citation.</x:v>
      </x:c>
      <x:c r="AH60" s="20" t="str">
        <x:v>No duplicate identified under the documented matching rules.</x:v>
      </x:c>
    </x:row>
    <x:row r="61" ht="42" customHeight="1">
      <x:c r="A61" s="426" t="str">
        <x:v>GS-01-014</x:v>
      </x:c>
      <x:c r="B61" s="426" t="str">
        <x:v>Google Scholar</x:v>
      </x:c>
      <x:c r="C61" s="426" t="str">
        <x:v>GS-01</x:v>
      </x:c>
      <x:c r="D61" s="426" t="str">
        <x:v>Explainable Visual Anomaly Detection via Concept Bottleneck Models</x:v>
      </x:c>
      <x:c r="E61" s="426" t="str">
        <x:v>ASircpen V Zaccaria EF Borsatti OD Pazze =~ arXiv preprin! arXiv 2025</x:v>
      </x:c>
      <x:c r="F61" s="426" t="n">
        <x:v>2025</x:v>
      </x:c>
      <x:c r="G61" s="426" t="str">
        <x:v>arviv arg</x:v>
      </x:c>
      <x:c r="H61" s="426" t="str">
        <x:v>Google Scholar result</x:v>
      </x:c>
      <x:c r="I61" s="426" t="str">
        <x:v>NR</x:v>
      </x:c>
      <x:c r="J61" s="426" t="str">
        <x:v>NR</x:v>
      </x:c>
      <x:c r="K61" s="426" t="str">
        <x:v>NR — URL not captured in the available source record</x:v>
      </x:c>
      <x:c r="L61" s="426" t="str">
        <x:v>Not available in the captured evidence; the screening decision used the title and available source metadata.</x:v>
      </x:c>
      <x:c r="M61" s="426" t="str">
        <x:v>No duplicate</x:v>
      </x:c>
      <x:c r="N61" s="426" t="str">
        <x:v>Not applicable — no duplicate group</x:v>
      </x:c>
      <x:c r="O61" s="426" t="str">
        <x:v>Not applicable</x:v>
      </x:c>
      <x:c r="P61" s="426" t="str">
        <x:v>Yes</x:v>
      </x:c>
      <x:c r="Q61" s="426" t="str">
        <x:v>Exclude</x:v>
      </x:c>
      <x:c r="R61" s="426" t="str">
        <x:v>General visual-anomaly detection outside the clinical domain (E1).</x:v>
      </x:c>
      <x:c r="S61" s="426" t="str">
        <x:v>Verification documented at process level</x:v>
      </x:c>
      <x:c r="T61" s="426" t="str">
        <x:v>Two additional authors performed random spot checks; individual spot-check assignments are not recorded in this register.</x:v>
      </x:c>
      <x:c r="U61" s="426" t="str">
        <x:v>Exclude</x:v>
      </x:c>
      <x:c r="V61" s="426" t="str">
        <x:v>Primary decision by the corresponding author; two additional authors performed random spot checks as a quality-control step.</x:v>
      </x:c>
      <x:c r="W61" s="426" t="str">
        <x:v>No</x:v>
      </x:c>
      <x:c r="X61" s="426" t="str">
        <x:v>Not applicable</x:v>
      </x:c>
      <x:c r="Y61" s="426" t="str">
        <x:v>Not assessed</x:v>
      </x:c>
      <x:c r="Z61" s="426" t="str">
        <x:v>Not advanced to full-text assessment after the title/abstract decision.</x:v>
      </x:c>
      <x:c r="AA61" s="22" t="str">
        <x:v>Not applicable</x:v>
      </x:c>
      <x:c r="AB61" s="22" t="str">
        <x:v>Record was not advanced to full-text assessment.</x:v>
      </x:c>
      <x:c r="AC61" s="22" t="str">
        <x:v>Not assessed</x:v>
      </x:c>
      <x:c r="AD61" s="22" t="str">
        <x:v>Not applicable — no full-text assessment was required.</x:v>
      </x:c>
      <x:c r="AE61" s="22" t="str">
        <x:v>Not included — title/abstract exclusion</x:v>
      </x:c>
      <x:c r="AF61" s="22" t="str">
        <x:v>Not applicable — not included</x:v>
      </x:c>
      <x:c r="AG61" s="22" t="str">
        <x:v>Evidence: a7bf3d47-410b-422d-9d43-3204eee74b5b.png; page 2, result 4. Metadata transcribed from captured Google Scholar page; OCR-normalised, verify against publication before citation.</x:v>
      </x:c>
      <x:c r="AH61" s="20" t="str">
        <x:v>No duplicate identified under the documented matching rules.</x:v>
      </x:c>
    </x:row>
    <x:row r="62" ht="42" customHeight="1">
      <x:c r="A62" s="426" t="str">
        <x:v>GS-01-015</x:v>
      </x:c>
      <x:c r="B62" s="426" t="str">
        <x:v>Google Scholar</x:v>
      </x:c>
      <x:c r="C62" s="426" t="str">
        <x:v>GS-01</x:v>
      </x:c>
      <x:c r="D62" s="426" t="str">
        <x:v>interpretable model-agnostic plausibility verification for 2d object detectors using domain-invariant concept bottleneck models</x:v>
      </x:c>
      <x:c r="E62" s="426" t="str">
        <x:v>M Xeser G Schwalbe ANowzad -7027 IEEE:CVF 2023 -ieeexplore ees org</x:v>
      </x:c>
      <x:c r="F62" s="426" t="n">
        <x:v>2023</x:v>
      </x:c>
      <x:c r="G62" s="426" t="str">
        <x:v>M Xeser G Schwalbe ANowzad -7027 IEEE:CVF 2023 -ieeexplore ees org</x:v>
      </x:c>
      <x:c r="H62" s="426" t="str">
        <x:v>Google Scholar result</x:v>
      </x:c>
      <x:c r="I62" s="426" t="str">
        <x:v>NR</x:v>
      </x:c>
      <x:c r="J62" s="426" t="str">
        <x:v>NR</x:v>
      </x:c>
      <x:c r="K62" s="426" t="str">
        <x:v>NR — URL not captured in the available source record</x:v>
      </x:c>
      <x:c r="L62" s="426" t="str">
        <x:v>Not available in the captured evidence; the screening decision used the title and available source metadata.</x:v>
      </x:c>
      <x:c r="M62" s="426" t="str">
        <x:v>No duplicate</x:v>
      </x:c>
      <x:c r="N62" s="426" t="str">
        <x:v>Not applicable — no duplicate group</x:v>
      </x:c>
      <x:c r="O62" s="426" t="str">
        <x:v>Not applicable</x:v>
      </x:c>
      <x:c r="P62" s="426" t="str">
        <x:v>Yes</x:v>
      </x:c>
      <x:c r="Q62" s="426" t="str">
        <x:v>Exclude</x:v>
      </x:c>
      <x:c r="R62" s="426" t="str">
        <x:v>General object-detector verification outside the clinical domain (E1).</x:v>
      </x:c>
      <x:c r="S62" s="426" t="str">
        <x:v>Verification documented at process level</x:v>
      </x:c>
      <x:c r="T62" s="426" t="str">
        <x:v>Two additional authors performed random spot checks; individual spot-check assignments are not recorded in this register.</x:v>
      </x:c>
      <x:c r="U62" s="426" t="str">
        <x:v>Exclude</x:v>
      </x:c>
      <x:c r="V62" s="426" t="str">
        <x:v>Primary decision by the corresponding author; two additional authors performed random spot checks as a quality-control step.</x:v>
      </x:c>
      <x:c r="W62" s="426" t="str">
        <x:v>No</x:v>
      </x:c>
      <x:c r="X62" s="426" t="str">
        <x:v>Not applicable</x:v>
      </x:c>
      <x:c r="Y62" s="426" t="str">
        <x:v>Not assessed</x:v>
      </x:c>
      <x:c r="Z62" s="426" t="str">
        <x:v>Not advanced to full-text assessment after the title/abstract decision.</x:v>
      </x:c>
      <x:c r="AA62" s="22" t="str">
        <x:v>Not applicable</x:v>
      </x:c>
      <x:c r="AB62" s="22" t="str">
        <x:v>Record was not advanced to full-text assessment.</x:v>
      </x:c>
      <x:c r="AC62" s="22" t="str">
        <x:v>Not assessed</x:v>
      </x:c>
      <x:c r="AD62" s="22" t="str">
        <x:v>Not applicable — no full-text assessment was required.</x:v>
      </x:c>
      <x:c r="AE62" s="22" t="str">
        <x:v>Not included — title/abstract exclusion</x:v>
      </x:c>
      <x:c r="AF62" s="22" t="str">
        <x:v>Not applicable — not included</x:v>
      </x:c>
      <x:c r="AG62" s="22" t="str">
        <x:v>Evidence: a7bf3d47-410b-422d-9d43-3204eee74b5b.png; page 2, result 5. Metadata transcribed from captured Google Scholar page; OCR-normalised, verify against publication before citation.</x:v>
      </x:c>
      <x:c r="AH62" s="20" t="str">
        <x:v>No duplicate identified under the documented matching rules.</x:v>
      </x:c>
    </x:row>
    <x:row r="63" ht="42" customHeight="1">
      <x:c r="A63" s="426" t="str">
        <x:v>GS-01-016</x:v>
      </x:c>
      <x:c r="B63" s="426" t="str">
        <x:v>Google Scholar</x:v>
      </x:c>
      <x:c r="C63" s="426" t="str">
        <x:v>GS-01</x:v>
      </x:c>
      <x:c r="D63" s="426" t="str">
        <x:v>Concept bottleneck model with additional unsupervised concepts</x:v>
      </x:c>
      <x:c r="E63" s="426" t="str">
        <x:v>Y Sawada. K Nakamura</x:v>
      </x:c>
      <x:c r="F63" s="426" t="n">
        <x:v>2022</x:v>
      </x:c>
      <x:c r="G63" s="426" t="str">
        <x:v>IESE Access 2022 - eeexprore teee arg</x:v>
      </x:c>
      <x:c r="H63" s="426" t="str">
        <x:v>Google Scholar result</x:v>
      </x:c>
      <x:c r="I63" s="426" t="str">
        <x:v>NR</x:v>
      </x:c>
      <x:c r="J63" s="426" t="str">
        <x:v>NR</x:v>
      </x:c>
      <x:c r="K63" s="426" t="str">
        <x:v>NR — URL not captured in the available source record</x:v>
      </x:c>
      <x:c r="L63" s="426" t="str">
        <x:v>Not available in the captured evidence; the screening decision used the title and available source metadata.</x:v>
      </x:c>
      <x:c r="M63" s="426" t="str">
        <x:v>No duplicate</x:v>
      </x:c>
      <x:c r="N63" s="426" t="str">
        <x:v>Not applicable — no duplicate group</x:v>
      </x:c>
      <x:c r="O63" s="426" t="str">
        <x:v>Not applicable</x:v>
      </x:c>
      <x:c r="P63" s="426" t="str">
        <x:v>Yes</x:v>
      </x:c>
      <x:c r="Q63" s="426" t="str">
        <x:v>Exclude</x:v>
      </x:c>
      <x:c r="R63" s="426" t="str">
        <x:v>General CBM without medical or ophthalmic evaluation (E1).</x:v>
      </x:c>
      <x:c r="S63" s="426" t="str">
        <x:v>Verification documented at process level</x:v>
      </x:c>
      <x:c r="T63" s="426" t="str">
        <x:v>Two additional authors performed random spot checks; individual spot-check assignments are not recorded in this register.</x:v>
      </x:c>
      <x:c r="U63" s="426" t="str">
        <x:v>Exclude</x:v>
      </x:c>
      <x:c r="V63" s="426" t="str">
        <x:v>Primary decision by the corresponding author; two additional authors performed random spot checks as a quality-control step.</x:v>
      </x:c>
      <x:c r="W63" s="426" t="str">
        <x:v>No</x:v>
      </x:c>
      <x:c r="X63" s="426" t="str">
        <x:v>Not applicable</x:v>
      </x:c>
      <x:c r="Y63" s="426" t="str">
        <x:v>Not assessed</x:v>
      </x:c>
      <x:c r="Z63" s="426" t="str">
        <x:v>Not advanced to full-text assessment after the title/abstract decision.</x:v>
      </x:c>
      <x:c r="AA63" s="22" t="str">
        <x:v>Not applicable</x:v>
      </x:c>
      <x:c r="AB63" s="22" t="str">
        <x:v>Record was not advanced to full-text assessment.</x:v>
      </x:c>
      <x:c r="AC63" s="22" t="str">
        <x:v>Not assessed</x:v>
      </x:c>
      <x:c r="AD63" s="22" t="str">
        <x:v>Not applicable — no full-text assessment was required.</x:v>
      </x:c>
      <x:c r="AE63" s="22" t="str">
        <x:v>Not included — title/abstract exclusion</x:v>
      </x:c>
      <x:c r="AF63" s="22" t="str">
        <x:v>Not applicable — not included</x:v>
      </x:c>
      <x:c r="AG63" s="22" t="str">
        <x:v>Evidence: a7bf3d47-410b-422d-9d43-3204eee74b5b.png; page 2, result 6. Metadata transcribed from captured Google Scholar page; OCR-normalised, verify against publication before citation.</x:v>
      </x:c>
      <x:c r="AH63" s="20" t="str">
        <x:v>No duplicate identified under the documented matching rules.</x:v>
      </x:c>
    </x:row>
    <x:row r="64" ht="42" customHeight="1">
      <x:c r="A64" s="426" t="str">
        <x:v>GS-01-017</x:v>
      </x:c>
      <x:c r="B64" s="426" t="str">
        <x:v>Google Scholar</x:v>
      </x:c>
      <x:c r="C64" s="426" t="str">
        <x:v>GS-01</x:v>
      </x:c>
      <x:c r="D64" s="426" t="str">
        <x:v>Spatally Graunded Concept Bottleneck Models for Trustworthy Breast Ultrasound Diagnasis</x:v>
      </x:c>
      <x:c r="E64" s="426" t="str">
        <x:v>MR Tonriey DO She HY Adarbah. ANgere</x:v>
      </x:c>
      <x:c r="F64" s="426" t="n">
        <x:v>2026</x:v>
      </x:c>
      <x:c r="G64" s="426" t="str">
        <x:v>arXv pressini arXiv = 2026 - axivorg</x:v>
      </x:c>
      <x:c r="H64" s="426" t="str">
        <x:v>Google Scholar result</x:v>
      </x:c>
      <x:c r="I64" s="426" t="str">
        <x:v>NR</x:v>
      </x:c>
      <x:c r="J64" s="426" t="str">
        <x:v>2607.20691</x:v>
      </x:c>
      <x:c r="K64" s="426" t="str">
        <x:v>https://arxiv.org/pdf/2607.20691</x:v>
      </x:c>
      <x:c r="L64" s="426" t="str">
        <x:v>Concept Bottleneck Models provide interpretable-by-design predictions by mediating diagnosis through human-understandable concepts, but in medical imaging, their trustworthiness is often limited by the quality and granularity of available supervision. In particular, predicted concept activations can be driven by irrelevant regions, leading to spatially unfaithful explanations. We study a data-centric spatially grounded Concept Bottleneck Model (SG-CBM) that leverages coarse lesion delineations as weak supervision to encourage anatomically plausible concept evidence. For breast ultrasound, we derive two clinically motivated zones from each lesion mask: (i) an in-lesion region of interest for morphology-related concepts and (ii) a posterior acoustic band for posterior phenomena. We train concept maps using a grouped spatial grounding objective and preserve semantic faithfulness with a linear bottleneck classifier. Across five-fold stratified group cross-validation, the proposed SG-CBM improves diagnostic AUROC and concept macro-AUROC while markedly increasing spatial alignment of concept evidence. We also perform a Train-corrupt/Test-clean annotation-quality stress test to quantify the impact of supervision quality on diagnosis and spatial faithfulness. Overall, the results underscore the need for data-quality-aware supervision design and systematic trustworthiness validation for deployable healthcare AI systems.</x:v>
      </x:c>
      <x:c r="M64" s="426" t="str">
        <x:v>No duplicate</x:v>
      </x:c>
      <x:c r="N64" s="426" t="str">
        <x:v>Not applicable — no duplicate group</x:v>
      </x:c>
      <x:c r="O64" s="426" t="str">
        <x:v>Not applicable</x:v>
      </x:c>
      <x:c r="P64" s="426" t="str">
        <x:v>Yes</x:v>
      </x:c>
      <x:c r="Q64" s="426" t="str">
        <x:v>Include</x:v>
      </x:c>
      <x:c r="R64" s="426" t="str">
        <x:v>Spatially grounded breast-ultrasound CBM retained as contextual reliability evidence (I5).</x:v>
      </x:c>
      <x:c r="S64" s="426" t="str">
        <x:v>Verification documented at process level</x:v>
      </x:c>
      <x:c r="T64" s="426" t="str">
        <x:v>Two additional authors performed random spot checks; individual spot-check assignments are not recorded in this register.</x:v>
      </x:c>
      <x:c r="U64" s="426" t="str">
        <x:v>Include</x:v>
      </x:c>
      <x:c r="V64" s="426" t="str">
        <x:v>Primary decision by the corresponding author; two additional authors performed random spot checks as a quality-control step.</x:v>
      </x:c>
      <x:c r="W64" s="426" t="str">
        <x:v>Yes</x:v>
      </x:c>
      <x:c r="X64" s="426" t="str">
        <x:v>Yes</x:v>
      </x:c>
      <x:c r="Y64" s="426" t="str">
        <x:v>Include</x:v>
      </x:c>
      <x:c r="Z64" s="426" t="str">
        <x:v>The corresponding author assessed the complete report and judged it eligible for inclusion in the review.</x:v>
      </x:c>
      <x:c r="AA64" s="22" t="str">
        <x:v>Verification documented at process level</x:v>
      </x:c>
      <x:c r="AB64" s="22" t="str">
        <x:v>Two additional authors performed random spot checks; individual spot-check assignments are not recorded in this register.</x:v>
      </x:c>
      <x:c r="AC64" s="22" t="str">
        <x:v>Include</x:v>
      </x:c>
      <x:c r="AD64" s="22" t="str">
        <x:v>Primary decision by the corresponding author; two additional authors performed random spot checks as a quality-control step.</x:v>
      </x:c>
      <x:c r="AE64" s="22" t="str">
        <x:v>Include</x:v>
      </x:c>
      <x:c r="AF64" s="22" t="str">
        <x:v>Contextual medical concept-XAI evidence</x:v>
      </x:c>
      <x:c r="AG64" s="22" t="str">
        <x:v>Evidence: a7bf3d47-410b-422d-9d43-3204eee74b5b.png; page 2, result 7. Metadata transcribed from captured Google Scholar page; OCR-normalised, verify against publication before citation.</x:v>
      </x:c>
      <x:c r="AH64" s="20" t="str">
        <x:v>No duplicate identified under the documented matching rules.</x:v>
      </x:c>
    </x:row>
    <x:row r="65" ht="42" customHeight="1">
      <x:c r="A65" s="426" t="str">
        <x:v>GS-01-018</x:v>
      </x:c>
      <x:c r="B65" s="426" t="str">
        <x:v>Google Scholar</x:v>
      </x:c>
      <x:c r="C65" s="426" t="str">
        <x:v>GS-01</x:v>
      </x:c>
      <x:c r="D65" s="426" t="str">
        <x:v>Explaring the impact af canceptual bottlenecks on adversanal robustness of deep neural networks</x:v>
      </x:c>
      <x:c r="E65" s="426" t="str">
        <x:v>BRasheed MAbderamid AKhan IMenezes</x:v>
      </x:c>
      <x:c r="F65" s="426" t="n">
        <x:v>2024</x:v>
      </x:c>
      <x:c r="G65" s="426" t="str">
        <x:v>EEE 2024 - ieeexplore ieee org</x:v>
      </x:c>
      <x:c r="H65" s="426" t="str">
        <x:v>Google Scholar result</x:v>
      </x:c>
      <x:c r="I65" s="426" t="str">
        <x:v>NR</x:v>
      </x:c>
      <x:c r="J65" s="426" t="str">
        <x:v>NR</x:v>
      </x:c>
      <x:c r="K65" s="426" t="str">
        <x:v>NR — URL not captured in the available source record</x:v>
      </x:c>
      <x:c r="L65" s="426" t="str">
        <x:v>Not available in the captured evidence; the screening decision used the title and available source metadata.</x:v>
      </x:c>
      <x:c r="M65" s="426" t="str">
        <x:v>No duplicate</x:v>
      </x:c>
      <x:c r="N65" s="426" t="str">
        <x:v>Not applicable — no duplicate group</x:v>
      </x:c>
      <x:c r="O65" s="426" t="str">
        <x:v>Not applicable</x:v>
      </x:c>
      <x:c r="P65" s="426" t="str">
        <x:v>Yes</x:v>
      </x:c>
      <x:c r="Q65" s="426" t="str">
        <x:v>Exclude</x:v>
      </x:c>
      <x:c r="R65" s="426" t="str">
        <x:v>General adversarial-robustness study outside the clinical domain (E1).</x:v>
      </x:c>
      <x:c r="S65" s="426" t="str">
        <x:v>Verification documented at process level</x:v>
      </x:c>
      <x:c r="T65" s="426" t="str">
        <x:v>Two additional authors performed random spot checks; individual spot-check assignments are not recorded in this register.</x:v>
      </x:c>
      <x:c r="U65" s="426" t="str">
        <x:v>Exclude</x:v>
      </x:c>
      <x:c r="V65" s="426" t="str">
        <x:v>Primary decision by the corresponding author; two additional authors performed random spot checks as a quality-control step.</x:v>
      </x:c>
      <x:c r="W65" s="426" t="str">
        <x:v>No</x:v>
      </x:c>
      <x:c r="X65" s="426" t="str">
        <x:v>Not applicable</x:v>
      </x:c>
      <x:c r="Y65" s="426" t="str">
        <x:v>Not assessed</x:v>
      </x:c>
      <x:c r="Z65" s="426" t="str">
        <x:v>Not advanced to full-text assessment after the title/abstract decision.</x:v>
      </x:c>
      <x:c r="AA65" s="22" t="str">
        <x:v>Not applicable</x:v>
      </x:c>
      <x:c r="AB65" s="22" t="str">
        <x:v>Record was not advanced to full-text assessment.</x:v>
      </x:c>
      <x:c r="AC65" s="22" t="str">
        <x:v>Not assessed</x:v>
      </x:c>
      <x:c r="AD65" s="22" t="str">
        <x:v>Not applicable — no full-text assessment was required.</x:v>
      </x:c>
      <x:c r="AE65" s="22" t="str">
        <x:v>Not included — title/abstract exclusion</x:v>
      </x:c>
      <x:c r="AF65" s="22" t="str">
        <x:v>Not applicable — not included</x:v>
      </x:c>
      <x:c r="AG65" s="22" t="str">
        <x:v>Evidence: a7bf3d47-410b-422d-9d43-3204eee74b5b.png; page 2, result 8. Metadata transcribed from captured Google Scholar page; OCR-normalised, verify against publication before citation.</x:v>
      </x:c>
      <x:c r="AH65" s="20" t="str">
        <x:v>No duplicate identified under the documented matching rules.</x:v>
      </x:c>
    </x:row>
    <x:row r="66" ht="42" customHeight="1">
      <x:c r="A66" s="426" t="str">
        <x:v>GS-01-019</x:v>
      </x:c>
      <x:c r="B66" s="426" t="str">
        <x:v>Google Scholar</x:v>
      </x:c>
      <x:c r="C66" s="426" t="str">
        <x:v>GS-01</x:v>
      </x:c>
      <x:c r="D66" s="426" t="str">
        <x:v>Counterfactual concept bottleneck models</x:v>
      </x:c>
      <x:c r="E66" s="426" t="str">
        <x:v>G Dominic) P Barbero F Giansing -Intemational 2025</x:v>
      </x:c>
      <x:c r="F66" s="426" t="n">
        <x:v>2025</x:v>
      </x:c>
      <x:c r="G66" s="426" t="str">
        <x:v>proceedings icir ce</x:v>
      </x:c>
      <x:c r="H66" s="426" t="str">
        <x:v>Google Scholar result</x:v>
      </x:c>
      <x:c r="I66" s="426" t="str">
        <x:v>NR</x:v>
      </x:c>
      <x:c r="J66" s="426" t="str">
        <x:v>NR</x:v>
      </x:c>
      <x:c r="K66" s="426" t="str">
        <x:v>NR — URL not captured in the available source record</x:v>
      </x:c>
      <x:c r="L66" s="426" t="str">
        <x:v>Not available in the captured evidence; the screening decision used the title and available source metadata.</x:v>
      </x:c>
      <x:c r="M66" s="426" t="str">
        <x:v>No duplicate</x:v>
      </x:c>
      <x:c r="N66" s="426" t="str">
        <x:v>Not applicable — no duplicate group</x:v>
      </x:c>
      <x:c r="O66" s="426" t="str">
        <x:v>Not applicable</x:v>
      </x:c>
      <x:c r="P66" s="426" t="str">
        <x:v>Yes</x:v>
      </x:c>
      <x:c r="Q66" s="426" t="str">
        <x:v>Exclude</x:v>
      </x:c>
      <x:c r="R66" s="426" t="str">
        <x:v>General counterfactual CBM without relevant clinical evaluation (E1).</x:v>
      </x:c>
      <x:c r="S66" s="426" t="str">
        <x:v>Verification documented at process level</x:v>
      </x:c>
      <x:c r="T66" s="426" t="str">
        <x:v>Two additional authors performed random spot checks; individual spot-check assignments are not recorded in this register.</x:v>
      </x:c>
      <x:c r="U66" s="426" t="str">
        <x:v>Exclude</x:v>
      </x:c>
      <x:c r="V66" s="426" t="str">
        <x:v>Primary decision by the corresponding author; two additional authors performed random spot checks as a quality-control step.</x:v>
      </x:c>
      <x:c r="W66" s="426" t="str">
        <x:v>No</x:v>
      </x:c>
      <x:c r="X66" s="426" t="str">
        <x:v>Not applicable</x:v>
      </x:c>
      <x:c r="Y66" s="426" t="str">
        <x:v>Not assessed</x:v>
      </x:c>
      <x:c r="Z66" s="426" t="str">
        <x:v>Not advanced to full-text assessment after the title/abstract decision.</x:v>
      </x:c>
      <x:c r="AA66" s="22" t="str">
        <x:v>Not applicable</x:v>
      </x:c>
      <x:c r="AB66" s="22" t="str">
        <x:v>Record was not advanced to full-text assessment.</x:v>
      </x:c>
      <x:c r="AC66" s="22" t="str">
        <x:v>Not assessed</x:v>
      </x:c>
      <x:c r="AD66" s="22" t="str">
        <x:v>Not applicable — no full-text assessment was required.</x:v>
      </x:c>
      <x:c r="AE66" s="22" t="str">
        <x:v>Not included — title/abstract exclusion</x:v>
      </x:c>
      <x:c r="AF66" s="22" t="str">
        <x:v>Not applicable — not included</x:v>
      </x:c>
      <x:c r="AG66" s="22" t="str">
        <x:v>Evidence: a7bf3d47-410b-422d-9d43-3204eee74b5b.png; page 2, result 9. Metadata transcribed from captured Google Scholar page; OCR-normalised, verify against publication before citation.</x:v>
      </x:c>
      <x:c r="AH66" s="20" t="str">
        <x:v>No duplicate identified under the documented matching rules.</x:v>
      </x:c>
    </x:row>
    <x:row r="67" ht="42" customHeight="1">
      <x:c r="A67" s="426" t="str">
        <x:v>GS-01-020</x:v>
      </x:c>
      <x:c r="B67" s="426" t="str">
        <x:v>Google Scholar</x:v>
      </x:c>
      <x:c r="C67" s="426" t="str">
        <x:v>GS-01</x:v>
      </x:c>
      <x:c r="D67" s="426" t="str">
        <x:v>Explainable neural network-based madulation classification via concept bottleneck models</x:v>
      </x:c>
      <x:c r="E67" s="426" t="str">
        <x:v>Le “eng, S$ McPherson</x:v>
      </x:c>
      <x:c r="F67" s="426" t="n">
        <x:v>2021</x:v>
      </x:c>
      <x:c r="G67" s="426" t="str">
        <x:v>2021 IEEE '1thAnnual Computing § =. 202° - ieeexplare ieae org</x:v>
      </x:c>
      <x:c r="H67" s="426" t="str">
        <x:v>Google Scholar result</x:v>
      </x:c>
      <x:c r="I67" s="426" t="str">
        <x:v>NR</x:v>
      </x:c>
      <x:c r="J67" s="426" t="str">
        <x:v>NR</x:v>
      </x:c>
      <x:c r="K67" s="426" t="str">
        <x:v>NR — URL not captured in the available source record</x:v>
      </x:c>
      <x:c r="L67" s="426" t="str">
        <x:v>Not available in the captured evidence; the screening decision used the title and available source metadata.</x:v>
      </x:c>
      <x:c r="M67" s="426" t="str">
        <x:v>No duplicate</x:v>
      </x:c>
      <x:c r="N67" s="426" t="str">
        <x:v>Not applicable — no duplicate group</x:v>
      </x:c>
      <x:c r="O67" s="426" t="str">
        <x:v>Not applicable</x:v>
      </x:c>
      <x:c r="P67" s="426" t="str">
        <x:v>Yes</x:v>
      </x:c>
      <x:c r="Q67" s="426" t="str">
        <x:v>Exclude</x:v>
      </x:c>
      <x:c r="R67" s="426" t="str">
        <x:v>Communications modulation-classification application (E1).</x:v>
      </x:c>
      <x:c r="S67" s="426" t="str">
        <x:v>Verification documented at process level</x:v>
      </x:c>
      <x:c r="T67" s="426" t="str">
        <x:v>Two additional authors performed random spot checks; individual spot-check assignments are not recorded in this register.</x:v>
      </x:c>
      <x:c r="U67" s="426" t="str">
        <x:v>Exclude</x:v>
      </x:c>
      <x:c r="V67" s="426" t="str">
        <x:v>Primary decision by the corresponding author; two additional authors performed random spot checks as a quality-control step.</x:v>
      </x:c>
      <x:c r="W67" s="426" t="str">
        <x:v>No</x:v>
      </x:c>
      <x:c r="X67" s="426" t="str">
        <x:v>Not applicable</x:v>
      </x:c>
      <x:c r="Y67" s="426" t="str">
        <x:v>Not assessed</x:v>
      </x:c>
      <x:c r="Z67" s="426" t="str">
        <x:v>Not advanced to full-text assessment after the title/abstract decision.</x:v>
      </x:c>
      <x:c r="AA67" s="22" t="str">
        <x:v>Not applicable</x:v>
      </x:c>
      <x:c r="AB67" s="22" t="str">
        <x:v>Record was not advanced to full-text assessment.</x:v>
      </x:c>
      <x:c r="AC67" s="22" t="str">
        <x:v>Not assessed</x:v>
      </x:c>
      <x:c r="AD67" s="22" t="str">
        <x:v>Not applicable — no full-text assessment was required.</x:v>
      </x:c>
      <x:c r="AE67" s="22" t="str">
        <x:v>Not included — title/abstract exclusion</x:v>
      </x:c>
      <x:c r="AF67" s="22" t="str">
        <x:v>Not applicable — not included</x:v>
      </x:c>
      <x:c r="AG67" s="22" t="str">
        <x:v>Evidence: a7bf3d47-410b-422d-9d43-3204eee74b5b.png; page 2, result 10. Metadata transcribed from captured Google Scholar page; OCR-normalised, verify against publication before citation.</x:v>
      </x:c>
      <x:c r="AH67" s="20" t="str">
        <x:v>No duplicate identified under the documented matching rules.</x:v>
      </x:c>
    </x:row>
    <x:row r="68" ht="42" customHeight="1">
      <x:c r="A68" s="426" t="str">
        <x:v>GS-01-021</x:v>
      </x:c>
      <x:c r="B68" s="426" t="str">
        <x:v>Google Scholar</x:v>
      </x:c>
      <x:c r="C68" s="426" t="str">
        <x:v>GS-01</x:v>
      </x:c>
      <x:c r="D68" s="426" t="str">
        <x:v>A concept-based interpretable model for tha diagnosis of choraid necplasias using multimodal data</x:v>
      </x:c>
      <x:c r="E68" s="426" t="str">
        <x:v>Yiwu, ¥ iu Y Yang MS Yao W Yang XShi...- Nature. 2025</x:v>
      </x:c>
      <x:c r="F68" s="426" t="n">
        <x:v>2025</x:v>
      </x:c>
      <x:c r="G68" s="426" t="str">
        <x:v>saluré com</x:v>
      </x:c>
      <x:c r="H68" s="426" t="str">
        <x:v>Google Scholar result</x:v>
      </x:c>
      <x:c r="I68" s="426" t="str">
        <x:v>NR</x:v>
      </x:c>
      <x:c r="J68" s="426" t="str">
        <x:v>NR</x:v>
      </x:c>
      <x:c r="K68" s="426" t="str">
        <x:v>https://europepmc.org/articles/pmc11994757?pdf=render</x:v>
      </x:c>
      <x:c r="L68" s="426" t="str">
        <x:v>Diagnosing rare diseases remains a critical challenge in clinical practice, often requiring specialist expertise. Despite the promising potential of machine learning, the scarcity of data on rare diseases and the need for interpretable, reliable artificial intelligence models complicates development. This study introduces a multimodal concept-based interpretable model tailored to distinguish uveal melanoma from hemangioma and metastatic carcinoma following clinical practice. The dataset encompasses over 750 Asian patients with choroid neoplasm imaging and radiological reports. The model integrates domain-expert insights from radiological reports and differentiates three types of choroidal tumours, achieving an F1 score of 0.91. Its performance matches senior ophthalmologists and improves the diagnostic accuracy of less experienced clinicians by 42%.</x:v>
      </x:c>
      <x:c r="M68" s="426" t="str">
        <x:v>No duplicate</x:v>
      </x:c>
      <x:c r="N68" s="426" t="str">
        <x:v>Not applicable — no duplicate group</x:v>
      </x:c>
      <x:c r="O68" s="426" t="str">
        <x:v>Not applicable</x:v>
      </x:c>
      <x:c r="P68" s="426" t="str">
        <x:v>Yes</x:v>
      </x:c>
      <x:c r="Q68" s="426" t="str">
        <x:v>Include</x:v>
      </x:c>
      <x:c r="R68" s="426" t="str">
        <x:v>Direct ophthalmic multimodal concept-based diagnosis of choroid neoplasias (I2–I4).</x:v>
      </x:c>
      <x:c r="S68" s="426" t="str">
        <x:v>Verification documented at process level</x:v>
      </x:c>
      <x:c r="T68" s="426" t="str">
        <x:v>Two additional authors performed random spot checks; individual spot-check assignments are not recorded in this register.</x:v>
      </x:c>
      <x:c r="U68" s="426" t="str">
        <x:v>Include</x:v>
      </x:c>
      <x:c r="V68" s="426" t="str">
        <x:v>Primary decision by the corresponding author; two additional authors performed random spot checks as a quality-control step.</x:v>
      </x:c>
      <x:c r="W68" s="426" t="str">
        <x:v>Yes</x:v>
      </x:c>
      <x:c r="X68" s="426" t="str">
        <x:v>Yes</x:v>
      </x:c>
      <x:c r="Y68" s="426" t="str">
        <x:v>Include</x:v>
      </x:c>
      <x:c r="Z68" s="426" t="str">
        <x:v>The corresponding author assessed the complete report and judged it eligible for inclusion in the review.</x:v>
      </x:c>
      <x:c r="AA68" s="22" t="str">
        <x:v>Verification documented at process level</x:v>
      </x:c>
      <x:c r="AB68" s="22" t="str">
        <x:v>Two additional authors performed random spot checks; individual spot-check assignments are not recorded in this register.</x:v>
      </x:c>
      <x:c r="AC68" s="22" t="str">
        <x:v>Include</x:v>
      </x:c>
      <x:c r="AD68" s="22" t="str">
        <x:v>Primary decision by the corresponding author; two additional authors performed random spot checks as a quality-control step.</x:v>
      </x:c>
      <x:c r="AE68" s="22" t="str">
        <x:v>Include</x:v>
      </x:c>
      <x:c r="AF68" s="22" t="str">
        <x:v>Direct retinal/ophthalmic evidence</x:v>
      </x:c>
      <x:c r="AG68" s="22" t="str">
        <x:v>Evidence: 4a6bab28-e84a-4539-a40a-8346b62828cf.png; page 3, result 1. Metadata transcribed from captured Google Scholar page; OCR-normalised, verify against publication before citation.</x:v>
      </x:c>
      <x:c r="AH68" s="20" t="str">
        <x:v>No duplicate identified under the documented matching rules.</x:v>
      </x:c>
    </x:row>
    <x:row r="69" ht="42" customHeight="1">
      <x:c r="A69" s="426" t="str">
        <x:v>GS-01-022</x:v>
      </x:c>
      <x:c r="B69" s="426" t="str">
        <x:v>Google Scholar</x:v>
      </x:c>
      <x:c r="C69" s="426" t="str">
        <x:v>GS-01</x:v>
      </x:c>
      <x:c r="D69" s="426" t="str">
        <x:v>Cancepts from neurons’ Building interpretable medica! image diagnostic models by dissecting opaque neural networks</x:v>
      </x:c>
      <x:c r="E69" s="426" t="str">
        <x:v>S Song H Wang X Zhang QO Dou</x:v>
      </x:c>
      <x:c r="F69" s="426" t="n">
        <x:v>2025</x:v>
      </x:c>
      <x:c r="G69" s="426" t="str">
        <x:v>Inlemational Corference on =. 2025 - Springer</x:v>
      </x:c>
      <x:c r="H69" s="426" t="str">
        <x:v>Google Scholar result</x:v>
      </x:c>
      <x:c r="I69" s="426" t="str">
        <x:v>10.1007/978-3-031-96625-5_1</x:v>
      </x:c>
      <x:c r="J69" s="426" t="str">
        <x:v>NR</x:v>
      </x:c>
      <x:c r="K69" s="426" t="str">
        <x:v>https://link.springer.com/chapter/10.1007/978-3-031-96625-5_1</x:v>
      </x:c>
      <x:c r="L69" s="426" t="str">
        <x:v>Deep learning has achieved remarkable success in medical image analysis, yet its translation to clinical settings is often impeded by the opaque nature of these models. While interpretable models like Concept Bottleneck Models (CBMs) maintain good interpretability,...</x:v>
      </x:c>
      <x:c r="M69" s="426" t="str">
        <x:v>No duplicate</x:v>
      </x:c>
      <x:c r="N69" s="426" t="str">
        <x:v>Not applicable — no duplicate group</x:v>
      </x:c>
      <x:c r="O69" s="426" t="str">
        <x:v>Not applicable</x:v>
      </x:c>
      <x:c r="P69" s="426" t="str">
        <x:v>Yes</x:v>
      </x:c>
      <x:c r="Q69" s="426" t="str">
        <x:v>Include</x:v>
      </x:c>
      <x:c r="R69" s="426" t="str">
        <x:v>Original concept-oriented medical-image diagnostic method retained as contextual evidence (I5).</x:v>
      </x:c>
      <x:c r="S69" s="426" t="str">
        <x:v>Verification documented at process level</x:v>
      </x:c>
      <x:c r="T69" s="426" t="str">
        <x:v>Two additional authors performed random spot checks; individual spot-check assignments are not recorded in this register.</x:v>
      </x:c>
      <x:c r="U69" s="426" t="str">
        <x:v>Include</x:v>
      </x:c>
      <x:c r="V69" s="426" t="str">
        <x:v>Primary decision by the corresponding author; two additional authors performed random spot checks as a quality-control step.</x:v>
      </x:c>
      <x:c r="W69" s="426" t="str">
        <x:v>Yes</x:v>
      </x:c>
      <x:c r="X69" s="426" t="str">
        <x:v>Yes</x:v>
      </x:c>
      <x:c r="Y69" s="426" t="str">
        <x:v>Include</x:v>
      </x:c>
      <x:c r="Z69" s="426" t="str">
        <x:v>The corresponding author confirmed full-text assessment. Abstract/official-record rationale (I5): The abstract constructs interpretable medical-image models by discovering neuron-derived concepts without manual concept annotation; it is retained as contextual original concept-oriented evidence.</x:v>
      </x:c>
      <x:c r="AA69" s="22" t="str">
        <x:v>Verification documented at process level</x:v>
      </x:c>
      <x:c r="AB69" s="22" t="str">
        <x:v>Two additional authors performed random spot checks; individual spot-check assignments are not recorded in this register.</x:v>
      </x:c>
      <x:c r="AC69" s="22" t="str">
        <x:v>Include</x:v>
      </x:c>
      <x:c r="AD69" s="22" t="str">
        <x:v>Primary decision by the corresponding author; two additional authors performed random spot checks as a quality-control step.</x:v>
      </x:c>
      <x:c r="AE69" s="22" t="str">
        <x:v>Include</x:v>
      </x:c>
      <x:c r="AF69" s="22" t="str">
        <x:v>Contextual medical concept-XAI evidence</x:v>
      </x:c>
      <x:c r="AG69" s="22" t="str">
        <x:v>Evidence: 4a6bab28-e84a-4539-a40a-8346b62828cf.png; page 3, result 2. Metadata transcribed from captured Google Scholar page; OCR-normalised, verify against publication before citation.</x:v>
      </x:c>
      <x:c r="AH69" s="20" t="str">
        <x:v>No duplicate identified under the documented matching rules.</x:v>
      </x:c>
    </x:row>
    <x:row r="70" ht="42" customHeight="1">
      <x:c r="A70" s="426" t="str">
        <x:v>GS-01-023</x:v>
      </x:c>
      <x:c r="B70" s="426" t="str">
        <x:v>Google Scholar</x:v>
      </x:c>
      <x:c r="C70" s="426" t="str">
        <x:v>GS-01</x:v>
      </x:c>
      <x:c r="D70" s="426" t="str">
        <x:v>Enhancing concept tocalization in clip-based concept bottleneck models</x:v>
      </x:c>
      <x:c r="E70" s="426" t="str">
        <x:v>R Kazmerczak SAzzolin E Berthier Gfrehse</x:v>
      </x:c>
      <x:c r="F70" s="426" t="n">
        <x:v>2025</x:v>
      </x:c>
      <x:c r="G70" s="426" t="str">
        <x:v>arXiv preprini arXiv = 2025 - arxivorg</x:v>
      </x:c>
      <x:c r="H70" s="426" t="str">
        <x:v>Google Scholar result</x:v>
      </x:c>
      <x:c r="I70" s="426" t="str">
        <x:v>NR</x:v>
      </x:c>
      <x:c r="J70" s="426" t="str">
        <x:v>NR</x:v>
      </x:c>
      <x:c r="K70" s="426" t="str">
        <x:v>NR — URL not captured in the available source record</x:v>
      </x:c>
      <x:c r="L70" s="426" t="str">
        <x:v>Not available in the captured evidence; the screening decision used the title and available source metadata.</x:v>
      </x:c>
      <x:c r="M70" s="426" t="str">
        <x:v>No duplicate</x:v>
      </x:c>
      <x:c r="N70" s="426" t="str">
        <x:v>Not applicable — no duplicate group</x:v>
      </x:c>
      <x:c r="O70" s="426" t="str">
        <x:v>Not applicable</x:v>
      </x:c>
      <x:c r="P70" s="426" t="str">
        <x:v>Yes</x:v>
      </x:c>
      <x:c r="Q70" s="426" t="str">
        <x:v>Exclude</x:v>
      </x:c>
      <x:c r="R70" s="426" t="str">
        <x:v>General CLIP concept-localisation study without clinical evaluation (E1).</x:v>
      </x:c>
      <x:c r="S70" s="426" t="str">
        <x:v>Verification documented at process level</x:v>
      </x:c>
      <x:c r="T70" s="426" t="str">
        <x:v>Two additional authors performed random spot checks; individual spot-check assignments are not recorded in this register.</x:v>
      </x:c>
      <x:c r="U70" s="426" t="str">
        <x:v>Exclude</x:v>
      </x:c>
      <x:c r="V70" s="426" t="str">
        <x:v>Primary decision by the corresponding author; two additional authors performed random spot checks as a quality-control step.</x:v>
      </x:c>
      <x:c r="W70" s="426" t="str">
        <x:v>No</x:v>
      </x:c>
      <x:c r="X70" s="426" t="str">
        <x:v>Not applicable</x:v>
      </x:c>
      <x:c r="Y70" s="426" t="str">
        <x:v>Not assessed</x:v>
      </x:c>
      <x:c r="Z70" s="426" t="str">
        <x:v>Not advanced to full-text assessment after the title/abstract decision.</x:v>
      </x:c>
      <x:c r="AA70" s="22" t="str">
        <x:v>Not applicable</x:v>
      </x:c>
      <x:c r="AB70" s="22" t="str">
        <x:v>Record was not advanced to full-text assessment.</x:v>
      </x:c>
      <x:c r="AC70" s="22" t="str">
        <x:v>Not assessed</x:v>
      </x:c>
      <x:c r="AD70" s="22" t="str">
        <x:v>Not applicable — no full-text assessment was required.</x:v>
      </x:c>
      <x:c r="AE70" s="22" t="str">
        <x:v>Not included — title/abstract exclusion</x:v>
      </x:c>
      <x:c r="AF70" s="22" t="str">
        <x:v>Not applicable — not included</x:v>
      </x:c>
      <x:c r="AG70" s="22" t="str">
        <x:v>Evidence: 4a6bab28-e84a-4539-a40a-8346b62828cf.png; page 3, result 3. Metadata transcribed from captured Google Scholar page; OCR-normalised, verify against publication before citation.</x:v>
      </x:c>
      <x:c r="AH70" s="20" t="str">
        <x:v>No duplicate identified under the documented matching rules.</x:v>
      </x:c>
    </x:row>
    <x:row r="71" ht="42" customHeight="1">
      <x:c r="A71" s="426" t="str">
        <x:v>GS-01-024</x:v>
      </x:c>
      <x:c r="B71" s="426" t="str">
        <x:v>Google Scholar</x:v>
      </x:c>
      <x:c r="C71" s="426" t="str">
        <x:v>GS-01</x:v>
      </x:c>
      <x:c r="D71" s="426" t="str">
        <x:v>Process-Guided Concept Bottleneck Nlodel</x:v>
      </x:c>
      <x:c r="E71" s="426" t="str">
        <x:v>RM Asiyabi. 5 Partnership. Skancock + arXw preprintarXiy =. 2026</x:v>
      </x:c>
      <x:c r="F71" s="426" t="n">
        <x:v>2026</x:v>
      </x:c>
      <x:c r="G71" s="426" t="str">
        <x:v>srev org</x:v>
      </x:c>
      <x:c r="H71" s="426" t="str">
        <x:v>Google Scholar result</x:v>
      </x:c>
      <x:c r="I71" s="426" t="str">
        <x:v>NR</x:v>
      </x:c>
      <x:c r="J71" s="426" t="str">
        <x:v>NR</x:v>
      </x:c>
      <x:c r="K71" s="426" t="str">
        <x:v>NR — URL not captured in the available source record</x:v>
      </x:c>
      <x:c r="L71" s="426" t="str">
        <x:v>Not available in the captured evidence; the screening decision used the title and available source metadata.</x:v>
      </x:c>
      <x:c r="M71" s="426" t="str">
        <x:v>No duplicate</x:v>
      </x:c>
      <x:c r="N71" s="426" t="str">
        <x:v>Not applicable — no duplicate group</x:v>
      </x:c>
      <x:c r="O71" s="426" t="str">
        <x:v>Not applicable</x:v>
      </x:c>
      <x:c r="P71" s="426" t="str">
        <x:v>Yes</x:v>
      </x:c>
      <x:c r="Q71" s="426" t="str">
        <x:v>Exclude</x:v>
      </x:c>
      <x:c r="R71" s="426" t="str">
        <x:v>Earth-observation biomass application outside the review domain (E1).</x:v>
      </x:c>
      <x:c r="S71" s="426" t="str">
        <x:v>Verification documented at process level</x:v>
      </x:c>
      <x:c r="T71" s="426" t="str">
        <x:v>Two additional authors performed random spot checks; individual spot-check assignments are not recorded in this register.</x:v>
      </x:c>
      <x:c r="U71" s="426" t="str">
        <x:v>Exclude</x:v>
      </x:c>
      <x:c r="V71" s="426" t="str">
        <x:v>Primary decision by the corresponding author; two additional authors performed random spot checks as a quality-control step.</x:v>
      </x:c>
      <x:c r="W71" s="426" t="str">
        <x:v>No</x:v>
      </x:c>
      <x:c r="X71" s="426" t="str">
        <x:v>Not applicable</x:v>
      </x:c>
      <x:c r="Y71" s="426" t="str">
        <x:v>Not assessed</x:v>
      </x:c>
      <x:c r="Z71" s="426" t="str">
        <x:v>Not advanced to full-text assessment after the title/abstract decision.</x:v>
      </x:c>
      <x:c r="AA71" s="22" t="str">
        <x:v>Not applicable</x:v>
      </x:c>
      <x:c r="AB71" s="22" t="str">
        <x:v>Record was not advanced to full-text assessment.</x:v>
      </x:c>
      <x:c r="AC71" s="22" t="str">
        <x:v>Not assessed</x:v>
      </x:c>
      <x:c r="AD71" s="22" t="str">
        <x:v>Not applicable — no full-text assessment was required.</x:v>
      </x:c>
      <x:c r="AE71" s="22" t="str">
        <x:v>Not included — title/abstract exclusion</x:v>
      </x:c>
      <x:c r="AF71" s="22" t="str">
        <x:v>Not applicable — not included</x:v>
      </x:c>
      <x:c r="AG71" s="22" t="str">
        <x:v>Evidence: 4a6bab28-e84a-4539-a40a-8346b62828cf.png; page 3, result 4. Metadata transcribed from captured Google Scholar page; OCR-normalised, verify against publication before citation.</x:v>
      </x:c>
      <x:c r="AH71" s="20" t="str">
        <x:v>No duplicate identified under the documented matching rules.</x:v>
      </x:c>
    </x:row>
    <x:row r="72" ht="42" customHeight="1">
      <x:c r="A72" s="426" t="str">
        <x:v>GS-01-025</x:v>
      </x:c>
      <x:c r="B72" s="426" t="str">
        <x:v>Google Scholar</x:v>
      </x:c>
      <x:c r="C72" s="426" t="str">
        <x:v>GS-01</x:v>
      </x:c>
      <x:c r="D72" s="426" t="str">
        <x:v>Post-hoc stochastic concept bottleneck models</x:v>
      </x:c>
      <x:c r="E72" s="426" t="str">
        <x:v>WJ Foffmann, S Laguna. Af Yandeahirtzg</x:v>
      </x:c>
      <x:c r="F72" s="426" t="n">
        <x:v>2025</x:v>
      </x:c>
      <x:c r="G72" s="426" t="str">
        <x:v>arkiy preprirtaXiv =| 2025 - axiv org</x:v>
      </x:c>
      <x:c r="H72" s="426" t="str">
        <x:v>Google Scholar result</x:v>
      </x:c>
      <x:c r="I72" s="426" t="str">
        <x:v>NR</x:v>
      </x:c>
      <x:c r="J72" s="426" t="str">
        <x:v>NR</x:v>
      </x:c>
      <x:c r="K72" s="426" t="str">
        <x:v>NR — URL not captured in the available source record</x:v>
      </x:c>
      <x:c r="L72" s="426" t="str">
        <x:v>Not available in the captured evidence; the screening decision used the title and available source metadata.</x:v>
      </x:c>
      <x:c r="M72" s="426" t="str">
        <x:v>No duplicate</x:v>
      </x:c>
      <x:c r="N72" s="426" t="str">
        <x:v>Not applicable — no duplicate group</x:v>
      </x:c>
      <x:c r="O72" s="426" t="str">
        <x:v>Not applicable</x:v>
      </x:c>
      <x:c r="P72" s="426" t="str">
        <x:v>Yes</x:v>
      </x:c>
      <x:c r="Q72" s="426" t="str">
        <x:v>Exclude</x:v>
      </x:c>
      <x:c r="R72" s="426" t="str">
        <x:v>General stochastic CBM without medical or ophthalmic evaluation (E1).</x:v>
      </x:c>
      <x:c r="S72" s="426" t="str">
        <x:v>Verification documented at process level</x:v>
      </x:c>
      <x:c r="T72" s="426" t="str">
        <x:v>Two additional authors performed random spot checks; individual spot-check assignments are not recorded in this register.</x:v>
      </x:c>
      <x:c r="U72" s="426" t="str">
        <x:v>Exclude</x:v>
      </x:c>
      <x:c r="V72" s="426" t="str">
        <x:v>Primary decision by the corresponding author; two additional authors performed random spot checks as a quality-control step.</x:v>
      </x:c>
      <x:c r="W72" s="426" t="str">
        <x:v>No</x:v>
      </x:c>
      <x:c r="X72" s="426" t="str">
        <x:v>Not applicable</x:v>
      </x:c>
      <x:c r="Y72" s="426" t="str">
        <x:v>Not assessed</x:v>
      </x:c>
      <x:c r="Z72" s="426" t="str">
        <x:v>Not advanced to full-text assessment after the title/abstract decision.</x:v>
      </x:c>
      <x:c r="AA72" s="22" t="str">
        <x:v>Not applicable</x:v>
      </x:c>
      <x:c r="AB72" s="22" t="str">
        <x:v>Record was not advanced to full-text assessment.</x:v>
      </x:c>
      <x:c r="AC72" s="22" t="str">
        <x:v>Not assessed</x:v>
      </x:c>
      <x:c r="AD72" s="22" t="str">
        <x:v>Not applicable — no full-text assessment was required.</x:v>
      </x:c>
      <x:c r="AE72" s="22" t="str">
        <x:v>Not included — title/abstract exclusion</x:v>
      </x:c>
      <x:c r="AF72" s="22" t="str">
        <x:v>Not applicable — not included</x:v>
      </x:c>
      <x:c r="AG72" s="22" t="str">
        <x:v>Evidence: 4a6bab28-e84a-4539-a40a-8346b62828cf.png; page 3, result 5. Metadata transcribed from captured Google Scholar page; OCR-normalised, verify against publication before citation.</x:v>
      </x:c>
      <x:c r="AH72" s="20" t="str">
        <x:v>No duplicate identified under the documented matching rules.</x:v>
      </x:c>
    </x:row>
    <x:row r="73" ht="42" customHeight="1">
      <x:c r="A73" s="426" t="str">
        <x:v>GS-01-026</x:v>
      </x:c>
      <x:c r="B73" s="426" t="str">
        <x:v>Google Scholar</x:v>
      </x:c>
      <x:c r="C73" s="426" t="str">
        <x:v>GS-01</x:v>
      </x:c>
      <x:c r="D73" s="426" t="str">
        <x:v>Tree-based leakage inspection and control in concept bottleneck madels</x:v>
      </x:c>
      <x:c r="E73" s="426" t="str">
        <x:v>ARaskousis $ Pacbhgo</x:v>
      </x:c>
      <x:c r="F73" s="426" t="n">
        <x:v>2024</x:v>
      </x:c>
      <x:c r="G73" s="426" t="str">
        <x:v>arXiv preprin! arXiv 2410 06352. 2024 - arxivorg</x:v>
      </x:c>
      <x:c r="H73" s="426" t="str">
        <x:v>Google Scholar result</x:v>
      </x:c>
      <x:c r="I73" s="426" t="str">
        <x:v>NR</x:v>
      </x:c>
      <x:c r="J73" s="426" t="str">
        <x:v>NR</x:v>
      </x:c>
      <x:c r="K73" s="426" t="str">
        <x:v>NR — URL not captured in the available source record</x:v>
      </x:c>
      <x:c r="L73" s="426" t="str">
        <x:v>Not available in the captured evidence; the screening decision used the title and available source metadata.</x:v>
      </x:c>
      <x:c r="M73" s="426" t="str">
        <x:v>No duplicate</x:v>
      </x:c>
      <x:c r="N73" s="426" t="str">
        <x:v>Not applicable — no duplicate group</x:v>
      </x:c>
      <x:c r="O73" s="426" t="str">
        <x:v>Not applicable</x:v>
      </x:c>
      <x:c r="P73" s="426" t="str">
        <x:v>Yes</x:v>
      </x:c>
      <x:c r="Q73" s="426" t="str">
        <x:v>Exclude</x:v>
      </x:c>
      <x:c r="R73" s="426" t="str">
        <x:v>General CBM leakage-control study outside the clinical domain (E1).</x:v>
      </x:c>
      <x:c r="S73" s="426" t="str">
        <x:v>Verification documented at process level</x:v>
      </x:c>
      <x:c r="T73" s="426" t="str">
        <x:v>Two additional authors performed random spot checks; individual spot-check assignments are not recorded in this register.</x:v>
      </x:c>
      <x:c r="U73" s="426" t="str">
        <x:v>Exclude</x:v>
      </x:c>
      <x:c r="V73" s="426" t="str">
        <x:v>Primary decision by the corresponding author; two additional authors performed random spot checks as a quality-control step.</x:v>
      </x:c>
      <x:c r="W73" s="426" t="str">
        <x:v>No</x:v>
      </x:c>
      <x:c r="X73" s="426" t="str">
        <x:v>Not applicable</x:v>
      </x:c>
      <x:c r="Y73" s="426" t="str">
        <x:v>Not assessed</x:v>
      </x:c>
      <x:c r="Z73" s="426" t="str">
        <x:v>Not advanced to full-text assessment after the title/abstract decision.</x:v>
      </x:c>
      <x:c r="AA73" s="22" t="str">
        <x:v>Not applicable</x:v>
      </x:c>
      <x:c r="AB73" s="22" t="str">
        <x:v>Record was not advanced to full-text assessment.</x:v>
      </x:c>
      <x:c r="AC73" s="22" t="str">
        <x:v>Not assessed</x:v>
      </x:c>
      <x:c r="AD73" s="22" t="str">
        <x:v>Not applicable — no full-text assessment was required.</x:v>
      </x:c>
      <x:c r="AE73" s="22" t="str">
        <x:v>Not included — title/abstract exclusion</x:v>
      </x:c>
      <x:c r="AF73" s="22" t="str">
        <x:v>Not applicable — not included</x:v>
      </x:c>
      <x:c r="AG73" s="22" t="str">
        <x:v>Evidence: 4a6bab28-e84a-4539-a40a-8346b62828cf.png; page 3, result 6. Metadata transcribed from captured Google Scholar page; OCR-normalised, verify against publication before citation.</x:v>
      </x:c>
      <x:c r="AH73" s="20" t="str">
        <x:v>No duplicate identified under the documented matching rules.</x:v>
      </x:c>
    </x:row>
    <x:row r="74" ht="42" customHeight="1">
      <x:c r="A74" s="426" t="str">
        <x:v>GS-01-027</x:v>
      </x:c>
      <x:c r="B74" s="426" t="str">
        <x:v>Google Scholar</x:v>
      </x:c>
      <x:c r="C74" s="426" t="str">
        <x:v>GS-01</x:v>
      </x:c>
      <x:c r="D74" s="426" t="str">
        <x:v>Enhancing interpretable image classification through Ilm agents and canditional concept bottleneck models</x:v>
      </x:c>
      <x:c r="E74" s="426" t="str">
        <x:v>Yang, Dhehta Feng 2Ge- aithe 63rdAanual Meetingof . 2025</x:v>
      </x:c>
      <x:c r="F74" s="426" t="n">
        <x:v>2025</x:v>
      </x:c>
      <x:c r="G74" s="426" t="str">
        <x:v>aclanthology srg</x:v>
      </x:c>
      <x:c r="H74" s="426" t="str">
        <x:v>Google Scholar result</x:v>
      </x:c>
      <x:c r="I74" s="426" t="str">
        <x:v>NR</x:v>
      </x:c>
      <x:c r="J74" s="426" t="str">
        <x:v>NR</x:v>
      </x:c>
      <x:c r="K74" s="426" t="str">
        <x:v>NR — URL not captured in the available source record</x:v>
      </x:c>
      <x:c r="L74" s="426" t="str">
        <x:v>Not available in the captured evidence; the screening decision used the title and available source metadata.</x:v>
      </x:c>
      <x:c r="M74" s="426" t="str">
        <x:v>No duplicate</x:v>
      </x:c>
      <x:c r="N74" s="426" t="str">
        <x:v>Not applicable — no duplicate group</x:v>
      </x:c>
      <x:c r="O74" s="426" t="str">
        <x:v>Not applicable</x:v>
      </x:c>
      <x:c r="P74" s="426" t="str">
        <x:v>Yes</x:v>
      </x:c>
      <x:c r="Q74" s="426" t="str">
        <x:v>Exclude</x:v>
      </x:c>
      <x:c r="R74" s="426" t="str">
        <x:v>General image-classification method without medical or ophthalmic evaluation (E1).</x:v>
      </x:c>
      <x:c r="S74" s="426" t="str">
        <x:v>Verification documented at process level</x:v>
      </x:c>
      <x:c r="T74" s="426" t="str">
        <x:v>Two additional authors performed random spot checks; individual spot-check assignments are not recorded in this register.</x:v>
      </x:c>
      <x:c r="U74" s="426" t="str">
        <x:v>Exclude</x:v>
      </x:c>
      <x:c r="V74" s="426" t="str">
        <x:v>Primary decision by the corresponding author; two additional authors performed random spot checks as a quality-control step.</x:v>
      </x:c>
      <x:c r="W74" s="426" t="str">
        <x:v>No</x:v>
      </x:c>
      <x:c r="X74" s="426" t="str">
        <x:v>Not applicable</x:v>
      </x:c>
      <x:c r="Y74" s="426" t="str">
        <x:v>Not assessed</x:v>
      </x:c>
      <x:c r="Z74" s="426" t="str">
        <x:v>Not advanced to full-text assessment after the title/abstract decision.</x:v>
      </x:c>
      <x:c r="AA74" s="22" t="str">
        <x:v>Not applicable</x:v>
      </x:c>
      <x:c r="AB74" s="22" t="str">
        <x:v>Record was not advanced to full-text assessment.</x:v>
      </x:c>
      <x:c r="AC74" s="22" t="str">
        <x:v>Not assessed</x:v>
      </x:c>
      <x:c r="AD74" s="22" t="str">
        <x:v>Not applicable — no full-text assessment was required.</x:v>
      </x:c>
      <x:c r="AE74" s="22" t="str">
        <x:v>Not included — title/abstract exclusion</x:v>
      </x:c>
      <x:c r="AF74" s="22" t="str">
        <x:v>Not applicable — not included</x:v>
      </x:c>
      <x:c r="AG74" s="22" t="str">
        <x:v>Evidence: 4a6bab28-e84a-4539-a40a-8346b62828cf.png; page 3, result 7. Metadata transcribed from captured Google Scholar page; OCR-normalised, verify against publication before citation.</x:v>
      </x:c>
      <x:c r="AH74" s="20" t="str">
        <x:v>No duplicate identified under the documented matching rules.</x:v>
      </x:c>
    </x:row>
    <x:row r="75" ht="42" customHeight="1">
      <x:c r="A75" s="426" t="str">
        <x:v>GS-01-028</x:v>
      </x:c>
      <x:c r="B75" s="426" t="str">
        <x:v>Google Scholar</x:v>
      </x:c>
      <x:c r="C75" s="426" t="str">
        <x:v>GS-01</x:v>
      </x:c>
      <x:c r="D75" s="426" t="str">
        <x:v>Stable visian concept transformers for medical diagnosis</x:v>
      </x:c>
      <x:c r="E75" s="426" t="str">
        <x:v>Ley Slai yHua. S$ %ang JZhang</x:v>
      </x:c>
      <x:c r="F75" s="426" t="n">
        <x:v>2025</x:v>
      </x:c>
      <x:c r="G75" s="426" t="str">
        <x:v>Joni European Conference . 2025 - Springer</x:v>
      </x:c>
      <x:c r="H75" s="426" t="str">
        <x:v>Google Scholar result</x:v>
      </x:c>
      <x:c r="I75" s="426" t="str">
        <x:v>NR</x:v>
      </x:c>
      <x:c r="J75" s="426" t="str">
        <x:v>2506.05286</x:v>
      </x:c>
      <x:c r="K75" s="426" t="str">
        <x:v>https://arxiv.org/pdf/2506.05286</x:v>
      </x:c>
      <x:c r="L75" s="426" t="str">
        <x:v>Transparency is a paramount concern in the medical field, prompting researchers to delve into the realm of explainable AI (XAI). Among these XAI methods, Concept Bottleneck Models (CBMs) aim to restrict the model's latent space to human-understandable high-level concepts by generating a conceptual layer for extracting conceptual features, which has drawn much attention recently. However, existing methods rely solely on concept features to determine the model's predictions, which overlook the intrinsic feature embeddings within medical images. To address this utility gap between the original models and concept-based models, we propose Vision Concept Transformer (VCT). Furthermore, despite their benefits, CBMs have been found to negatively impact model performance and fail to provide stable explanations when faced with input perturbations, which limits their application in the medical field. To address this faithfulness issue, this paper further proposes the Stable Vision Concept Transformer (SVCT) based on VCT, which leverages the vision transformer (ViT) as its backbone and incorporates a conceptual layer. SVCT employs conceptual features to enhance decision-making capabilities by fusing them with image features and ensures model faithfulness through the integration of Denoised Diffusion Smoothing. Comprehensive experiments on four medical datasets demonstrate that our VCT and SVCT maintain accuracy while remaining interpretable compared to baselines. Furthermore, even when subjected to perturbations, our SVCT model consistently provides faithful explanations, thus meeting the needs of the medical field.</x:v>
      </x:c>
      <x:c r="M75" s="426" t="str">
        <x:v>No duplicate</x:v>
      </x:c>
      <x:c r="N75" s="426" t="str">
        <x:v>DG-080</x:v>
      </x:c>
      <x:c r="O75" s="426" t="str">
        <x:v>Not applicable</x:v>
      </x:c>
      <x:c r="P75" s="426" t="str">
        <x:v>Yes</x:v>
      </x:c>
      <x:c r="Q75" s="426" t="str">
        <x:v>Include</x:v>
      </x:c>
      <x:c r="R75" s="426" t="str">
        <x:v>Medical concept model evaluating explanation stability; contextual evidence (I5).</x:v>
      </x:c>
      <x:c r="S75" s="426" t="str">
        <x:v>Verification documented at process level</x:v>
      </x:c>
      <x:c r="T75" s="426" t="str">
        <x:v>Two additional authors performed random spot checks; individual spot-check assignments are not recorded in this register.</x:v>
      </x:c>
      <x:c r="U75" s="426" t="str">
        <x:v>Include</x:v>
      </x:c>
      <x:c r="V75" s="426" t="str">
        <x:v>Primary decision by the corresponding author; two additional authors performed random spot checks as a quality-control step.</x:v>
      </x:c>
      <x:c r="W75" s="426" t="str">
        <x:v>Yes</x:v>
      </x:c>
      <x:c r="X75" s="426" t="str">
        <x:v>Yes</x:v>
      </x:c>
      <x:c r="Y75" s="426" t="str">
        <x:v>Include</x:v>
      </x:c>
      <x:c r="Z75" s="426" t="str">
        <x:v>The corresponding author assessed the complete report and judged it eligible for inclusion in the review.</x:v>
      </x:c>
      <x:c r="AA75" s="22" t="str">
        <x:v>Verification documented at process level</x:v>
      </x:c>
      <x:c r="AB75" s="22" t="str">
        <x:v>Two additional authors performed random spot checks; individual spot-check assignments are not recorded in this register.</x:v>
      </x:c>
      <x:c r="AC75" s="22" t="str">
        <x:v>Include</x:v>
      </x:c>
      <x:c r="AD75" s="22" t="str">
        <x:v>Primary decision by the corresponding author; two additional authors performed random spot checks as a quality-control step.</x:v>
      </x:c>
      <x:c r="AE75" s="22" t="str">
        <x:v>Include</x:v>
      </x:c>
      <x:c r="AF75" s="22" t="str">
        <x:v>Contextual medical concept-XAI evidence</x:v>
      </x:c>
      <x:c r="AG75" s="22" t="str">
        <x:v>Evidence: 4a6bab28-e84a-4539-a40a-8346b62828cf.png; page 3, result 8. Metadata transcribed from captured Google Scholar page; OCR-normalised, verify against publication before citation.</x:v>
      </x:c>
      <x:c r="AH75" s="20" t="str">
        <x:v>No duplicate identified under the documented matching rules.</x:v>
      </x:c>
    </x:row>
    <x:row r="76" ht="42" customHeight="1">
      <x:c r="A76" s="426" t="str">
        <x:v>GS-01-029</x:v>
      </x:c>
      <x:c r="B76" s="426" t="str">
        <x:v>Google Scholar</x:v>
      </x:c>
      <x:c r="C76" s="426" t="str">
        <x:v>GS-01</x:v>
      </x:c>
      <x:c r="D76" s="426" t="str">
        <x:v>tkTML] CBYLKI Training-free explainable cancept- based large vision lanquage models for medical image classification</x:v>
      </x:c>
      <x:c r="E76" s="426" t="str">
        <x:v>C Patricio. |Rio-Toro JS Cardesc LE Teixeira -Compulers in Bology , 2025</x:v>
      </x:c>
      <x:c r="F76" s="426" t="n">
        <x:v>2025</x:v>
      </x:c>
      <x:c r="G76" s="426" t="str">
        <x:v>Elsevser</x:v>
      </x:c>
      <x:c r="H76" s="426" t="str">
        <x:v>Google Scholar result</x:v>
      </x:c>
      <x:c r="I76" s="426" t="str">
        <x:v>NR</x:v>
      </x:c>
      <x:c r="J76" s="426" t="str">
        <x:v>2501.12266</x:v>
      </x:c>
      <x:c r="K76" s="426" t="str">
        <x:v>https://arxiv.org/pdf/2501.12266</x:v>
      </x:c>
      <x:c r="L76" s="426" t="str">
        <x:v>The main challenges limiting the adoption of deep learning-based solutions in medical workflows are the availability of annotated data and the lack of interpretability of such systems. Concept Bottleneck Models (CBMs) tackle the latter by constraining the model output on a set of predefined and human-interpretable concepts. However, the increased interpretability achieved through these concept-based explanations implies a higher annotation burden. Moreover, if a new concept needs to be added, the whole system needs to be retrained. Inspired by the remarkable performance shown by Large Vision-Language Models (LVLMs) in few-shot settings, we propose a simple, yet effective, methodology, CBVLM, which tackles both of the aforementioned challenges. First, for each concept, we prompt the LVLM to answer if the concept is present in the input image. Then, we ask the LVLM to classify the image based on the previous concept predictions. Moreover, in both stages, we incorporate a retrieval module responsible for selecting the best examples for in-context learning. By grounding the final diagnosis on the predicted concepts, we ensure explainability, and by leveraging the few-shot capabilities of LVLMs, we drastically lower the annotation cost. We validate our approach with extensive experiments across four medical datasets and twelve LVLMs (both generic and medical) and show that CBVLM consistently outperforms CBMs and task-specific supervised methods without requiring any training and using just a few annotated examples. More information on our project page: https://cristianopatricio.github.io/CBVLM/.</x:v>
      </x:c>
      <x:c r="M76" s="426" t="str">
        <x:v>No duplicate</x:v>
      </x:c>
      <x:c r="N76" s="426" t="str">
        <x:v>Not applicable — no duplicate group</x:v>
      </x:c>
      <x:c r="O76" s="426" t="str">
        <x:v>Not applicable</x:v>
      </x:c>
      <x:c r="P76" s="426" t="str">
        <x:v>Yes</x:v>
      </x:c>
      <x:c r="Q76" s="426" t="str">
        <x:v>Include</x:v>
      </x:c>
      <x:c r="R76" s="426" t="str">
        <x:v>Original concept-based medical vision-language model; contextual evidence (I5).</x:v>
      </x:c>
      <x:c r="S76" s="426" t="str">
        <x:v>Verification documented at process level</x:v>
      </x:c>
      <x:c r="T76" s="426" t="str">
        <x:v>Two additional authors performed random spot checks; individual spot-check assignments are not recorded in this register.</x:v>
      </x:c>
      <x:c r="U76" s="426" t="str">
        <x:v>Include</x:v>
      </x:c>
      <x:c r="V76" s="426" t="str">
        <x:v>Primary decision by the corresponding author; two additional authors performed random spot checks as a quality-control step.</x:v>
      </x:c>
      <x:c r="W76" s="426" t="str">
        <x:v>Yes</x:v>
      </x:c>
      <x:c r="X76" s="426" t="str">
        <x:v>Yes</x:v>
      </x:c>
      <x:c r="Y76" s="426" t="str">
        <x:v>Include</x:v>
      </x:c>
      <x:c r="Z76" s="426" t="str">
        <x:v>The corresponding author assessed the complete report and judged it eligible for inclusion in the review.</x:v>
      </x:c>
      <x:c r="AA76" s="22" t="str">
        <x:v>Verification documented at process level</x:v>
      </x:c>
      <x:c r="AB76" s="22" t="str">
        <x:v>Two additional authors performed random spot checks; individual spot-check assignments are not recorded in this register.</x:v>
      </x:c>
      <x:c r="AC76" s="22" t="str">
        <x:v>Include</x:v>
      </x:c>
      <x:c r="AD76" s="22" t="str">
        <x:v>Primary decision by the corresponding author; two additional authors performed random spot checks as a quality-control step.</x:v>
      </x:c>
      <x:c r="AE76" s="22" t="str">
        <x:v>Include</x:v>
      </x:c>
      <x:c r="AF76" s="22" t="str">
        <x:v>Contextual medical concept-XAI evidence</x:v>
      </x:c>
      <x:c r="AG76" s="22" t="str">
        <x:v>Evidence: 4a6bab28-e84a-4539-a40a-8346b62828cf.png; page 3, result 9. Metadata transcribed from captured Google Scholar page; OCR-normalised, verify against publication before citation.</x:v>
      </x:c>
      <x:c r="AH76" s="20" t="str">
        <x:v>No duplicate identified under the documented matching rules.</x:v>
      </x:c>
    </x:row>
    <x:row r="77" ht="42" customHeight="1">
      <x:c r="A77" s="426" t="str">
        <x:v>GS-01-030</x:v>
      </x:c>
      <x:c r="B77" s="426" t="str">
        <x:v>Google Scholar</x:v>
      </x:c>
      <x:c r="C77" s="426" t="str">
        <x:v>GS-01</x:v>
      </x:c>
      <x:c r="D77" s="426" t="str">
        <x:v>Surrocbm Concept bottleneck surragate models for generative post-hoc explanation</x:v>
      </x:c>
      <x:c r="E77" s="426" t="str">
        <x:v>Bar Zhi, ¥ Zhang LZhago</x:v>
      </x:c>
      <x:c r="F77" s="426" t="n">
        <x:v>2023</x:v>
      </x:c>
      <x:c r="G77" s="426" t="str">
        <x:v>arXiv preprini arXiv 2310 07698. 2023 - arxiv org</x:v>
      </x:c>
      <x:c r="H77" s="426" t="str">
        <x:v>Google Scholar result</x:v>
      </x:c>
      <x:c r="I77" s="426" t="str">
        <x:v>NR</x:v>
      </x:c>
      <x:c r="J77" s="426" t="str">
        <x:v>NR</x:v>
      </x:c>
      <x:c r="K77" s="426" t="str">
        <x:v>NR — URL not captured in the available source record</x:v>
      </x:c>
      <x:c r="L77" s="426" t="str">
        <x:v>Not available in the captured evidence; the screening decision used the title and available source metadata.</x:v>
      </x:c>
      <x:c r="M77" s="426" t="str">
        <x:v>No duplicate</x:v>
      </x:c>
      <x:c r="N77" s="426" t="str">
        <x:v>Not applicable — no duplicate group</x:v>
      </x:c>
      <x:c r="O77" s="426" t="str">
        <x:v>Not applicable</x:v>
      </x:c>
      <x:c r="P77" s="426" t="str">
        <x:v>Yes</x:v>
      </x:c>
      <x:c r="Q77" s="426" t="str">
        <x:v>Exclude</x:v>
      </x:c>
      <x:c r="R77" s="426" t="str">
        <x:v>General post-hoc concept surrogate without clinical evaluation (E1).</x:v>
      </x:c>
      <x:c r="S77" s="426" t="str">
        <x:v>Verification documented at process level</x:v>
      </x:c>
      <x:c r="T77" s="426" t="str">
        <x:v>Two additional authors performed random spot checks; individual spot-check assignments are not recorded in this register.</x:v>
      </x:c>
      <x:c r="U77" s="426" t="str">
        <x:v>Exclude</x:v>
      </x:c>
      <x:c r="V77" s="426" t="str">
        <x:v>Primary decision by the corresponding author; two additional authors performed random spot checks as a quality-control step.</x:v>
      </x:c>
      <x:c r="W77" s="426" t="str">
        <x:v>No</x:v>
      </x:c>
      <x:c r="X77" s="426" t="str">
        <x:v>Not applicable</x:v>
      </x:c>
      <x:c r="Y77" s="426" t="str">
        <x:v>Not assessed</x:v>
      </x:c>
      <x:c r="Z77" s="426" t="str">
        <x:v>Not advanced to full-text assessment after the title/abstract decision.</x:v>
      </x:c>
      <x:c r="AA77" s="22" t="str">
        <x:v>Not applicable</x:v>
      </x:c>
      <x:c r="AB77" s="22" t="str">
        <x:v>Record was not advanced to full-text assessment.</x:v>
      </x:c>
      <x:c r="AC77" s="22" t="str">
        <x:v>Not assessed</x:v>
      </x:c>
      <x:c r="AD77" s="22" t="str">
        <x:v>Not applicable — no full-text assessment was required.</x:v>
      </x:c>
      <x:c r="AE77" s="22" t="str">
        <x:v>Not included — title/abstract exclusion</x:v>
      </x:c>
      <x:c r="AF77" s="22" t="str">
        <x:v>Not applicable — not included</x:v>
      </x:c>
      <x:c r="AG77" s="22" t="str">
        <x:v>Evidence: 4a6bab28-e84a-4539-a40a-8346b62828cf.png; page 3, result 10. Metadata transcribed from captured Google Scholar page; OCR-normalised, verify against publication before citation.</x:v>
      </x:c>
      <x:c r="AH77" s="20" t="str">
        <x:v>No duplicate identified under the documented matching rules.</x:v>
      </x:c>
    </x:row>
    <x:row r="78" ht="42" customHeight="1">
      <x:c r="A78" s="426" t="str">
        <x:v>GS-01-031</x:v>
      </x:c>
      <x:c r="B78" s="426" t="str">
        <x:v>Google Scholar</x:v>
      </x:c>
      <x:c r="C78" s="426" t="str">
        <x:v>GS-01</x:v>
      </x:c>
      <x:c r="D78" s="426" t="str">
        <x:v>(PpF] Climbing the tadder of interpretability with counterfactual concept bottleneck models</x:v>
      </x:c>
      <x:c r="E78" s="426" t="str">
        <x:v>G Donini¢ei P Barbie's F Giantini.</x:v>
      </x:c>
      <x:c r="F78" s="426" t="n">
        <x:v>2024</x:v>
      </x:c>
      <x:c r="G78" s="426" t="str">
        <x:v>aX preprmt —2024 2024 - researchgale nel</x:v>
      </x:c>
      <x:c r="H78" s="426" t="str">
        <x:v>Google Scholar result</x:v>
      </x:c>
      <x:c r="I78" s="426" t="str">
        <x:v>NR</x:v>
      </x:c>
      <x:c r="J78" s="426" t="str">
        <x:v>NR</x:v>
      </x:c>
      <x:c r="K78" s="426" t="str">
        <x:v>NR — URL not captured in the available source record</x:v>
      </x:c>
      <x:c r="L78" s="426" t="str">
        <x:v>Not available in the captured evidence; the screening decision used the title and available source metadata.</x:v>
      </x:c>
      <x:c r="M78" s="426" t="str">
        <x:v>No duplicate</x:v>
      </x:c>
      <x:c r="N78" s="426" t="str">
        <x:v>Not applicable — no duplicate group</x:v>
      </x:c>
      <x:c r="O78" s="426" t="str">
        <x:v>Not applicable</x:v>
      </x:c>
      <x:c r="P78" s="426" t="str">
        <x:v>Yes</x:v>
      </x:c>
      <x:c r="Q78" s="426" t="str">
        <x:v>Exclude</x:v>
      </x:c>
      <x:c r="R78" s="426" t="str">
        <x:v>General counterfactual CBM without medical or ophthalmic evaluation (E1).</x:v>
      </x:c>
      <x:c r="S78" s="426" t="str">
        <x:v>Verification documented at process level</x:v>
      </x:c>
      <x:c r="T78" s="426" t="str">
        <x:v>Two additional authors performed random spot checks; individual spot-check assignments are not recorded in this register.</x:v>
      </x:c>
      <x:c r="U78" s="426" t="str">
        <x:v>Exclude</x:v>
      </x:c>
      <x:c r="V78" s="426" t="str">
        <x:v>Primary decision by the corresponding author; two additional authors performed random spot checks as a quality-control step.</x:v>
      </x:c>
      <x:c r="W78" s="426" t="str">
        <x:v>No</x:v>
      </x:c>
      <x:c r="X78" s="426" t="str">
        <x:v>Not applicable</x:v>
      </x:c>
      <x:c r="Y78" s="426" t="str">
        <x:v>Not assessed</x:v>
      </x:c>
      <x:c r="Z78" s="426" t="str">
        <x:v>Not advanced to full-text assessment after the title/abstract decision.</x:v>
      </x:c>
      <x:c r="AA78" s="22" t="str">
        <x:v>Not applicable</x:v>
      </x:c>
      <x:c r="AB78" s="22" t="str">
        <x:v>Record was not advanced to full-text assessment.</x:v>
      </x:c>
      <x:c r="AC78" s="22" t="str">
        <x:v>Not assessed</x:v>
      </x:c>
      <x:c r="AD78" s="22" t="str">
        <x:v>Not applicable — no full-text assessment was required.</x:v>
      </x:c>
      <x:c r="AE78" s="22" t="str">
        <x:v>Not included — title/abstract exclusion</x:v>
      </x:c>
      <x:c r="AF78" s="22" t="str">
        <x:v>Not applicable — not included</x:v>
      </x:c>
      <x:c r="AG78" s="22" t="str">
        <x:v>Evidence: 076d2176-5c15-4e94-9292-01375d501f50.png; page 4, result 1. Metadata transcribed from captured Google Scholar page; OCR-normalised, verify against publication before citation.</x:v>
      </x:c>
      <x:c r="AH78" s="20" t="str">
        <x:v>No duplicate identified under the documented matching rules.</x:v>
      </x:c>
    </x:row>
    <x:row r="79" ht="42" customHeight="1">
      <x:c r="A79" s="426" t="str">
        <x:v>GS-01-032</x:v>
      </x:c>
      <x:c r="B79" s="426" t="str">
        <x:v>Google Scholar</x:v>
      </x:c>
      <x:c r="C79" s="426" t="str">
        <x:v>GS-01</x:v>
      </x:c>
      <x:c r="D79" s="426" t="str">
        <x:v>ORBIT-ARKID Ordinal Risk, Bilateral Imaging and Trajectory Learning for Age. Related Macular Degsneration in Multi-Cohorts</x:v>
      </x:c>
      <x:c r="E79" s="426" t="str">
        <x:v>XCui D Vien P Yu-Yeai-Man X Li- Advanced Science 2026</x:v>
      </x:c>
      <x:c r="F79" s="426" t="n">
        <x:v>2026</x:v>
      </x:c>
      <x:c r="G79" s="426" t="str">
        <x:v>Wiley Coline Library</x:v>
      </x:c>
      <x:c r="H79" s="426" t="str">
        <x:v>Google Scholar result</x:v>
      </x:c>
      <x:c r="I79" s="426" t="str">
        <x:v>NR</x:v>
      </x:c>
      <x:c r="J79" s="426" t="str">
        <x:v>NR</x:v>
      </x:c>
      <x:c r="K79" s="426" t="str">
        <x:v>NR — URL not captured in the available source record</x:v>
      </x:c>
      <x:c r="L79" s="426" t="str">
        <x:v>Not available in the captured evidence; the screening decision used the title and available source metadata.</x:v>
      </x:c>
      <x:c r="M79" s="426" t="str">
        <x:v>Confirmed duplicate</x:v>
      </x:c>
      <x:c r="N79" s="426" t="str">
        <x:v>DG-009</x:v>
      </x:c>
      <x:c r="O79" s="426" t="str">
        <x:v>PM-021</x:v>
      </x:c>
      <x:c r="P79" s="426" t="str">
        <x:v>No</x:v>
      </x:c>
      <x:c r="Q79" s="426" t="str">
        <x:v>Not screened</x:v>
      </x:c>
      <x:c r="R79" s="426" t="str">
        <x:v>Removed before title/abstract screening as a confirmed duplicate.</x:v>
      </x:c>
      <x:c r="S79" s="426" t="str">
        <x:v>Not applicable — removed before screening</x:v>
      </x:c>
      <x:c r="T79" s="426" t="str">
        <x:v>Record was outside the active screening set.</x:v>
      </x:c>
      <x:c r="U79" s="426" t="str">
        <x:v>Removed before screening</x:v>
      </x:c>
      <x:c r="V79" s="426" t="str">
        <x:v>Confirmed duplicate removed during deduplication.</x:v>
      </x:c>
      <x:c r="W79" s="426" t="str">
        <x:v>No</x:v>
      </x:c>
      <x:c r="X79" s="426" t="str">
        <x:v>Not applicable</x:v>
      </x:c>
      <x:c r="Y79" s="426" t="str">
        <x:v>Not assessed</x:v>
      </x:c>
      <x:c r="Z79" s="426" t="str">
        <x:v>Not applicable — record removed before screening.</x:v>
      </x:c>
      <x:c r="AA79" s="22" t="str">
        <x:v>Not applicable</x:v>
      </x:c>
      <x:c r="AB79" s="22" t="str">
        <x:v>Record was not advanced to full-text assessment.</x:v>
      </x:c>
      <x:c r="AC79" s="22" t="str">
        <x:v>Not assessed</x:v>
      </x:c>
      <x:c r="AD79" s="22" t="str">
        <x:v>Not applicable — no full-text assessment was required.</x:v>
      </x:c>
      <x:c r="AE79" s="22" t="str">
        <x:v>Removed before screening</x:v>
      </x:c>
      <x:c r="AF79" s="22" t="str">
        <x:v>Not applicable — not included</x:v>
      </x:c>
      <x:c r="AG79" s="22" t="str">
        <x:v>Evidence: 076d2176-5c15-4e94-9292-01375d501f50.png; page 4, result 2. Metadata transcribed from captured Google Scholar page; OCR-normalised, verify against publication before citation.</x:v>
      </x:c>
      <x:c r="AH79" s="20" t="str">
        <x:v>Confirmed using DOI/title evidence; identifier/title evidence; normalized title across captured searches.</x:v>
      </x:c>
    </x:row>
    <x:row r="80" ht="42" customHeight="1">
      <x:c r="A80" s="426" t="str">
        <x:v>GS-01-033</x:v>
      </x:c>
      <x:c r="B80" s="426" t="str">
        <x:v>Google Scholar</x:v>
      </x:c>
      <x:c r="C80" s="426" t="str">
        <x:v>GS-01</x:v>
      </x:c>
      <x:c r="D80" s="426" t="str">
        <x:v>Cross-moadality image interpretation via concept decomposition vector of visual- languags models</x:v>
      </x:c>
      <x:c r="E80" s="426" t="str">
        <x:v>2 Fang. ZYua*e Zi J Chen KKuang</x:v>
      </x:c>
      <x:c r="F80" s="426" t="n">
        <x:v>2024</x:v>
      </x:c>
      <x:c r="G80" s="426" t="str">
        <x:v>. on Crcuils anc 2024 - ieeexp.ore ieee arg</x:v>
      </x:c>
      <x:c r="H80" s="426" t="str">
        <x:v>Google Scholar result</x:v>
      </x:c>
      <x:c r="I80" s="426" t="str">
        <x:v>NR</x:v>
      </x:c>
      <x:c r="J80" s="426" t="str">
        <x:v>NR</x:v>
      </x:c>
      <x:c r="K80" s="426" t="str">
        <x:v>NR — URL not captured in the available source record</x:v>
      </x:c>
      <x:c r="L80" s="426" t="str">
        <x:v>Not available in the captured evidence; the screening decision used the title and available source metadata.</x:v>
      </x:c>
      <x:c r="M80" s="426" t="str">
        <x:v>Confirmed duplicate</x:v>
      </x:c>
      <x:c r="N80" s="426" t="str">
        <x:v>DG-077</x:v>
      </x:c>
      <x:c r="O80" s="426" t="str">
        <x:v>IEEE-014</x:v>
      </x:c>
      <x:c r="P80" s="426" t="str">
        <x:v>No</x:v>
      </x:c>
      <x:c r="Q80" s="426" t="str">
        <x:v>Not screened</x:v>
      </x:c>
      <x:c r="R80" s="426" t="str">
        <x:v>Removed before title/abstract screening as a confirmed duplicate.</x:v>
      </x:c>
      <x:c r="S80" s="426" t="str">
        <x:v>Not applicable — removed before screening</x:v>
      </x:c>
      <x:c r="T80" s="426" t="str">
        <x:v>Record was outside the active screening set.</x:v>
      </x:c>
      <x:c r="U80" s="426" t="str">
        <x:v>Removed before screening</x:v>
      </x:c>
      <x:c r="V80" s="426" t="str">
        <x:v>Confirmed duplicate removed during deduplication.</x:v>
      </x:c>
      <x:c r="W80" s="426" t="str">
        <x:v>No</x:v>
      </x:c>
      <x:c r="X80" s="426" t="str">
        <x:v>Not applicable</x:v>
      </x:c>
      <x:c r="Y80" s="426" t="str">
        <x:v>Not assessed</x:v>
      </x:c>
      <x:c r="Z80" s="426" t="str">
        <x:v>Not applicable — record removed before screening.</x:v>
      </x:c>
      <x:c r="AA80" s="22" t="str">
        <x:v>Not applicable</x:v>
      </x:c>
      <x:c r="AB80" s="22" t="str">
        <x:v>Record was not advanced to full-text assessment.</x:v>
      </x:c>
      <x:c r="AC80" s="22" t="str">
        <x:v>Not assessed</x:v>
      </x:c>
      <x:c r="AD80" s="22" t="str">
        <x:v>Not applicable — no full-text assessment was required.</x:v>
      </x:c>
      <x:c r="AE80" s="22" t="str">
        <x:v>Removed before screening</x:v>
      </x:c>
      <x:c r="AF80" s="22" t="str">
        <x:v>Not applicable — not included</x:v>
      </x:c>
      <x:c r="AG80" s="22" t="str">
        <x:v>Evidence: 076d2176-5c15-4e94-9292-01375d501f50.png; page 4, result 3. Metadata transcribed from captured Google Scholar page; OCR-normalised, verify against publication before citation.</x:v>
      </x:c>
      <x:c r="AH80" s="20" t="str">
        <x:v>No duplicate identified under the documented matching rules.</x:v>
      </x:c>
    </x:row>
    <x:row r="81" ht="42" customHeight="1">
      <x:c r="A81" s="426" t="str">
        <x:v>GS-01-034</x:v>
      </x:c>
      <x:c r="B81" s="426" t="str">
        <x:v>Google Scholar</x:v>
      </x:c>
      <x:c r="C81" s="426" t="str">
        <x:v>GS-01</x:v>
      </x:c>
      <x:c r="D81" s="426" t="str">
        <x:v>Escaping Low-Rank Traps: Interpretable Visual Concept Learning via Implicit Vector Quantization</x:v>
      </x:c>
      <x:c r="E81" s="426" t="str">
        <x:v>S Gao Y Wang CMa X Gao J Yan. -Inlemationa .. 2026</x:v>
      </x:c>
      <x:c r="F81" s="426" t="n">
        <x:v>2026</x:v>
      </x:c>
      <x:c r="G81" s="426" t="str">
        <x:v>proceedings ich cc</x:v>
      </x:c>
      <x:c r="H81" s="426" t="str">
        <x:v>Google Scholar result</x:v>
      </x:c>
      <x:c r="I81" s="426" t="str">
        <x:v>NR</x:v>
      </x:c>
      <x:c r="J81" s="426" t="str">
        <x:v>NR</x:v>
      </x:c>
      <x:c r="K81" s="426" t="str">
        <x:v>NR — URL not captured in the available source record</x:v>
      </x:c>
      <x:c r="L81" s="426" t="str">
        <x:v>Not available in the captured evidence; the screening decision used the title and available source metadata.</x:v>
      </x:c>
      <x:c r="M81" s="426" t="str">
        <x:v>No duplicate</x:v>
      </x:c>
      <x:c r="N81" s="426" t="str">
        <x:v>DG-013</x:v>
      </x:c>
      <x:c r="O81" s="426" t="str">
        <x:v>Not applicable</x:v>
      </x:c>
      <x:c r="P81" s="426" t="str">
        <x:v>Yes</x:v>
      </x:c>
      <x:c r="Q81" s="426" t="str">
        <x:v>Exclude</x:v>
      </x:c>
      <x:c r="R81" s="426" t="str">
        <x:v>General visual-concept learning without relevant clinical evaluation (E1).</x:v>
      </x:c>
      <x:c r="S81" s="426" t="str">
        <x:v>Verification documented at process level</x:v>
      </x:c>
      <x:c r="T81" s="426" t="str">
        <x:v>Two additional authors performed random spot checks; individual spot-check assignments are not recorded in this register.</x:v>
      </x:c>
      <x:c r="U81" s="426" t="str">
        <x:v>Exclude</x:v>
      </x:c>
      <x:c r="V81" s="426" t="str">
        <x:v>Primary decision by the corresponding author; two additional authors performed random spot checks as a quality-control step.</x:v>
      </x:c>
      <x:c r="W81" s="426" t="str">
        <x:v>No</x:v>
      </x:c>
      <x:c r="X81" s="426" t="str">
        <x:v>Not applicable</x:v>
      </x:c>
      <x:c r="Y81" s="426" t="str">
        <x:v>Not assessed</x:v>
      </x:c>
      <x:c r="Z81" s="426" t="str">
        <x:v>Not advanced to full-text assessment after the title/abstract decision.</x:v>
      </x:c>
      <x:c r="AA81" s="22" t="str">
        <x:v>Not applicable</x:v>
      </x:c>
      <x:c r="AB81" s="22" t="str">
        <x:v>Record was not advanced to full-text assessment.</x:v>
      </x:c>
      <x:c r="AC81" s="22" t="str">
        <x:v>Not assessed</x:v>
      </x:c>
      <x:c r="AD81" s="22" t="str">
        <x:v>Not applicable — no full-text assessment was required.</x:v>
      </x:c>
      <x:c r="AE81" s="22" t="str">
        <x:v>Not included — title/abstract exclusion</x:v>
      </x:c>
      <x:c r="AF81" s="22" t="str">
        <x:v>Not applicable — not included</x:v>
      </x:c>
      <x:c r="AG81" s="22" t="str">
        <x:v>Evidence: 076d2176-5c15-4e94-9292-01375d501f50.png; page 4, result 4. Metadata transcribed from captured Google Scholar page; OCR-normalised, verify against publication before citation.</x:v>
      </x:c>
      <x:c r="AH81" s="20" t="str">
        <x:v>Confirmed using normalized title across captured searches.</x:v>
      </x:c>
    </x:row>
    <x:row r="82" ht="42" customHeight="1">
      <x:c r="A82" s="426" t="str">
        <x:v>GS-01-035</x:v>
      </x:c>
      <x:c r="B82" s="426" t="str">
        <x:v>Google Scholar</x:v>
      </x:c>
      <x:c r="C82" s="426" t="str">
        <x:v>GS-01</x:v>
      </x:c>
      <x:c r="D82" s="426" t="str">
        <x:v>Cancept-Aware Adaptive Multimodal Fusion With Knowledge Distillation for Medical Image Diagnosis</x:v>
      </x:c>
      <x:c r="E82" s="426" t="str">
        <x:v>JLi XZherg ¥ Zheng YMeng</x:v>
      </x:c>
      <x:c r="F82" s="426" t="n">
        <x:v>2025</x:v>
      </x:c>
      <x:c r="G82" s="426" t="str">
        <x:v>IEEE Journsl cf =. 2025 - ieeexplare ieee org</x:v>
      </x:c>
      <x:c r="H82" s="426" t="str">
        <x:v>Google Scholar result</x:v>
      </x:c>
      <x:c r="I82" s="426" t="str">
        <x:v>10.1109/JBHI.2026.3680783</x:v>
      </x:c>
      <x:c r="J82" s="426" t="str">
        <x:v>NR</x:v>
      </x:c>
      <x:c r="K82" s="426" t="str">
        <x:v>https://ieeexplore.ieee.org/iel8/6221020/6363502/11526792.pdf</x:v>
      </x:c>
      <x:c r="L82" s="426" t="str">
        <x:v>Multimodal medical imaging can improve diagnostic accuracy by leveraging complementary information, but existing methods often fail to account for disease-specific modality dependencies. The proposed Concept-Aware Adaptive Multimodal Fusion Knowledge Distillation framework integrates hierarchical disease concepts with dynamic modality fusion. Chain-of-Thought prompting extracts descriptive disease concepts from large language models as semantic anchors; a gating network selects specialized fusion teachers and knowledge distillation transfers concept-aware representations to a lightweight student. Experiments on Derm7pt, MMC-AMD and Harvard30k-Glaucoma show absolute Cohen's kappa improvements of 5.37%, 3.91% and 6.93%, respectively, over state-of-the-art methods.</x:v>
      </x:c>
      <x:c r="M82" s="426" t="str">
        <x:v>No duplicate</x:v>
      </x:c>
      <x:c r="N82" s="426" t="str">
        <x:v>Not applicable — no duplicate group</x:v>
      </x:c>
      <x:c r="O82" s="426" t="str">
        <x:v>Not applicable</x:v>
      </x:c>
      <x:c r="P82" s="426" t="str">
        <x:v>Yes</x:v>
      </x:c>
      <x:c r="Q82" s="426" t="str">
        <x:v>Include</x:v>
      </x:c>
      <x:c r="R82" s="426" t="str">
        <x:v>Medical model using structured disease concepts; retain as contextual concept-oriented evidence (I5).</x:v>
      </x:c>
      <x:c r="S82" s="426" t="str">
        <x:v>Verification documented at process level</x:v>
      </x:c>
      <x:c r="T82" s="426" t="str">
        <x:v>Two additional authors performed random spot checks; individual spot-check assignments are not recorded in this register.</x:v>
      </x:c>
      <x:c r="U82" s="426" t="str">
        <x:v>Include</x:v>
      </x:c>
      <x:c r="V82" s="426" t="str">
        <x:v>Primary decision by the corresponding author; two additional authors performed random spot checks as a quality-control step.</x:v>
      </x:c>
      <x:c r="W82" s="426" t="str">
        <x:v>Yes</x:v>
      </x:c>
      <x:c r="X82" s="426" t="str">
        <x:v>Yes</x:v>
      </x:c>
      <x:c r="Y82" s="426" t="str">
        <x:v>Include</x:v>
      </x:c>
      <x:c r="Z82" s="426" t="str">
        <x:v>The corresponding author assessed the complete report and judged it eligible for inclusion in the review.</x:v>
      </x:c>
      <x:c r="AA82" s="22" t="str">
        <x:v>Verification documented at process level</x:v>
      </x:c>
      <x:c r="AB82" s="22" t="str">
        <x:v>Two additional authors performed random spot checks; individual spot-check assignments are not recorded in this register.</x:v>
      </x:c>
      <x:c r="AC82" s="22" t="str">
        <x:v>Include</x:v>
      </x:c>
      <x:c r="AD82" s="22" t="str">
        <x:v>Primary decision by the corresponding author; two additional authors performed random spot checks as a quality-control step.</x:v>
      </x:c>
      <x:c r="AE82" s="22" t="str">
        <x:v>Include</x:v>
      </x:c>
      <x:c r="AF82" s="22" t="str">
        <x:v>Contextual medical concept-XAI evidence</x:v>
      </x:c>
      <x:c r="AG82" s="22" t="str">
        <x:v>Evidence: 076d2176-5c15-4e94-9292-01375d501f50.png; page 4, result 5. Metadata transcribed from captured Google Scholar page; OCR-normalised, verify against publication before citation.</x:v>
      </x:c>
      <x:c r="AH82" s="20" t="str">
        <x:v>No duplicate identified under the documented matching rules.</x:v>
      </x:c>
    </x:row>
    <x:row r="83" ht="42" customHeight="1">
      <x:c r="A83" s="426" t="str">
        <x:v>GS-01-036</x:v>
      </x:c>
      <x:c r="B83" s="426" t="str">
        <x:v>Google Scholar</x:v>
      </x:c>
      <x:c r="C83" s="426" t="str">
        <x:v>GS-01</x:v>
      </x:c>
      <x:c r="D83" s="426" t="str">
        <x:v>(POF) Can Viston-Language Models Enable More Efficient Concept-Based Learning with Less Supervision for Interpretable Lung Nadule Diagnosis?</x:v>
      </x:c>
      <x:c r="E83" s="426" t="str">
        <x:v>B Ma D Madz.a-Madzou. J Ouyang K Gilhuys</x:v>
      </x:c>
      <x:c r="F83" s="426" t="str">
        <x:v>NR</x:v>
      </x:c>
      <x:c r="G83" s="426" t="str">
        <x:v>2626 - openraview nei</x:v>
      </x:c>
      <x:c r="H83" s="426" t="str">
        <x:v>Google Scholar result</x:v>
      </x:c>
      <x:c r="I83" s="426" t="str">
        <x:v>NR</x:v>
      </x:c>
      <x:c r="J83" s="426" t="str">
        <x:v>NR</x:v>
      </x:c>
      <x:c r="K83" s="426" t="str">
        <x:v>https://openreview.net/pdf?id=OyOHg986R5</x:v>
      </x:c>
      <x:c r="L83" s="426" t="str">
        <x:v>The study examines whether vision-language models can reduce concept supervision for interpretable lung-nodule diagnosis. The indexed abstract summary reports that VLM-derived concepts can reduce supervision and improve interpretability and diagnostic performance, but are not yet sufficient for fully label-free concept-based learning.</x:v>
      </x:c>
      <x:c r="M83" s="426" t="str">
        <x:v>No duplicate</x:v>
      </x:c>
      <x:c r="N83" s="426" t="str">
        <x:v>Not applicable — no duplicate group</x:v>
      </x:c>
      <x:c r="O83" s="426" t="str">
        <x:v>Not applicable</x:v>
      </x:c>
      <x:c r="P83" s="426" t="str">
        <x:v>Yes</x:v>
      </x:c>
      <x:c r="Q83" s="426" t="str">
        <x:v>Include</x:v>
      </x:c>
      <x:c r="R83" s="426" t="str">
        <x:v>Medical concept-based learning for interpretable lung-nodule diagnosis; contextual evidence (I5).</x:v>
      </x:c>
      <x:c r="S83" s="426" t="str">
        <x:v>Verification documented at process level</x:v>
      </x:c>
      <x:c r="T83" s="426" t="str">
        <x:v>Two additional authors performed random spot checks; individual spot-check assignments are not recorded in this register.</x:v>
      </x:c>
      <x:c r="U83" s="426" t="str">
        <x:v>Include</x:v>
      </x:c>
      <x:c r="V83" s="426" t="str">
        <x:v>Primary decision by the corresponding author; two additional authors performed random spot checks as a quality-control step.</x:v>
      </x:c>
      <x:c r="W83" s="426" t="str">
        <x:v>Yes</x:v>
      </x:c>
      <x:c r="X83" s="426" t="str">
        <x:v>Yes</x:v>
      </x:c>
      <x:c r="Y83" s="426" t="str">
        <x:v>Include</x:v>
      </x:c>
      <x:c r="Z83" s="426" t="str">
        <x:v>The corresponding author assessed the complete report and judged it eligible for inclusion in the review.</x:v>
      </x:c>
      <x:c r="AA83" s="22" t="str">
        <x:v>Verification documented at process level</x:v>
      </x:c>
      <x:c r="AB83" s="22" t="str">
        <x:v>Two additional authors performed random spot checks; individual spot-check assignments are not recorded in this register.</x:v>
      </x:c>
      <x:c r="AC83" s="22" t="str">
        <x:v>Include</x:v>
      </x:c>
      <x:c r="AD83" s="22" t="str">
        <x:v>Primary decision by the corresponding author; two additional authors performed random spot checks as a quality-control step.</x:v>
      </x:c>
      <x:c r="AE83" s="22" t="str">
        <x:v>Include</x:v>
      </x:c>
      <x:c r="AF83" s="22" t="str">
        <x:v>Contextual medical concept-XAI evidence</x:v>
      </x:c>
      <x:c r="AG83" s="22" t="str">
        <x:v>Evidence: 076d2176-5c15-4e94-9292-01375d501f50.png; page 4, result 6. Metadata transcribed from captured Google Scholar page; OCR-normalised, verify against publication before citation.</x:v>
      </x:c>
      <x:c r="AH83" s="20" t="str">
        <x:v>No duplicate identified under the documented matching rules.</x:v>
      </x:c>
    </x:row>
    <x:row r="84" ht="42" customHeight="1">
      <x:c r="A84" s="426" t="str">
        <x:v>GS-01-037</x:v>
      </x:c>
      <x:c r="B84" s="426" t="str">
        <x:v>Google Scholar</x:v>
      </x:c>
      <x:c r="C84" s="426" t="str">
        <x:v>GS-01</x:v>
      </x:c>
      <x:c r="D84" s="426" t="str">
        <x:v>Training -free test-time improvement for explainable medical image classification</x:v>
      </x:c>
      <x:c r="E84" s="426" t="str">
        <x:v>HHe J Tang. Ztu. K Li ¥ Lu</x:v>
      </x:c>
      <x:c r="F84" s="426" t="n">
        <x:v>2025</x:v>
      </x:c>
      <x:c r="G84" s="426" t="str">
        <x:v>inemational Canfarence on Madical =. 2025 - Springer</x:v>
      </x:c>
      <x:c r="H84" s="426" t="str">
        <x:v>Google Scholar result</x:v>
      </x:c>
      <x:c r="I84" s="426" t="str">
        <x:v>NR</x:v>
      </x:c>
      <x:c r="J84" s="426" t="str">
        <x:v>2506.18070</x:v>
      </x:c>
      <x:c r="K84" s="426" t="str">
        <x:v>https://arxiv.org/pdf/2506.18070</x:v>
      </x:c>
      <x:c r="L84" s="426" t="str">
        <x:v>Deep learning-based medical image classification techniques are rapidly advancing in medical image analysis, making it crucial to develop accurate and trustworthy models that can be efficiently deployed across diverse clinical scenarios. Concept Bottleneck Models (CBMs), which first predict a set of explainable concepts from images and then perform classification based on these concepts, are increasingly being adopted for explainable medical image classification. However, the inherent explainability of CBMs introduces new challenges when deploying trained models to new environments. Variations in imaging protocols and staining methods may induce concept-level shifts, such as alterations in color distribution and scale. Furthermore, since CBM training requires explicit concept annotations, fine-tuning models solely with image-level labels could compromise concept prediction accuracy and faithfulness - a critical limitation given the high cost of acquiring expert-annotated concept labels in medical domains. To address these challenges, we propose a training-free confusion concept identification strategy. By leveraging minimal new data (e.g., 4 images per class) with only image-level labels, our approach enhances out-of-domain performance without sacrificing source domain accuracy through two key operations: masking misactivated confounding concepts and amplifying under-activated discriminative concepts. The efficacy of our method is validated on both skin and white blood cell images. Our code is available at: https://github.com/riverback/TF-TTI-XMed.</x:v>
      </x:c>
      <x:c r="M84" s="426" t="str">
        <x:v>No duplicate</x:v>
      </x:c>
      <x:c r="N84" s="426" t="str">
        <x:v>Not applicable — no duplicate group</x:v>
      </x:c>
      <x:c r="O84" s="426" t="str">
        <x:v>Not applicable</x:v>
      </x:c>
      <x:c r="P84" s="426" t="str">
        <x:v>Yes</x:v>
      </x:c>
      <x:c r="Q84" s="426" t="str">
        <x:v>Include</x:v>
      </x:c>
      <x:c r="R84" s="426" t="str">
        <x:v>Empirical medical concept-bottleneck study; contextual evidence (I5).</x:v>
      </x:c>
      <x:c r="S84" s="426" t="str">
        <x:v>Verification documented at process level</x:v>
      </x:c>
      <x:c r="T84" s="426" t="str">
        <x:v>Two additional authors performed random spot checks; individual spot-check assignments are not recorded in this register.</x:v>
      </x:c>
      <x:c r="U84" s="426" t="str">
        <x:v>Include</x:v>
      </x:c>
      <x:c r="V84" s="426" t="str">
        <x:v>Primary decision by the corresponding author; two additional authors performed random spot checks as a quality-control step.</x:v>
      </x:c>
      <x:c r="W84" s="426" t="str">
        <x:v>Yes</x:v>
      </x:c>
      <x:c r="X84" s="426" t="str">
        <x:v>Yes</x:v>
      </x:c>
      <x:c r="Y84" s="426" t="str">
        <x:v>Include</x:v>
      </x:c>
      <x:c r="Z84" s="426" t="str">
        <x:v>The corresponding author assessed the complete report and judged it eligible for inclusion in the review.</x:v>
      </x:c>
      <x:c r="AA84" s="22" t="str">
        <x:v>Verification documented at process level</x:v>
      </x:c>
      <x:c r="AB84" s="22" t="str">
        <x:v>Two additional authors performed random spot checks; individual spot-check assignments are not recorded in this register.</x:v>
      </x:c>
      <x:c r="AC84" s="22" t="str">
        <x:v>Include</x:v>
      </x:c>
      <x:c r="AD84" s="22" t="str">
        <x:v>Primary decision by the corresponding author; two additional authors performed random spot checks as a quality-control step.</x:v>
      </x:c>
      <x:c r="AE84" s="22" t="str">
        <x:v>Include</x:v>
      </x:c>
      <x:c r="AF84" s="22" t="str">
        <x:v>Contextual medical concept-XAI evidence</x:v>
      </x:c>
      <x:c r="AG84" s="22" t="str">
        <x:v>Evidence: 076d2176-5c15-4e94-9292-01375d501f50.png; page 4, result 7. Metadata transcribed from captured Google Scholar page; OCR-normalised, verify against publication before citation.</x:v>
      </x:c>
      <x:c r="AH84" s="20" t="str">
        <x:v>No duplicate identified under the documented matching rules.</x:v>
      </x:c>
    </x:row>
    <x:row r="85" ht="42" customHeight="1">
      <x:c r="A85" s="426" t="str">
        <x:v>GS-01-038</x:v>
      </x:c>
      <x:c r="B85" s="426" t="str">
        <x:v>Google Scholar</x:v>
      </x:c>
      <x:c r="C85" s="426" t="str">
        <x:v>GS-01</x:v>
      </x:c>
      <x:c r="D85" s="426" t="str">
        <x:v>WISE Weak-supervision-guided step-by-step explanations for multimodal LLMs in image classification</x:v>
      </x:c>
      <x:c r="E85" s="426" t="str">
        <x:v>¥ Jiang, JMehta S¥sn ¥ Shen -Proceedi-gs ofthe 2025</x:v>
      </x:c>
      <x:c r="F85" s="426" t="n">
        <x:v>2025</x:v>
      </x:c>
      <x:c r="G85" s="426" t="str">
        <x:v>aclanthalogy org</x:v>
      </x:c>
      <x:c r="H85" s="426" t="str">
        <x:v>Google Scholar result</x:v>
      </x:c>
      <x:c r="I85" s="426" t="str">
        <x:v>NR</x:v>
      </x:c>
      <x:c r="J85" s="426" t="str">
        <x:v>NR</x:v>
      </x:c>
      <x:c r="K85" s="426" t="str">
        <x:v>NR — URL not captured in the available source record</x:v>
      </x:c>
      <x:c r="L85" s="426" t="str">
        <x:v>Not available in the captured evidence; the screening decision used the title and available source metadata.</x:v>
      </x:c>
      <x:c r="M85" s="426" t="str">
        <x:v>No duplicate</x:v>
      </x:c>
      <x:c r="N85" s="426" t="str">
        <x:v>Not applicable — no duplicate group</x:v>
      </x:c>
      <x:c r="O85" s="426" t="str">
        <x:v>Not applicable</x:v>
      </x:c>
      <x:c r="P85" s="426" t="str">
        <x:v>Yes</x:v>
      </x:c>
      <x:c r="Q85" s="426" t="str">
        <x:v>Exclude</x:v>
      </x:c>
      <x:c r="R85" s="426" t="str">
        <x:v>General image-classification explanation study without retinal or medical evaluation (E1).</x:v>
      </x:c>
      <x:c r="S85" s="426" t="str">
        <x:v>Verification documented at process level</x:v>
      </x:c>
      <x:c r="T85" s="426" t="str">
        <x:v>Two additional authors performed random spot checks; individual spot-check assignments are not recorded in this register.</x:v>
      </x:c>
      <x:c r="U85" s="426" t="str">
        <x:v>Exclude</x:v>
      </x:c>
      <x:c r="V85" s="426" t="str">
        <x:v>Primary decision by the corresponding author; two additional authors performed random spot checks as a quality-control step.</x:v>
      </x:c>
      <x:c r="W85" s="426" t="str">
        <x:v>No</x:v>
      </x:c>
      <x:c r="X85" s="426" t="str">
        <x:v>Not applicable</x:v>
      </x:c>
      <x:c r="Y85" s="426" t="str">
        <x:v>Not assessed</x:v>
      </x:c>
      <x:c r="Z85" s="426" t="str">
        <x:v>Not advanced to full-text assessment after the title/abstract decision.</x:v>
      </x:c>
      <x:c r="AA85" s="22" t="str">
        <x:v>Not applicable</x:v>
      </x:c>
      <x:c r="AB85" s="22" t="str">
        <x:v>Record was not advanced to full-text assessment.</x:v>
      </x:c>
      <x:c r="AC85" s="22" t="str">
        <x:v>Not assessed</x:v>
      </x:c>
      <x:c r="AD85" s="22" t="str">
        <x:v>Not applicable — no full-text assessment was required.</x:v>
      </x:c>
      <x:c r="AE85" s="22" t="str">
        <x:v>Not included — title/abstract exclusion</x:v>
      </x:c>
      <x:c r="AF85" s="22" t="str">
        <x:v>Not applicable — not included</x:v>
      </x:c>
      <x:c r="AG85" s="22" t="str">
        <x:v>Evidence: 076d2176-5c15-4e94-9292-01375d501f50.png; page 4, result 8. Metadata transcribed from captured Google Scholar page; OCR-normalised, verify against publication before citation.</x:v>
      </x:c>
      <x:c r="AH85" s="20" t="str">
        <x:v>No duplicate identified under the documented matching rules.</x:v>
      </x:c>
    </x:row>
    <x:row r="86" ht="42" customHeight="1">
      <x:c r="A86" s="426" t="str">
        <x:v>GS-01-039</x:v>
      </x:c>
      <x:c r="B86" s="426" t="str">
        <x:v>Google Scholar</x:v>
      </x:c>
      <x:c r="C86" s="426" t="str">
        <x:v>GS-01</x:v>
      </x:c>
      <x:c r="D86" s="426" t="str">
        <x:v>Quantifying the Accuracy -Interpretability Trade-Off in Concept-Based Sidechannel Models</x:v>
      </x:c>
      <x:c r="E86" s="426" t="str">
        <x:v>DDebst G Mana</x:v>
      </x:c>
      <x:c r="F86" s="426" t="n">
        <x:v>2025</x:v>
      </x:c>
      <x:c r="G86" s="426" t="str">
        <x:v>arXiv prepriol arXiv 2510 05676, 2025 - arxiv arg</x:v>
      </x:c>
      <x:c r="H86" s="426" t="str">
        <x:v>Google Scholar result</x:v>
      </x:c>
      <x:c r="I86" s="426" t="str">
        <x:v>NR</x:v>
      </x:c>
      <x:c r="J86" s="426" t="str">
        <x:v>NR</x:v>
      </x:c>
      <x:c r="K86" s="426" t="str">
        <x:v>NR — URL not captured in the available source record</x:v>
      </x:c>
      <x:c r="L86" s="426" t="str">
        <x:v>Not available in the captured evidence; the screening decision used the title and available source metadata.</x:v>
      </x:c>
      <x:c r="M86" s="426" t="str">
        <x:v>No duplicate</x:v>
      </x:c>
      <x:c r="N86" s="426" t="str">
        <x:v>Not applicable — no duplicate group</x:v>
      </x:c>
      <x:c r="O86" s="426" t="str">
        <x:v>Not applicable</x:v>
      </x:c>
      <x:c r="P86" s="426" t="str">
        <x:v>Yes</x:v>
      </x:c>
      <x:c r="Q86" s="426" t="str">
        <x:v>Exclude</x:v>
      </x:c>
      <x:c r="R86" s="426" t="str">
        <x:v>Generic concept-XAI study without relevant medical or ophthalmic evaluation (E1).</x:v>
      </x:c>
      <x:c r="S86" s="426" t="str">
        <x:v>Verification documented at process level</x:v>
      </x:c>
      <x:c r="T86" s="426" t="str">
        <x:v>Two additional authors performed random spot checks; individual spot-check assignments are not recorded in this register.</x:v>
      </x:c>
      <x:c r="U86" s="426" t="str">
        <x:v>Exclude</x:v>
      </x:c>
      <x:c r="V86" s="426" t="str">
        <x:v>Primary decision by the corresponding author; two additional authors performed random spot checks as a quality-control step.</x:v>
      </x:c>
      <x:c r="W86" s="426" t="str">
        <x:v>No</x:v>
      </x:c>
      <x:c r="X86" s="426" t="str">
        <x:v>Not applicable</x:v>
      </x:c>
      <x:c r="Y86" s="426" t="str">
        <x:v>Not assessed</x:v>
      </x:c>
      <x:c r="Z86" s="426" t="str">
        <x:v>Not advanced to full-text assessment after the title/abstract decision.</x:v>
      </x:c>
      <x:c r="AA86" s="22" t="str">
        <x:v>Not applicable</x:v>
      </x:c>
      <x:c r="AB86" s="22" t="str">
        <x:v>Record was not advanced to full-text assessment.</x:v>
      </x:c>
      <x:c r="AC86" s="22" t="str">
        <x:v>Not assessed</x:v>
      </x:c>
      <x:c r="AD86" s="22" t="str">
        <x:v>Not applicable — no full-text assessment was required.</x:v>
      </x:c>
      <x:c r="AE86" s="22" t="str">
        <x:v>Not included — title/abstract exclusion</x:v>
      </x:c>
      <x:c r="AF86" s="22" t="str">
        <x:v>Not applicable — not included</x:v>
      </x:c>
      <x:c r="AG86" s="22" t="str">
        <x:v>Evidence: 076d2176-5c15-4e94-9292-01375d501f50.png; page 4, result 9. Metadata transcribed from captured Google Scholar page; OCR-normalised, verify against publication before citation.</x:v>
      </x:c>
      <x:c r="AH86" s="20" t="str">
        <x:v>No duplicate identified under the documented matching rules.</x:v>
      </x:c>
    </x:row>
    <x:row r="87" ht="42" customHeight="1">
      <x:c r="A87" s="426" t="str">
        <x:v>GS-01-040</x:v>
      </x:c>
      <x:c r="B87" s="426" t="str">
        <x:v>Google Scholar</x:v>
      </x:c>
      <x:c r="C87" s="426" t="str">
        <x:v>GS-01</x:v>
      </x:c>
      <x:c r="D87" s="426" t="str">
        <x:v>ConceptSMILE’ Auditing the Trustworthiness of Concept-Based Explainable Al</x:v>
      </x:c>
      <x:c r="E87" s="426" t="str">
        <x:v>M Mo-lapowr. KAslanselat 2Dehghani</x:v>
      </x:c>
      <x:c r="F87" s="426" t="n">
        <x:v>2026</x:v>
      </x:c>
      <x:c r="G87" s="426" t="str">
        <x:v>aXiv preprint arXiv =. 2026 - arxiv org</x:v>
      </x:c>
      <x:c r="H87" s="426" t="str">
        <x:v>Google Scholar result</x:v>
      </x:c>
      <x:c r="I87" s="426" t="str">
        <x:v>NR</x:v>
      </x:c>
      <x:c r="J87" s="426" t="str">
        <x:v>2607.09649</x:v>
      </x:c>
      <x:c r="K87" s="426" t="str">
        <x:v>https://arxiv.org/pdf/2607.09649</x:v>
      </x:c>
      <x:c r="L87" s="426" t="str">
        <x:v>Concept-based explainable artificial intelligence (AI) can make model reasoning more human-understandable, but concept-level outputs are not automatically trustworthy. We introduce ConceptSMILE, a model-agnostic perturbation-based auditing framework for evaluating the reliability of concept-based explanations. Rather than replacing SMILE, ConceptSMILE extends its perturbation-based logic from feature- or region-level attribution to the auditing of human-understandable concept explanations. The framework perturbs input regions, measures concept-response shifts, applies locality weighting, and fits an XGBoost surrogate to approximate local concept behaviour. Reliability is assessed through attribution accuracy, surrogate fidelity, faithfulness, stability, and consistency. We evaluate ConceptSMILE on retinal fundus images by comparing MedSAM-derived visual concepts with VLM-based semantic concepts. Results show that reliability varies across concepts and pathways: MedSAM achieves stronger spatial attribution and the highest surrogate fidelity ($R^2 = 0.8503$, $R_w^2 = 0.8465$), while the VLM pathway shows stronger vessel faithfulness and stronger stability under selected artefact conditions. ConceptSMILE provides an independent audit layer for evaluating the trustworthiness of concept-based XAI.</x:v>
      </x:c>
      <x:c r="M87" s="426" t="str">
        <x:v>No duplicate</x:v>
      </x:c>
      <x:c r="N87" s="426" t="str">
        <x:v>DG-014</x:v>
      </x:c>
      <x:c r="O87" s="426" t="str">
        <x:v>Not applicable</x:v>
      </x:c>
      <x:c r="P87" s="426" t="str">
        <x:v>Yes</x:v>
      </x:c>
      <x:c r="Q87" s="426" t="str">
        <x:v>Include</x:v>
      </x:c>
      <x:c r="R87" s="426" t="str">
        <x:v>Direct retinal-fundus concept-XAI auditing study (I2-I4).</x:v>
      </x:c>
      <x:c r="S87" s="426" t="str">
        <x:v>Verification documented at process level</x:v>
      </x:c>
      <x:c r="T87" s="426" t="str">
        <x:v>Two additional authors performed random spot checks; individual spot-check assignments are not recorded in this register.</x:v>
      </x:c>
      <x:c r="U87" s="426" t="str">
        <x:v>Include</x:v>
      </x:c>
      <x:c r="V87" s="426" t="str">
        <x:v>Primary decision by the corresponding author; two additional authors performed random spot checks as a quality-control step.</x:v>
      </x:c>
      <x:c r="W87" s="426" t="str">
        <x:v>Yes</x:v>
      </x:c>
      <x:c r="X87" s="426" t="str">
        <x:v>Yes</x:v>
      </x:c>
      <x:c r="Y87" s="426" t="str">
        <x:v>Include</x:v>
      </x:c>
      <x:c r="Z87" s="426" t="str">
        <x:v>The corresponding author assessed the complete report and judged it eligible for inclusion in the review.</x:v>
      </x:c>
      <x:c r="AA87" s="22" t="str">
        <x:v>Verification documented at process level</x:v>
      </x:c>
      <x:c r="AB87" s="22" t="str">
        <x:v>Two additional authors performed random spot checks; individual spot-check assignments are not recorded in this register.</x:v>
      </x:c>
      <x:c r="AC87" s="22" t="str">
        <x:v>Include</x:v>
      </x:c>
      <x:c r="AD87" s="22" t="str">
        <x:v>Primary decision by the corresponding author; two additional authors performed random spot checks as a quality-control step.</x:v>
      </x:c>
      <x:c r="AE87" s="22" t="str">
        <x:v>Include</x:v>
      </x:c>
      <x:c r="AF87" s="22" t="str">
        <x:v>Contextual medical concept-XAI evidence</x:v>
      </x:c>
      <x:c r="AG87" s="22" t="str">
        <x:v>Evidence: 076d2176-5c15-4e94-9292-01375d501f50.png; page 4, result 10. Metadata transcribed from captured Google Scholar page; OCR-normalised, verify against publication before citation.</x:v>
      </x:c>
      <x:c r="AH87" s="20" t="str">
        <x:v>Confirmed using normalized title across captured searches.</x:v>
      </x:c>
    </x:row>
    <x:row r="88" ht="42" customHeight="1">
      <x:c r="A88" s="426" t="str">
        <x:v>GS-01-041</x:v>
      </x:c>
      <x:c r="B88" s="426" t="str">
        <x:v>Google Scholar</x:v>
      </x:c>
      <x:c r="C88" s="426" t="str">
        <x:v>GS-01</x:v>
      </x:c>
      <x:c r="D88" s="426" t="str">
        <x:v>interpretable concept-based memory reasoning</x:v>
      </x:c>
      <x:c r="E88" s="426" t="str">
        <x:v>DO Debot P Barbie'o F Gianniri -Advancesin 2124</x:v>
      </x:c>
      <x:c r="F88" s="426" t="str">
        <x:v>NR</x:v>
      </x:c>
      <x:c r="G88" s="426" t="str">
        <x:v>proceedings neunps cc</x:v>
      </x:c>
      <x:c r="H88" s="426" t="str">
        <x:v>Google Scholar result</x:v>
      </x:c>
      <x:c r="I88" s="426" t="str">
        <x:v>NR</x:v>
      </x:c>
      <x:c r="J88" s="426" t="str">
        <x:v>NR</x:v>
      </x:c>
      <x:c r="K88" s="426" t="str">
        <x:v>NR — URL not captured in the available source record</x:v>
      </x:c>
      <x:c r="L88" s="426" t="str">
        <x:v>Not available in the captured evidence; the screening decision used the title and available source metadata.</x:v>
      </x:c>
      <x:c r="M88" s="426" t="str">
        <x:v>No duplicate</x:v>
      </x:c>
      <x:c r="N88" s="426" t="str">
        <x:v>Not applicable — no duplicate group</x:v>
      </x:c>
      <x:c r="O88" s="426" t="str">
        <x:v>Not applicable</x:v>
      </x:c>
      <x:c r="P88" s="426" t="str">
        <x:v>Yes</x:v>
      </x:c>
      <x:c r="Q88" s="426" t="str">
        <x:v>Exclude</x:v>
      </x:c>
      <x:c r="R88" s="426" t="str">
        <x:v>Foundational concept reasoning without retinal or medical evaluation (E1).</x:v>
      </x:c>
      <x:c r="S88" s="426" t="str">
        <x:v>Verification documented at process level</x:v>
      </x:c>
      <x:c r="T88" s="426" t="str">
        <x:v>Two additional authors performed random spot checks; individual spot-check assignments are not recorded in this register.</x:v>
      </x:c>
      <x:c r="U88" s="426" t="str">
        <x:v>Exclude</x:v>
      </x:c>
      <x:c r="V88" s="426" t="str">
        <x:v>Primary decision by the corresponding author; two additional authors performed random spot checks as a quality-control step.</x:v>
      </x:c>
      <x:c r="W88" s="426" t="str">
        <x:v>No</x:v>
      </x:c>
      <x:c r="X88" s="426" t="str">
        <x:v>Not applicable</x:v>
      </x:c>
      <x:c r="Y88" s="426" t="str">
        <x:v>Not assessed</x:v>
      </x:c>
      <x:c r="Z88" s="426" t="str">
        <x:v>Not advanced to full-text assessment after the title/abstract decision.</x:v>
      </x:c>
      <x:c r="AA88" s="22" t="str">
        <x:v>Not applicable</x:v>
      </x:c>
      <x:c r="AB88" s="22" t="str">
        <x:v>Record was not advanced to full-text assessment.</x:v>
      </x:c>
      <x:c r="AC88" s="22" t="str">
        <x:v>Not assessed</x:v>
      </x:c>
      <x:c r="AD88" s="22" t="str">
        <x:v>Not applicable — no full-text assessment was required.</x:v>
      </x:c>
      <x:c r="AE88" s="22" t="str">
        <x:v>Not included — title/abstract exclusion</x:v>
      </x:c>
      <x:c r="AF88" s="22" t="str">
        <x:v>Not applicable — not included</x:v>
      </x:c>
      <x:c r="AG88" s="22" t="str">
        <x:v>Evidence: c07c1a7e-32f4-4395-aa26-0fd49d5fca20.png; page 5, result 1. Metadata transcribed from captured Google Scholar page; OCR-normalised, verify against publication before citation.</x:v>
      </x:c>
      <x:c r="AH88" s="20" t="str">
        <x:v>No duplicate identified under the documented matching rules.</x:v>
      </x:c>
    </x:row>
    <x:row r="89" ht="42" customHeight="1">
      <x:c r="A89" s="426" t="str">
        <x:v>GS-01-042</x:v>
      </x:c>
      <x:c r="B89" s="426" t="str">
        <x:v>Google Scholar</x:v>
      </x:c>
      <x:c r="C89" s="426" t="str">
        <x:v>GS-01</x:v>
      </x:c>
      <x:c r="D89" s="426" t="str">
        <x:v>X-char: A concept-based explainable complex human activity recognition model</x:v>
      </x:c>
      <x:c r="E89" s="426" t="str">
        <x:v>JV Jeyakumar 4 Sarker, 4 Garcia + Praceadingscfihe ATM | 2022</x:v>
      </x:c>
      <x:c r="F89" s="426" t="n">
        <x:v>2022</x:v>
      </x:c>
      <x:c r="G89" s="426" t="str">
        <x:v>dl acm org</x:v>
      </x:c>
      <x:c r="H89" s="426" t="str">
        <x:v>Google Scholar result</x:v>
      </x:c>
      <x:c r="I89" s="426" t="str">
        <x:v>NR</x:v>
      </x:c>
      <x:c r="J89" s="426" t="str">
        <x:v>NR</x:v>
      </x:c>
      <x:c r="K89" s="426" t="str">
        <x:v>NR — URL not captured in the available source record</x:v>
      </x:c>
      <x:c r="L89" s="426" t="str">
        <x:v>Not available in the captured evidence; the screening decision used the title and available source metadata.</x:v>
      </x:c>
      <x:c r="M89" s="426" t="str">
        <x:v>No duplicate</x:v>
      </x:c>
      <x:c r="N89" s="426" t="str">
        <x:v>Not applicable — no duplicate group</x:v>
      </x:c>
      <x:c r="O89" s="426" t="str">
        <x:v>Not applicable</x:v>
      </x:c>
      <x:c r="P89" s="426" t="str">
        <x:v>Yes</x:v>
      </x:c>
      <x:c r="Q89" s="426" t="str">
        <x:v>Exclude</x:v>
      </x:c>
      <x:c r="R89" s="426" t="str">
        <x:v>Human-activity-recognition application outside the review domain (E1).</x:v>
      </x:c>
      <x:c r="S89" s="426" t="str">
        <x:v>Verification documented at process level</x:v>
      </x:c>
      <x:c r="T89" s="426" t="str">
        <x:v>Two additional authors performed random spot checks; individual spot-check assignments are not recorded in this register.</x:v>
      </x:c>
      <x:c r="U89" s="426" t="str">
        <x:v>Exclude</x:v>
      </x:c>
      <x:c r="V89" s="426" t="str">
        <x:v>Primary decision by the corresponding author; two additional authors performed random spot checks as a quality-control step.</x:v>
      </x:c>
      <x:c r="W89" s="426" t="str">
        <x:v>No</x:v>
      </x:c>
      <x:c r="X89" s="426" t="str">
        <x:v>Not applicable</x:v>
      </x:c>
      <x:c r="Y89" s="426" t="str">
        <x:v>Not assessed</x:v>
      </x:c>
      <x:c r="Z89" s="426" t="str">
        <x:v>Not advanced to full-text assessment after the title/abstract decision.</x:v>
      </x:c>
      <x:c r="AA89" s="22" t="str">
        <x:v>Not applicable</x:v>
      </x:c>
      <x:c r="AB89" s="22" t="str">
        <x:v>Record was not advanced to full-text assessment.</x:v>
      </x:c>
      <x:c r="AC89" s="22" t="str">
        <x:v>Not assessed</x:v>
      </x:c>
      <x:c r="AD89" s="22" t="str">
        <x:v>Not applicable — no full-text assessment was required.</x:v>
      </x:c>
      <x:c r="AE89" s="22" t="str">
        <x:v>Not included — title/abstract exclusion</x:v>
      </x:c>
      <x:c r="AF89" s="22" t="str">
        <x:v>Not applicable — not included</x:v>
      </x:c>
      <x:c r="AG89" s="22" t="str">
        <x:v>Evidence: c07c1a7e-32f4-4395-aa26-0fd49d5fca20.png; page 5, result 2. Metadata transcribed from captured Google Scholar page; OCR-normalised, verify against publication before citation.</x:v>
      </x:c>
      <x:c r="AH89" s="20" t="str">
        <x:v>No duplicate identified under the documented matching rules.</x:v>
      </x:c>
    </x:row>
    <x:row r="90" ht="42" customHeight="1">
      <x:c r="A90" s="426" t="str">
        <x:v>GS-01-043</x:v>
      </x:c>
      <x:c r="B90" s="426" t="str">
        <x:v>Google Scholar</x:v>
      </x:c>
      <x:c r="C90" s="426" t="str">
        <x:v>GS-01</x:v>
      </x:c>
      <x:c r="D90" s="426" t="str">
        <x:v>A User-Centric Review and Comparative Analysis of Explainable Al Methods for Social Media Recommender Systems</x:v>
      </x:c>
      <x:c r="E90" s="426" t="str">
        <x:v>BAlkhataeb E Solatman</x:v>
      </x:c>
      <x:c r="F90" s="426" t="n">
        <x:v>2026</x:v>
      </x:c>
      <x:c r="G90" s="426" t="str">
        <x:v>2026 IEEE Sth Inter-alional = 2026 - iewaxp.ore iese org</x:v>
      </x:c>
      <x:c r="H90" s="426" t="str">
        <x:v>Google Scholar result</x:v>
      </x:c>
      <x:c r="I90" s="426" t="str">
        <x:v>NR</x:v>
      </x:c>
      <x:c r="J90" s="426" t="str">
        <x:v>NR</x:v>
      </x:c>
      <x:c r="K90" s="426" t="str">
        <x:v>NR — URL not captured in the available source record</x:v>
      </x:c>
      <x:c r="L90" s="426" t="str">
        <x:v>Not available in the captured evidence; the screening decision used the title and available source metadata.</x:v>
      </x:c>
      <x:c r="M90" s="426" t="str">
        <x:v>No duplicate</x:v>
      </x:c>
      <x:c r="N90" s="426" t="str">
        <x:v>Not applicable — no duplicate group</x:v>
      </x:c>
      <x:c r="O90" s="426" t="str">
        <x:v>Not applicable</x:v>
      </x:c>
      <x:c r="P90" s="426" t="str">
        <x:v>Yes</x:v>
      </x:c>
      <x:c r="Q90" s="426" t="str">
        <x:v>Exclude</x:v>
      </x:c>
      <x:c r="R90" s="426" t="str">
        <x:v>Social-media recommender review; wrong domain and non-original evidence (E1, E4).</x:v>
      </x:c>
      <x:c r="S90" s="426" t="str">
        <x:v>Verification documented at process level</x:v>
      </x:c>
      <x:c r="T90" s="426" t="str">
        <x:v>Two additional authors performed random spot checks; individual spot-check assignments are not recorded in this register.</x:v>
      </x:c>
      <x:c r="U90" s="426" t="str">
        <x:v>Exclude</x:v>
      </x:c>
      <x:c r="V90" s="426" t="str">
        <x:v>Primary decision by the corresponding author; two additional authors performed random spot checks as a quality-control step.</x:v>
      </x:c>
      <x:c r="W90" s="426" t="str">
        <x:v>No</x:v>
      </x:c>
      <x:c r="X90" s="426" t="str">
        <x:v>Not applicable</x:v>
      </x:c>
      <x:c r="Y90" s="426" t="str">
        <x:v>Not assessed</x:v>
      </x:c>
      <x:c r="Z90" s="426" t="str">
        <x:v>Not advanced to full-text assessment after the title/abstract decision.</x:v>
      </x:c>
      <x:c r="AA90" s="22" t="str">
        <x:v>Not applicable</x:v>
      </x:c>
      <x:c r="AB90" s="22" t="str">
        <x:v>Record was not advanced to full-text assessment.</x:v>
      </x:c>
      <x:c r="AC90" s="22" t="str">
        <x:v>Not assessed</x:v>
      </x:c>
      <x:c r="AD90" s="22" t="str">
        <x:v>Not applicable — no full-text assessment was required.</x:v>
      </x:c>
      <x:c r="AE90" s="22" t="str">
        <x:v>Not included — title/abstract exclusion</x:v>
      </x:c>
      <x:c r="AF90" s="22" t="str">
        <x:v>Not applicable — not included</x:v>
      </x:c>
      <x:c r="AG90" s="22" t="str">
        <x:v>Evidence: c07c1a7e-32f4-4395-aa26-0fd49d5fca20.png; page 5, result 3. Metadata transcribed from captured Google Scholar page; OCR-normalised, verify against publication before citation.</x:v>
      </x:c>
      <x:c r="AH90" s="20" t="str">
        <x:v>No duplicate identified under the documented matching rules.</x:v>
      </x:c>
    </x:row>
    <x:row r="91" ht="42" customHeight="1">
      <x:c r="A91" s="426" t="str">
        <x:v>GS-01-044</x:v>
      </x:c>
      <x:c r="B91" s="426" t="str">
        <x:v>Google Scholar</x:v>
      </x:c>
      <x:c r="C91" s="426" t="str">
        <x:v>GS-01</x:v>
      </x:c>
      <x:c r="D91" s="426" t="str">
        <x:v>(Por CACRC-Pan’ A Concept Annotated Case Report Corpus and Processing Pipeline for Rare Pancreatic Diseases</x:v>
      </x:c>
      <x:c r="E91" s="426" t="str">
        <x:v>C Mulimb: 4 Fiersns, . Diercke + . tha Personal Gate. 2026</x:v>
      </x:c>
      <x:c r="F91" s="426" t="n">
        <x:v>2026</x:v>
      </x:c>
      <x:c r="G91" s="426" t="str">
        <x:v>research dial Uclouyain be</x:v>
      </x:c>
      <x:c r="H91" s="426" t="str">
        <x:v>Google Scholar result</x:v>
      </x:c>
      <x:c r="I91" s="426" t="str">
        <x:v>NR</x:v>
      </x:c>
      <x:c r="J91" s="426" t="str">
        <x:v>NR</x:v>
      </x:c>
      <x:c r="K91" s="426" t="str">
        <x:v>NR — URL not captured in the available source record</x:v>
      </x:c>
      <x:c r="L91" s="426" t="str">
        <x:v>Not available in the captured evidence; the screening decision used the title and available source metadata.</x:v>
      </x:c>
      <x:c r="M91" s="426" t="str">
        <x:v>No duplicate</x:v>
      </x:c>
      <x:c r="N91" s="426" t="str">
        <x:v>Not applicable — no duplicate group</x:v>
      </x:c>
      <x:c r="O91" s="426" t="str">
        <x:v>Not applicable</x:v>
      </x:c>
      <x:c r="P91" s="426" t="str">
        <x:v>Yes</x:v>
      </x:c>
      <x:c r="Q91" s="426" t="str">
        <x:v>Exclude</x:v>
      </x:c>
      <x:c r="R91" s="426" t="str">
        <x:v>Pancreatic case-report corpus pipeline without an eligible XAI evaluation (E2).</x:v>
      </x:c>
      <x:c r="S91" s="426" t="str">
        <x:v>Verification documented at process level</x:v>
      </x:c>
      <x:c r="T91" s="426" t="str">
        <x:v>Two additional authors performed random spot checks; individual spot-check assignments are not recorded in this register.</x:v>
      </x:c>
      <x:c r="U91" s="426" t="str">
        <x:v>Exclude</x:v>
      </x:c>
      <x:c r="V91" s="426" t="str">
        <x:v>Primary decision by the corresponding author; two additional authors performed random spot checks as a quality-control step.</x:v>
      </x:c>
      <x:c r="W91" s="426" t="str">
        <x:v>No</x:v>
      </x:c>
      <x:c r="X91" s="426" t="str">
        <x:v>Not applicable</x:v>
      </x:c>
      <x:c r="Y91" s="426" t="str">
        <x:v>Not assessed</x:v>
      </x:c>
      <x:c r="Z91" s="426" t="str">
        <x:v>Not advanced to full-text assessment after the title/abstract decision.</x:v>
      </x:c>
      <x:c r="AA91" s="22" t="str">
        <x:v>Not applicable</x:v>
      </x:c>
      <x:c r="AB91" s="22" t="str">
        <x:v>Record was not advanced to full-text assessment.</x:v>
      </x:c>
      <x:c r="AC91" s="22" t="str">
        <x:v>Not assessed</x:v>
      </x:c>
      <x:c r="AD91" s="22" t="str">
        <x:v>Not applicable — no full-text assessment was required.</x:v>
      </x:c>
      <x:c r="AE91" s="22" t="str">
        <x:v>Not included — title/abstract exclusion</x:v>
      </x:c>
      <x:c r="AF91" s="22" t="str">
        <x:v>Not applicable — not included</x:v>
      </x:c>
      <x:c r="AG91" s="22" t="str">
        <x:v>Evidence: c07c1a7e-32f4-4395-aa26-0fd49d5fca20.png; page 5, result 4. Metadata transcribed from captured Google Scholar page; OCR-normalised, verify against publication before citation.</x:v>
      </x:c>
      <x:c r="AH91" s="20" t="str">
        <x:v>No duplicate identified under the documented matching rules.</x:v>
      </x:c>
    </x:row>
    <x:row r="92" ht="42" customHeight="1">
      <x:c r="A92" s="426" t="str">
        <x:v>GS-01-045</x:v>
      </x:c>
      <x:c r="B92" s="426" t="str">
        <x:v>Google Scholar</x:v>
      </x:c>
      <x:c r="C92" s="426" t="str">
        <x:v>GS-01</x:v>
      </x:c>
      <x:c r="D92" s="426" t="str">
        <x:v>Concept-based explainable artificial intelligence’ Metrics and benchmarks</x:v>
      </x:c>
      <x:c r="E92" s="426" t="str">
        <x:v>HI Aysel X Cai A Onugel-Bennett</x:v>
      </x:c>
      <x:c r="F92" s="426" t="str">
        <x:v>NR</x:v>
      </x:c>
      <x:c r="G92" s="426" t="str">
        <x:v>arXiv prapeint arXiv 2601 19271 2325 - arxiv arg</x:v>
      </x:c>
      <x:c r="H92" s="426" t="str">
        <x:v>Google Scholar result</x:v>
      </x:c>
      <x:c r="I92" s="426" t="str">
        <x:v>NR</x:v>
      </x:c>
      <x:c r="J92" s="426" t="str">
        <x:v>NR</x:v>
      </x:c>
      <x:c r="K92" s="426" t="str">
        <x:v>NR — URL not captured in the available source record</x:v>
      </x:c>
      <x:c r="L92" s="426" t="str">
        <x:v>Not available in the captured evidence; the screening decision used the title and available source metadata.</x:v>
      </x:c>
      <x:c r="M92" s="426" t="str">
        <x:v>No duplicate</x:v>
      </x:c>
      <x:c r="N92" s="426" t="str">
        <x:v>Not applicable — no duplicate group</x:v>
      </x:c>
      <x:c r="O92" s="426" t="str">
        <x:v>Not applicable</x:v>
      </x:c>
      <x:c r="P92" s="426" t="str">
        <x:v>Yes</x:v>
      </x:c>
      <x:c r="Q92" s="426" t="str">
        <x:v>Exclude</x:v>
      </x:c>
      <x:c r="R92" s="426" t="str">
        <x:v>Generic concept-XAI metrics study without relevant medical evaluation (E1).</x:v>
      </x:c>
      <x:c r="S92" s="426" t="str">
        <x:v>Verification documented at process level</x:v>
      </x:c>
      <x:c r="T92" s="426" t="str">
        <x:v>Two additional authors performed random spot checks; individual spot-check assignments are not recorded in this register.</x:v>
      </x:c>
      <x:c r="U92" s="426" t="str">
        <x:v>Exclude</x:v>
      </x:c>
      <x:c r="V92" s="426" t="str">
        <x:v>Primary decision by the corresponding author; two additional authors performed random spot checks as a quality-control step.</x:v>
      </x:c>
      <x:c r="W92" s="426" t="str">
        <x:v>No</x:v>
      </x:c>
      <x:c r="X92" s="426" t="str">
        <x:v>Not applicable</x:v>
      </x:c>
      <x:c r="Y92" s="426" t="str">
        <x:v>Not assessed</x:v>
      </x:c>
      <x:c r="Z92" s="426" t="str">
        <x:v>Not advanced to full-text assessment after the title/abstract decision.</x:v>
      </x:c>
      <x:c r="AA92" s="22" t="str">
        <x:v>Not applicable</x:v>
      </x:c>
      <x:c r="AB92" s="22" t="str">
        <x:v>Record was not advanced to full-text assessment.</x:v>
      </x:c>
      <x:c r="AC92" s="22" t="str">
        <x:v>Not assessed</x:v>
      </x:c>
      <x:c r="AD92" s="22" t="str">
        <x:v>Not applicable — no full-text assessment was required.</x:v>
      </x:c>
      <x:c r="AE92" s="22" t="str">
        <x:v>Not included — title/abstract exclusion</x:v>
      </x:c>
      <x:c r="AF92" s="22" t="str">
        <x:v>Not applicable — not included</x:v>
      </x:c>
      <x:c r="AG92" s="22" t="str">
        <x:v>Evidence: c07c1a7e-32f4-4395-aa26-0fd49d5fca20.png; page 5, result 5. Metadata transcribed from captured Google Scholar page; OCR-normalised, verify against publication before citation.</x:v>
      </x:c>
      <x:c r="AH92" s="20" t="str">
        <x:v>No duplicate identified under the documented matching rules.</x:v>
      </x:c>
    </x:row>
    <x:row r="93" ht="42" customHeight="1">
      <x:c r="A93" s="426" t="str">
        <x:v>GS-01-046</x:v>
      </x:c>
      <x:c r="B93" s="426" t="str">
        <x:v>Google Scholar</x:v>
      </x:c>
      <x:c r="C93" s="426" t="str">
        <x:v>GS-01</x:v>
      </x:c>
      <x:c r="D93" s="426" t="str">
        <x:v>A Concept-based approach to Voice Disorder Detectian</x:v>
      </x:c>
      <x:c r="E93" s="426" t="str">
        <x:v>2Gha GCwayegra AKoudonas MFantni</x:v>
      </x:c>
      <x:c r="F93" s="426" t="n">
        <x:v>2025</x:v>
      </x:c>
      <x:c r="G93" s="426" t="str">
        <x:v>Con*erenceonMachine | 2025 - Springer</x:v>
      </x:c>
      <x:c r="H93" s="426" t="str">
        <x:v>Google Scholar result</x:v>
      </x:c>
      <x:c r="I93" s="426" t="str">
        <x:v>NR</x:v>
      </x:c>
      <x:c r="J93" s="426" t="str">
        <x:v>2507.17799</x:v>
      </x:c>
      <x:c r="K93" s="426" t="str">
        <x:v>https://arxiv.org/pdf/2507.17799</x:v>
      </x:c>
      <x:c r="L93" s="426" t="str">
        <x:v>Voice disorders affect a significant portion of the population, and the ability to diagnose them using automated, non-invasive techniques would represent a substantial advancement in healthcare, improving the quality of life of patients. Recent studies have demonstrated that artificial intelligence models, particularly Deep Neural Networks (DNNs), can effectively address this task. However, due to their complexity, the decision-making process of such models often remain opaque, limiting their trustworthiness in clinical contexts. This paper investigates an alternative approach based on Explainable AI (XAI), a field that aims to improve the interpretability of DNNs by providing different forms of explanations. Specifically, this works focuses on concept-based models such as Concept Bottleneck Model (CBM) and Concept Embedding Model (CEM) and how they can achieve performance comparable to traditional deep learning methods, while offering a more transparent and interpretable decision framework.</x:v>
      </x:c>
      <x:c r="M93" s="426" t="str">
        <x:v>No duplicate</x:v>
      </x:c>
      <x:c r="N93" s="426" t="str">
        <x:v>Not applicable — no duplicate group</x:v>
      </x:c>
      <x:c r="O93" s="426" t="str">
        <x:v>Not applicable</x:v>
      </x:c>
      <x:c r="P93" s="426" t="str">
        <x:v>Yes</x:v>
      </x:c>
      <x:c r="Q93" s="426" t="str">
        <x:v>Include</x:v>
      </x:c>
      <x:c r="R93" s="426" t="str">
        <x:v>Empirical medical CBM/CEM study for voice-disorder detection; contextual evidence (I5).</x:v>
      </x:c>
      <x:c r="S93" s="426" t="str">
        <x:v>Verification documented at process level</x:v>
      </x:c>
      <x:c r="T93" s="426" t="str">
        <x:v>Two additional authors performed random spot checks; individual spot-check assignments are not recorded in this register.</x:v>
      </x:c>
      <x:c r="U93" s="426" t="str">
        <x:v>Include</x:v>
      </x:c>
      <x:c r="V93" s="426" t="str">
        <x:v>Primary decision by the corresponding author; two additional authors performed random spot checks as a quality-control step.</x:v>
      </x:c>
      <x:c r="W93" s="426" t="str">
        <x:v>Yes</x:v>
      </x:c>
      <x:c r="X93" s="426" t="str">
        <x:v>Yes</x:v>
      </x:c>
      <x:c r="Y93" s="426" t="str">
        <x:v>Include</x:v>
      </x:c>
      <x:c r="Z93" s="426" t="str">
        <x:v>The corresponding author assessed the complete report and judged it eligible for inclusion in the review.</x:v>
      </x:c>
      <x:c r="AA93" s="22" t="str">
        <x:v>Verification documented at process level</x:v>
      </x:c>
      <x:c r="AB93" s="22" t="str">
        <x:v>Two additional authors performed random spot checks; individual spot-check assignments are not recorded in this register.</x:v>
      </x:c>
      <x:c r="AC93" s="22" t="str">
        <x:v>Include</x:v>
      </x:c>
      <x:c r="AD93" s="22" t="str">
        <x:v>Primary decision by the corresponding author; two additional authors performed random spot checks as a quality-control step.</x:v>
      </x:c>
      <x:c r="AE93" s="22" t="str">
        <x:v>Include</x:v>
      </x:c>
      <x:c r="AF93" s="22" t="str">
        <x:v>Contextual medical concept-XAI evidence</x:v>
      </x:c>
      <x:c r="AG93" s="22" t="str">
        <x:v>Evidence: c07c1a7e-32f4-4395-aa26-0fd49d5fca20.png; page 5, result 6. Metadata transcribed from captured Google Scholar page; OCR-normalised, verify against publication before citation.</x:v>
      </x:c>
      <x:c r="AH93" s="20" t="str">
        <x:v>No duplicate identified under the documented matching rules.</x:v>
      </x:c>
    </x:row>
    <x:row r="94" ht="42" customHeight="1">
      <x:c r="A94" s="426" t="str">
        <x:v>GS-01-047</x:v>
      </x:c>
      <x:c r="B94" s="426" t="str">
        <x:v>Google Scholar</x:v>
      </x:c>
      <x:c r="C94" s="426" t="str">
        <x:v>GS-01</x:v>
      </x:c>
      <x:c r="D94" s="426" t="str">
        <x:v>A counterintuitive approach to explainabte Al in healthcare. balancing transparency efficiency, and cost</x:v>
      </x:c>
      <x:c r="E94" s="426" t="str">
        <x:v>¥ Dnilips</x:v>
      </x:c>
      <x:c r="F94" s="426" t="str">
        <x:v>NR</x:v>
      </x:c>
      <x:c r="G94" s="426" t="str">
        <x:v>Al &amp; SCCIETY 2925 - Springer</x:v>
      </x:c>
      <x:c r="H94" s="426" t="str">
        <x:v>Google Scholar result</x:v>
      </x:c>
      <x:c r="I94" s="426" t="str">
        <x:v>NR</x:v>
      </x:c>
      <x:c r="J94" s="426" t="str">
        <x:v>NR</x:v>
      </x:c>
      <x:c r="K94" s="426" t="str">
        <x:v>NR — URL not captured in the available source record</x:v>
      </x:c>
      <x:c r="L94" s="426" t="str">
        <x:v>Not available in the captured evidence; the screening decision used the title and available source metadata.</x:v>
      </x:c>
      <x:c r="M94" s="426" t="str">
        <x:v>No duplicate</x:v>
      </x:c>
      <x:c r="N94" s="426" t="str">
        <x:v>Not applicable — no duplicate group</x:v>
      </x:c>
      <x:c r="O94" s="426" t="str">
        <x:v>Not applicable</x:v>
      </x:c>
      <x:c r="P94" s="426" t="str">
        <x:v>Yes</x:v>
      </x:c>
      <x:c r="Q94" s="426" t="str">
        <x:v>Exclude</x:v>
      </x:c>
      <x:c r="R94" s="426" t="str">
        <x:v>Review/discussion article without original empirical evaluation (E4).</x:v>
      </x:c>
      <x:c r="S94" s="426" t="str">
        <x:v>Verification documented at process level</x:v>
      </x:c>
      <x:c r="T94" s="426" t="str">
        <x:v>Two additional authors performed random spot checks; individual spot-check assignments are not recorded in this register.</x:v>
      </x:c>
      <x:c r="U94" s="426" t="str">
        <x:v>Exclude</x:v>
      </x:c>
      <x:c r="V94" s="426" t="str">
        <x:v>Primary decision by the corresponding author; two additional authors performed random spot checks as a quality-control step.</x:v>
      </x:c>
      <x:c r="W94" s="426" t="str">
        <x:v>No</x:v>
      </x:c>
      <x:c r="X94" s="426" t="str">
        <x:v>Not applicable</x:v>
      </x:c>
      <x:c r="Y94" s="426" t="str">
        <x:v>Not assessed</x:v>
      </x:c>
      <x:c r="Z94" s="426" t="str">
        <x:v>Not advanced to full-text assessment after the title/abstract decision.</x:v>
      </x:c>
      <x:c r="AA94" s="22" t="str">
        <x:v>Not applicable</x:v>
      </x:c>
      <x:c r="AB94" s="22" t="str">
        <x:v>Record was not advanced to full-text assessment.</x:v>
      </x:c>
      <x:c r="AC94" s="22" t="str">
        <x:v>Not assessed</x:v>
      </x:c>
      <x:c r="AD94" s="22" t="str">
        <x:v>Not applicable — no full-text assessment was required.</x:v>
      </x:c>
      <x:c r="AE94" s="22" t="str">
        <x:v>Not included — title/abstract exclusion</x:v>
      </x:c>
      <x:c r="AF94" s="22" t="str">
        <x:v>Not applicable — not included</x:v>
      </x:c>
      <x:c r="AG94" s="22" t="str">
        <x:v>Evidence: c07c1a7e-32f4-4395-aa26-0fd49d5fca20.png; page 5, result 7. Metadata transcribed from captured Google Scholar page; OCR-normalised, verify against publication before citation.</x:v>
      </x:c>
      <x:c r="AH94" s="20" t="str">
        <x:v>No duplicate identified under the documented matching rules.</x:v>
      </x:c>
    </x:row>
    <x:row r="95" ht="42" customHeight="1">
      <x:c r="A95" s="426" t="str">
        <x:v>GS-01-048</x:v>
      </x:c>
      <x:c r="B95" s="426" t="str">
        <x:v>Google Scholar</x:v>
      </x:c>
      <x:c r="C95" s="426" t="str">
        <x:v>GS-01</x:v>
      </x:c>
      <x:c r="D95" s="426" t="str">
        <x:v>CONAN CONcept-Onented ANomaly Detector far Interpretable Zero-Shot Detection</x:v>
      </x:c>
      <x:c r="E95" s="426" t="str">
        <x:v>Ylee Eleo JKwon, See KKim S¥u_ -Faciic-Asia Conference = 2026</x:v>
      </x:c>
      <x:c r="F95" s="426" t="n">
        <x:v>2026</x:v>
      </x:c>
      <x:c r="G95" s="426" t="str">
        <x:v>Springer</x:v>
      </x:c>
      <x:c r="H95" s="426" t="str">
        <x:v>Google Scholar result</x:v>
      </x:c>
      <x:c r="I95" s="426" t="str">
        <x:v>10.1007/978-981-92-1947-6_44</x:v>
      </x:c>
      <x:c r="J95" s="426" t="str">
        <x:v>NR</x:v>
      </x:c>
      <x:c r="K95" s="426" t="str">
        <x:v>https://link.springer.com/10.1007/978-981-92-1947-6_44</x:v>
      </x:c>
      <x:c r="L95" s="426" t="str">
        <x:v>Large vision-language models (LVLMs) have advanced zero-shot anomaly detection (ZSAD) by enabling generalization to unseen classes, yet most operate as semantic “black boxes” without explicit rationale. Incorporating concept bottleneck models (CBMs) is...</x:v>
      </x:c>
      <x:c r="M95" s="426" t="str">
        <x:v>No duplicate</x:v>
      </x:c>
      <x:c r="N95" s="426" t="str">
        <x:v>Not applicable — no duplicate group</x:v>
      </x:c>
      <x:c r="O95" s="426" t="str">
        <x:v>Not applicable</x:v>
      </x:c>
      <x:c r="P95" s="426" t="str">
        <x:v>Yes</x:v>
      </x:c>
      <x:c r="Q95" s="426" t="str">
        <x:v>Include</x:v>
      </x:c>
      <x:c r="R95" s="426" t="str">
        <x:v>Concept-oriented detector evaluated for medical-domain transfer; contextual evidence (I5).</x:v>
      </x:c>
      <x:c r="S95" s="426" t="str">
        <x:v>Verification documented at process level</x:v>
      </x:c>
      <x:c r="T95" s="426" t="str">
        <x:v>Two additional authors performed random spot checks; individual spot-check assignments are not recorded in this register.</x:v>
      </x:c>
      <x:c r="U95" s="426" t="str">
        <x:v>Include</x:v>
      </x:c>
      <x:c r="V95" s="426" t="str">
        <x:v>Primary decision by the corresponding author; two additional authors performed random spot checks as a quality-control step.</x:v>
      </x:c>
      <x:c r="W95" s="426" t="str">
        <x:v>Yes</x:v>
      </x:c>
      <x:c r="X95" s="426" t="str">
        <x:v>Yes</x:v>
      </x:c>
      <x:c r="Y95" s="426" t="str">
        <x:v>Include</x:v>
      </x:c>
      <x:c r="Z95" s="426" t="str">
        <x:v>The corresponding author confirmed full-text assessment. Abstract/official-record rationale (I5): The abstract proposes CONAN, a concept-oriented zero-shot anomaly detector with an actively curated concept bank and semantically aligned category prototypes; it is contextual structured concept-XAI evidence.</x:v>
      </x:c>
      <x:c r="AA95" s="22" t="str">
        <x:v>Verification documented at process level</x:v>
      </x:c>
      <x:c r="AB95" s="22" t="str">
        <x:v>Two additional authors performed random spot checks; individual spot-check assignments are not recorded in this register.</x:v>
      </x:c>
      <x:c r="AC95" s="22" t="str">
        <x:v>Include</x:v>
      </x:c>
      <x:c r="AD95" s="22" t="str">
        <x:v>Primary decision by the corresponding author; two additional authors performed random spot checks as a quality-control step.</x:v>
      </x:c>
      <x:c r="AE95" s="22" t="str">
        <x:v>Include</x:v>
      </x:c>
      <x:c r="AF95" s="22" t="str">
        <x:v>Contextual medical concept-XAI evidence</x:v>
      </x:c>
      <x:c r="AG95" s="22" t="str">
        <x:v>Evidence: c07c1a7e-32f4-4395-aa26-0fd49d5fca20.png; page 5, result 8. Metadata transcribed from captured Google Scholar page; OCR-normalised, verify against publication before citation.</x:v>
      </x:c>
      <x:c r="AH95" s="20" t="str">
        <x:v>No duplicate identified under the documented matching rules.</x:v>
      </x:c>
    </x:row>
    <x:row r="96" ht="42" customHeight="1">
      <x:c r="A96" s="426" t="str">
        <x:v>GS-01-049</x:v>
      </x:c>
      <x:c r="B96" s="426" t="str">
        <x:v>Google Scholar</x:v>
      </x:c>
      <x:c r="C96" s="426" t="str">
        <x:v>GS-01</x:v>
      </x:c>
      <x:c r="D96" s="426" t="str">
        <x:v>Promises and pitfalls of black-box cancept learning models</x:v>
      </x:c>
      <x:c r="E96" s="426" t="str">
        <x:v>Atfabinpaj Clark | age © Doshi-Velez</x:v>
      </x:c>
      <x:c r="F96" s="426" t="n">
        <x:v>2021</x:v>
      </x:c>
      <x:c r="G96" s="426" t="str">
        <x:v>arXiv prepnntarxiv =, 2021 - arev org</x:v>
      </x:c>
      <x:c r="H96" s="426" t="str">
        <x:v>Google Scholar result</x:v>
      </x:c>
      <x:c r="I96" s="426" t="str">
        <x:v>NR</x:v>
      </x:c>
      <x:c r="J96" s="426" t="str">
        <x:v>NR</x:v>
      </x:c>
      <x:c r="K96" s="426" t="str">
        <x:v>NR — URL not captured in the available source record</x:v>
      </x:c>
      <x:c r="L96" s="426" t="str">
        <x:v>Not available in the captured evidence; the screening decision used the title and available source metadata.</x:v>
      </x:c>
      <x:c r="M96" s="426" t="str">
        <x:v>No duplicate</x:v>
      </x:c>
      <x:c r="N96" s="426" t="str">
        <x:v>Not applicable — no duplicate group</x:v>
      </x:c>
      <x:c r="O96" s="426" t="str">
        <x:v>Not applicable</x:v>
      </x:c>
      <x:c r="P96" s="426" t="str">
        <x:v>Yes</x:v>
      </x:c>
      <x:c r="Q96" s="426" t="str">
        <x:v>Exclude</x:v>
      </x:c>
      <x:c r="R96" s="426" t="str">
        <x:v>Generic concept-learning study outside the retinal or medical domain (E1).</x:v>
      </x:c>
      <x:c r="S96" s="426" t="str">
        <x:v>Verification documented at process level</x:v>
      </x:c>
      <x:c r="T96" s="426" t="str">
        <x:v>Two additional authors performed random spot checks; individual spot-check assignments are not recorded in this register.</x:v>
      </x:c>
      <x:c r="U96" s="426" t="str">
        <x:v>Exclude</x:v>
      </x:c>
      <x:c r="V96" s="426" t="str">
        <x:v>Primary decision by the corresponding author; two additional authors performed random spot checks as a quality-control step.</x:v>
      </x:c>
      <x:c r="W96" s="426" t="str">
        <x:v>No</x:v>
      </x:c>
      <x:c r="X96" s="426" t="str">
        <x:v>Not applicable</x:v>
      </x:c>
      <x:c r="Y96" s="426" t="str">
        <x:v>Not assessed</x:v>
      </x:c>
      <x:c r="Z96" s="426" t="str">
        <x:v>Not advanced to full-text assessment after the title/abstract decision.</x:v>
      </x:c>
      <x:c r="AA96" s="22" t="str">
        <x:v>Not applicable</x:v>
      </x:c>
      <x:c r="AB96" s="22" t="str">
        <x:v>Record was not advanced to full-text assessment.</x:v>
      </x:c>
      <x:c r="AC96" s="22" t="str">
        <x:v>Not assessed</x:v>
      </x:c>
      <x:c r="AD96" s="22" t="str">
        <x:v>Not applicable — no full-text assessment was required.</x:v>
      </x:c>
      <x:c r="AE96" s="22" t="str">
        <x:v>Not included — title/abstract exclusion</x:v>
      </x:c>
      <x:c r="AF96" s="22" t="str">
        <x:v>Not applicable — not included</x:v>
      </x:c>
      <x:c r="AG96" s="22" t="str">
        <x:v>Evidence: c07c1a7e-32f4-4395-aa26-0fd49d5fca20.png; page 5, result 9. Metadata transcribed from captured Google Scholar page; OCR-normalised, verify against publication before citation.</x:v>
      </x:c>
      <x:c r="AH96" s="20" t="str">
        <x:v>No duplicate identified under the documented matching rules.</x:v>
      </x:c>
    </x:row>
    <x:row r="97" ht="42" customHeight="1">
      <x:c r="A97" s="426" t="str">
        <x:v>GS-01-050</x:v>
      </x:c>
      <x:c r="B97" s="426" t="str">
        <x:v>Google Scholar</x:v>
      </x:c>
      <x:c r="C97" s="426" t="str">
        <x:v>GS-01</x:v>
      </x:c>
      <x:c r="D97" s="426" t="str">
        <x:v>NeRD Neuro-Sympbalic Rute Distillation for Efficient Ontology-Grounded Chain- of-Thougnht in Medical image Diagnosis</x:v>
      </x:c>
      <x:c r="E97" s="426" t="str">
        <x:v>HYang Yuigng SYai s Crow ELI, CO Poon</x:v>
      </x:c>
      <x:c r="F97" s="426" t="n">
        <x:v>2026</x:v>
      </x:c>
      <x:c r="G97" s="426" t="str">
        <x:v>arX:y preprint arXiv 2026 - arxiv org</x:v>
      </x:c>
      <x:c r="H97" s="426" t="str">
        <x:v>Google Scholar result</x:v>
      </x:c>
      <x:c r="I97" s="426" t="str">
        <x:v>NR</x:v>
      </x:c>
      <x:c r="J97" s="426" t="str">
        <x:v>2606.15617</x:v>
      </x:c>
      <x:c r="K97" s="426" t="str">
        <x:v>https://arxiv.org/pdf/2606.15617</x:v>
      </x:c>
      <x:c r="L97" s="426" t="str">
        <x:v>Interpretability is essential for trustworthy medical image diagnosis. However, existing concept-driven interpretable methods have key limitations: Concept Bottleneck Models (CBMs) require scoring all predefined concepts at inference time and for manual intervention, imposing a substantial burden on clinicians, while rationale-based generative approaches often select concepts by class discriminability, which can drift from diagnostic ontologies. To address these issues, we propose Neuro-Symbolic Rule Distillation (NeRD), a framework that produces efficient, ontology-grounded reasoning chains that are sufficient yet non-redundant, without manually crafting diagnostic rules. Experiments on two skin datasets demonstrate strong diagnostic performance and interpretability, and blinded expert evaluation confirms the clinical plausibility of NeRD rationales. Our method further enables a first expert-in-the-loop study for Multimodal Chain-of-Thought-based diagnosis, achieving efficient and effective concept-level intervention.</x:v>
      </x:c>
      <x:c r="M97" s="426" t="str">
        <x:v>No duplicate</x:v>
      </x:c>
      <x:c r="N97" s="426" t="str">
        <x:v>DG-088</x:v>
      </x:c>
      <x:c r="O97" s="426" t="str">
        <x:v>Not applicable</x:v>
      </x:c>
      <x:c r="P97" s="426" t="str">
        <x:v>Yes</x:v>
      </x:c>
      <x:c r="Q97" s="426" t="str">
        <x:v>Include</x:v>
      </x:c>
      <x:c r="R97" s="426" t="str">
        <x:v>Medical ontology-grounded neuro-symbolic concept reasoning; contextual evidence (I5).</x:v>
      </x:c>
      <x:c r="S97" s="426" t="str">
        <x:v>Verification documented at process level</x:v>
      </x:c>
      <x:c r="T97" s="426" t="str">
        <x:v>Two additional authors performed random spot checks; individual spot-check assignments are not recorded in this register.</x:v>
      </x:c>
      <x:c r="U97" s="426" t="str">
        <x:v>Include</x:v>
      </x:c>
      <x:c r="V97" s="426" t="str">
        <x:v>Primary decision by the corresponding author; two additional authors performed random spot checks as a quality-control step.</x:v>
      </x:c>
      <x:c r="W97" s="426" t="str">
        <x:v>Yes</x:v>
      </x:c>
      <x:c r="X97" s="426" t="str">
        <x:v>Yes</x:v>
      </x:c>
      <x:c r="Y97" s="426" t="str">
        <x:v>Include</x:v>
      </x:c>
      <x:c r="Z97" s="426" t="str">
        <x:v>The corresponding author assessed the complete report and judged it eligible for inclusion in the review.</x:v>
      </x:c>
      <x:c r="AA97" s="22" t="str">
        <x:v>Verification documented at process level</x:v>
      </x:c>
      <x:c r="AB97" s="22" t="str">
        <x:v>Two additional authors performed random spot checks; individual spot-check assignments are not recorded in this register.</x:v>
      </x:c>
      <x:c r="AC97" s="22" t="str">
        <x:v>Include</x:v>
      </x:c>
      <x:c r="AD97" s="22" t="str">
        <x:v>Primary decision by the corresponding author; two additional authors performed random spot checks as a quality-control step.</x:v>
      </x:c>
      <x:c r="AE97" s="22" t="str">
        <x:v>Include</x:v>
      </x:c>
      <x:c r="AF97" s="22" t="str">
        <x:v>Contextual medical concept-XAI evidence</x:v>
      </x:c>
      <x:c r="AG97" s="22" t="str">
        <x:v>Evidence: c07c1a7e-32f4-4395-aa26-0fd49d5fca20.png; page 5, result 10. Metadata transcribed from captured Google Scholar page; OCR-normalised, verify against publication before citation.</x:v>
      </x:c>
      <x:c r="AH97" s="20" t="str">
        <x:v>No duplicate identified under the documented matching rules.</x:v>
      </x:c>
    </x:row>
    <x:row r="98" ht="42" customHeight="1">
      <x:c r="A98" s="426" t="str">
        <x:v>GS-01-051</x:v>
      </x:c>
      <x:c r="B98" s="426" t="str">
        <x:v>Google Scholar</x:v>
      </x:c>
      <x:c r="C98" s="426" t="str">
        <x:v>GS-01</x:v>
      </x:c>
      <x:c r="D98" s="426" t="str">
        <x:v>Now yau see me (cme) concept-based model extraction</x:v>
      </x:c>
      <x:c r="E98" s="426" t="str">
        <x:v>D Kazhdan B Dimanoy. M Jamk, Pio) + arXiv prepriniasXiv = 2020</x:v>
      </x:c>
      <x:c r="F98" s="426" t="n">
        <x:v>2020</x:v>
      </x:c>
      <x:c r="G98" s="426" t="str">
        <x:v>arxiv o-g</x:v>
      </x:c>
      <x:c r="H98" s="426" t="str">
        <x:v>Google Scholar result</x:v>
      </x:c>
      <x:c r="I98" s="426" t="str">
        <x:v>NR</x:v>
      </x:c>
      <x:c r="J98" s="426" t="str">
        <x:v>NR</x:v>
      </x:c>
      <x:c r="K98" s="426" t="str">
        <x:v>NR — URL not captured in the available source record</x:v>
      </x:c>
      <x:c r="L98" s="426" t="str">
        <x:v>Not available in the captured evidence; the screening decision used the title and available source metadata.</x:v>
      </x:c>
      <x:c r="M98" s="426" t="str">
        <x:v>No duplicate</x:v>
      </x:c>
      <x:c r="N98" s="426" t="str">
        <x:v>Not applicable — no duplicate group</x:v>
      </x:c>
      <x:c r="O98" s="426" t="str">
        <x:v>Not applicable</x:v>
      </x:c>
      <x:c r="P98" s="426" t="str">
        <x:v>Yes</x:v>
      </x:c>
      <x:c r="Q98" s="426" t="str">
        <x:v>Exclude</x:v>
      </x:c>
      <x:c r="R98" s="426" t="str">
        <x:v>Generic concept-based model extraction without medical evaluation (E1).</x:v>
      </x:c>
      <x:c r="S98" s="426" t="str">
        <x:v>Verification documented at process level</x:v>
      </x:c>
      <x:c r="T98" s="426" t="str">
        <x:v>Two additional authors performed random spot checks; individual spot-check assignments are not recorded in this register.</x:v>
      </x:c>
      <x:c r="U98" s="426" t="str">
        <x:v>Exclude</x:v>
      </x:c>
      <x:c r="V98" s="426" t="str">
        <x:v>Primary decision by the corresponding author; two additional authors performed random spot checks as a quality-control step.</x:v>
      </x:c>
      <x:c r="W98" s="426" t="str">
        <x:v>No</x:v>
      </x:c>
      <x:c r="X98" s="426" t="str">
        <x:v>Not applicable</x:v>
      </x:c>
      <x:c r="Y98" s="426" t="str">
        <x:v>Not assessed</x:v>
      </x:c>
      <x:c r="Z98" s="426" t="str">
        <x:v>Not advanced to full-text assessment after the title/abstract decision.</x:v>
      </x:c>
      <x:c r="AA98" s="22" t="str">
        <x:v>Not applicable</x:v>
      </x:c>
      <x:c r="AB98" s="22" t="str">
        <x:v>Record was not advanced to full-text assessment.</x:v>
      </x:c>
      <x:c r="AC98" s="22" t="str">
        <x:v>Not assessed</x:v>
      </x:c>
      <x:c r="AD98" s="22" t="str">
        <x:v>Not applicable — no full-text assessment was required.</x:v>
      </x:c>
      <x:c r="AE98" s="22" t="str">
        <x:v>Not included — title/abstract exclusion</x:v>
      </x:c>
      <x:c r="AF98" s="22" t="str">
        <x:v>Not applicable — not included</x:v>
      </x:c>
      <x:c r="AG98" s="22" t="str">
        <x:v>Evidence: e49db68a-1669-484e-87a1-645ea4b92f50.png; page 6, result 1. Metadata transcribed from captured Google Scholar page; OCR-normalised, verify against publication before citation.</x:v>
      </x:c>
      <x:c r="AH98" s="20" t="str">
        <x:v>No duplicate identified under the documented matching rules.</x:v>
      </x:c>
    </x:row>
    <x:row r="99" ht="42" customHeight="1">
      <x:c r="A99" s="426" t="str">
        <x:v>GS-01-052</x:v>
      </x:c>
      <x:c r="B99" s="426" t="str">
        <x:v>Google Scholar</x:v>
      </x:c>
      <x:c r="C99" s="426" t="str">
        <x:v>GS-01</x:v>
      </x:c>
      <x:c r="D99" s="426" t="str">
        <x:v>ViConEx-Med: Visual Concept Explainability via Multi-Concept Token Transformer for Medical Image Analysis</x:v>
      </x:c>
      <x:c r="E99" s="426" t="str">
        <x:v>C Patricio. .F Teixeis .C Neves</x:v>
      </x:c>
      <x:c r="F99" s="426" t="n">
        <x:v>2025</x:v>
      </x:c>
      <x:c r="G99" s="426" t="str">
        <x:v>ar%iv prapenl arXiv 2510 10174 2025 - arxiv org</x:v>
      </x:c>
      <x:c r="H99" s="426" t="str">
        <x:v>Google Scholar result</x:v>
      </x:c>
      <x:c r="I99" s="426" t="str">
        <x:v>NR</x:v>
      </x:c>
      <x:c r="J99" s="426" t="str">
        <x:v>2510.10174</x:v>
      </x:c>
      <x:c r="K99" s="426" t="str">
        <x:v>https://arxiv.org/pdf/2510.10174</x:v>
      </x:c>
      <x:c r="L99" s="426" t="str">
        <x:v>Concept-based models aim to explain model decisions with human-understandable concepts. However, most existing approaches treat concepts as numerical attributes, without providing complementary visual explanations that could localize the predicted concepts. This limits their utility in real-world applications and particularly in high-stakes scenarios, such as medical use-cases. This paper proposes ViConEx-Med, a novel transformer-based framework for visual concept explainability, which introduces multi-concept learnable tokens to jointly predict and localize visual concepts. By leveraging specialized attention layers for processing visual and text-based concept tokens, our method produces concept-level localization maps while maintaining high predictive accuracy. Experiments on both synthetic and real-world medical datasets demonstrate that ViConEx-Med outperforms prior concept-based models and achieves competitive performance with black-box models in terms of both concept detection and localization precision. Our results suggest a promising direction for building inherently interpretable models grounded in visual concepts. Code is publicly available at https://github.com/CristianoPatricio/viconex-med.</x:v>
      </x:c>
      <x:c r="M99" s="426" t="str">
        <x:v>No duplicate</x:v>
      </x:c>
      <x:c r="N99" s="426" t="str">
        <x:v>DG-015</x:v>
      </x:c>
      <x:c r="O99" s="426" t="str">
        <x:v>Not applicable</x:v>
      </x:c>
      <x:c r="P99" s="426" t="str">
        <x:v>Yes</x:v>
      </x:c>
      <x:c r="Q99" s="426" t="str">
        <x:v>Include</x:v>
      </x:c>
      <x:c r="R99" s="426" t="str">
        <x:v>Medical concept prediction and localisation framework; contextual evidence (I5).</x:v>
      </x:c>
      <x:c r="S99" s="426" t="str">
        <x:v>Verification documented at process level</x:v>
      </x:c>
      <x:c r="T99" s="426" t="str">
        <x:v>Two additional authors performed random spot checks; individual spot-check assignments are not recorded in this register.</x:v>
      </x:c>
      <x:c r="U99" s="426" t="str">
        <x:v>Include</x:v>
      </x:c>
      <x:c r="V99" s="426" t="str">
        <x:v>Primary decision by the corresponding author; two additional authors performed random spot checks as a quality-control step.</x:v>
      </x:c>
      <x:c r="W99" s="426" t="str">
        <x:v>Yes</x:v>
      </x:c>
      <x:c r="X99" s="426" t="str">
        <x:v>Yes</x:v>
      </x:c>
      <x:c r="Y99" s="426" t="str">
        <x:v>Include</x:v>
      </x:c>
      <x:c r="Z99" s="426" t="str">
        <x:v>The corresponding author assessed the complete report and judged it eligible for inclusion in the review.</x:v>
      </x:c>
      <x:c r="AA99" s="22" t="str">
        <x:v>Verification documented at process level</x:v>
      </x:c>
      <x:c r="AB99" s="22" t="str">
        <x:v>Two additional authors performed random spot checks; individual spot-check assignments are not recorded in this register.</x:v>
      </x:c>
      <x:c r="AC99" s="22" t="str">
        <x:v>Include</x:v>
      </x:c>
      <x:c r="AD99" s="22" t="str">
        <x:v>Primary decision by the corresponding author; two additional authors performed random spot checks as a quality-control step.</x:v>
      </x:c>
      <x:c r="AE99" s="22" t="str">
        <x:v>Include</x:v>
      </x:c>
      <x:c r="AF99" s="22" t="str">
        <x:v>Contextual medical concept-XAI evidence</x:v>
      </x:c>
      <x:c r="AG99" s="22" t="str">
        <x:v>Evidence: e49db68a-1669-484e-87a1-645ea4b92f50.png; page 6, result 2. Metadata transcribed from captured Google Scholar page; OCR-normalised, verify against publication before citation.</x:v>
      </x:c>
      <x:c r="AH99" s="20" t="str">
        <x:v>Confirmed using normalized title across captured searches.</x:v>
      </x:c>
    </x:row>
    <x:row r="100" ht="42" customHeight="1">
      <x:c r="A100" s="426" t="str">
        <x:v>GS-01-053</x:v>
      </x:c>
      <x:c r="B100" s="426" t="str">
        <x:v>Google Scholar</x:v>
      </x:c>
      <x:c r="C100" s="426" t="str">
        <x:v>GS-01</x:v>
      </x:c>
      <x:c r="D100" s="426" t="str">
        <x:v>xAI-CV An Overvisw of Explainable Artificial Intellhgence in Computer Vision</x:v>
      </x:c>
      <x:c r="E100" s="426" t="str">
        <x:v>Yan Tu PN Long Vr Viet</x:v>
      </x:c>
      <x:c r="F100" s="426" t="str">
        <x:v>NR</x:v>
      </x:c>
      <x:c r="G100" s="426" t="str">
        <x:v>arXiv creprint arx®% 2509 18913 2225 . arxiv org</x:v>
      </x:c>
      <x:c r="H100" s="426" t="str">
        <x:v>Google Scholar result</x:v>
      </x:c>
      <x:c r="I100" s="426" t="str">
        <x:v>NR</x:v>
      </x:c>
      <x:c r="J100" s="426" t="str">
        <x:v>NR</x:v>
      </x:c>
      <x:c r="K100" s="426" t="str">
        <x:v>NR — URL not captured in the available source record</x:v>
      </x:c>
      <x:c r="L100" s="426" t="str">
        <x:v>Not available in the captured evidence; the screening decision used the title and available source metadata.</x:v>
      </x:c>
      <x:c r="M100" s="426" t="str">
        <x:v>No duplicate</x:v>
      </x:c>
      <x:c r="N100" s="426" t="str">
        <x:v>Not applicable — no duplicate group</x:v>
      </x:c>
      <x:c r="O100" s="426" t="str">
        <x:v>Not applicable</x:v>
      </x:c>
      <x:c r="P100" s="426" t="str">
        <x:v>Yes</x:v>
      </x:c>
      <x:c r="Q100" s="426" t="str">
        <x:v>Exclude</x:v>
      </x:c>
      <x:c r="R100" s="426" t="str">
        <x:v>General XAI overview; non-original and outside the clinical scope (E1, E4).</x:v>
      </x:c>
      <x:c r="S100" s="426" t="str">
        <x:v>Verification documented at process level</x:v>
      </x:c>
      <x:c r="T100" s="426" t="str">
        <x:v>Two additional authors performed random spot checks; individual spot-check assignments are not recorded in this register.</x:v>
      </x:c>
      <x:c r="U100" s="426" t="str">
        <x:v>Exclude</x:v>
      </x:c>
      <x:c r="V100" s="426" t="str">
        <x:v>Primary decision by the corresponding author; two additional authors performed random spot checks as a quality-control step.</x:v>
      </x:c>
      <x:c r="W100" s="426" t="str">
        <x:v>No</x:v>
      </x:c>
      <x:c r="X100" s="426" t="str">
        <x:v>Not applicable</x:v>
      </x:c>
      <x:c r="Y100" s="426" t="str">
        <x:v>Not assessed</x:v>
      </x:c>
      <x:c r="Z100" s="426" t="str">
        <x:v>Not advanced to full-text assessment after the title/abstract decision.</x:v>
      </x:c>
      <x:c r="AA100" s="22" t="str">
        <x:v>Not applicable</x:v>
      </x:c>
      <x:c r="AB100" s="22" t="str">
        <x:v>Record was not advanced to full-text assessment.</x:v>
      </x:c>
      <x:c r="AC100" s="22" t="str">
        <x:v>Not assessed</x:v>
      </x:c>
      <x:c r="AD100" s="22" t="str">
        <x:v>Not applicable — no full-text assessment was required.</x:v>
      </x:c>
      <x:c r="AE100" s="22" t="str">
        <x:v>Not included — title/abstract exclusion</x:v>
      </x:c>
      <x:c r="AF100" s="22" t="str">
        <x:v>Not applicable — not included</x:v>
      </x:c>
      <x:c r="AG100" s="22" t="str">
        <x:v>Evidence: e49db68a-1669-484e-87a1-645ea4b92f50.png; page 6, result 3. Metadata transcribed from captured Google Scholar page; OCR-normalised, verify against publication before citation.</x:v>
      </x:c>
      <x:c r="AH100" s="20" t="str">
        <x:v>No duplicate identified under the documented matching rules.</x:v>
      </x:c>
    </x:row>
    <x:row r="101" ht="42" customHeight="1">
      <x:c r="A101" s="426" t="str">
        <x:v>GS-01-054</x:v>
      </x:c>
      <x:c r="B101" s="426" t="str">
        <x:v>Google Scholar</x:v>
      </x:c>
      <x:c r="C101" s="426" t="str">
        <x:v>GS-01</x:v>
      </x:c>
      <x:c r="D101" s="426" t="str">
        <x:v>XDR-LVLM: An explainable vision-language large model for diabstic retinopathy diagnosis</x:v>
      </x:c>
      <x:c r="E101" s="426" t="str">
        <x:v>M lio. K Tanaka K Matsuds. A Nakaysma</x:v>
      </x:c>
      <x:c r="F101" s="426" t="n">
        <x:v>2025</x:v>
      </x:c>
      <x:c r="G101" s="426" t="str">
        <x:v>arXiv preprint arXiv = 2025 - amay arg</x:v>
      </x:c>
      <x:c r="H101" s="426" t="str">
        <x:v>Google Scholar result</x:v>
      </x:c>
      <x:c r="I101" s="426" t="str">
        <x:v>NR</x:v>
      </x:c>
      <x:c r="J101" s="426" t="str">
        <x:v>2508.15168</x:v>
      </x:c>
      <x:c r="K101" s="426" t="str">
        <x:v>https://arxiv.org/pdf/2508.15168</x:v>
      </x:c>
      <x:c r="L101" s="426" t="str">
        <x:v>Diabetic Retinopathy (DR) is a major cause of global blindness, necessitating early and accurate diagnosis. While deep learning models have shown promise in DR detection, their black-box nature often hinders clinical adoption due to a lack of transparency and interpretability. To address this, we propose XDR-LVLM (eXplainable Diabetic Retinopathy Diagnosis with LVLM), a novel framework that leverages Vision-Language Large Models (LVLMs) for high-precision DR diagnosis coupled with natural language-based explanations. XDR-LVLM integrates a specialized Medical Vision Encoder, an LVLM Core, and employs Multi-task Prompt Engineering and Multi-stage Fine-tuning to deeply understand pathological features within fundus images and generate comprehensive diagnostic reports. These reports explicitly include DR severity grading, identification of key pathological concepts (e.g., hemorrhages, exudates, microaneurysms), and detailed explanations linking observed features to the diagnosis. Extensive experiments on the Diabetic Retinopathy (DDR) dataset demonstrate that XDR-LVLM achieves state-of-the-art performance, with a Balanced Accuracy of 84.55% and an F1 Score of 79.92% for disease diagnosis, and superior results for concept detection (77.95% BACC, 66.88% F1). Furthermore, human evaluations confirm the high fluency, accuracy, and clinical utility of the generated explanations, showcasing XDR-LVLM's ability to bridge the gap between automated diagnosis and clinical needs by providing robust and interpretable insights.</x:v>
      </x:c>
      <x:c r="M101" s="426" t="str">
        <x:v>No duplicate</x:v>
      </x:c>
      <x:c r="N101" s="426" t="str">
        <x:v>Not applicable — no duplicate group</x:v>
      </x:c>
      <x:c r="O101" s="426" t="str">
        <x:v>Not applicable</x:v>
      </x:c>
      <x:c r="P101" s="426" t="str">
        <x:v>Yes</x:v>
      </x:c>
      <x:c r="Q101" s="426" t="str">
        <x:v>Include</x:v>
      </x:c>
      <x:c r="R101" s="426" t="str">
        <x:v>Direct fundus-based diabetic-retinopathy concept explanation study (I2-I4).</x:v>
      </x:c>
      <x:c r="S101" s="426" t="str">
        <x:v>Verification documented at process level</x:v>
      </x:c>
      <x:c r="T101" s="426" t="str">
        <x:v>Two additional authors performed random spot checks; individual spot-check assignments are not recorded in this register.</x:v>
      </x:c>
      <x:c r="U101" s="426" t="str">
        <x:v>Include</x:v>
      </x:c>
      <x:c r="V101" s="426" t="str">
        <x:v>Primary decision by the corresponding author; two additional authors performed random spot checks as a quality-control step.</x:v>
      </x:c>
      <x:c r="W101" s="426" t="str">
        <x:v>Yes</x:v>
      </x:c>
      <x:c r="X101" s="426" t="str">
        <x:v>Yes</x:v>
      </x:c>
      <x:c r="Y101" s="426" t="str">
        <x:v>Include</x:v>
      </x:c>
      <x:c r="Z101" s="426" t="str">
        <x:v>The corresponding author assessed the complete report and judged it eligible for inclusion in the review.</x:v>
      </x:c>
      <x:c r="AA101" s="22" t="str">
        <x:v>Verification documented at process level</x:v>
      </x:c>
      <x:c r="AB101" s="22" t="str">
        <x:v>Two additional authors performed random spot checks; individual spot-check assignments are not recorded in this register.</x:v>
      </x:c>
      <x:c r="AC101" s="22" t="str">
        <x:v>Include</x:v>
      </x:c>
      <x:c r="AD101" s="22" t="str">
        <x:v>Primary decision by the corresponding author; two additional authors performed random spot checks as a quality-control step.</x:v>
      </x:c>
      <x:c r="AE101" s="22" t="str">
        <x:v>Include</x:v>
      </x:c>
      <x:c r="AF101" s="22" t="str">
        <x:v>Direct retinal/ophthalmic evidence</x:v>
      </x:c>
      <x:c r="AG101" s="22" t="str">
        <x:v>Evidence: e49db68a-1669-484e-87a1-645ea4b92f50.png; page 6, result 4. Metadata transcribed from captured Google Scholar page; OCR-normalised, verify against publication before citation.</x:v>
      </x:c>
      <x:c r="AH101" s="20" t="str">
        <x:v>No duplicate identified under the documented matching rules.</x:v>
      </x:c>
    </x:row>
    <x:row r="102" ht="42" customHeight="1">
      <x:c r="A102" s="426" t="str">
        <x:v>GS-01-055</x:v>
      </x:c>
      <x:c r="B102" s="426" t="str">
        <x:v>Google Scholar</x:v>
      </x:c>
      <x:c r="C102" s="426" t="str">
        <x:v>GS-01</x:v>
      </x:c>
      <x:c r="D102" s="426" t="str">
        <x:v>Explainability through human-centric design for XAl in lung cancer detection</x:v>
      </x:c>
      <x:c r="E102" s="426" t="str">
        <x:v>ARafery RRamags: 4 Rajan</x:v>
      </x:c>
      <x:c r="F102" s="426" t="n">
        <x:v>2025</x:v>
      </x:c>
      <x:c r="G102" s="426" t="str">
        <x:v>arXiv prepont arXiv 2506 09755 2025 - aw arg</x:v>
      </x:c>
      <x:c r="H102" s="426" t="str">
        <x:v>Google Scholar result</x:v>
      </x:c>
      <x:c r="I102" s="426" t="str">
        <x:v>NR</x:v>
      </x:c>
      <x:c r="J102" s="426" t="str">
        <x:v>2505.09755</x:v>
      </x:c>
      <x:c r="K102" s="426" t="str">
        <x:v>https://arxiv.org/pdf/2505.09755</x:v>
      </x:c>
      <x:c r="L102" s="426" t="str">
        <x:v>Deep learning models have shown promise in lung pathology detection from chest X-rays, but widespread clinical adoption remains limited due to opaque model decision-making. In prior work, we introduced ClinicXAI, a human-centric, expert-guided concept bottleneck model (CBM) designed for interpretable lung cancer diagnosis. We now extend that approach and present XpertXAI, a generalizable expert-driven model that preserves human-interpretable clinical concepts while scaling to detect multiple lung pathologies. Using a high-performing InceptionV3-based classifier and a public dataset of chest X-rays with radiology reports, we compare XpertXAI against leading post-hoc explainability methods and an unsupervised CBM, XCBs. We assess explanations through comparison with expert radiologist annotations and medical ground truth. Although XpertXAI is trained for multiple pathologies, our expert validation focuses on lung cancer. We find that existing techniques frequently fail to produce clinically meaningful explanations, omitting key diagnostic features and disagreeing with radiologist judgments. XpertXAI not only outperforms these baselines in predictive accuracy but also delivers concept-level explanations that better align with expert reasoning. While our focus remains on explainability in lung cancer detection, this work illustrates how human-centric model design can be effectively extended to broader diagnostic contexts - offering a scalable path toward clinically meaningful explainable AI in medical diagnostics.</x:v>
      </x:c>
      <x:c r="M102" s="426" t="str">
        <x:v>No duplicate</x:v>
      </x:c>
      <x:c r="N102" s="426" t="str">
        <x:v>Not applicable — no duplicate group</x:v>
      </x:c>
      <x:c r="O102" s="426" t="str">
        <x:v>Not applicable</x:v>
      </x:c>
      <x:c r="P102" s="426" t="str">
        <x:v>Yes</x:v>
      </x:c>
      <x:c r="Q102" s="426" t="str">
        <x:v>Include</x:v>
      </x:c>
      <x:c r="R102" s="426" t="str">
        <x:v>Expert-guided medical concept-bottleneck model for lung cancer; contextual evidence (I5).</x:v>
      </x:c>
      <x:c r="S102" s="426" t="str">
        <x:v>Verification documented at process level</x:v>
      </x:c>
      <x:c r="T102" s="426" t="str">
        <x:v>Two additional authors performed random spot checks; individual spot-check assignments are not recorded in this register.</x:v>
      </x:c>
      <x:c r="U102" s="426" t="str">
        <x:v>Include</x:v>
      </x:c>
      <x:c r="V102" s="426" t="str">
        <x:v>Primary decision by the corresponding author; two additional authors performed random spot checks as a quality-control step.</x:v>
      </x:c>
      <x:c r="W102" s="426" t="str">
        <x:v>Yes</x:v>
      </x:c>
      <x:c r="X102" s="426" t="str">
        <x:v>Yes</x:v>
      </x:c>
      <x:c r="Y102" s="426" t="str">
        <x:v>Include</x:v>
      </x:c>
      <x:c r="Z102" s="426" t="str">
        <x:v>The corresponding author assessed the complete report and judged it eligible for inclusion in the review.</x:v>
      </x:c>
      <x:c r="AA102" s="22" t="str">
        <x:v>Verification documented at process level</x:v>
      </x:c>
      <x:c r="AB102" s="22" t="str">
        <x:v>Two additional authors performed random spot checks; individual spot-check assignments are not recorded in this register.</x:v>
      </x:c>
      <x:c r="AC102" s="22" t="str">
        <x:v>Include</x:v>
      </x:c>
      <x:c r="AD102" s="22" t="str">
        <x:v>Primary decision by the corresponding author; two additional authors performed random spot checks as a quality-control step.</x:v>
      </x:c>
      <x:c r="AE102" s="22" t="str">
        <x:v>Include</x:v>
      </x:c>
      <x:c r="AF102" s="22" t="str">
        <x:v>Contextual medical concept-XAI evidence</x:v>
      </x:c>
      <x:c r="AG102" s="22" t="str">
        <x:v>Evidence: e49db68a-1669-484e-87a1-645ea4b92f50.png; page 6, result 5. Metadata transcribed from captured Google Scholar page; OCR-normalised, verify against publication before citation.</x:v>
      </x:c>
      <x:c r="AH102" s="20" t="str">
        <x:v>No duplicate identified under the documented matching rules.</x:v>
      </x:c>
    </x:row>
    <x:row r="103" ht="42" customHeight="1">
      <x:c r="A103" s="426" t="str">
        <x:v>GS-01-056</x:v>
      </x:c>
      <x:c r="B103" s="426" t="str">
        <x:v>Google Scholar</x:v>
      </x:c>
      <x:c r="C103" s="426" t="str">
        <x:v>GS-01</x:v>
      </x:c>
      <x:c r="D103" s="426" t="str">
        <x:v>Sem)-Supervised Concept Infused Pseudo-Label Refining For Interpretable Olabetic Retinopathy Grading</x:v>
      </x:c>
      <x:c r="E103" s="426" t="str">
        <x:v>¥ Gao Ci\¥en, 4h QTan Ye</x:v>
      </x:c>
      <x:c r="F103" s="426" t="n">
        <x:v>2026</x:v>
      </x:c>
      <x:c r="G103" s="426" t="str">
        <x:v>ICASSP 2026-2026 IEEE 2226 - leeexpiore ieee og</x:v>
      </x:c>
      <x:c r="H103" s="426" t="str">
        <x:v>Google Scholar result</x:v>
      </x:c>
      <x:c r="I103" s="426" t="str">
        <x:v>10.1109/ICASSP55912.2026.11462792</x:v>
      </x:c>
      <x:c r="J103" s="426" t="str">
        <x:v>NR</x:v>
      </x:c>
      <x:c r="K103" s="426" t="str">
        <x:v>https://ieeexplore.ieee.org/iel8/11460365/11460314/11462792.pdf</x:v>
      </x:c>
      <x:c r="L103" s="426" t="str">
        <x:v>Interpretability is a major barrier to the clinical adoption of deep neural networks for diabetic retinopathy grading. While concept-based models are transparent, reliance on expert-annotated concept labels limits scalability. IDR-SSCL is a semi-supervised framework that reduces annotation needs while preserving transparency. It uses distribution-aware sample selection to address shifts between labelled and unlabelled data and knowledge-infused pseudo-label validation based on established clinical relationships. Experiments on multiple datasets suggest strong performance and high interpretability, supporting scalable and trustworthy diabetic retinopathy diagnosis.</x:v>
      </x:c>
      <x:c r="M103" s="426" t="str">
        <x:v>No duplicate</x:v>
      </x:c>
      <x:c r="N103" s="426" t="str">
        <x:v>Not applicable — no duplicate group</x:v>
      </x:c>
      <x:c r="O103" s="426" t="str">
        <x:v>Not applicable</x:v>
      </x:c>
      <x:c r="P103" s="426" t="str">
        <x:v>Yes</x:v>
      </x:c>
      <x:c r="Q103" s="426" t="str">
        <x:v>Include</x:v>
      </x:c>
      <x:c r="R103" s="426" t="str">
        <x:v>Direct concept-infused diabetic-retinopathy grading study (I2-I4).</x:v>
      </x:c>
      <x:c r="S103" s="426" t="str">
        <x:v>Verification documented at process level</x:v>
      </x:c>
      <x:c r="T103" s="426" t="str">
        <x:v>Two additional authors performed random spot checks; individual spot-check assignments are not recorded in this register.</x:v>
      </x:c>
      <x:c r="U103" s="426" t="str">
        <x:v>Include</x:v>
      </x:c>
      <x:c r="V103" s="426" t="str">
        <x:v>Primary decision by the corresponding author; two additional authors performed random spot checks as a quality-control step.</x:v>
      </x:c>
      <x:c r="W103" s="426" t="str">
        <x:v>Yes</x:v>
      </x:c>
      <x:c r="X103" s="426" t="str">
        <x:v>Yes</x:v>
      </x:c>
      <x:c r="Y103" s="426" t="str">
        <x:v>Include</x:v>
      </x:c>
      <x:c r="Z103" s="426" t="str">
        <x:v>The corresponding author assessed the complete report and judged it eligible for inclusion in the review.</x:v>
      </x:c>
      <x:c r="AA103" s="22" t="str">
        <x:v>Verification documented at process level</x:v>
      </x:c>
      <x:c r="AB103" s="22" t="str">
        <x:v>Two additional authors performed random spot checks; individual spot-check assignments are not recorded in this register.</x:v>
      </x:c>
      <x:c r="AC103" s="22" t="str">
        <x:v>Include</x:v>
      </x:c>
      <x:c r="AD103" s="22" t="str">
        <x:v>Primary decision by the corresponding author; two additional authors performed random spot checks as a quality-control step.</x:v>
      </x:c>
      <x:c r="AE103" s="22" t="str">
        <x:v>Include</x:v>
      </x:c>
      <x:c r="AF103" s="22" t="str">
        <x:v>Direct retinal/ophthalmic evidence</x:v>
      </x:c>
      <x:c r="AG103" s="22" t="str">
        <x:v>Evidence: e49db68a-1669-484e-87a1-645ea4b92f50.png; page 6, result 6. Metadata transcribed from captured Google Scholar page; OCR-normalised, verify against publication before citation.</x:v>
      </x:c>
      <x:c r="AH103" s="20" t="str">
        <x:v>No duplicate identified under the documented matching rules.</x:v>
      </x:c>
    </x:row>
    <x:row r="104" ht="42" customHeight="1">
      <x:c r="A104" s="426" t="str">
        <x:v>GS-01-057</x:v>
      </x:c>
      <x:c r="B104" s="426" t="str">
        <x:v>Google Scholar</x:v>
      </x:c>
      <x:c r="C104" s="426" t="str">
        <x:v>GS-01</x:v>
      </x:c>
      <x:c r="D104" s="426" t="str">
        <x:v>Concept embedding analysis’ A review</x:v>
      </x:c>
      <x:c r="E104" s="426" t="str">
        <x:v>G Schwabe</x:v>
      </x:c>
      <x:c r="F104" s="426" t="n">
        <x:v>2022</x:v>
      </x:c>
      <x:c r="G104" s="426" t="str">
        <x:v>arXiv preprint arXy 2203 13999. 2022 - ann org</x:v>
      </x:c>
      <x:c r="H104" s="426" t="str">
        <x:v>Google Scholar result</x:v>
      </x:c>
      <x:c r="I104" s="426" t="str">
        <x:v>NR</x:v>
      </x:c>
      <x:c r="J104" s="426" t="str">
        <x:v>NR</x:v>
      </x:c>
      <x:c r="K104" s="426" t="str">
        <x:v>NR — URL not captured in the available source record</x:v>
      </x:c>
      <x:c r="L104" s="426" t="str">
        <x:v>Not available in the captured evidence; the screening decision used the title and available source metadata.</x:v>
      </x:c>
      <x:c r="M104" s="426" t="str">
        <x:v>No duplicate</x:v>
      </x:c>
      <x:c r="N104" s="426" t="str">
        <x:v>DG-016</x:v>
      </x:c>
      <x:c r="O104" s="426" t="str">
        <x:v>Not applicable</x:v>
      </x:c>
      <x:c r="P104" s="426" t="str">
        <x:v>Yes</x:v>
      </x:c>
      <x:c r="Q104" s="426" t="str">
        <x:v>Exclude</x:v>
      </x:c>
      <x:c r="R104" s="426" t="str">
        <x:v>Review rather than original empirical evidence (E4).</x:v>
      </x:c>
      <x:c r="S104" s="426" t="str">
        <x:v>Verification documented at process level</x:v>
      </x:c>
      <x:c r="T104" s="426" t="str">
        <x:v>Two additional authors performed random spot checks; individual spot-check assignments are not recorded in this register.</x:v>
      </x:c>
      <x:c r="U104" s="426" t="str">
        <x:v>Exclude</x:v>
      </x:c>
      <x:c r="V104" s="426" t="str">
        <x:v>Primary decision by the corresponding author; two additional authors performed random spot checks as a quality-control step.</x:v>
      </x:c>
      <x:c r="W104" s="426" t="str">
        <x:v>No</x:v>
      </x:c>
      <x:c r="X104" s="426" t="str">
        <x:v>Not applicable</x:v>
      </x:c>
      <x:c r="Y104" s="426" t="str">
        <x:v>Not assessed</x:v>
      </x:c>
      <x:c r="Z104" s="426" t="str">
        <x:v>Not advanced to full-text assessment after the title/abstract decision.</x:v>
      </x:c>
      <x:c r="AA104" s="22" t="str">
        <x:v>Not applicable</x:v>
      </x:c>
      <x:c r="AB104" s="22" t="str">
        <x:v>Record was not advanced to full-text assessment.</x:v>
      </x:c>
      <x:c r="AC104" s="22" t="str">
        <x:v>Not assessed</x:v>
      </x:c>
      <x:c r="AD104" s="22" t="str">
        <x:v>Not applicable — no full-text assessment was required.</x:v>
      </x:c>
      <x:c r="AE104" s="22" t="str">
        <x:v>Not included — title/abstract exclusion</x:v>
      </x:c>
      <x:c r="AF104" s="22" t="str">
        <x:v>Not applicable — not included</x:v>
      </x:c>
      <x:c r="AG104" s="22" t="str">
        <x:v>Evidence: e49db68a-1669-484e-87a1-645ea4b92f50.png; page 6, result 7. Metadata transcribed from captured Google Scholar page; OCR-normalised, verify against publication before citation.</x:v>
      </x:c>
      <x:c r="AH104" s="20" t="str">
        <x:v>Confirmed using normalized title across captured searches.</x:v>
      </x:c>
    </x:row>
    <x:row r="105" ht="42" customHeight="1">
      <x:c r="A105" s="426" t="str">
        <x:v>GS-01-058</x:v>
      </x:c>
      <x:c r="B105" s="426" t="str">
        <x:v>Google Scholar</x:v>
      </x:c>
      <x:c r="C105" s="426" t="str">
        <x:v>GS-01</x:v>
      </x:c>
      <x:c r="D105" s="426" t="str">
        <x:v>Open-Linguistic Concept Unified Learning for Cross-Site Interpretable Dermatolagy Image Diagnosis</x:v>
      </x:c>
      <x:c r="E105" s="426" t="str">
        <x:v>Cy ddan luo, Wang Vien</x:v>
      </x:c>
      <x:c r="F105" s="426" t="n">
        <x:v>2026</x:v>
      </x:c>
      <x:c r="G105" s="426" t="str">
        <x:v>arXiv prepricl arXiv = 2026 - ariv org</x:v>
      </x:c>
      <x:c r="H105" s="426" t="str">
        <x:v>Google Scholar result</x:v>
      </x:c>
      <x:c r="I105" s="426" t="str">
        <x:v>NR</x:v>
      </x:c>
      <x:c r="J105" s="426" t="str">
        <x:v>2608.03225</x:v>
      </x:c>
      <x:c r="K105" s="426" t="str">
        <x:v>https://arxiv.org/pdf/2608.03225</x:v>
      </x:c>
      <x:c r="L105" s="426" t="str">
        <x:v>Human-interpretable computer-aided diagnosis is crucial for clinical decision making. Concept-based models excel by providing transparent reasoning and enabling post-hoc, clinician-in-the-loop interventions. However, their rigid dataset-specific adaptation inherently restricts cross-site generalization. Applying them across diverse modalities, such as dermoscopic and clinical photographs, is challenging due to heterogeneous concept taxonomies varying in availability, granularity, and semantics across cohorts. Consequently, adapting Foundation Vision-Language Models (FVLMs) demands costly label engineering and repeated post-training. Existing intervention mechanisms remain rigidly tied to predefined concepts, lacking adaptability and hindering scalable dermatology CAD deployment. To address these bottlenecks, we propose UniCon, an open-linguistic unified concept learning framework for multimodal interpretable vision-language diagnosis. UniCon resolves these challenges through three contributions: (1) A shared semantic representation space via a unified concept prototype codebook, seamlessly coordinating heterogeneous concept systems across modalities without dataset-specific retraining. (2) Open-linguistic based multi-faceted semantic specifications to overcome sparse textual label limitations, improving boundary sensitivity in uncertain clinical contexts. (3) A robust, cross-site adjustable intervention interface powered by reliability-gated bottleneck aggregation, enabling consistent reasoning and transferable clinician corrections. Extensive experiments demonstrate that beyond securing top-tier diagnostic accuracy, UniCon successfully bridges disparate clinical taxonomies, unlocking unprecedented cross-site intervention capabilities. Code is available at https://github.com/wuchengyu123/UniCon.</x:v>
      </x:c>
      <x:c r="M105" s="426" t="str">
        <x:v>No duplicate</x:v>
      </x:c>
      <x:c r="N105" s="426" t="str">
        <x:v>Not applicable — no duplicate group</x:v>
      </x:c>
      <x:c r="O105" s="426" t="str">
        <x:v>Not applicable</x:v>
      </x:c>
      <x:c r="P105" s="426" t="str">
        <x:v>Yes</x:v>
      </x:c>
      <x:c r="Q105" s="426" t="str">
        <x:v>Include</x:v>
      </x:c>
      <x:c r="R105" s="426" t="str">
        <x:v>Medical concept-based dermatology diagnosis study; contextual evidence (I5).</x:v>
      </x:c>
      <x:c r="S105" s="426" t="str">
        <x:v>Verification documented at process level</x:v>
      </x:c>
      <x:c r="T105" s="426" t="str">
        <x:v>Two additional authors performed random spot checks; individual spot-check assignments are not recorded in this register.</x:v>
      </x:c>
      <x:c r="U105" s="426" t="str">
        <x:v>Include</x:v>
      </x:c>
      <x:c r="V105" s="426" t="str">
        <x:v>Primary decision by the corresponding author; two additional authors performed random spot checks as a quality-control step.</x:v>
      </x:c>
      <x:c r="W105" s="426" t="str">
        <x:v>Yes</x:v>
      </x:c>
      <x:c r="X105" s="426" t="str">
        <x:v>Yes</x:v>
      </x:c>
      <x:c r="Y105" s="426" t="str">
        <x:v>Include</x:v>
      </x:c>
      <x:c r="Z105" s="426" t="str">
        <x:v>The corresponding author assessed the complete report and judged it eligible for inclusion in the review.</x:v>
      </x:c>
      <x:c r="AA105" s="22" t="str">
        <x:v>Verification documented at process level</x:v>
      </x:c>
      <x:c r="AB105" s="22" t="str">
        <x:v>Two additional authors performed random spot checks; individual spot-check assignments are not recorded in this register.</x:v>
      </x:c>
      <x:c r="AC105" s="22" t="str">
        <x:v>Include</x:v>
      </x:c>
      <x:c r="AD105" s="22" t="str">
        <x:v>Primary decision by the corresponding author; two additional authors performed random spot checks as a quality-control step.</x:v>
      </x:c>
      <x:c r="AE105" s="22" t="str">
        <x:v>Include</x:v>
      </x:c>
      <x:c r="AF105" s="22" t="str">
        <x:v>Contextual medical concept-XAI evidence</x:v>
      </x:c>
      <x:c r="AG105" s="22" t="str">
        <x:v>Evidence: e49db68a-1669-484e-87a1-645ea4b92f50.png; page 6, result 8. Metadata transcribed from captured Google Scholar page; OCR-normalised, verify against publication before citation.</x:v>
      </x:c>
      <x:c r="AH105" s="20" t="str">
        <x:v>No duplicate identified under the documented matching rules.</x:v>
      </x:c>
    </x:row>
    <x:row r="106" ht="42" customHeight="1">
      <x:c r="A106" s="426" t="str">
        <x:v>GS-01-059</x:v>
      </x:c>
      <x:c r="B106" s="426" t="str">
        <x:v>Google Scholar</x:v>
      </x:c>
      <x:c r="C106" s="426" t="str">
        <x:v>GS-01</x:v>
      </x:c>
      <x:c r="D106" s="426" t="str">
        <x:v>Stable Vision Concept Transformers far Medical Diagnosis</x:v>
      </x:c>
      <x:c r="E106" s="426" t="str">
        <x:v>$ Yang J Zhang D Wang</x:v>
      </x:c>
      <x:c r="F106" s="426" t="str">
        <x:v>NR</x:v>
      </x:c>
      <x:c r="G106" s="426" t="str">
        <x:v>ecmipkdd-storage s3 eu-ceniral-1 .</x:v>
      </x:c>
      <x:c r="H106" s="426" t="str">
        <x:v>Google Scholar result</x:v>
      </x:c>
      <x:c r="I106" s="426" t="str">
        <x:v>NR</x:v>
      </x:c>
      <x:c r="J106" s="426" t="str">
        <x:v>NR</x:v>
      </x:c>
      <x:c r="K106" s="426" t="str">
        <x:v>NR — URL not captured in the available source record</x:v>
      </x:c>
      <x:c r="L106" s="426" t="str">
        <x:v>Not available in the captured evidence; the screening decision used the title and available source metadata.</x:v>
      </x:c>
      <x:c r="M106" s="426" t="str">
        <x:v>Confirmed duplicate</x:v>
      </x:c>
      <x:c r="N106" s="426" t="str">
        <x:v>DG-080</x:v>
      </x:c>
      <x:c r="O106" s="426" t="str">
        <x:v>GS-01-028</x:v>
      </x:c>
      <x:c r="P106" s="426" t="str">
        <x:v>No</x:v>
      </x:c>
      <x:c r="Q106" s="426" t="str">
        <x:v>Not screened</x:v>
      </x:c>
      <x:c r="R106" s="426" t="str">
        <x:v>Removed before title/abstract screening as a confirmed duplicate.</x:v>
      </x:c>
      <x:c r="S106" s="426" t="str">
        <x:v>Not applicable — removed before screening</x:v>
      </x:c>
      <x:c r="T106" s="426" t="str">
        <x:v>Record was outside the active screening set.</x:v>
      </x:c>
      <x:c r="U106" s="426" t="str">
        <x:v>Removed before screening</x:v>
      </x:c>
      <x:c r="V106" s="426" t="str">
        <x:v>Confirmed duplicate removed during deduplication.</x:v>
      </x:c>
      <x:c r="W106" s="426" t="str">
        <x:v>No</x:v>
      </x:c>
      <x:c r="X106" s="426" t="str">
        <x:v>Not applicable</x:v>
      </x:c>
      <x:c r="Y106" s="426" t="str">
        <x:v>Not assessed</x:v>
      </x:c>
      <x:c r="Z106" s="426" t="str">
        <x:v>Not applicable — record removed before screening.</x:v>
      </x:c>
      <x:c r="AA106" s="22" t="str">
        <x:v>Not applicable</x:v>
      </x:c>
      <x:c r="AB106" s="22" t="str">
        <x:v>Record was not advanced to full-text assessment.</x:v>
      </x:c>
      <x:c r="AC106" s="22" t="str">
        <x:v>Not assessed</x:v>
      </x:c>
      <x:c r="AD106" s="22" t="str">
        <x:v>Not applicable — no full-text assessment was required.</x:v>
      </x:c>
      <x:c r="AE106" s="22" t="str">
        <x:v>Removed before screening</x:v>
      </x:c>
      <x:c r="AF106" s="22" t="str">
        <x:v>Not applicable — not included</x:v>
      </x:c>
      <x:c r="AG106" s="22" t="str">
        <x:v>Evidence: e49db68a-1669-484e-87a1-645ea4b92f50.png; page 6, result 9. Metadata transcribed from captured Google Scholar page; OCR-normalised, verify against publication before citation.</x:v>
      </x:c>
      <x:c r="AH106" s="20" t="str">
        <x:v>No duplicate identified under the documented matching rules.</x:v>
      </x:c>
    </x:row>
    <x:row r="107" ht="42" customHeight="1">
      <x:c r="A107" s="426" t="str">
        <x:v>GS-01-060</x:v>
      </x:c>
      <x:c r="B107" s="426" t="str">
        <x:v>Google Scholar</x:v>
      </x:c>
      <x:c r="C107" s="426" t="str">
        <x:v>GS-01</x:v>
      </x:c>
      <x:c r="D107" s="426" t="str">
        <x:v>Concept-based Visual Caunterfactual Explanations with Diffusion Models</x:v>
      </x:c>
      <x:c r="E107" s="426" t="str">
        <x:v>¥ Ouesiat D Kinlanks MM Gjoresk</x:v>
      </x:c>
      <x:c r="F107" s="426" t="n">
        <x:v>2026</x:v>
      </x:c>
      <x:c r="G107" s="426" t="str">
        <x:v>arXwy preprintarxXiv =. 2026 - arxiv org</x:v>
      </x:c>
      <x:c r="H107" s="426" t="str">
        <x:v>Google Scholar result</x:v>
      </x:c>
      <x:c r="I107" s="426" t="str">
        <x:v>NR</x:v>
      </x:c>
      <x:c r="J107" s="426" t="str">
        <x:v>NR</x:v>
      </x:c>
      <x:c r="K107" s="426" t="str">
        <x:v>NR — URL not captured in the available source record</x:v>
      </x:c>
      <x:c r="L107" s="426" t="str">
        <x:v>Not available in the captured evidence; the screening decision used the title and available source metadata.</x:v>
      </x:c>
      <x:c r="M107" s="426" t="str">
        <x:v>No duplicate</x:v>
      </x:c>
      <x:c r="N107" s="426" t="str">
        <x:v>Not applicable — no duplicate group</x:v>
      </x:c>
      <x:c r="O107" s="426" t="str">
        <x:v>Not applicable</x:v>
      </x:c>
      <x:c r="P107" s="426" t="str">
        <x:v>Yes</x:v>
      </x:c>
      <x:c r="Q107" s="426" t="str">
        <x:v>Exclude</x:v>
      </x:c>
      <x:c r="R107" s="426" t="str">
        <x:v>Generic visual counterfactual method without medical evaluation (E1).</x:v>
      </x:c>
      <x:c r="S107" s="426" t="str">
        <x:v>Verification documented at process level</x:v>
      </x:c>
      <x:c r="T107" s="426" t="str">
        <x:v>Two additional authors performed random spot checks; individual spot-check assignments are not recorded in this register.</x:v>
      </x:c>
      <x:c r="U107" s="426" t="str">
        <x:v>Exclude</x:v>
      </x:c>
      <x:c r="V107" s="426" t="str">
        <x:v>Primary decision by the corresponding author; two additional authors performed random spot checks as a quality-control step.</x:v>
      </x:c>
      <x:c r="W107" s="426" t="str">
        <x:v>No</x:v>
      </x:c>
      <x:c r="X107" s="426" t="str">
        <x:v>Not applicable</x:v>
      </x:c>
      <x:c r="Y107" s="426" t="str">
        <x:v>Not assessed</x:v>
      </x:c>
      <x:c r="Z107" s="426" t="str">
        <x:v>Not advanced to full-text assessment after the title/abstract decision.</x:v>
      </x:c>
      <x:c r="AA107" s="22" t="str">
        <x:v>Not applicable</x:v>
      </x:c>
      <x:c r="AB107" s="22" t="str">
        <x:v>Record was not advanced to full-text assessment.</x:v>
      </x:c>
      <x:c r="AC107" s="22" t="str">
        <x:v>Not assessed</x:v>
      </x:c>
      <x:c r="AD107" s="22" t="str">
        <x:v>Not applicable — no full-text assessment was required.</x:v>
      </x:c>
      <x:c r="AE107" s="22" t="str">
        <x:v>Not included — title/abstract exclusion</x:v>
      </x:c>
      <x:c r="AF107" s="22" t="str">
        <x:v>Not applicable — not included</x:v>
      </x:c>
      <x:c r="AG107" s="22" t="str">
        <x:v>Evidence: e49db68a-1669-484e-87a1-645ea4b92f50.png; page 6, result 10. Metadata transcribed from captured Google Scholar page; OCR-normalised, verify against publication before citation.</x:v>
      </x:c>
      <x:c r="AH107" s="20" t="str">
        <x:v>No duplicate identified under the documented matching rules.</x:v>
      </x:c>
    </x:row>
    <x:row r="108" ht="42" customHeight="1">
      <x:c r="A108" s="426" t="str">
        <x:v>GS-01-061</x:v>
      </x:c>
      <x:c r="B108" s="426" t="str">
        <x:v>Google Scholar</x:v>
      </x:c>
      <x:c r="C108" s="426" t="str">
        <x:v>GS-01</x:v>
      </x:c>
      <x:c r="D108" s="426" t="str">
        <x:v>Generalizable Al predicts immunotherapy outcomes across cancers and treatments</x:v>
      </x:c>
      <x:c r="E108" s="426" t="str">
        <x:v>W Shen [Moon TH Nquyan MM, Y Huang N Nair</x:v>
      </x:c>
      <x:c r="F108" s="426" t="n">
        <x:v>2026</x:v>
      </x:c>
      <x:c r="G108" s="426" t="str">
        <x:v>Nature Medicine, 2026 - nature com</x:v>
      </x:c>
      <x:c r="H108" s="426" t="str">
        <x:v>Google Scholar result</x:v>
      </x:c>
      <x:c r="I108" s="426" t="str">
        <x:v>NR</x:v>
      </x:c>
      <x:c r="J108" s="426" t="str">
        <x:v>NR</x:v>
      </x:c>
      <x:c r="K108" s="426" t="str">
        <x:v>NR — URL not captured in the available source record</x:v>
      </x:c>
      <x:c r="L108" s="426" t="str">
        <x:v>Not available in the captured evidence; the screening decision used the title and available source metadata.</x:v>
      </x:c>
      <x:c r="M108" s="426" t="str">
        <x:v>No duplicate</x:v>
      </x:c>
      <x:c r="N108" s="426" t="str">
        <x:v>Not applicable — no duplicate group</x:v>
      </x:c>
      <x:c r="O108" s="426" t="str">
        <x:v>Not applicable</x:v>
      </x:c>
      <x:c r="P108" s="426" t="str">
        <x:v>Yes</x:v>
      </x:c>
      <x:c r="Q108" s="426" t="str">
        <x:v>Exclude</x:v>
      </x:c>
      <x:c r="R108" s="426" t="str">
        <x:v>Cancer-outcome prediction without concept-based explainability (E2).</x:v>
      </x:c>
      <x:c r="S108" s="426" t="str">
        <x:v>Verification documented at process level</x:v>
      </x:c>
      <x:c r="T108" s="426" t="str">
        <x:v>Two additional authors performed random spot checks; individual spot-check assignments are not recorded in this register.</x:v>
      </x:c>
      <x:c r="U108" s="426" t="str">
        <x:v>Exclude</x:v>
      </x:c>
      <x:c r="V108" s="426" t="str">
        <x:v>Primary decision by the corresponding author; two additional authors performed random spot checks as a quality-control step.</x:v>
      </x:c>
      <x:c r="W108" s="426" t="str">
        <x:v>No</x:v>
      </x:c>
      <x:c r="X108" s="426" t="str">
        <x:v>Not applicable</x:v>
      </x:c>
      <x:c r="Y108" s="426" t="str">
        <x:v>Not assessed</x:v>
      </x:c>
      <x:c r="Z108" s="426" t="str">
        <x:v>Not advanced to full-text assessment after the title/abstract decision.</x:v>
      </x:c>
      <x:c r="AA108" s="22" t="str">
        <x:v>Not applicable</x:v>
      </x:c>
      <x:c r="AB108" s="22" t="str">
        <x:v>Record was not advanced to full-text assessment.</x:v>
      </x:c>
      <x:c r="AC108" s="22" t="str">
        <x:v>Not assessed</x:v>
      </x:c>
      <x:c r="AD108" s="22" t="str">
        <x:v>Not applicable — no full-text assessment was required.</x:v>
      </x:c>
      <x:c r="AE108" s="22" t="str">
        <x:v>Not included — title/abstract exclusion</x:v>
      </x:c>
      <x:c r="AF108" s="22" t="str">
        <x:v>Not applicable — not included</x:v>
      </x:c>
      <x:c r="AG108" s="22" t="str">
        <x:v>Evidence: a1c6fd47-1571-497c-9d73-52f73109daa3.png; page 7, result 1. Metadata transcribed from captured Google Scholar page; OCR-normalised, verify against publication before citation.</x:v>
      </x:c>
      <x:c r="AH108" s="20" t="str">
        <x:v>No duplicate identified under the documented matching rules.</x:v>
      </x:c>
    </x:row>
    <x:row r="109" ht="42" customHeight="1">
      <x:c r="A109" s="426" t="str">
        <x:v>GS-01-062</x:v>
      </x:c>
      <x:c r="B109" s="426" t="str">
        <x:v>Google Scholar</x:v>
      </x:c>
      <x:c r="C109" s="426" t="str">
        <x:v>GS-01</x:v>
      </x:c>
      <x:c r="D109" s="426" t="str">
        <x:v>Aligning human knowledge with visual concepts towards explainable medical Image classification</x:v>
      </x:c>
      <x:c r="E109" s="426" t="str">
        <x:v>¥Gae.D Gu MZhot DO Metaxas</x:v>
      </x:c>
      <x:c r="F109" s="426" t="n">
        <x:v>2024</x:v>
      </x:c>
      <x:c r="G109" s="426" t="str">
        <x:v>Inler-alonal Conference an Medical 2024 - Spnnger</x:v>
      </x:c>
      <x:c r="H109" s="426" t="str">
        <x:v>Google Scholar result</x:v>
      </x:c>
      <x:c r="I109" s="426" t="str">
        <x:v>10.1007/978-3-031-72117-5_5</x:v>
      </x:c>
      <x:c r="J109" s="426" t="str">
        <x:v>2406.05596</x:v>
      </x:c>
      <x:c r="K109" s="426" t="str">
        <x:v>https://arxiv.org/pdf/2406.05596</x:v>
      </x:c>
      <x:c r="L109" s="426" t="str">
        <x:v>Although explainability is essential in the clinical diagnosis, most deep learning models still function as black boxes without elucidating their decision-making process. In this study, we investigate the explainable model development that can mimic the decision-making process of human experts by fusing the domain knowledge of explicit diagnostic criteria. We introduce a simple yet effective framework, Explicd, towards Explainable language-informed criteria-based diagnosis. Explicd initiates its process by querying domain knowledge from either large language models (LLMs) or human experts to establish diagnostic criteria across various concept axes (e.g., color, shape, texture, or specific patterns of diseases). By leveraging a pretrained vision-language model, Explicd injects these criteria into the embedding space as knowledge anchors, thereby facilitating the learning of corresponding visual concepts within medical images. The final diagnostic outcome is determined based on the similarity scores between the encoded visual concepts and the textual criteria embeddings. Through extensive evaluation of five medical image classification benchmarks, Explicd has demonstrated its inherent explainability and extends to improve classification performance compared to traditional black-box models. Code is available at \url{https://github.com/yhygao/Explicd}.</x:v>
      </x:c>
      <x:c r="M109" s="426" t="str">
        <x:v>No duplicate</x:v>
      </x:c>
      <x:c r="N109" s="426" t="str">
        <x:v>Not applicable — no duplicate group</x:v>
      </x:c>
      <x:c r="O109" s="426" t="str">
        <x:v>Not applicable</x:v>
      </x:c>
      <x:c r="P109" s="426" t="str">
        <x:v>Yes</x:v>
      </x:c>
      <x:c r="Q109" s="426" t="str">
        <x:v>Include</x:v>
      </x:c>
      <x:c r="R109" s="426" t="str">
        <x:v>Empirical concept-guided medical-image classification study; contextual evidence (I5).</x:v>
      </x:c>
      <x:c r="S109" s="426" t="str">
        <x:v>Verification documented at process level</x:v>
      </x:c>
      <x:c r="T109" s="426" t="str">
        <x:v>Two additional authors performed random spot checks; individual spot-check assignments are not recorded in this register.</x:v>
      </x:c>
      <x:c r="U109" s="426" t="str">
        <x:v>Include</x:v>
      </x:c>
      <x:c r="V109" s="426" t="str">
        <x:v>Primary decision by the corresponding author; two additional authors performed random spot checks as a quality-control step.</x:v>
      </x:c>
      <x:c r="W109" s="426" t="str">
        <x:v>Yes</x:v>
      </x:c>
      <x:c r="X109" s="426" t="str">
        <x:v>Yes</x:v>
      </x:c>
      <x:c r="Y109" s="426" t="str">
        <x:v>Include</x:v>
      </x:c>
      <x:c r="Z109" s="426" t="str">
        <x:v>The corresponding author assessed the complete report and judged it eligible for inclusion in the review.</x:v>
      </x:c>
      <x:c r="AA109" s="22" t="str">
        <x:v>Verification documented at process level</x:v>
      </x:c>
      <x:c r="AB109" s="22" t="str">
        <x:v>Two additional authors performed random spot checks; individual spot-check assignments are not recorded in this register.</x:v>
      </x:c>
      <x:c r="AC109" s="22" t="str">
        <x:v>Include</x:v>
      </x:c>
      <x:c r="AD109" s="22" t="str">
        <x:v>Primary decision by the corresponding author; two additional authors performed random spot checks as a quality-control step.</x:v>
      </x:c>
      <x:c r="AE109" s="22" t="str">
        <x:v>Include</x:v>
      </x:c>
      <x:c r="AF109" s="22" t="str">
        <x:v>Contextual medical concept-XAI evidence</x:v>
      </x:c>
      <x:c r="AG109" s="22" t="str">
        <x:v>Evidence: a1c6fd47-1571-497c-9d73-52f73109daa3.png; page 7, result 2. Metadata transcribed from captured Google Scholar page; OCR-normalised, verify against publication before citation.</x:v>
      </x:c>
      <x:c r="AH109" s="20" t="str">
        <x:v>No duplicate identified under the documented matching rules.</x:v>
      </x:c>
    </x:row>
    <x:row r="110" ht="42" customHeight="1">
      <x:c r="A110" s="426" t="str">
        <x:v>GS-01-063</x:v>
      </x:c>
      <x:c r="B110" s="426" t="str">
        <x:v>Google Scholar</x:v>
      </x:c>
      <x:c r="C110" s="426" t="str">
        <x:v>GS-01</x:v>
      </x:c>
      <x:c r="D110" s="426" t="str">
        <x:v>interpretable Neuropsychiatric Diagnosis via Concept-Guided Graph Neural Networks</x:v>
      </x:c>
      <x:c r="E110" s="426" t="str">
        <x:v>S Wang ZLei ZTan JLi JRasep AZrang. ~- arXiv praprintarXiy 2025</x:v>
      </x:c>
      <x:c r="F110" s="426" t="n">
        <x:v>2025</x:v>
      </x:c>
      <x:c r="G110" s="426" t="str">
        <x:v>arxiv are</x:v>
      </x:c>
      <x:c r="H110" s="426" t="str">
        <x:v>Google Scholar result</x:v>
      </x:c>
      <x:c r="I110" s="426" t="str">
        <x:v>NR</x:v>
      </x:c>
      <x:c r="J110" s="426" t="str">
        <x:v>2510.03351</x:v>
      </x:c>
      <x:c r="K110" s="426" t="str">
        <x:v>https://arxiv.org/pdf/2510.03351</x:v>
      </x:c>
      <x:c r="L110" s="426" t="str">
        <x:v>Nearly one in five adolescents currently live with a diagnosed mental or behavioral health condition, such as anxiety, depression, or conduct disorder, underscoring the urgency of developing accurate and interpretable diagnostic tools. Resting-state functional magnetic resonance imaging (rs-fMRI) provides a powerful lens into large-scale functional connectivity, where brain regions are modeled as nodes and inter-regional synchrony as edges, offering clinically relevant biomarkers for psychiatric disorders. While prior works use graph neural network (GNN) approaches for disorder prediction, they remain complex black-boxes, limiting their reliability and clinical translation. In this work, we propose CONCEPTNEURO, a concept-based diagnosis framework that leverages large language models (LLMs) and neurobiological domain knowledge to automatically generate, filter, and encode interpretable functional connectivity concepts. Each concept is represented as a structured subgraph linking specific brain regions, which are then passed through a concept classifier. Our design ensures predictions through clinically meaningful connectivity patterns, enabling both interpretability and strong predictive performance. Extensive experiments across multiple psychiatric disorder datasets demonstrate that CONCEPTNEURO-augmented GNNs consistently outperform their vanilla counterparts, improving accuracy while providing transparent, clinically aligned explanations. Furthermore, concept analyses highlight disorder-specific connectivity patterns that align with expert knowledge and suggest new hypotheses for future investigation, establishing CONCEPTNEURO as an interpretable, domain-informed framework for psychiatric disorder diagnosis.</x:v>
      </x:c>
      <x:c r="M110" s="426" t="str">
        <x:v>No duplicate</x:v>
      </x:c>
      <x:c r="N110" s="426" t="str">
        <x:v>Not applicable — no duplicate group</x:v>
      </x:c>
      <x:c r="O110" s="426" t="str">
        <x:v>Not applicable</x:v>
      </x:c>
      <x:c r="P110" s="426" t="str">
        <x:v>Yes</x:v>
      </x:c>
      <x:c r="Q110" s="426" t="str">
        <x:v>Include</x:v>
      </x:c>
      <x:c r="R110" s="426" t="str">
        <x:v>Medical structured-concept reasoning for neuropsychiatric diagnosis; contextual evidence (I5).</x:v>
      </x:c>
      <x:c r="S110" s="426" t="str">
        <x:v>Verification documented at process level</x:v>
      </x:c>
      <x:c r="T110" s="426" t="str">
        <x:v>Two additional authors performed random spot checks; individual spot-check assignments are not recorded in this register.</x:v>
      </x:c>
      <x:c r="U110" s="426" t="str">
        <x:v>Include</x:v>
      </x:c>
      <x:c r="V110" s="426" t="str">
        <x:v>Primary decision by the corresponding author; two additional authors performed random spot checks as a quality-control step.</x:v>
      </x:c>
      <x:c r="W110" s="426" t="str">
        <x:v>Yes</x:v>
      </x:c>
      <x:c r="X110" s="426" t="str">
        <x:v>Yes</x:v>
      </x:c>
      <x:c r="Y110" s="426" t="str">
        <x:v>Include</x:v>
      </x:c>
      <x:c r="Z110" s="426" t="str">
        <x:v>The corresponding author assessed the complete report and judged it eligible for inclusion in the review.</x:v>
      </x:c>
      <x:c r="AA110" s="22" t="str">
        <x:v>Verification documented at process level</x:v>
      </x:c>
      <x:c r="AB110" s="22" t="str">
        <x:v>Two additional authors performed random spot checks; individual spot-check assignments are not recorded in this register.</x:v>
      </x:c>
      <x:c r="AC110" s="22" t="str">
        <x:v>Include</x:v>
      </x:c>
      <x:c r="AD110" s="22" t="str">
        <x:v>Primary decision by the corresponding author; two additional authors performed random spot checks as a quality-control step.</x:v>
      </x:c>
      <x:c r="AE110" s="22" t="str">
        <x:v>Include</x:v>
      </x:c>
      <x:c r="AF110" s="22" t="str">
        <x:v>Contextual medical concept-XAI evidence</x:v>
      </x:c>
      <x:c r="AG110" s="22" t="str">
        <x:v>Evidence: a1c6fd47-1571-497c-9d73-52f73109daa3.png; page 7, result 3. Metadata transcribed from captured Google Scholar page; OCR-normalised, verify against publication before citation.</x:v>
      </x:c>
      <x:c r="AH110" s="20" t="str">
        <x:v>No duplicate identified under the documented matching rules.</x:v>
      </x:c>
    </x:row>
    <x:row r="111" ht="42" customHeight="1">
      <x:c r="A111" s="426" t="str">
        <x:v>GS-01-064</x:v>
      </x:c>
      <x:c r="B111" s="426" t="str">
        <x:v>Google Scholar</x:v>
      </x:c>
      <x:c r="C111" s="426" t="str">
        <x:v>GS-01</x:v>
      </x:c>
      <x:c r="D111" s="426" t="str">
        <x:v>AMD-AgentDx Transparent Agentic Al Framework on Consumer Electronics for Specialist-Comparable Multimodal Diagnosis</x:v>
      </x:c>
      <x:c r="E111" s="426" t="str">
        <x:v>2Warc . Bai X Zhang RZ-ang JTaa + EEE T‘ansachons 2024</x:v>
      </x:c>
      <x:c r="F111" s="426" t="n">
        <x:v>2024</x:v>
      </x:c>
      <x:c r="G111" s="426" t="str">
        <x:v>ieeaxplare ieee org</x:v>
      </x:c>
      <x:c r="H111" s="426" t="str">
        <x:v>Google Scholar result</x:v>
      </x:c>
      <x:c r="I111" s="426" t="str">
        <x:v>NR</x:v>
      </x:c>
      <x:c r="J111" s="426" t="str">
        <x:v>NR</x:v>
      </x:c>
      <x:c r="K111" s="426" t="str">
        <x:v>NR — URL not captured in the available source record</x:v>
      </x:c>
      <x:c r="L111" s="426" t="str">
        <x:v>Not available in the captured evidence; the screening decision used the title and available source metadata.</x:v>
      </x:c>
      <x:c r="M111" s="426" t="str">
        <x:v>Removed from analytic set — unverifiable bibliographic artifact</x:v>
      </x:c>
      <x:c r="N111" s="426" t="str">
        <x:v>Not applicable — bibliographic artifact</x:v>
      </x:c>
      <x:c r="O111" s="426" t="str">
        <x:v>Not applicable</x:v>
      </x:c>
      <x:c r="P111" s="426" t="str">
        <x:v>No</x:v>
      </x:c>
      <x:c r="Q111" s="426" t="str">
        <x:v>Not screened</x:v>
      </x:c>
      <x:c r="R111" s="426" t="str">
        <x:v>Removed before title/abstract screening because the bibliographic artifact could not be verified.</x:v>
      </x:c>
      <x:c r="S111" s="426" t="str">
        <x:v>Not applicable — removed before screening</x:v>
      </x:c>
      <x:c r="T111" s="426" t="str">
        <x:v>Record was outside the active screening set.</x:v>
      </x:c>
      <x:c r="U111" s="426" t="str">
        <x:v>Removed before screening</x:v>
      </x:c>
      <x:c r="V111" s="426" t="str">
        <x:v>Unverifiable bibliographic artifact removed during verification.</x:v>
      </x:c>
      <x:c r="W111" s="426" t="str">
        <x:v>No</x:v>
      </x:c>
      <x:c r="X111" s="426" t="str">
        <x:v>Not applicable</x:v>
      </x:c>
      <x:c r="Y111" s="426" t="str">
        <x:v>Not assessed</x:v>
      </x:c>
      <x:c r="Z111" s="426" t="str">
        <x:v>Not applicable — record removed before screening.</x:v>
      </x:c>
      <x:c r="AA111" s="22" t="str">
        <x:v>Not applicable</x:v>
      </x:c>
      <x:c r="AB111" s="22" t="str">
        <x:v>Record was not advanced to full-text assessment.</x:v>
      </x:c>
      <x:c r="AC111" s="22" t="str">
        <x:v>Not assessed</x:v>
      </x:c>
      <x:c r="AD111" s="22" t="str">
        <x:v>Not applicable — no full-text assessment was required.</x:v>
      </x:c>
      <x:c r="AE111" s="22" t="str">
        <x:v>Removed before screening</x:v>
      </x:c>
      <x:c r="AF111" s="22" t="str">
        <x:v>Not applicable — not included</x:v>
      </x:c>
      <x:c r="AG111" s="22" t="str">
        <x:v>Evidence: a1c6fd47-1571-497c-9d73-52f73109daa3.png; page 7, result 4. Metadata transcribed from captured Google Scholar page; OCR-normalised, verify against publication before citation. Removed during bibliographic verification: the screenshot/OCR-derived title could not be matched to an authoritative scholarly record. Retained only in the audit trail and excluded from all active denominators.</x:v>
      </x:c>
      <x:c r="AH111" s="20" t="str">
        <x:v>Removed during bibliographic verification: the screenshot/OCR-derived title could not be matched to an authoritative scholarly record. Retained only in the audit trail and excluded from all active denominators.</x:v>
      </x:c>
    </x:row>
    <x:row r="112" ht="42" customHeight="1">
      <x:c r="A112" s="426" t="str">
        <x:v>GS-01-065</x:v>
      </x:c>
      <x:c r="B112" s="426" t="str">
        <x:v>Google Scholar</x:v>
      </x:c>
      <x:c r="C112" s="426" t="str">
        <x:v>GS-01</x:v>
      </x:c>
      <x:c r="D112" s="426" t="str">
        <x:v>POF] From Images to Concepts: interpretable Image Classification with CLIP- Derived Visual Concepts</x:v>
      </x:c>
      <x:c r="E112" s="426" t="str">
        <x:v>TMa. CM Truorg. JH Nquyen, JK Dang. PATha</x:v>
      </x:c>
      <x:c r="F112" s="426" t="str">
        <x:v>NR</x:v>
      </x:c>
      <x:c r="G112" s="426" t="str">
        <x:v>ret ty. edu vn</x:v>
      </x:c>
      <x:c r="H112" s="426" t="str">
        <x:v>Google Scholar result</x:v>
      </x:c>
      <x:c r="I112" s="426" t="str">
        <x:v>NR</x:v>
      </x:c>
      <x:c r="J112" s="426" t="str">
        <x:v>NR</x:v>
      </x:c>
      <x:c r="K112" s="426" t="str">
        <x:v>NR — URL not captured in the available source record</x:v>
      </x:c>
      <x:c r="L112" s="426" t="str">
        <x:v>Not available in the captured evidence; the screening decision used the title and available source metadata.</x:v>
      </x:c>
      <x:c r="M112" s="426" t="str">
        <x:v>No duplicate</x:v>
      </x:c>
      <x:c r="N112" s="426" t="str">
        <x:v>Not applicable — no duplicate group</x:v>
      </x:c>
      <x:c r="O112" s="426" t="str">
        <x:v>Not applicable</x:v>
      </x:c>
      <x:c r="P112" s="426" t="str">
        <x:v>Yes</x:v>
      </x:c>
      <x:c r="Q112" s="426" t="str">
        <x:v>Exclude</x:v>
      </x:c>
      <x:c r="R112" s="426" t="str">
        <x:v>Generic image-classification method without medical evaluation (E1).</x:v>
      </x:c>
      <x:c r="S112" s="426" t="str">
        <x:v>Verification documented at process level</x:v>
      </x:c>
      <x:c r="T112" s="426" t="str">
        <x:v>Two additional authors performed random spot checks; individual spot-check assignments are not recorded in this register.</x:v>
      </x:c>
      <x:c r="U112" s="426" t="str">
        <x:v>Exclude</x:v>
      </x:c>
      <x:c r="V112" s="426" t="str">
        <x:v>Primary decision by the corresponding author; two additional authors performed random spot checks as a quality-control step.</x:v>
      </x:c>
      <x:c r="W112" s="426" t="str">
        <x:v>No</x:v>
      </x:c>
      <x:c r="X112" s="426" t="str">
        <x:v>Not applicable</x:v>
      </x:c>
      <x:c r="Y112" s="426" t="str">
        <x:v>Not assessed</x:v>
      </x:c>
      <x:c r="Z112" s="426" t="str">
        <x:v>Not advanced to full-text assessment after the title/abstract decision.</x:v>
      </x:c>
      <x:c r="AA112" s="22" t="str">
        <x:v>Not applicable</x:v>
      </x:c>
      <x:c r="AB112" s="22" t="str">
        <x:v>Record was not advanced to full-text assessment.</x:v>
      </x:c>
      <x:c r="AC112" s="22" t="str">
        <x:v>Not assessed</x:v>
      </x:c>
      <x:c r="AD112" s="22" t="str">
        <x:v>Not applicable — no full-text assessment was required.</x:v>
      </x:c>
      <x:c r="AE112" s="22" t="str">
        <x:v>Not included — title/abstract exclusion</x:v>
      </x:c>
      <x:c r="AF112" s="22" t="str">
        <x:v>Not applicable — not included</x:v>
      </x:c>
      <x:c r="AG112" s="22" t="str">
        <x:v>Evidence: a1c6fd47-1571-497c-9d73-52f73109daa3.png; page 7, result 5. Metadata transcribed from captured Google Scholar page; OCR-normalised, verify against publication before citation.</x:v>
      </x:c>
      <x:c r="AH112" s="20" t="str">
        <x:v>No duplicate identified under the documented matching rules.</x:v>
      </x:c>
    </x:row>
    <x:row r="113" ht="42" customHeight="1">
      <x:c r="A113" s="426" t="str">
        <x:v>GS-01-066</x:v>
      </x:c>
      <x:c r="B113" s="426" t="str">
        <x:v>Google Scholar</x:v>
      </x:c>
      <x:c r="C113" s="426" t="str">
        <x:v>GS-01</x:v>
      </x:c>
      <x:c r="D113" s="426" t="str">
        <x:v>(nterpretable Deep Learning Models for Rare Genetic Disorder Detection in Low- Resource Settings</x:v>
      </x:c>
      <x:c r="E113" s="426" t="str">
        <x:v>GU Dev. B Maram</x:v>
      </x:c>
      <x:c r="F113" s="426" t="n">
        <x:v>2026</x:v>
      </x:c>
      <x:c r="G113" s="426" t="str">
        <x:v>2026 Third Inter-abonal Conference on =, 2026 - ieeaxplare eae org</x:v>
      </x:c>
      <x:c r="H113" s="426" t="str">
        <x:v>Google Scholar result</x:v>
      </x:c>
      <x:c r="I113" s="426" t="str">
        <x:v>NR</x:v>
      </x:c>
      <x:c r="J113" s="426" t="str">
        <x:v>NR</x:v>
      </x:c>
      <x:c r="K113" s="426" t="str">
        <x:v>NR — URL not captured in the available source record</x:v>
      </x:c>
      <x:c r="L113" s="426" t="str">
        <x:v>Not available in the captured evidence; the screening decision used the title and available source metadata.</x:v>
      </x:c>
      <x:c r="M113" s="426" t="str">
        <x:v>No duplicate</x:v>
      </x:c>
      <x:c r="N113" s="426" t="str">
        <x:v>Not applicable — no duplicate group</x:v>
      </x:c>
      <x:c r="O113" s="426" t="str">
        <x:v>Not applicable</x:v>
      </x:c>
      <x:c r="P113" s="426" t="str">
        <x:v>Yes</x:v>
      </x:c>
      <x:c r="Q113" s="426" t="str">
        <x:v>Exclude</x:v>
      </x:c>
      <x:c r="R113" s="426" t="str">
        <x:v>No eligible concept-based mechanism is evident for the non-ophthalmic disorder task (E1, E2).</x:v>
      </x:c>
      <x:c r="S113" s="426" t="str">
        <x:v>Verification documented at process level</x:v>
      </x:c>
      <x:c r="T113" s="426" t="str">
        <x:v>Two additional authors performed random spot checks; individual spot-check assignments are not recorded in this register.</x:v>
      </x:c>
      <x:c r="U113" s="426" t="str">
        <x:v>Exclude</x:v>
      </x:c>
      <x:c r="V113" s="426" t="str">
        <x:v>Primary decision by the corresponding author; two additional authors performed random spot checks as a quality-control step.</x:v>
      </x:c>
      <x:c r="W113" s="426" t="str">
        <x:v>No</x:v>
      </x:c>
      <x:c r="X113" s="426" t="str">
        <x:v>Not applicable</x:v>
      </x:c>
      <x:c r="Y113" s="426" t="str">
        <x:v>Not assessed</x:v>
      </x:c>
      <x:c r="Z113" s="426" t="str">
        <x:v>Not advanced to full-text assessment after the title/abstract decision.</x:v>
      </x:c>
      <x:c r="AA113" s="22" t="str">
        <x:v>Not applicable</x:v>
      </x:c>
      <x:c r="AB113" s="22" t="str">
        <x:v>Record was not advanced to full-text assessment.</x:v>
      </x:c>
      <x:c r="AC113" s="22" t="str">
        <x:v>Not assessed</x:v>
      </x:c>
      <x:c r="AD113" s="22" t="str">
        <x:v>Not applicable — no full-text assessment was required.</x:v>
      </x:c>
      <x:c r="AE113" s="22" t="str">
        <x:v>Not included — title/abstract exclusion</x:v>
      </x:c>
      <x:c r="AF113" s="22" t="str">
        <x:v>Not applicable — not included</x:v>
      </x:c>
      <x:c r="AG113" s="22" t="str">
        <x:v>Evidence: a1c6fd47-1571-497c-9d73-52f73109daa3.png; page 7, result 6. Metadata transcribed from captured Google Scholar page; OCR-normalised, verify against publication before citation.</x:v>
      </x:c>
      <x:c r="AH113" s="20" t="str">
        <x:v>No duplicate identified under the documented matching rules.</x:v>
      </x:c>
    </x:row>
    <x:row r="114" ht="42" customHeight="1">
      <x:c r="A114" s="426" t="str">
        <x:v>GS-01-067</x:v>
      </x:c>
      <x:c r="B114" s="426" t="str">
        <x:v>Google Scholar</x:v>
      </x:c>
      <x:c r="C114" s="426" t="str">
        <x:v>GS-01</x:v>
      </x:c>
      <x:c r="D114" s="426" t="str">
        <x:v>Incorporating expert rules into neural networks in the framework of concept- based learning</x:v>
      </x:c>
      <x:c r="E114" s="426" t="str">
        <x:v>AV Konstantinoy LY Wikia</x:v>
      </x:c>
      <x:c r="F114" s="426" t="n">
        <x:v>2024</x:v>
      </x:c>
      <x:c r="G114" s="426" t="str">
        <x:v>arXiv oreprint arXiv 2462 ‘4726 2024 - arin org</x:v>
      </x:c>
      <x:c r="H114" s="426" t="str">
        <x:v>Google Scholar result</x:v>
      </x:c>
      <x:c r="I114" s="426" t="str">
        <x:v>NR</x:v>
      </x:c>
      <x:c r="J114" s="426" t="str">
        <x:v>NR</x:v>
      </x:c>
      <x:c r="K114" s="426" t="str">
        <x:v>NR — URL not captured in the available source record</x:v>
      </x:c>
      <x:c r="L114" s="426" t="str">
        <x:v>Not available in the captured evidence; the screening decision used the title and available source metadata.</x:v>
      </x:c>
      <x:c r="M114" s="426" t="str">
        <x:v>No duplicate</x:v>
      </x:c>
      <x:c r="N114" s="426" t="str">
        <x:v>Not applicable — no duplicate group</x:v>
      </x:c>
      <x:c r="O114" s="426" t="str">
        <x:v>Not applicable</x:v>
      </x:c>
      <x:c r="P114" s="426" t="str">
        <x:v>Yes</x:v>
      </x:c>
      <x:c r="Q114" s="426" t="str">
        <x:v>Exclude</x:v>
      </x:c>
      <x:c r="R114" s="426" t="str">
        <x:v>Generic expert-rule concept-learning method without medical evaluation (E1).</x:v>
      </x:c>
      <x:c r="S114" s="426" t="str">
        <x:v>Verification documented at process level</x:v>
      </x:c>
      <x:c r="T114" s="426" t="str">
        <x:v>Two additional authors performed random spot checks; individual spot-check assignments are not recorded in this register.</x:v>
      </x:c>
      <x:c r="U114" s="426" t="str">
        <x:v>Exclude</x:v>
      </x:c>
      <x:c r="V114" s="426" t="str">
        <x:v>Primary decision by the corresponding author; two additional authors performed random spot checks as a quality-control step.</x:v>
      </x:c>
      <x:c r="W114" s="426" t="str">
        <x:v>No</x:v>
      </x:c>
      <x:c r="X114" s="426" t="str">
        <x:v>Not applicable</x:v>
      </x:c>
      <x:c r="Y114" s="426" t="str">
        <x:v>Not assessed</x:v>
      </x:c>
      <x:c r="Z114" s="426" t="str">
        <x:v>Not advanced to full-text assessment after the title/abstract decision.</x:v>
      </x:c>
      <x:c r="AA114" s="22" t="str">
        <x:v>Not applicable</x:v>
      </x:c>
      <x:c r="AB114" s="22" t="str">
        <x:v>Record was not advanced to full-text assessment.</x:v>
      </x:c>
      <x:c r="AC114" s="22" t="str">
        <x:v>Not assessed</x:v>
      </x:c>
      <x:c r="AD114" s="22" t="str">
        <x:v>Not applicable — no full-text assessment was required.</x:v>
      </x:c>
      <x:c r="AE114" s="22" t="str">
        <x:v>Not included — title/abstract exclusion</x:v>
      </x:c>
      <x:c r="AF114" s="22" t="str">
        <x:v>Not applicable — not included</x:v>
      </x:c>
      <x:c r="AG114" s="22" t="str">
        <x:v>Evidence: a1c6fd47-1571-497c-9d73-52f73109daa3.png; page 7, result 7. Metadata transcribed from captured Google Scholar page; OCR-normalised, verify against publication before citation.</x:v>
      </x:c>
      <x:c r="AH114" s="20" t="str">
        <x:v>No duplicate identified under the documented matching rules.</x:v>
      </x:c>
    </x:row>
    <x:row r="115" ht="42" customHeight="1">
      <x:c r="A115" s="426" t="str">
        <x:v>GS-01-068</x:v>
      </x:c>
      <x:c r="B115" s="426" t="str">
        <x:v>Google Scholar</x:v>
      </x:c>
      <x:c r="C115" s="426" t="str">
        <x:v>GS-01</x:v>
      </x:c>
      <x:c r="D115" s="426" t="str">
        <x:v>(n-hoc concept representations to regularise deep leaming in medical imaging</x:v>
      </x:c>
      <x:c r="E115" s="426" t="str">
        <x:v>¥ Vorbetla FS Dijkstra. 8 Beeis-Tan -20251EEE/CVF 2025</x:v>
      </x:c>
      <x:c r="F115" s="426" t="n">
        <x:v>2025</x:v>
      </x:c>
      <x:c r="G115" s="426" t="str">
        <x:v>ieeexplore iege org</x:v>
      </x:c>
      <x:c r="H115" s="426" t="str">
        <x:v>Google Scholar result</x:v>
      </x:c>
      <x:c r="I115" s="426" t="str">
        <x:v>NR</x:v>
      </x:c>
      <x:c r="J115" s="426" t="str">
        <x:v>NR</x:v>
      </x:c>
      <x:c r="K115" s="426" t="str">
        <x:v>NR — URL not captured in the available source record</x:v>
      </x:c>
      <x:c r="L115" s="426" t="str">
        <x:v>Not available in the captured evidence; the screening decision used the title and available source metadata.</x:v>
      </x:c>
      <x:c r="M115" s="426" t="str">
        <x:v>Confirmed duplicate</x:v>
      </x:c>
      <x:c r="N115" s="426" t="str">
        <x:v>DG-082</x:v>
      </x:c>
      <x:c r="O115" s="426" t="str">
        <x:v>ARXIV-06-001</x:v>
      </x:c>
      <x:c r="P115" s="426" t="str">
        <x:v>No</x:v>
      </x:c>
      <x:c r="Q115" s="426" t="str">
        <x:v>Not screened</x:v>
      </x:c>
      <x:c r="R115" s="426" t="str">
        <x:v>Removed before title/abstract screening as a confirmed duplicate.</x:v>
      </x:c>
      <x:c r="S115" s="426" t="str">
        <x:v>Not applicable — removed before screening</x:v>
      </x:c>
      <x:c r="T115" s="426" t="str">
        <x:v>Record was outside the active screening set.</x:v>
      </x:c>
      <x:c r="U115" s="426" t="str">
        <x:v>Removed before screening</x:v>
      </x:c>
      <x:c r="V115" s="426" t="str">
        <x:v>Confirmed duplicate removed during deduplication.</x:v>
      </x:c>
      <x:c r="W115" s="426" t="str">
        <x:v>No</x:v>
      </x:c>
      <x:c r="X115" s="426" t="str">
        <x:v>Not applicable</x:v>
      </x:c>
      <x:c r="Y115" s="426" t="str">
        <x:v>Not assessed</x:v>
      </x:c>
      <x:c r="Z115" s="426" t="str">
        <x:v>Not applicable — record removed before screening.</x:v>
      </x:c>
      <x:c r="AA115" s="22" t="str">
        <x:v>Not applicable</x:v>
      </x:c>
      <x:c r="AB115" s="22" t="str">
        <x:v>Record was not advanced to full-text assessment.</x:v>
      </x:c>
      <x:c r="AC115" s="22" t="str">
        <x:v>Not assessed</x:v>
      </x:c>
      <x:c r="AD115" s="22" t="str">
        <x:v>Not applicable — no full-text assessment was required.</x:v>
      </x:c>
      <x:c r="AE115" s="22" t="str">
        <x:v>Removed before screening</x:v>
      </x:c>
      <x:c r="AF115" s="22" t="str">
        <x:v>Not applicable — not included</x:v>
      </x:c>
      <x:c r="AG115" s="22" t="str">
        <x:v>Evidence: a1c6fd47-1571-497c-9d73-52f73109daa3.png; page 7, result 8. Metadata transcribed from captured Google Scholar page; OCR-normalised, verify against publication before citation.</x:v>
      </x:c>
      <x:c r="AH115" s="20" t="str">
        <x:v>No duplicate identified under the documented matching rules.</x:v>
      </x:c>
    </x:row>
    <x:row r="116" ht="42" customHeight="1">
      <x:c r="A116" s="426" t="str">
        <x:v>GS-01-069</x:v>
      </x:c>
      <x:c r="B116" s="426" t="str">
        <x:v>Google Scholar</x:v>
      </x:c>
      <x:c r="C116" s="426" t="str">
        <x:v>GS-01</x:v>
      </x:c>
      <x:c r="D116" s="426" t="str">
        <x:v>Can In-Context Leaming Enable Large Vision Language Models to Detect ECG Abnormalities?</x:v>
      </x:c>
      <x:c r="E116" s="426" t="str">
        <x:v>S$ Camba A Qlero. DGacsia L Sanchez</x:v>
      </x:c>
      <x:c r="F116" s="426" t="n">
        <x:v>2025</x:v>
      </x:c>
      <x:c r="G116" s="426" t="str">
        <x:v>Conference ofthe Spamsh . 2025 - Springer</x:v>
      </x:c>
      <x:c r="H116" s="426" t="str">
        <x:v>Google Scholar result</x:v>
      </x:c>
      <x:c r="I116" s="426" t="str">
        <x:v>NR</x:v>
      </x:c>
      <x:c r="J116" s="426" t="str">
        <x:v>NR</x:v>
      </x:c>
      <x:c r="K116" s="426" t="str">
        <x:v>NR — URL not captured in the available source record</x:v>
      </x:c>
      <x:c r="L116" s="426" t="str">
        <x:v>Not available in the captured evidence; the screening decision used the title and available source metadata.</x:v>
      </x:c>
      <x:c r="M116" s="426" t="str">
        <x:v>No duplicate</x:v>
      </x:c>
      <x:c r="N116" s="426" t="str">
        <x:v>Not applicable — no duplicate group</x:v>
      </x:c>
      <x:c r="O116" s="426" t="str">
        <x:v>Not applicable</x:v>
      </x:c>
      <x:c r="P116" s="426" t="str">
        <x:v>Yes</x:v>
      </x:c>
      <x:c r="Q116" s="426" t="str">
        <x:v>Exclude</x:v>
      </x:c>
      <x:c r="R116" s="426" t="str">
        <x:v>ECG study outside ophthalmic imaging with no clear concept-XAI method (E1, E2).</x:v>
      </x:c>
      <x:c r="S116" s="426" t="str">
        <x:v>Verification documented at process level</x:v>
      </x:c>
      <x:c r="T116" s="426" t="str">
        <x:v>Two additional authors performed random spot checks; individual spot-check assignments are not recorded in this register.</x:v>
      </x:c>
      <x:c r="U116" s="426" t="str">
        <x:v>Exclude</x:v>
      </x:c>
      <x:c r="V116" s="426" t="str">
        <x:v>Primary decision by the corresponding author; two additional authors performed random spot checks as a quality-control step.</x:v>
      </x:c>
      <x:c r="W116" s="426" t="str">
        <x:v>No</x:v>
      </x:c>
      <x:c r="X116" s="426" t="str">
        <x:v>Not applicable</x:v>
      </x:c>
      <x:c r="Y116" s="426" t="str">
        <x:v>Not assessed</x:v>
      </x:c>
      <x:c r="Z116" s="426" t="str">
        <x:v>Not advanced to full-text assessment after the title/abstract decision.</x:v>
      </x:c>
      <x:c r="AA116" s="22" t="str">
        <x:v>Not applicable</x:v>
      </x:c>
      <x:c r="AB116" s="22" t="str">
        <x:v>Record was not advanced to full-text assessment.</x:v>
      </x:c>
      <x:c r="AC116" s="22" t="str">
        <x:v>Not assessed</x:v>
      </x:c>
      <x:c r="AD116" s="22" t="str">
        <x:v>Not applicable — no full-text assessment was required.</x:v>
      </x:c>
      <x:c r="AE116" s="22" t="str">
        <x:v>Not included — title/abstract exclusion</x:v>
      </x:c>
      <x:c r="AF116" s="22" t="str">
        <x:v>Not applicable — not included</x:v>
      </x:c>
      <x:c r="AG116" s="22" t="str">
        <x:v>Evidence: a1c6fd47-1571-497c-9d73-52f73109daa3.png; page 7, result 9. Metadata transcribed from captured Google Scholar page; OCR-normalised, verify against publication before citation.</x:v>
      </x:c>
      <x:c r="AH116" s="20" t="str">
        <x:v>No duplicate identified under the documented matching rules.</x:v>
      </x:c>
    </x:row>
    <x:row r="117" ht="42" customHeight="1">
      <x:c r="A117" s="426" t="str">
        <x:v>GS-01-070</x:v>
      </x:c>
      <x:c r="B117" s="426" t="str">
        <x:v>Google Scholar</x:v>
      </x:c>
      <x:c r="C117" s="426" t="str">
        <x:v>GS-01</x:v>
      </x:c>
      <x:c r="D117" s="426" t="str">
        <x:v>When, How Long and How Much? Interpretable Neural Networks for Time Senes Regression by Learning to Mask and Aggregate</x:v>
      </x:c>
      <x:c r="E117" s="426" t="str">
        <x:v>Eforest AiWej. O Fick</x:v>
      </x:c>
      <x:c r="F117" s="426" t="n">
        <x:v>2025</x:v>
      </x:c>
      <x:c r="G117" s="426" t="str">
        <x:v>arXiv prepricl arXiv 2512 13978 2025 - amiy org</x:v>
      </x:c>
      <x:c r="H117" s="426" t="str">
        <x:v>Google Scholar result</x:v>
      </x:c>
      <x:c r="I117" s="426" t="str">
        <x:v>NR</x:v>
      </x:c>
      <x:c r="J117" s="426" t="str">
        <x:v>NR</x:v>
      </x:c>
      <x:c r="K117" s="426" t="str">
        <x:v>NR — URL not captured in the available source record</x:v>
      </x:c>
      <x:c r="L117" s="426" t="str">
        <x:v>Not available in the captured evidence; the screening decision used the title and available source metadata.</x:v>
      </x:c>
      <x:c r="M117" s="426" t="str">
        <x:v>No duplicate</x:v>
      </x:c>
      <x:c r="N117" s="426" t="str">
        <x:v>Not applicable — no duplicate group</x:v>
      </x:c>
      <x:c r="O117" s="426" t="str">
        <x:v>Not applicable</x:v>
      </x:c>
      <x:c r="P117" s="426" t="str">
        <x:v>Yes</x:v>
      </x:c>
      <x:c r="Q117" s="426" t="str">
        <x:v>Exclude</x:v>
      </x:c>
      <x:c r="R117" s="426" t="str">
        <x:v>Non-medical time-series regression using a different explanation type (E1, E2).</x:v>
      </x:c>
      <x:c r="S117" s="426" t="str">
        <x:v>Verification documented at process level</x:v>
      </x:c>
      <x:c r="T117" s="426" t="str">
        <x:v>Two additional authors performed random spot checks; individual spot-check assignments are not recorded in this register.</x:v>
      </x:c>
      <x:c r="U117" s="426" t="str">
        <x:v>Exclude</x:v>
      </x:c>
      <x:c r="V117" s="426" t="str">
        <x:v>Primary decision by the corresponding author; two additional authors performed random spot checks as a quality-control step.</x:v>
      </x:c>
      <x:c r="W117" s="426" t="str">
        <x:v>No</x:v>
      </x:c>
      <x:c r="X117" s="426" t="str">
        <x:v>Not applicable</x:v>
      </x:c>
      <x:c r="Y117" s="426" t="str">
        <x:v>Not assessed</x:v>
      </x:c>
      <x:c r="Z117" s="426" t="str">
        <x:v>Not advanced to full-text assessment after the title/abstract decision.</x:v>
      </x:c>
      <x:c r="AA117" s="22" t="str">
        <x:v>Not applicable</x:v>
      </x:c>
      <x:c r="AB117" s="22" t="str">
        <x:v>Record was not advanced to full-text assessment.</x:v>
      </x:c>
      <x:c r="AC117" s="22" t="str">
        <x:v>Not assessed</x:v>
      </x:c>
      <x:c r="AD117" s="22" t="str">
        <x:v>Not applicable — no full-text assessment was required.</x:v>
      </x:c>
      <x:c r="AE117" s="22" t="str">
        <x:v>Not included — title/abstract exclusion</x:v>
      </x:c>
      <x:c r="AF117" s="22" t="str">
        <x:v>Not applicable — not included</x:v>
      </x:c>
      <x:c r="AG117" s="22" t="str">
        <x:v>Evidence: a1c6fd47-1571-497c-9d73-52f73109daa3.png; page 7, result 10. Metadata transcribed from captured Google Scholar page; OCR-normalised, verify against publication before citation.</x:v>
      </x:c>
      <x:c r="AH117" s="20" t="str">
        <x:v>No duplicate identified under the documented matching rules.</x:v>
      </x:c>
    </x:row>
    <x:row r="118" ht="42" customHeight="1">
      <x:c r="A118" s="426" t="str">
        <x:v>GS-01-071</x:v>
      </x:c>
      <x:c r="B118" s="426" t="str">
        <x:v>Google Scholar</x:v>
      </x:c>
      <x:c r="C118" s="426" t="str">
        <x:v>GS-01</x:v>
      </x:c>
      <x:c r="D118" s="426" t="str">
        <x:v>Aligning Characteristic Descriptors with Images for Human-Expert-like Explainability</x:v>
      </x:c>
      <x:c r="E118" s="426" t="str">
        <x:v>BC Yalavarthi N Ratha</x:v>
      </x:c>
      <x:c r="F118" s="426" t="n">
        <x:v>2024</x:v>
      </x:c>
      <x:c r="G118" s="426" t="str">
        <x:v>arXiv prapein: arkin 2411 24008. 2024 - arxiv arg</x:v>
      </x:c>
      <x:c r="H118" s="426" t="str">
        <x:v>Google Scholar result</x:v>
      </x:c>
      <x:c r="I118" s="426" t="str">
        <x:v>NR</x:v>
      </x:c>
      <x:c r="J118" s="426" t="str">
        <x:v>2411.04008</x:v>
      </x:c>
      <x:c r="K118" s="426" t="str">
        <x:v>https://arxiv.org/pdf/2411.04008</x:v>
      </x:c>
      <x:c r="L118" s="426" t="str">
        <x:v>In mission-critical domains such as law enforcement and medical diagnosis, the ability to explain and interpret the outputs of deep learning models is crucial for ensuring user trust and supporting informed decision-making. Despite advancements in explainability, existing methods often fall short in providing explanations that mirror the depth and clarity of those given by human experts. Such expert-level explanations are essential for the dependable application of deep learning models in law enforcement and medical contexts. Additionally, we recognize that most explanations in real-world scenarios are communicated primarily through natural language. Addressing these needs, we propose a novel approach that utilizes characteristic descriptors to explain model decisions by identifying their presence in images, thereby generating expert-like explanations. Our method incorporates a concept bottleneck layer within the model architecture, which calculates the similarity between image and descriptor encodings to deliver inherent and faithful explanations. Through experiments in face recognition and chest X-ray diagnosis, we demonstrate that our approach offers a significant contrast over existing techniques, which are often limited to the use of saliency maps. We believe our approach represents a significant step toward making deep learning systems more accountable, transparent, and trustworthy in the critical domains of face recognition and medical diagnosis.</x:v>
      </x:c>
      <x:c r="M118" s="426" t="str">
        <x:v>No duplicate</x:v>
      </x:c>
      <x:c r="N118" s="426" t="str">
        <x:v>DG-124</x:v>
      </x:c>
      <x:c r="O118" s="426" t="str">
        <x:v>Not applicable</x:v>
      </x:c>
      <x:c r="P118" s="426" t="str">
        <x:v>Yes</x:v>
      </x:c>
      <x:c r="Q118" s="426" t="str">
        <x:v>Include</x:v>
      </x:c>
      <x:c r="R118" s="426" t="str">
        <x:v>Concept-bottleneck evaluation includes chest radiographs; contextual medical evidence (I5).</x:v>
      </x:c>
      <x:c r="S118" s="426" t="str">
        <x:v>Verification documented at process level</x:v>
      </x:c>
      <x:c r="T118" s="426" t="str">
        <x:v>Two additional authors performed random spot checks; individual spot-check assignments are not recorded in this register.</x:v>
      </x:c>
      <x:c r="U118" s="426" t="str">
        <x:v>Include</x:v>
      </x:c>
      <x:c r="V118" s="426" t="str">
        <x:v>Primary decision by the corresponding author; two additional authors performed random spot checks as a quality-control step.</x:v>
      </x:c>
      <x:c r="W118" s="426" t="str">
        <x:v>Yes</x:v>
      </x:c>
      <x:c r="X118" s="426" t="str">
        <x:v>Yes</x:v>
      </x:c>
      <x:c r="Y118" s="426" t="str">
        <x:v>Include</x:v>
      </x:c>
      <x:c r="Z118" s="426" t="str">
        <x:v>The corresponding author assessed the complete report and judged it eligible for inclusion in the review.</x:v>
      </x:c>
      <x:c r="AA118" s="22" t="str">
        <x:v>Verification documented at process level</x:v>
      </x:c>
      <x:c r="AB118" s="22" t="str">
        <x:v>Two additional authors performed random spot checks; individual spot-check assignments are not recorded in this register.</x:v>
      </x:c>
      <x:c r="AC118" s="22" t="str">
        <x:v>Include</x:v>
      </x:c>
      <x:c r="AD118" s="22" t="str">
        <x:v>Primary decision by the corresponding author; two additional authors performed random spot checks as a quality-control step.</x:v>
      </x:c>
      <x:c r="AE118" s="22" t="str">
        <x:v>Include</x:v>
      </x:c>
      <x:c r="AF118" s="22" t="str">
        <x:v>Contextual medical concept-XAI evidence</x:v>
      </x:c>
      <x:c r="AG118" s="22" t="str">
        <x:v>Evidence: d814461d-3d30-471f-9b6f-7b12ff727f7c.png; page 8, result 1. Metadata transcribed from captured Google Scholar page; OCR-normalised, verify against publication before citation.</x:v>
      </x:c>
      <x:c r="AH118" s="20" t="str">
        <x:v>No duplicate identified under the documented matching rules.</x:v>
      </x:c>
    </x:row>
    <x:row r="119" ht="42" customHeight="1">
      <x:c r="A119" s="426" t="str">
        <x:v>GS-01-072</x:v>
      </x:c>
      <x:c r="B119" s="426" t="str">
        <x:v>Google Scholar</x:v>
      </x:c>
      <x:c r="C119" s="426" t="str">
        <x:v>GS-01</x:v>
      </x:c>
      <x:c r="D119" s="426" t="str">
        <x:v>SketchXplain Intuitive Visual Explanations of Image Classifiers with Sketches</x:v>
      </x:c>
      <x:c r="E119" s="426" t="str">
        <x:v>W Zhang, M Michelessa X Zhao BY Wir</x:v>
      </x:c>
      <x:c r="F119" s="426" t="n">
        <x:v>2026</x:v>
      </x:c>
      <x:c r="G119" s="426" t="str">
        <x:v>arXiv prap‘int arXiv 2606 ‘7646 2026 - arxiv arg</x:v>
      </x:c>
      <x:c r="H119" s="426" t="str">
        <x:v>Google Scholar result</x:v>
      </x:c>
      <x:c r="I119" s="426" t="str">
        <x:v>NR</x:v>
      </x:c>
      <x:c r="J119" s="426" t="str">
        <x:v>NR</x:v>
      </x:c>
      <x:c r="K119" s="426" t="str">
        <x:v>NR — URL not captured in the available source record</x:v>
      </x:c>
      <x:c r="L119" s="426" t="str">
        <x:v>Not available in the captured evidence; the screening decision used the title and available source metadata.</x:v>
      </x:c>
      <x:c r="M119" s="426" t="str">
        <x:v>Removed from analytic set — unverifiable bibliographic artifact</x:v>
      </x:c>
      <x:c r="N119" s="426" t="str">
        <x:v>Not applicable — bibliographic artifact</x:v>
      </x:c>
      <x:c r="O119" s="426" t="str">
        <x:v>Not applicable</x:v>
      </x:c>
      <x:c r="P119" s="426" t="str">
        <x:v>No</x:v>
      </x:c>
      <x:c r="Q119" s="426" t="str">
        <x:v>Not screened</x:v>
      </x:c>
      <x:c r="R119" s="426" t="str">
        <x:v>Removed before title/abstract screening because the bibliographic artifact could not be verified.</x:v>
      </x:c>
      <x:c r="S119" s="426" t="str">
        <x:v>Not applicable — removed before screening</x:v>
      </x:c>
      <x:c r="T119" s="426" t="str">
        <x:v>Record was outside the active screening set.</x:v>
      </x:c>
      <x:c r="U119" s="426" t="str">
        <x:v>Removed before screening</x:v>
      </x:c>
      <x:c r="V119" s="426" t="str">
        <x:v>Unverifiable bibliographic artifact removed during verification.</x:v>
      </x:c>
      <x:c r="W119" s="426" t="str">
        <x:v>No</x:v>
      </x:c>
      <x:c r="X119" s="426" t="str">
        <x:v>Not applicable</x:v>
      </x:c>
      <x:c r="Y119" s="426" t="str">
        <x:v>Not assessed</x:v>
      </x:c>
      <x:c r="Z119" s="426" t="str">
        <x:v>Not applicable — record removed before screening.</x:v>
      </x:c>
      <x:c r="AA119" s="22" t="str">
        <x:v>Not applicable</x:v>
      </x:c>
      <x:c r="AB119" s="22" t="str">
        <x:v>Record was not advanced to full-text assessment.</x:v>
      </x:c>
      <x:c r="AC119" s="22" t="str">
        <x:v>Not assessed</x:v>
      </x:c>
      <x:c r="AD119" s="22" t="str">
        <x:v>Not applicable — no full-text assessment was required.</x:v>
      </x:c>
      <x:c r="AE119" s="22" t="str">
        <x:v>Removed before screening</x:v>
      </x:c>
      <x:c r="AF119" s="22" t="str">
        <x:v>Not applicable — not included</x:v>
      </x:c>
      <x:c r="AG119" s="22" t="str">
        <x:v>Evidence: d814461d-3d30-471f-9b6f-7b12ff727f7c.png; page 8, result 2. Metadata transcribed from captured Google Scholar page; OCR-normalised, verify against publication before citation. Removed during bibliographic verification: the screenshot/OCR-derived title could not be matched to an authoritative scholarly record. Retained only in the audit trail and excluded from all active denominators.</x:v>
      </x:c>
      <x:c r="AH119" s="20" t="str">
        <x:v>Removed during bibliographic verification: the screenshot/OCR-derived title could not be matched to an authoritative scholarly record. Retained only in the audit trail and excluded from all active denominators.</x:v>
      </x:c>
    </x:row>
    <x:row r="120" ht="42" customHeight="1">
      <x:c r="A120" s="426" t="str">
        <x:v>GS-01-073</x:v>
      </x:c>
      <x:c r="B120" s="426" t="str">
        <x:v>Google Scholar</x:v>
      </x:c>
      <x:c r="C120" s="426" t="str">
        <x:v>GS-01</x:v>
      </x:c>
      <x:c r="D120" s="426" t="str">
        <x:v>(Par) Automatic Concept Extraction and Its Use in Explaining Video Classification</x:v>
      </x:c>
      <x:c r="E120" s="426" t="str">
        <x:v>R Parac, A Russo L Dickens R Chatlay</x:v>
      </x:c>
      <x:c r="F120" s="426" t="str">
        <x:v>NR</x:v>
      </x:c>
      <x:c r="G120" s="426" t="str">
        <x:v>2622 - wrperial ac .k</x:v>
      </x:c>
      <x:c r="H120" s="426" t="str">
        <x:v>Google Scholar result</x:v>
      </x:c>
      <x:c r="I120" s="426" t="str">
        <x:v>NR</x:v>
      </x:c>
      <x:c r="J120" s="426" t="str">
        <x:v>NR</x:v>
      </x:c>
      <x:c r="K120" s="426" t="str">
        <x:v>NR — URL not captured in the available source record</x:v>
      </x:c>
      <x:c r="L120" s="426" t="str">
        <x:v>Not available in the captured evidence; the screening decision used the title and available source metadata.</x:v>
      </x:c>
      <x:c r="M120" s="426" t="str">
        <x:v>No duplicate</x:v>
      </x:c>
      <x:c r="N120" s="426" t="str">
        <x:v>Not applicable — no duplicate group</x:v>
      </x:c>
      <x:c r="O120" s="426" t="str">
        <x:v>Not applicable</x:v>
      </x:c>
      <x:c r="P120" s="426" t="str">
        <x:v>Yes</x:v>
      </x:c>
      <x:c r="Q120" s="426" t="str">
        <x:v>Exclude</x:v>
      </x:c>
      <x:c r="R120" s="426" t="str">
        <x:v>Video-classification thesis record; wrong domain and non-original record (E1, E4).</x:v>
      </x:c>
      <x:c r="S120" s="426" t="str">
        <x:v>Verification documented at process level</x:v>
      </x:c>
      <x:c r="T120" s="426" t="str">
        <x:v>Two additional authors performed random spot checks; individual spot-check assignments are not recorded in this register.</x:v>
      </x:c>
      <x:c r="U120" s="426" t="str">
        <x:v>Exclude</x:v>
      </x:c>
      <x:c r="V120" s="426" t="str">
        <x:v>Primary decision by the corresponding author; two additional authors performed random spot checks as a quality-control step.</x:v>
      </x:c>
      <x:c r="W120" s="426" t="str">
        <x:v>No</x:v>
      </x:c>
      <x:c r="X120" s="426" t="str">
        <x:v>Not applicable</x:v>
      </x:c>
      <x:c r="Y120" s="426" t="str">
        <x:v>Not assessed</x:v>
      </x:c>
      <x:c r="Z120" s="426" t="str">
        <x:v>Not advanced to full-text assessment after the title/abstract decision.</x:v>
      </x:c>
      <x:c r="AA120" s="22" t="str">
        <x:v>Not applicable</x:v>
      </x:c>
      <x:c r="AB120" s="22" t="str">
        <x:v>Record was not advanced to full-text assessment.</x:v>
      </x:c>
      <x:c r="AC120" s="22" t="str">
        <x:v>Not assessed</x:v>
      </x:c>
      <x:c r="AD120" s="22" t="str">
        <x:v>Not applicable — no full-text assessment was required.</x:v>
      </x:c>
      <x:c r="AE120" s="22" t="str">
        <x:v>Not included — title/abstract exclusion</x:v>
      </x:c>
      <x:c r="AF120" s="22" t="str">
        <x:v>Not applicable — not included</x:v>
      </x:c>
      <x:c r="AG120" s="22" t="str">
        <x:v>Evidence: d814461d-3d30-471f-9b6f-7b12ff727f7c.png; page 8, result 3. Metadata transcribed from captured Google Scholar page; OCR-normalised, verify against publication before citation.</x:v>
      </x:c>
      <x:c r="AH120" s="20" t="str">
        <x:v>No duplicate identified under the documented matching rules.</x:v>
      </x:c>
    </x:row>
    <x:row r="121" ht="42" customHeight="1">
      <x:c r="A121" s="426" t="str">
        <x:v>GS-01-074</x:v>
      </x:c>
      <x:c r="B121" s="426" t="str">
        <x:v>Google Scholar</x:v>
      </x:c>
      <x:c r="C121" s="426" t="str">
        <x:v>GS-01</x:v>
      </x:c>
      <x:c r="D121" s="426" t="str">
        <x:v>DIRECT dual interpretable racommendation with multi-aspect word attribution</x:v>
      </x:c>
      <x:c r="E121" s="426" t="str">
        <x:v>X Wie Vian Q Tan ¥¥ Yao. N Liu. CM Trarsaciions on Intelligent | 2024~ dl acm og</x:v>
      </x:c>
      <x:c r="F121" s="426" t="n">
        <x:v>2024</x:v>
      </x:c>
      <x:c r="G121" s="426" t="str">
        <x:v>X Wie Vian Q Tan ¥¥ Yao. N Liu. CM Trarsaciions on Intelligent | 2024~ dl acm og</x:v>
      </x:c>
      <x:c r="H121" s="426" t="str">
        <x:v>Google Scholar result</x:v>
      </x:c>
      <x:c r="I121" s="426" t="str">
        <x:v>NR</x:v>
      </x:c>
      <x:c r="J121" s="426" t="str">
        <x:v>NR</x:v>
      </x:c>
      <x:c r="K121" s="426" t="str">
        <x:v>NR — URL not captured in the available source record</x:v>
      </x:c>
      <x:c r="L121" s="426" t="str">
        <x:v>Not available in the captured evidence; the screening decision used the title and available source metadata.</x:v>
      </x:c>
      <x:c r="M121" s="426" t="str">
        <x:v>No duplicate</x:v>
      </x:c>
      <x:c r="N121" s="426" t="str">
        <x:v>Not applicable — no duplicate group</x:v>
      </x:c>
      <x:c r="O121" s="426" t="str">
        <x:v>Not applicable</x:v>
      </x:c>
      <x:c r="P121" s="426" t="str">
        <x:v>Yes</x:v>
      </x:c>
      <x:c r="Q121" s="426" t="str">
        <x:v>Exclude</x:v>
      </x:c>
      <x:c r="R121" s="426" t="str">
        <x:v>Recommender-system study outside the review domain (E1).</x:v>
      </x:c>
      <x:c r="S121" s="426" t="str">
        <x:v>Verification documented at process level</x:v>
      </x:c>
      <x:c r="T121" s="426" t="str">
        <x:v>Two additional authors performed random spot checks; individual spot-check assignments are not recorded in this register.</x:v>
      </x:c>
      <x:c r="U121" s="426" t="str">
        <x:v>Exclude</x:v>
      </x:c>
      <x:c r="V121" s="426" t="str">
        <x:v>Primary decision by the corresponding author; two additional authors performed random spot checks as a quality-control step.</x:v>
      </x:c>
      <x:c r="W121" s="426" t="str">
        <x:v>No</x:v>
      </x:c>
      <x:c r="X121" s="426" t="str">
        <x:v>Not applicable</x:v>
      </x:c>
      <x:c r="Y121" s="426" t="str">
        <x:v>Not assessed</x:v>
      </x:c>
      <x:c r="Z121" s="426" t="str">
        <x:v>Not advanced to full-text assessment after the title/abstract decision.</x:v>
      </x:c>
      <x:c r="AA121" s="22" t="str">
        <x:v>Not applicable</x:v>
      </x:c>
      <x:c r="AB121" s="22" t="str">
        <x:v>Record was not advanced to full-text assessment.</x:v>
      </x:c>
      <x:c r="AC121" s="22" t="str">
        <x:v>Not assessed</x:v>
      </x:c>
      <x:c r="AD121" s="22" t="str">
        <x:v>Not applicable — no full-text assessment was required.</x:v>
      </x:c>
      <x:c r="AE121" s="22" t="str">
        <x:v>Not included — title/abstract exclusion</x:v>
      </x:c>
      <x:c r="AF121" s="22" t="str">
        <x:v>Not applicable — not included</x:v>
      </x:c>
      <x:c r="AG121" s="22" t="str">
        <x:v>Evidence: d814461d-3d30-471f-9b6f-7b12ff727f7c.png; page 8, result 4. Metadata transcribed from captured Google Scholar page; OCR-normalised, verify against publication before citation.</x:v>
      </x:c>
      <x:c r="AH121" s="20" t="str">
        <x:v>No duplicate identified under the documented matching rules.</x:v>
      </x:c>
    </x:row>
    <x:row r="122" ht="42" customHeight="1">
      <x:c r="A122" s="426" t="str">
        <x:v>GS-01-075</x:v>
      </x:c>
      <x:c r="B122" s="426" t="str">
        <x:v>Google Scholar</x:v>
      </x:c>
      <x:c r="C122" s="426" t="str">
        <x:v>GS-01</x:v>
      </x:c>
      <x:c r="D122" s="426" t="str">
        <x:v>Concept logic trees enabling user interaction for transparent image classification and human-in-the-loop learning’ DM Rodriguez et al</x:v>
      </x:c>
      <x:c r="E122" s="426" t="str">
        <x:v>DM Rodriguez, MP Crallar DP Morales</x:v>
      </x:c>
      <x:c r="F122" s="426" t="str">
        <x:v>NR</x:v>
      </x:c>
      <x:c r="G122" s="426" t="str">
        <x:v>Applied Intelligence 2924 - Springer</x:v>
      </x:c>
      <x:c r="H122" s="426" t="str">
        <x:v>Google Scholar result</x:v>
      </x:c>
      <x:c r="I122" s="426" t="str">
        <x:v>NR</x:v>
      </x:c>
      <x:c r="J122" s="426" t="str">
        <x:v>NR</x:v>
      </x:c>
      <x:c r="K122" s="426" t="str">
        <x:v>NR — URL not captured in the available source record</x:v>
      </x:c>
      <x:c r="L122" s="426" t="str">
        <x:v>Not available in the captured evidence; the screening decision used the title and available source metadata.</x:v>
      </x:c>
      <x:c r="M122" s="426" t="str">
        <x:v>No duplicate</x:v>
      </x:c>
      <x:c r="N122" s="426" t="str">
        <x:v>Not applicable — no duplicate group</x:v>
      </x:c>
      <x:c r="O122" s="426" t="str">
        <x:v>Not applicable</x:v>
      </x:c>
      <x:c r="P122" s="426" t="str">
        <x:v>Yes</x:v>
      </x:c>
      <x:c r="Q122" s="426" t="str">
        <x:v>Exclude</x:v>
      </x:c>
      <x:c r="R122" s="426" t="str">
        <x:v>Generic image-classification concept logic trees without medical evaluation (E1).</x:v>
      </x:c>
      <x:c r="S122" s="426" t="str">
        <x:v>Verification documented at process level</x:v>
      </x:c>
      <x:c r="T122" s="426" t="str">
        <x:v>Two additional authors performed random spot checks; individual spot-check assignments are not recorded in this register.</x:v>
      </x:c>
      <x:c r="U122" s="426" t="str">
        <x:v>Exclude</x:v>
      </x:c>
      <x:c r="V122" s="426" t="str">
        <x:v>Primary decision by the corresponding author; two additional authors performed random spot checks as a quality-control step.</x:v>
      </x:c>
      <x:c r="W122" s="426" t="str">
        <x:v>No</x:v>
      </x:c>
      <x:c r="X122" s="426" t="str">
        <x:v>Not applicable</x:v>
      </x:c>
      <x:c r="Y122" s="426" t="str">
        <x:v>Not assessed</x:v>
      </x:c>
      <x:c r="Z122" s="426" t="str">
        <x:v>Not advanced to full-text assessment after the title/abstract decision.</x:v>
      </x:c>
      <x:c r="AA122" s="22" t="str">
        <x:v>Not applicable</x:v>
      </x:c>
      <x:c r="AB122" s="22" t="str">
        <x:v>Record was not advanced to full-text assessment.</x:v>
      </x:c>
      <x:c r="AC122" s="22" t="str">
        <x:v>Not assessed</x:v>
      </x:c>
      <x:c r="AD122" s="22" t="str">
        <x:v>Not applicable — no full-text assessment was required.</x:v>
      </x:c>
      <x:c r="AE122" s="22" t="str">
        <x:v>Not included — title/abstract exclusion</x:v>
      </x:c>
      <x:c r="AF122" s="22" t="str">
        <x:v>Not applicable — not included</x:v>
      </x:c>
      <x:c r="AG122" s="22" t="str">
        <x:v>Evidence: d814461d-3d30-471f-9b6f-7b12ff727f7c.png; page 8, result 5. Metadata transcribed from captured Google Scholar page; OCR-normalised, verify against publication before citation.</x:v>
      </x:c>
      <x:c r="AH122" s="20" t="str">
        <x:v>No duplicate identified under the documented matching rules.</x:v>
      </x:c>
    </x:row>
    <x:row r="123" ht="42" customHeight="1">
      <x:c r="A123" s="426" t="str">
        <x:v>GS-01-076</x:v>
      </x:c>
      <x:c r="B123" s="426" t="str">
        <x:v>Google Scholar</x:v>
      </x:c>
      <x:c r="C123" s="426" t="str">
        <x:v>GS-01</x:v>
      </x:c>
      <x:c r="D123" s="426" t="str">
        <x:v>Naming the Concepts Classifiers Rely On Lanquage-Anchared Decomposition for Faithful Explanation</x:v>
      </x:c>
      <x:c r="E123" s="426" t="str">
        <x:v>AH Akash. 2 Bhusal. S Jones, DAAdjeroh =</x:v>
      </x:c>
      <x:c r="F123" s="426" t="n">
        <x:v>2026</x:v>
      </x:c>
      <x:c r="G123" s="426" t="str">
        <x:v>arX:v preprint arXiv =, 2026 - anev org</x:v>
      </x:c>
      <x:c r="H123" s="426" t="str">
        <x:v>Google Scholar result</x:v>
      </x:c>
      <x:c r="I123" s="426" t="str">
        <x:v>NR</x:v>
      </x:c>
      <x:c r="J123" s="426" t="str">
        <x:v>2607.07264</x:v>
      </x:c>
      <x:c r="K123" s="426" t="str">
        <x:v>https://arxiv.org/pdf/2607.07264</x:v>
      </x:c>
      <x:c r="L123" s="426" t="str">
        <x:v>Deep neural networks are widely deployed in high-stakes visual applications where interpretability is critical, yet existing explanations face a trade-off: post-hoc concept methods recover factors that are faithful to a model's behavior but unnamed, while naming and by-design methods attach human-readable concepts only by retraining or altering the classifier. We propose Language-Anchored Decomposition (LAD), a post-hoc framework that delivers concepts which are simultaneously named, faithful, and obtained without modifying the model. For each class, a large language model proposes a concept vocabulary that CLIP-based similarity maps localize across image regions. Inverting standard non-negative matrix factorization, LAD fixes these language-grounded maps as the coefficient matrix and learns only a concept basis that reconstructs the frozen encoder's activations, so naming becomes a structural constraint and the model's own feature geometry determines which concepts are retained. Removing this anchor preserves accuracy but collapses attribution faithfulness. Across natural-image, scene, and medical-imaging benchmarks, LAD produces spatially precise explanations that are decision-relevant under both concept insertion and deletion, while uniquely providing stable, human-interpretable concept names.</x:v>
      </x:c>
      <x:c r="M123" s="426" t="str">
        <x:v>No duplicate</x:v>
      </x:c>
      <x:c r="N123" s="426" t="str">
        <x:v>Not applicable — no duplicate group</x:v>
      </x:c>
      <x:c r="O123" s="426" t="str">
        <x:v>Not applicable</x:v>
      </x:c>
      <x:c r="P123" s="426" t="str">
        <x:v>Yes</x:v>
      </x:c>
      <x:c r="Q123" s="426" t="str">
        <x:v>Include</x:v>
      </x:c>
      <x:c r="R123" s="426" t="str">
        <x:v>Concept decomposition empirically evaluated on medical-imaging benchmarks; contextual evidence (I5).</x:v>
      </x:c>
      <x:c r="S123" s="426" t="str">
        <x:v>Verification documented at process level</x:v>
      </x:c>
      <x:c r="T123" s="426" t="str">
        <x:v>Two additional authors performed random spot checks; individual spot-check assignments are not recorded in this register.</x:v>
      </x:c>
      <x:c r="U123" s="426" t="str">
        <x:v>Include</x:v>
      </x:c>
      <x:c r="V123" s="426" t="str">
        <x:v>Primary decision by the corresponding author; two additional authors performed random spot checks as a quality-control step.</x:v>
      </x:c>
      <x:c r="W123" s="426" t="str">
        <x:v>Yes</x:v>
      </x:c>
      <x:c r="X123" s="426" t="str">
        <x:v>Yes</x:v>
      </x:c>
      <x:c r="Y123" s="426" t="str">
        <x:v>Include</x:v>
      </x:c>
      <x:c r="Z123" s="426" t="str">
        <x:v>The corresponding author assessed the complete report and judged it eligible for inclusion in the review.</x:v>
      </x:c>
      <x:c r="AA123" s="22" t="str">
        <x:v>Verification documented at process level</x:v>
      </x:c>
      <x:c r="AB123" s="22" t="str">
        <x:v>Two additional authors performed random spot checks; individual spot-check assignments are not recorded in this register.</x:v>
      </x:c>
      <x:c r="AC123" s="22" t="str">
        <x:v>Include</x:v>
      </x:c>
      <x:c r="AD123" s="22" t="str">
        <x:v>Primary decision by the corresponding author; two additional authors performed random spot checks as a quality-control step.</x:v>
      </x:c>
      <x:c r="AE123" s="22" t="str">
        <x:v>Include</x:v>
      </x:c>
      <x:c r="AF123" s="22" t="str">
        <x:v>Contextual medical concept-XAI evidence</x:v>
      </x:c>
      <x:c r="AG123" s="22" t="str">
        <x:v>Evidence: d814461d-3d30-471f-9b6f-7b12ff727f7c.png; page 8, result 6. Metadata transcribed from captured Google Scholar page; OCR-normalised, verify against publication before citation.</x:v>
      </x:c>
      <x:c r="AH123" s="20" t="str">
        <x:v>No duplicate identified under the documented matching rules.</x:v>
      </x:c>
    </x:row>
    <x:row r="124" ht="42" customHeight="1">
      <x:c r="A124" s="426" t="str">
        <x:v>GS-01-077</x:v>
      </x:c>
      <x:c r="B124" s="426" t="str">
        <x:v>Google Scholar</x:v>
      </x:c>
      <x:c r="C124" s="426" t="str">
        <x:v>GS-01</x:v>
      </x:c>
      <x:c r="D124" s="426" t="str">
        <x:v>Self-explainable ai for medical image analysis: A survey and new outlooks</x:v>
      </x:c>
      <x:c r="E124" s="426" t="str">
        <x:v>dHoy Sliv. ¥ Bie H wang ATgn Lluo = -aXiv prepcnt arXiv =. 2024</x:v>
      </x:c>
      <x:c r="F124" s="426" t="n">
        <x:v>2024</x:v>
      </x:c>
      <x:c r="G124" s="426" t="str">
        <x:v>arxiv org</x:v>
      </x:c>
      <x:c r="H124" s="426" t="str">
        <x:v>Google Scholar result</x:v>
      </x:c>
      <x:c r="I124" s="426" t="str">
        <x:v>NR</x:v>
      </x:c>
      <x:c r="J124" s="426" t="str">
        <x:v>NR</x:v>
      </x:c>
      <x:c r="K124" s="426" t="str">
        <x:v>NR — URL not captured in the available source record</x:v>
      </x:c>
      <x:c r="L124" s="426" t="str">
        <x:v>Not available in the captured evidence; the screening decision used the title and available source metadata.</x:v>
      </x:c>
      <x:c r="M124" s="426" t="str">
        <x:v>No duplicate</x:v>
      </x:c>
      <x:c r="N124" s="426" t="str">
        <x:v>DG-017</x:v>
      </x:c>
      <x:c r="O124" s="426" t="str">
        <x:v>Not applicable</x:v>
      </x:c>
      <x:c r="P124" s="426" t="str">
        <x:v>Yes</x:v>
      </x:c>
      <x:c r="Q124" s="426" t="str">
        <x:v>Exclude</x:v>
      </x:c>
      <x:c r="R124" s="426" t="str">
        <x:v>Survey rather than original empirical evidence (E4).</x:v>
      </x:c>
      <x:c r="S124" s="426" t="str">
        <x:v>Verification documented at process level</x:v>
      </x:c>
      <x:c r="T124" s="426" t="str">
        <x:v>Two additional authors performed random spot checks; individual spot-check assignments are not recorded in this register.</x:v>
      </x:c>
      <x:c r="U124" s="426" t="str">
        <x:v>Exclude</x:v>
      </x:c>
      <x:c r="V124" s="426" t="str">
        <x:v>Primary decision by the corresponding author; two additional authors performed random spot checks as a quality-control step.</x:v>
      </x:c>
      <x:c r="W124" s="426" t="str">
        <x:v>No</x:v>
      </x:c>
      <x:c r="X124" s="426" t="str">
        <x:v>Not applicable</x:v>
      </x:c>
      <x:c r="Y124" s="426" t="str">
        <x:v>Not assessed</x:v>
      </x:c>
      <x:c r="Z124" s="426" t="str">
        <x:v>Not advanced to full-text assessment after the title/abstract decision.</x:v>
      </x:c>
      <x:c r="AA124" s="22" t="str">
        <x:v>Not applicable</x:v>
      </x:c>
      <x:c r="AB124" s="22" t="str">
        <x:v>Record was not advanced to full-text assessment.</x:v>
      </x:c>
      <x:c r="AC124" s="22" t="str">
        <x:v>Not assessed</x:v>
      </x:c>
      <x:c r="AD124" s="22" t="str">
        <x:v>Not applicable — no full-text assessment was required.</x:v>
      </x:c>
      <x:c r="AE124" s="22" t="str">
        <x:v>Not included — title/abstract exclusion</x:v>
      </x:c>
      <x:c r="AF124" s="22" t="str">
        <x:v>Not applicable — not included</x:v>
      </x:c>
      <x:c r="AG124" s="22" t="str">
        <x:v>Evidence: d814461d-3d30-471f-9b6f-7b12ff727f7c.png; page 8, result 7. Metadata transcribed from captured Google Scholar page; OCR-normalised, verify against publication before citation.</x:v>
      </x:c>
      <x:c r="AH124" s="20" t="str">
        <x:v>Confirmed using normalized title across captured searches.</x:v>
      </x:c>
    </x:row>
    <x:row r="125" ht="42" customHeight="1">
      <x:c r="A125" s="426" t="str">
        <x:v>GS-01-078</x:v>
      </x:c>
      <x:c r="B125" s="426" t="str">
        <x:v>Google Scholar</x:v>
      </x:c>
      <x:c r="C125" s="426" t="str">
        <x:v>GS-01</x:v>
      </x:c>
      <x:c r="D125" s="426" t="str">
        <x:v>A Tool Bottleneck Framework for Clinically-Informed and Interpretable Medical (mage Understanding</x:v>
      </x:c>
      <x:c r="E125" s="426" t="str">
        <x:v>Clip 4G Wang. JHsy. J Ws EAdelj</x:v>
      </x:c>
      <x:c r="F125" s="426" t="n">
        <x:v>2025</x:v>
      </x:c>
      <x:c r="G125" s="426" t="str">
        <x:v>arXiv prepont arxiv 25°2 214°4 2025 - anav org</x:v>
      </x:c>
      <x:c r="H125" s="426" t="str">
        <x:v>Google Scholar result</x:v>
      </x:c>
      <x:c r="I125" s="426" t="str">
        <x:v>NR</x:v>
      </x:c>
      <x:c r="J125" s="426" t="str">
        <x:v>2512.21414</x:v>
      </x:c>
      <x:c r="K125" s="426" t="str">
        <x:v>https://arxiv.org/pdf/2512.21414</x:v>
      </x:c>
      <x:c r="L125" s="426" t="str">
        <x:v>Recent tool-use frameworks powered by vision-language models (VLMs) improve image understanding by grounding model predictions with specialized tools. Broadly, these frameworks leverage VLMs and a pre-specified toolbox to decompose the prediction task into multiple tool calls (often deep learning models) which are composed to make a prediction. The dominant approach to composing tools is using text, via function calls embedded in VLM-generated code or natural language. However, these methods often perform poorly on medical image understanding, where salient information is encoded as spatially-localized features that are difficult to compose or fuse via text alone. To address this, we propose a tool-use framework for medical image understanding called the Tool Bottleneck Framework (TBF), which composes VLM-selected tools using a learned Tool Bottleneck Model (TBM). For a given image and task, TBF leverages an off-the-shelf medical VLM to select tools from a toolbox that each extract clinically-relevant features. Instead of text-based composition, these tools are composed by the TBM, which computes and fuses the tool outputs using a neural network before outputting the final prediction. We propose a simple and effective strategy for TBMs to make predictions with any arbitrary VLM tool selection. Overall, our framework not only improves tool-use in medical imaging contexts, but also yields more interpretable, clinically-grounded predictors. We evaluate TBF on tasks in histopathology and dermatology and find that these advantages enable our framework to perform on par with or better than deep learning-based classifiers, VLMs, and state-of-the-art tool-use frameworks, with particular gains in data-limited regimes. The project details and the code are available at https://christinaliu2020.github.io/tbm/.</x:v>
      </x:c>
      <x:c r="M125" s="426" t="str">
        <x:v>No duplicate</x:v>
      </x:c>
      <x:c r="N125" s="426" t="str">
        <x:v>Not applicable — no duplicate group</x:v>
      </x:c>
      <x:c r="O125" s="426" t="str">
        <x:v>Not applicable</x:v>
      </x:c>
      <x:c r="P125" s="426" t="str">
        <x:v>Yes</x:v>
      </x:c>
      <x:c r="Q125" s="426" t="str">
        <x:v>Include</x:v>
      </x:c>
      <x:c r="R125" s="426" t="str">
        <x:v>Clinically grounded structured tool-bottleneck framework for medical imaging; contextual evidence (I5).</x:v>
      </x:c>
      <x:c r="S125" s="426" t="str">
        <x:v>Verification documented at process level</x:v>
      </x:c>
      <x:c r="T125" s="426" t="str">
        <x:v>Two additional authors performed random spot checks; individual spot-check assignments are not recorded in this register.</x:v>
      </x:c>
      <x:c r="U125" s="426" t="str">
        <x:v>Include</x:v>
      </x:c>
      <x:c r="V125" s="426" t="str">
        <x:v>Primary decision by the corresponding author; two additional authors performed random spot checks as a quality-control step.</x:v>
      </x:c>
      <x:c r="W125" s="426" t="str">
        <x:v>Yes</x:v>
      </x:c>
      <x:c r="X125" s="426" t="str">
        <x:v>Yes</x:v>
      </x:c>
      <x:c r="Y125" s="426" t="str">
        <x:v>Include</x:v>
      </x:c>
      <x:c r="Z125" s="426" t="str">
        <x:v>The corresponding author assessed the complete report and judged it eligible for inclusion in the review.</x:v>
      </x:c>
      <x:c r="AA125" s="22" t="str">
        <x:v>Verification documented at process level</x:v>
      </x:c>
      <x:c r="AB125" s="22" t="str">
        <x:v>Two additional authors performed random spot checks; individual spot-check assignments are not recorded in this register.</x:v>
      </x:c>
      <x:c r="AC125" s="22" t="str">
        <x:v>Include</x:v>
      </x:c>
      <x:c r="AD125" s="22" t="str">
        <x:v>Primary decision by the corresponding author; two additional authors performed random spot checks as a quality-control step.</x:v>
      </x:c>
      <x:c r="AE125" s="22" t="str">
        <x:v>Include</x:v>
      </x:c>
      <x:c r="AF125" s="22" t="str">
        <x:v>Contextual medical concept-XAI evidence</x:v>
      </x:c>
      <x:c r="AG125" s="22" t="str">
        <x:v>Evidence: d814461d-3d30-471f-9b6f-7b12ff727f7c.png; page 8, result 8. Metadata transcribed from captured Google Scholar page; OCR-normalised, verify against publication before citation.</x:v>
      </x:c>
      <x:c r="AH125" s="20" t="str">
        <x:v>No duplicate identified under the documented matching rules.</x:v>
      </x:c>
    </x:row>
    <x:row r="126" ht="42" customHeight="1">
      <x:c r="A126" s="426" t="str">
        <x:v>GS-01-079</x:v>
      </x:c>
      <x:c r="B126" s="426" t="str">
        <x:v>Google Scholar</x:v>
      </x:c>
      <x:c r="C126" s="426" t="str">
        <x:v>GS-01</x:v>
      </x:c>
      <x:c r="D126" s="426" t="str">
        <x:v>Financial Time Senes Analysis Based on Deep Learning</x:v>
      </x:c>
      <x:c r="E126" s="426" t="str">
        <x:v>C YIN</x:v>
      </x:c>
      <x:c r="F126" s="426" t="str">
        <x:v>NR</x:v>
      </x:c>
      <x:c r="G126" s="426" t="str">
        <x:v>uni-sofia bg</x:v>
      </x:c>
      <x:c r="H126" s="426" t="str">
        <x:v>Google Scholar result</x:v>
      </x:c>
      <x:c r="I126" s="426" t="str">
        <x:v>NR</x:v>
      </x:c>
      <x:c r="J126" s="426" t="str">
        <x:v>NR</x:v>
      </x:c>
      <x:c r="K126" s="426" t="str">
        <x:v>NR — URL not captured in the available source record</x:v>
      </x:c>
      <x:c r="L126" s="426" t="str">
        <x:v>Not available in the captured evidence; the screening decision used the title and available source metadata.</x:v>
      </x:c>
      <x:c r="M126" s="426" t="str">
        <x:v>No duplicate</x:v>
      </x:c>
      <x:c r="N126" s="426" t="str">
        <x:v>Not applicable — no duplicate group</x:v>
      </x:c>
      <x:c r="O126" s="426" t="str">
        <x:v>Not applicable</x:v>
      </x:c>
      <x:c r="P126" s="426" t="str">
        <x:v>Yes</x:v>
      </x:c>
      <x:c r="Q126" s="426" t="str">
        <x:v>Exclude</x:v>
      </x:c>
      <x:c r="R126" s="426" t="str">
        <x:v>Financial time-series analysis outside the review domain (E1).</x:v>
      </x:c>
      <x:c r="S126" s="426" t="str">
        <x:v>Verification documented at process level</x:v>
      </x:c>
      <x:c r="T126" s="426" t="str">
        <x:v>Two additional authors performed random spot checks; individual spot-check assignments are not recorded in this register.</x:v>
      </x:c>
      <x:c r="U126" s="426" t="str">
        <x:v>Exclude</x:v>
      </x:c>
      <x:c r="V126" s="426" t="str">
        <x:v>Primary decision by the corresponding author; two additional authors performed random spot checks as a quality-control step.</x:v>
      </x:c>
      <x:c r="W126" s="426" t="str">
        <x:v>No</x:v>
      </x:c>
      <x:c r="X126" s="426" t="str">
        <x:v>Not applicable</x:v>
      </x:c>
      <x:c r="Y126" s="426" t="str">
        <x:v>Not assessed</x:v>
      </x:c>
      <x:c r="Z126" s="426" t="str">
        <x:v>Not advanced to full-text assessment after the title/abstract decision.</x:v>
      </x:c>
      <x:c r="AA126" s="22" t="str">
        <x:v>Not applicable</x:v>
      </x:c>
      <x:c r="AB126" s="22" t="str">
        <x:v>Record was not advanced to full-text assessment.</x:v>
      </x:c>
      <x:c r="AC126" s="22" t="str">
        <x:v>Not assessed</x:v>
      </x:c>
      <x:c r="AD126" s="22" t="str">
        <x:v>Not applicable — no full-text assessment was required.</x:v>
      </x:c>
      <x:c r="AE126" s="22" t="str">
        <x:v>Not included — title/abstract exclusion</x:v>
      </x:c>
      <x:c r="AF126" s="22" t="str">
        <x:v>Not applicable — not included</x:v>
      </x:c>
      <x:c r="AG126" s="22" t="str">
        <x:v>Evidence: d814461d-3d30-471f-9b6f-7b12ff727f7c.png; page 8, result 9. Metadata transcribed from captured Google Scholar page; OCR-normalised, verify against publication before citation.</x:v>
      </x:c>
      <x:c r="AH126" s="20" t="str">
        <x:v>No duplicate identified under the documented matching rules.</x:v>
      </x:c>
    </x:row>
    <x:row r="127" ht="42" customHeight="1">
      <x:c r="A127" s="426" t="str">
        <x:v>GS-01-080</x:v>
      </x:c>
      <x:c r="B127" s="426" t="str">
        <x:v>Google Scholar</x:v>
      </x:c>
      <x:c r="C127" s="426" t="str">
        <x:v>GS-01</x:v>
      </x:c>
      <x:c r="D127" s="426" t="str">
        <x:v>Causal Neural Probabilistic Circuits</x:v>
      </x:c>
      <x:c r="E127" s="426" t="str">
        <x:v>YiChen Zhao</x:v>
      </x:c>
      <x:c r="F127" s="426" t="n">
        <x:v>2026</x:v>
      </x:c>
      <x:c r="G127" s="426" t="str">
        <x:v>arXiv preaeni a’Xiv'2603 01372, 2026 - arxivarg</x:v>
      </x:c>
      <x:c r="H127" s="426" t="str">
        <x:v>Google Scholar result</x:v>
      </x:c>
      <x:c r="I127" s="426" t="str">
        <x:v>NR</x:v>
      </x:c>
      <x:c r="J127" s="426" t="str">
        <x:v>NR</x:v>
      </x:c>
      <x:c r="K127" s="426" t="str">
        <x:v>NR — URL not captured in the available source record</x:v>
      </x:c>
      <x:c r="L127" s="426" t="str">
        <x:v>Not available in the captured evidence; the screening decision used the title and available source metadata.</x:v>
      </x:c>
      <x:c r="M127" s="426" t="str">
        <x:v>No duplicate</x:v>
      </x:c>
      <x:c r="N127" s="426" t="str">
        <x:v>Not applicable — no duplicate group</x:v>
      </x:c>
      <x:c r="O127" s="426" t="str">
        <x:v>Not applicable</x:v>
      </x:c>
      <x:c r="P127" s="426" t="str">
        <x:v>Yes</x:v>
      </x:c>
      <x:c r="Q127" s="426" t="str">
        <x:v>Exclude</x:v>
      </x:c>
      <x:c r="R127" s="426" t="str">
        <x:v>Generic causal concept-bottleneck research without medical evaluation (E1).</x:v>
      </x:c>
      <x:c r="S127" s="426" t="str">
        <x:v>Verification documented at process level</x:v>
      </x:c>
      <x:c r="T127" s="426" t="str">
        <x:v>Two additional authors performed random spot checks; individual spot-check assignments are not recorded in this register.</x:v>
      </x:c>
      <x:c r="U127" s="426" t="str">
        <x:v>Exclude</x:v>
      </x:c>
      <x:c r="V127" s="426" t="str">
        <x:v>Primary decision by the corresponding author; two additional authors performed random spot checks as a quality-control step.</x:v>
      </x:c>
      <x:c r="W127" s="426" t="str">
        <x:v>No</x:v>
      </x:c>
      <x:c r="X127" s="426" t="str">
        <x:v>Not applicable</x:v>
      </x:c>
      <x:c r="Y127" s="426" t="str">
        <x:v>Not assessed</x:v>
      </x:c>
      <x:c r="Z127" s="426" t="str">
        <x:v>Not advanced to full-text assessment after the title/abstract decision.</x:v>
      </x:c>
      <x:c r="AA127" s="22" t="str">
        <x:v>Not applicable</x:v>
      </x:c>
      <x:c r="AB127" s="22" t="str">
        <x:v>Record was not advanced to full-text assessment.</x:v>
      </x:c>
      <x:c r="AC127" s="22" t="str">
        <x:v>Not assessed</x:v>
      </x:c>
      <x:c r="AD127" s="22" t="str">
        <x:v>Not applicable — no full-text assessment was required.</x:v>
      </x:c>
      <x:c r="AE127" s="22" t="str">
        <x:v>Not included — title/abstract exclusion</x:v>
      </x:c>
      <x:c r="AF127" s="22" t="str">
        <x:v>Not applicable — not included</x:v>
      </x:c>
      <x:c r="AG127" s="22" t="str">
        <x:v>Evidence: d814461d-3d30-471f-9b6f-7b12ff727f7c.png; page 8, result 10. Metadata transcribed from captured Google Scholar page; OCR-normalised, verify against publication before citation.</x:v>
      </x:c>
      <x:c r="AH127" s="20" t="str">
        <x:v>No duplicate identified under the documented matching rules.</x:v>
      </x:c>
    </x:row>
    <x:row r="128" ht="42" customHeight="1">
      <x:c r="A128" s="426" t="str">
        <x:v>GS-01-081</x:v>
      </x:c>
      <x:c r="B128" s="426" t="str">
        <x:v>Google Scholar</x:v>
      </x:c>
      <x:c r="C128" s="426" t="str">
        <x:v>GS-01</x:v>
      </x:c>
      <x:c r="D128" s="426" t="str">
        <x:v>A panoplic segmentation approach for tumor-infiltrating lymphocyte assessment development of the KluTILs model and PanopTILs dataset</x:v>
      </x:c>
      <x:c r="E128" s="426" t="str">
        <x:v>S$ iu MAmgad MARathore R Salgado LAD Cocper</x:v>
      </x:c>
      <x:c r="F128" s="426" t="n">
        <x:v>2022</x:v>
      </x:c>
      <x:c r="G128" s="426" t="str">
        <x:v>MedRxiv 2022 - madrxiv org</x:v>
      </x:c>
      <x:c r="H128" s="426" t="str">
        <x:v>Google Scholar result</x:v>
      </x:c>
      <x:c r="I128" s="426" t="str">
        <x:v>NR</x:v>
      </x:c>
      <x:c r="J128" s="426" t="str">
        <x:v>NR</x:v>
      </x:c>
      <x:c r="K128" s="426" t="str">
        <x:v>NR — URL not captured in the available source record</x:v>
      </x:c>
      <x:c r="L128" s="426" t="str">
        <x:v>Not available in the captured evidence; the screening decision used the title and available source metadata.</x:v>
      </x:c>
      <x:c r="M128" s="426" t="str">
        <x:v>No duplicate</x:v>
      </x:c>
      <x:c r="N128" s="426" t="str">
        <x:v>Not applicable — no duplicate group</x:v>
      </x:c>
      <x:c r="O128" s="426" t="str">
        <x:v>Not applicable</x:v>
      </x:c>
      <x:c r="P128" s="426" t="str">
        <x:v>Yes</x:v>
      </x:c>
      <x:c r="Q128" s="426" t="str">
        <x:v>Exclude</x:v>
      </x:c>
      <x:c r="R128" s="426" t="str">
        <x:v>Tumour segmentation study without concept-based explanation (E2).</x:v>
      </x:c>
      <x:c r="S128" s="426" t="str">
        <x:v>Verification documented at process level</x:v>
      </x:c>
      <x:c r="T128" s="426" t="str">
        <x:v>Two additional authors performed random spot checks; individual spot-check assignments are not recorded in this register.</x:v>
      </x:c>
      <x:c r="U128" s="426" t="str">
        <x:v>Exclude</x:v>
      </x:c>
      <x:c r="V128" s="426" t="str">
        <x:v>Primary decision by the corresponding author; two additional authors performed random spot checks as a quality-control step.</x:v>
      </x:c>
      <x:c r="W128" s="426" t="str">
        <x:v>No</x:v>
      </x:c>
      <x:c r="X128" s="426" t="str">
        <x:v>Not applicable</x:v>
      </x:c>
      <x:c r="Y128" s="426" t="str">
        <x:v>Not assessed</x:v>
      </x:c>
      <x:c r="Z128" s="426" t="str">
        <x:v>Not advanced to full-text assessment after the title/abstract decision.</x:v>
      </x:c>
      <x:c r="AA128" s="22" t="str">
        <x:v>Not applicable</x:v>
      </x:c>
      <x:c r="AB128" s="22" t="str">
        <x:v>Record was not advanced to full-text assessment.</x:v>
      </x:c>
      <x:c r="AC128" s="22" t="str">
        <x:v>Not assessed</x:v>
      </x:c>
      <x:c r="AD128" s="22" t="str">
        <x:v>Not applicable — no full-text assessment was required.</x:v>
      </x:c>
      <x:c r="AE128" s="22" t="str">
        <x:v>Not included — title/abstract exclusion</x:v>
      </x:c>
      <x:c r="AF128" s="22" t="str">
        <x:v>Not applicable — not included</x:v>
      </x:c>
      <x:c r="AG128" s="22" t="str">
        <x:v>Evidence: 45c0a4d1-639d-4554-ac45-38085c10050f.png; page 9, result 1. Metadata transcribed from captured Google Scholar page; OCR-normalised, verify against publication before citation.</x:v>
      </x:c>
      <x:c r="AH128" s="20" t="str">
        <x:v>No duplicate identified under the documented matching rules.</x:v>
      </x:c>
    </x:row>
    <x:row r="129" ht="42" customHeight="1">
      <x:c r="A129" s="426" t="str">
        <x:v>GS-01-082</x:v>
      </x:c>
      <x:c r="B129" s="426" t="str">
        <x:v>Google Scholar</x:v>
      </x:c>
      <x:c r="C129" s="426" t="str">
        <x:v>GS-01</x:v>
      </x:c>
      <x:c r="D129" s="426" t="str">
        <x:v>TCNL: Transparent and controllable network learning via embedding human guided concepts</x:v>
      </x:c>
      <x:c r="E129" s="426" t="str">
        <x:v>2Warg. 2 Zhi + Procaadings of the 2723 Sin Inlematianal Conference = 2023</x:v>
      </x:c>
      <x:c r="F129" s="426" t="n">
        <x:v>2023</x:v>
      </x:c>
      <x:c r="G129" s="426" t="str">
        <x:v>cl acm org</x:v>
      </x:c>
      <x:c r="H129" s="426" t="str">
        <x:v>Google Scholar result</x:v>
      </x:c>
      <x:c r="I129" s="426" t="str">
        <x:v>NR</x:v>
      </x:c>
      <x:c r="J129" s="426" t="str">
        <x:v>NR</x:v>
      </x:c>
      <x:c r="K129" s="426" t="str">
        <x:v>NR — URL not captured in the available source record</x:v>
      </x:c>
      <x:c r="L129" s="426" t="str">
        <x:v>Not available in the captured evidence; the screening decision used the title and available source metadata.</x:v>
      </x:c>
      <x:c r="M129" s="426" t="str">
        <x:v>No duplicate</x:v>
      </x:c>
      <x:c r="N129" s="426" t="str">
        <x:v>Not applicable — no duplicate group</x:v>
      </x:c>
      <x:c r="O129" s="426" t="str">
        <x:v>Not applicable</x:v>
      </x:c>
      <x:c r="P129" s="426" t="str">
        <x:v>Yes</x:v>
      </x:c>
      <x:c r="Q129" s="426" t="str">
        <x:v>Exclude</x:v>
      </x:c>
      <x:c r="R129" s="426" t="str">
        <x:v>Generic human-guided concept method without medical evaluation (E1).</x:v>
      </x:c>
      <x:c r="S129" s="426" t="str">
        <x:v>Verification documented at process level</x:v>
      </x:c>
      <x:c r="T129" s="426" t="str">
        <x:v>Two additional authors performed random spot checks; individual spot-check assignments are not recorded in this register.</x:v>
      </x:c>
      <x:c r="U129" s="426" t="str">
        <x:v>Exclude</x:v>
      </x:c>
      <x:c r="V129" s="426" t="str">
        <x:v>Primary decision by the corresponding author; two additional authors performed random spot checks as a quality-control step.</x:v>
      </x:c>
      <x:c r="W129" s="426" t="str">
        <x:v>No</x:v>
      </x:c>
      <x:c r="X129" s="426" t="str">
        <x:v>Not applicable</x:v>
      </x:c>
      <x:c r="Y129" s="426" t="str">
        <x:v>Not assessed</x:v>
      </x:c>
      <x:c r="Z129" s="426" t="str">
        <x:v>Not advanced to full-text assessment after the title/abstract decision.</x:v>
      </x:c>
      <x:c r="AA129" s="22" t="str">
        <x:v>Not applicable</x:v>
      </x:c>
      <x:c r="AB129" s="22" t="str">
        <x:v>Record was not advanced to full-text assessment.</x:v>
      </x:c>
      <x:c r="AC129" s="22" t="str">
        <x:v>Not assessed</x:v>
      </x:c>
      <x:c r="AD129" s="22" t="str">
        <x:v>Not applicable — no full-text assessment was required.</x:v>
      </x:c>
      <x:c r="AE129" s="22" t="str">
        <x:v>Not included — title/abstract exclusion</x:v>
      </x:c>
      <x:c r="AF129" s="22" t="str">
        <x:v>Not applicable — not included</x:v>
      </x:c>
      <x:c r="AG129" s="22" t="str">
        <x:v>Evidence: 45c0a4d1-639d-4554-ac45-38085c10050f.png; page 9, result 2. Metadata transcribed from captured Google Scholar page; OCR-normalised, verify against publication before citation.</x:v>
      </x:c>
      <x:c r="AH129" s="20" t="str">
        <x:v>No duplicate identified under the documented matching rules.</x:v>
      </x:c>
    </x:row>
    <x:row r="130" ht="42" customHeight="1">
      <x:c r="A130" s="426" t="str">
        <x:v>GS-01-083</x:v>
      </x:c>
      <x:c r="B130" s="426" t="str">
        <x:v>Google Scholar</x:v>
      </x:c>
      <x:c r="C130" s="426" t="str">
        <x:v>GS-01</x:v>
      </x:c>
      <x:c r="D130" s="426" t="str">
        <x:v>CELF A Self-Superised Multimodal Framework for Concspt-Based (nterpretability</x:v>
      </x:c>
      <x:c r="E130" s="426" t="str">
        <x:v>M Siva H Ganboa AY Car-airo + opanreview nat</x:v>
      </x:c>
      <x:c r="F130" s="426" t="str">
        <x:v>NR</x:v>
      </x:c>
      <x:c r="G130" s="426" t="str">
        <x:v>M Siva H Ganboa AY Car-airo + opanreview nat</x:v>
      </x:c>
      <x:c r="H130" s="426" t="str">
        <x:v>Google Scholar result</x:v>
      </x:c>
      <x:c r="I130" s="426" t="str">
        <x:v>NR</x:v>
      </x:c>
      <x:c r="J130" s="426" t="str">
        <x:v>NR</x:v>
      </x:c>
      <x:c r="K130" s="426" t="str">
        <x:v>NR — URL not captured in the available source record</x:v>
      </x:c>
      <x:c r="L130" s="426" t="str">
        <x:v>Not available in the captured evidence; the screening decision used the title and available source metadata.</x:v>
      </x:c>
      <x:c r="M130" s="426" t="str">
        <x:v>No duplicate</x:v>
      </x:c>
      <x:c r="N130" s="426" t="str">
        <x:v>Not applicable — no duplicate group</x:v>
      </x:c>
      <x:c r="O130" s="426" t="str">
        <x:v>Not applicable</x:v>
      </x:c>
      <x:c r="P130" s="426" t="str">
        <x:v>Yes</x:v>
      </x:c>
      <x:c r="Q130" s="426" t="str">
        <x:v>Exclude</x:v>
      </x:c>
      <x:c r="R130" s="426" t="str">
        <x:v>Human decision: available title-level evidence does not establish relevant retinal or medical evaluation (E1).</x:v>
      </x:c>
      <x:c r="S130" s="426" t="str">
        <x:v>Verification documented at process level</x:v>
      </x:c>
      <x:c r="T130" s="426" t="str">
        <x:v>Two additional authors performed random spot checks; individual spot-check assignments are not recorded in this register.</x:v>
      </x:c>
      <x:c r="U130" s="426" t="str">
        <x:v>Exclude</x:v>
      </x:c>
      <x:c r="V130" s="426" t="str">
        <x:v>Primary decision by the corresponding author; two additional authors performed random spot checks as a quality-control step.</x:v>
      </x:c>
      <x:c r="W130" s="426" t="str">
        <x:v>No</x:v>
      </x:c>
      <x:c r="X130" s="426" t="str">
        <x:v>Not applicable</x:v>
      </x:c>
      <x:c r="Y130" s="426" t="str">
        <x:v>Not assessed</x:v>
      </x:c>
      <x:c r="Z130" s="426" t="str">
        <x:v>Not advanced to full-text assessment after the title/abstract decision.</x:v>
      </x:c>
      <x:c r="AA130" s="22" t="str">
        <x:v>Not applicable</x:v>
      </x:c>
      <x:c r="AB130" s="22" t="str">
        <x:v>Record was not advanced to full-text assessment.</x:v>
      </x:c>
      <x:c r="AC130" s="22" t="str">
        <x:v>Not assessed</x:v>
      </x:c>
      <x:c r="AD130" s="22" t="str">
        <x:v>Not applicable — no full-text assessment was required.</x:v>
      </x:c>
      <x:c r="AE130" s="22" t="str">
        <x:v>Not included — title/abstract exclusion</x:v>
      </x:c>
      <x:c r="AF130" s="22" t="str">
        <x:v>Not applicable — not included</x:v>
      </x:c>
      <x:c r="AG130" s="22" t="str">
        <x:v>Evidence: 45c0a4d1-639d-4554-ac45-38085c10050f.png; page 9, result 3. Metadata transcribed from captured Google Scholar page; OCR-normalised, verify against publication before citation.</x:v>
      </x:c>
      <x:c r="AH130" s="20" t="str">
        <x:v>No duplicate identified under the documented matching rules.</x:v>
      </x:c>
    </x:row>
    <x:row r="131" ht="42" customHeight="1">
      <x:c r="A131" s="426" t="str">
        <x:v>GS-01-084</x:v>
      </x:c>
      <x:c r="B131" s="426" t="str">
        <x:v>Google Scholar</x:v>
      </x:c>
      <x:c r="C131" s="426" t="str">
        <x:v>GS-01</x:v>
      </x:c>
      <x:c r="D131" s="426" t="str">
        <x:v>Static and dynamic concepts for self-supervised video representation learning</x:v>
      </x:c>
      <x:c r="E131" s="426" t="str">
        <x:v>R Qian §$ Ding, X i. D Lin</x:v>
      </x:c>
      <x:c r="F131" s="426" t="n">
        <x:v>2022</x:v>
      </x:c>
      <x:c r="G131" s="426" t="str">
        <x:v>European corferenca on computer vision 2022 - Springer</x:v>
      </x:c>
      <x:c r="H131" s="426" t="str">
        <x:v>Google Scholar result</x:v>
      </x:c>
      <x:c r="I131" s="426" t="str">
        <x:v>NR</x:v>
      </x:c>
      <x:c r="J131" s="426" t="str">
        <x:v>NR</x:v>
      </x:c>
      <x:c r="K131" s="426" t="str">
        <x:v>NR — URL not captured in the available source record</x:v>
      </x:c>
      <x:c r="L131" s="426" t="str">
        <x:v>Not available in the captured evidence; the screening decision used the title and available source metadata.</x:v>
      </x:c>
      <x:c r="M131" s="426" t="str">
        <x:v>No duplicate</x:v>
      </x:c>
      <x:c r="N131" s="426" t="str">
        <x:v>Not applicable — no duplicate group</x:v>
      </x:c>
      <x:c r="O131" s="426" t="str">
        <x:v>Not applicable</x:v>
      </x:c>
      <x:c r="P131" s="426" t="str">
        <x:v>Yes</x:v>
      </x:c>
      <x:c r="Q131" s="426" t="str">
        <x:v>Exclude</x:v>
      </x:c>
      <x:c r="R131" s="426" t="str">
        <x:v>Video representation learning outside the review domain (E1).</x:v>
      </x:c>
      <x:c r="S131" s="426" t="str">
        <x:v>Verification documented at process level</x:v>
      </x:c>
      <x:c r="T131" s="426" t="str">
        <x:v>Two additional authors performed random spot checks; individual spot-check assignments are not recorded in this register.</x:v>
      </x:c>
      <x:c r="U131" s="426" t="str">
        <x:v>Exclude</x:v>
      </x:c>
      <x:c r="V131" s="426" t="str">
        <x:v>Primary decision by the corresponding author; two additional authors performed random spot checks as a quality-control step.</x:v>
      </x:c>
      <x:c r="W131" s="426" t="str">
        <x:v>No</x:v>
      </x:c>
      <x:c r="X131" s="426" t="str">
        <x:v>Not applicable</x:v>
      </x:c>
      <x:c r="Y131" s="426" t="str">
        <x:v>Not assessed</x:v>
      </x:c>
      <x:c r="Z131" s="426" t="str">
        <x:v>Not advanced to full-text assessment after the title/abstract decision.</x:v>
      </x:c>
      <x:c r="AA131" s="22" t="str">
        <x:v>Not applicable</x:v>
      </x:c>
      <x:c r="AB131" s="22" t="str">
        <x:v>Record was not advanced to full-text assessment.</x:v>
      </x:c>
      <x:c r="AC131" s="22" t="str">
        <x:v>Not assessed</x:v>
      </x:c>
      <x:c r="AD131" s="22" t="str">
        <x:v>Not applicable — no full-text assessment was required.</x:v>
      </x:c>
      <x:c r="AE131" s="22" t="str">
        <x:v>Not included — title/abstract exclusion</x:v>
      </x:c>
      <x:c r="AF131" s="22" t="str">
        <x:v>Not applicable — not included</x:v>
      </x:c>
      <x:c r="AG131" s="22" t="str">
        <x:v>Evidence: 45c0a4d1-639d-4554-ac45-38085c10050f.png; page 9, result 4. Metadata transcribed from captured Google Scholar page; OCR-normalised, verify against publication before citation.</x:v>
      </x:c>
      <x:c r="AH131" s="20" t="str">
        <x:v>No duplicate identified under the documented matching rules.</x:v>
      </x:c>
    </x:row>
    <x:row r="132" ht="42" customHeight="1">
      <x:c r="A132" s="426" t="str">
        <x:v>GS-01-085</x:v>
      </x:c>
      <x:c r="B132" s="426" t="str">
        <x:v>Google Scholar</x:v>
      </x:c>
      <x:c r="C132" s="426" t="str">
        <x:v>GS-01</x:v>
      </x:c>
      <x:c r="D132" s="426" t="str">
        <x:v>Knowing the Unknown Interpretable Open-World Object Detection via Concept Decomposition Model</x:v>
      </x:c>
      <x:c r="E132" s="426" t="str">
        <x:v>Xv S2nang ¥ Xing C Xu. P Yang</x:v>
      </x:c>
      <x:c r="F132" s="426" t="n">
        <x:v>2024</x:v>
      </x:c>
      <x:c r="G132" s="426" t="str">
        <x:v>arXiv preprivt arXiv =. 2024 - arxivorg</x:v>
      </x:c>
      <x:c r="H132" s="426" t="str">
        <x:v>Google Scholar result</x:v>
      </x:c>
      <x:c r="I132" s="426" t="str">
        <x:v>NR</x:v>
      </x:c>
      <x:c r="J132" s="426" t="str">
        <x:v>NR</x:v>
      </x:c>
      <x:c r="K132" s="426" t="str">
        <x:v>NR — URL not captured in the available source record</x:v>
      </x:c>
      <x:c r="L132" s="426" t="str">
        <x:v>Not available in the captured evidence; the screening decision used the title and available source metadata.</x:v>
      </x:c>
      <x:c r="M132" s="426" t="str">
        <x:v>No duplicate</x:v>
      </x:c>
      <x:c r="N132" s="426" t="str">
        <x:v>Not applicable — no duplicate group</x:v>
      </x:c>
      <x:c r="O132" s="426" t="str">
        <x:v>Not applicable</x:v>
      </x:c>
      <x:c r="P132" s="426" t="str">
        <x:v>Yes</x:v>
      </x:c>
      <x:c r="Q132" s="426" t="str">
        <x:v>Exclude</x:v>
      </x:c>
      <x:c r="R132" s="426" t="str">
        <x:v>Wrong domain: generic open-world object detection; no medical or ophthalmic evaluation.</x:v>
      </x:c>
      <x:c r="S132" s="426" t="str">
        <x:v>Verification documented at process level</x:v>
      </x:c>
      <x:c r="T132" s="426" t="str">
        <x:v>Two additional authors performed random spot checks; individual spot-check assignments are not recorded in this register.</x:v>
      </x:c>
      <x:c r="U132" s="426" t="str">
        <x:v>Exclude</x:v>
      </x:c>
      <x:c r="V132" s="426" t="str">
        <x:v>Primary decision by the corresponding author; two additional authors performed random spot checks as a quality-control step.</x:v>
      </x:c>
      <x:c r="W132" s="426" t="str">
        <x:v>No</x:v>
      </x:c>
      <x:c r="X132" s="426" t="str">
        <x:v>Not applicable</x:v>
      </x:c>
      <x:c r="Y132" s="426" t="str">
        <x:v>Not assessed</x:v>
      </x:c>
      <x:c r="Z132" s="426" t="str">
        <x:v>Not advanced to full-text assessment after the title/abstract decision.</x:v>
      </x:c>
      <x:c r="AA132" s="22" t="str">
        <x:v>Not applicable</x:v>
      </x:c>
      <x:c r="AB132" s="22" t="str">
        <x:v>Record was not advanced to full-text assessment.</x:v>
      </x:c>
      <x:c r="AC132" s="22" t="str">
        <x:v>Not assessed</x:v>
      </x:c>
      <x:c r="AD132" s="22" t="str">
        <x:v>Not applicable — no full-text assessment was required.</x:v>
      </x:c>
      <x:c r="AE132" s="22" t="str">
        <x:v>Not included — title/abstract exclusion</x:v>
      </x:c>
      <x:c r="AF132" s="22" t="str">
        <x:v>Not applicable — not included</x:v>
      </x:c>
      <x:c r="AG132" s="22" t="str">
        <x:v>Evidence: 45c0a4d1-639d-4554-ac45-38085c10050f.png; page 9, result 5. Metadata transcribed from captured Google Scholar page; OCR-normalised, verify against publication before citation.</x:v>
      </x:c>
      <x:c r="AH132" s="20" t="str">
        <x:v>No duplicate identified under the documented matching rules.</x:v>
      </x:c>
    </x:row>
    <x:row r="133" ht="42" customHeight="1">
      <x:c r="A133" s="426" t="str">
        <x:v>GS-01-086</x:v>
      </x:c>
      <x:c r="B133" s="426" t="str">
        <x:v>Google Scholar</x:v>
      </x:c>
      <x:c r="C133" s="426" t="str">
        <x:v>GS-01</x:v>
      </x:c>
      <x:c r="D133" s="426" t="str">
        <x:v>(POF) Hierarchical Attention and Systematic Fusian Optimizing Multimodal Learning for Interpretable Thoracic Disease Classification</x:v>
      </x:c>
      <x:c r="E133" s="426" t="str">
        <x:v>HP Rayskota PC Huang</x:v>
      </x:c>
      <x:c r="F133" s="426" t="str">
        <x:v>NR</x:v>
      </x:c>
      <x:c r="G133" s="426" t="str">
        <x:v>2225 - assets-ey resaarchsquare com</x:v>
      </x:c>
      <x:c r="H133" s="426" t="str">
        <x:v>Google Scholar result</x:v>
      </x:c>
      <x:c r="I133" s="426" t="str">
        <x:v>NR</x:v>
      </x:c>
      <x:c r="J133" s="426" t="str">
        <x:v>NR</x:v>
      </x:c>
      <x:c r="K133" s="426" t="str">
        <x:v>NR — URL not captured in the available source record</x:v>
      </x:c>
      <x:c r="L133" s="426" t="str">
        <x:v>Not available in the captured evidence; the screening decision used the title and available source metadata.</x:v>
      </x:c>
      <x:c r="M133" s="426" t="str">
        <x:v>No duplicate</x:v>
      </x:c>
      <x:c r="N133" s="426" t="str">
        <x:v>Not applicable — no duplicate group</x:v>
      </x:c>
      <x:c r="O133" s="426" t="str">
        <x:v>Not applicable</x:v>
      </x:c>
      <x:c r="P133" s="426" t="str">
        <x:v>Yes</x:v>
      </x:c>
      <x:c r="Q133" s="426" t="str">
        <x:v>Exclude</x:v>
      </x:c>
      <x:c r="R133" s="426" t="str">
        <x:v>Medical imaging but attention/fusion explainability only; no concept-based method.</x:v>
      </x:c>
      <x:c r="S133" s="426" t="str">
        <x:v>Verification documented at process level</x:v>
      </x:c>
      <x:c r="T133" s="426" t="str">
        <x:v>Two additional authors performed random spot checks; individual spot-check assignments are not recorded in this register.</x:v>
      </x:c>
      <x:c r="U133" s="426" t="str">
        <x:v>Exclude</x:v>
      </x:c>
      <x:c r="V133" s="426" t="str">
        <x:v>Primary decision by the corresponding author; two additional authors performed random spot checks as a quality-control step.</x:v>
      </x:c>
      <x:c r="W133" s="426" t="str">
        <x:v>No</x:v>
      </x:c>
      <x:c r="X133" s="426" t="str">
        <x:v>Not applicable</x:v>
      </x:c>
      <x:c r="Y133" s="426" t="str">
        <x:v>Not assessed</x:v>
      </x:c>
      <x:c r="Z133" s="426" t="str">
        <x:v>Not advanced to full-text assessment after the title/abstract decision.</x:v>
      </x:c>
      <x:c r="AA133" s="22" t="str">
        <x:v>Not applicable</x:v>
      </x:c>
      <x:c r="AB133" s="22" t="str">
        <x:v>Record was not advanced to full-text assessment.</x:v>
      </x:c>
      <x:c r="AC133" s="22" t="str">
        <x:v>Not assessed</x:v>
      </x:c>
      <x:c r="AD133" s="22" t="str">
        <x:v>Not applicable — no full-text assessment was required.</x:v>
      </x:c>
      <x:c r="AE133" s="22" t="str">
        <x:v>Not included — title/abstract exclusion</x:v>
      </x:c>
      <x:c r="AF133" s="22" t="str">
        <x:v>Not applicable — not included</x:v>
      </x:c>
      <x:c r="AG133" s="22" t="str">
        <x:v>Evidence: 45c0a4d1-639d-4554-ac45-38085c10050f.png; page 9, result 6. Metadata transcribed from captured Google Scholar page; OCR-normalised, verify against publication before citation.</x:v>
      </x:c>
      <x:c r="AH133" s="20" t="str">
        <x:v>No duplicate identified under the documented matching rules.</x:v>
      </x:c>
    </x:row>
    <x:row r="134" ht="42" customHeight="1">
      <x:c r="A134" s="426" t="str">
        <x:v>GS-01-087</x:v>
      </x:c>
      <x:c r="B134" s="426" t="str">
        <x:v>Google Scholar</x:v>
      </x:c>
      <x:c r="C134" s="426" t="str">
        <x:v>GS-01</x:v>
      </x:c>
      <x:c r="D134" s="426" t="str">
        <x:v>(Por) Interpretability of Time Series Transformers</x:v>
      </x:c>
      <x:c r="E134" s="426" t="str">
        <x:v>Avan Spranga+ = pages centralesupeec fF</x:v>
      </x:c>
      <x:c r="F134" s="426" t="str">
        <x:v>NR</x:v>
      </x:c>
      <x:c r="G134" s="426" t="str">
        <x:v>Avan Spranga+ = pages centralesupeec fF</x:v>
      </x:c>
      <x:c r="H134" s="426" t="str">
        <x:v>Google Scholar result</x:v>
      </x:c>
      <x:c r="I134" s="426" t="str">
        <x:v>NR</x:v>
      </x:c>
      <x:c r="J134" s="426" t="str">
        <x:v>NR</x:v>
      </x:c>
      <x:c r="K134" s="426" t="str">
        <x:v>NR — URL not captured in the available source record</x:v>
      </x:c>
      <x:c r="L134" s="426" t="str">
        <x:v>Not available in the captured evidence; the screening decision used the title and available source metadata.</x:v>
      </x:c>
      <x:c r="M134" s="426" t="str">
        <x:v>No duplicate</x:v>
      </x:c>
      <x:c r="N134" s="426" t="str">
        <x:v>Not applicable — no duplicate group</x:v>
      </x:c>
      <x:c r="O134" s="426" t="str">
        <x:v>Not applicable</x:v>
      </x:c>
      <x:c r="P134" s="426" t="str">
        <x:v>Yes</x:v>
      </x:c>
      <x:c r="Q134" s="426" t="str">
        <x:v>Exclude</x:v>
      </x:c>
      <x:c r="R134" s="426" t="str">
        <x:v>Wrong data type and domain: time-series transformers, not ophthalmic imaging.</x:v>
      </x:c>
      <x:c r="S134" s="426" t="str">
        <x:v>Verification documented at process level</x:v>
      </x:c>
      <x:c r="T134" s="426" t="str">
        <x:v>Two additional authors performed random spot checks; individual spot-check assignments are not recorded in this register.</x:v>
      </x:c>
      <x:c r="U134" s="426" t="str">
        <x:v>Exclude</x:v>
      </x:c>
      <x:c r="V134" s="426" t="str">
        <x:v>Primary decision by the corresponding author; two additional authors performed random spot checks as a quality-control step.</x:v>
      </x:c>
      <x:c r="W134" s="426" t="str">
        <x:v>No</x:v>
      </x:c>
      <x:c r="X134" s="426" t="str">
        <x:v>Not applicable</x:v>
      </x:c>
      <x:c r="Y134" s="426" t="str">
        <x:v>Not assessed</x:v>
      </x:c>
      <x:c r="Z134" s="426" t="str">
        <x:v>Not advanced to full-text assessment after the title/abstract decision.</x:v>
      </x:c>
      <x:c r="AA134" s="22" t="str">
        <x:v>Not applicable</x:v>
      </x:c>
      <x:c r="AB134" s="22" t="str">
        <x:v>Record was not advanced to full-text assessment.</x:v>
      </x:c>
      <x:c r="AC134" s="22" t="str">
        <x:v>Not assessed</x:v>
      </x:c>
      <x:c r="AD134" s="22" t="str">
        <x:v>Not applicable — no full-text assessment was required.</x:v>
      </x:c>
      <x:c r="AE134" s="22" t="str">
        <x:v>Not included — title/abstract exclusion</x:v>
      </x:c>
      <x:c r="AF134" s="22" t="str">
        <x:v>Not applicable — not included</x:v>
      </x:c>
      <x:c r="AG134" s="22" t="str">
        <x:v>Evidence: 45c0a4d1-639d-4554-ac45-38085c10050f.png; page 9, result 7. Metadata transcribed from captured Google Scholar page; OCR-normalised, verify against publication before citation.</x:v>
      </x:c>
      <x:c r="AH134" s="20" t="str">
        <x:v>No duplicate identified under the documented matching rules.</x:v>
      </x:c>
    </x:row>
    <x:row r="135" ht="42" customHeight="1">
      <x:c r="A135" s="426" t="str">
        <x:v>GS-01-088</x:v>
      </x:c>
      <x:c r="B135" s="426" t="str">
        <x:v>Google Scholar</x:v>
      </x:c>
      <x:c r="C135" s="426" t="str">
        <x:v>GS-01</x:v>
      </x:c>
      <x:c r="D135" s="426" t="str">
        <x:v>An explainable biamedical foundation model via large-scale concept-enhanced vision-language pre-training</x:v>
      </x:c>
      <x:c r="E135" s="426" t="str">
        <x:v>YNie SHe Y Bie ¥ Wang ZChen S$¥ang -a‘XivpraprintarX ©2125</x:v>
      </x:c>
      <x:c r="F135" s="426" t="str">
        <x:v>NR</x:v>
      </x:c>
      <x:c r="G135" s="426" t="str">
        <x:v>arxiv org</x:v>
      </x:c>
      <x:c r="H135" s="426" t="str">
        <x:v>Google Scholar result</x:v>
      </x:c>
      <x:c r="I135" s="426" t="str">
        <x:v>NR</x:v>
      </x:c>
      <x:c r="J135" s="426" t="str">
        <x:v>2501.15579</x:v>
      </x:c>
      <x:c r="K135" s="426" t="str">
        <x:v>https://arxiv.org/pdf/2501.15579</x:v>
      </x:c>
      <x:c r="L135" s="426" t="str">
        <x:v>The clinical adoption of artificial intelligence (AI) in medical imaging requires models that are both diagnostically accurate and interpretable to clinicians. While current multimodal biomedical foundation models prioritize performance, their black-box nature hinders explaining the decision-making process in clinically meaningful concepts. Here, we present ConceptCLIP, the first explainable biomedical foundation model that achieves state-of-the-art diagnostic accuracy while delivering human-interpretable explanations across diverse imaging modalities. We curate MedConcept-23M, the largest pre-training dataset comprising 23 million image-text-concept triplets across diverse medical modalities, where clinical concepts are derived from the Unified Medical Language System. Leveraging this dataset, we develop ConceptCLIP through a novel dual-alignment approach that simultaneously learns global image-text representations and fine-grained region-concept associations for precise and interpretable medical image analysis. We curate the most extensive evaluation benchmark for multimodal biomedical foundation models, covering 52 clinical tasks spanning 10 imaging modalities. Extensive experiments demonstrate that ConceptCLIP outperforms existing state-of-the-art multimodal biomedical foundation models. Importantly, ConceptCLIP demonstrates superior diagnostic performance while providing human-understandable explanations validated by clinical experts. As the first precise and interpretable biomedical foundation model, ConceptCLIP represents a critical milestone toward the widespread clinical adoption of AI, thereby advancing trustworthy AI in medicine.</x:v>
      </x:c>
      <x:c r="M135" s="426" t="str">
        <x:v>No duplicate</x:v>
      </x:c>
      <x:c r="N135" s="426" t="str">
        <x:v>Not applicable — no duplicate group</x:v>
      </x:c>
      <x:c r="O135" s="426" t="str">
        <x:v>Not applicable</x:v>
      </x:c>
      <x:c r="P135" s="426" t="str">
        <x:v>Yes</x:v>
      </x:c>
      <x:c r="Q135" s="426" t="str">
        <x:v>Include</x:v>
      </x:c>
      <x:c r="R135" s="426" t="str">
        <x:v>Explicit concept-enhanced biomedical vision-language model; retain as contextual medical concept-XAI evidence.</x:v>
      </x:c>
      <x:c r="S135" s="426" t="str">
        <x:v>Verification documented at process level</x:v>
      </x:c>
      <x:c r="T135" s="426" t="str">
        <x:v>Two additional authors performed random spot checks; individual spot-check assignments are not recorded in this register.</x:v>
      </x:c>
      <x:c r="U135" s="426" t="str">
        <x:v>Include</x:v>
      </x:c>
      <x:c r="V135" s="426" t="str">
        <x:v>Primary decision by the corresponding author; two additional authors performed random spot checks as a quality-control step.</x:v>
      </x:c>
      <x:c r="W135" s="426" t="str">
        <x:v>Yes</x:v>
      </x:c>
      <x:c r="X135" s="426" t="str">
        <x:v>Yes</x:v>
      </x:c>
      <x:c r="Y135" s="426" t="str">
        <x:v>Include</x:v>
      </x:c>
      <x:c r="Z135" s="426" t="str">
        <x:v>The corresponding author assessed the complete report and judged it eligible for inclusion in the review.</x:v>
      </x:c>
      <x:c r="AA135" s="22" t="str">
        <x:v>Verification documented at process level</x:v>
      </x:c>
      <x:c r="AB135" s="22" t="str">
        <x:v>Two additional authors performed random spot checks; individual spot-check assignments are not recorded in this register.</x:v>
      </x:c>
      <x:c r="AC135" s="22" t="str">
        <x:v>Include</x:v>
      </x:c>
      <x:c r="AD135" s="22" t="str">
        <x:v>Primary decision by the corresponding author; two additional authors performed random spot checks as a quality-control step.</x:v>
      </x:c>
      <x:c r="AE135" s="22" t="str">
        <x:v>Include</x:v>
      </x:c>
      <x:c r="AF135" s="22" t="str">
        <x:v>Contextual medical concept-XAI evidence</x:v>
      </x:c>
      <x:c r="AG135" s="22" t="str">
        <x:v>Evidence: 45c0a4d1-639d-4554-ac45-38085c10050f.png; page 9, result 8. Metadata transcribed from captured Google Scholar page; OCR-normalised, verify against publication before citation.</x:v>
      </x:c>
      <x:c r="AH135" s="20" t="str">
        <x:v>No duplicate identified under the documented matching rules.</x:v>
      </x:c>
    </x:row>
    <x:row r="136" ht="42" customHeight="1">
      <x:c r="A136" s="426" t="str">
        <x:v>GS-01-089</x:v>
      </x:c>
      <x:c r="B136" s="426" t="str">
        <x:v>Google Scholar</x:v>
      </x:c>
      <x:c r="C136" s="426" t="str">
        <x:v>GS-01</x:v>
      </x:c>
      <x:c r="D136" s="426" t="str">
        <x:v>ConVLM: Concept-Guided Vision-Language Models for Exptainable Dermatological Diagnosis</x:v>
      </x:c>
      <x:c r="E136" s="426" t="str">
        <x:v>A Davis</x:v>
      </x:c>
      <x:c r="F136" s="426" t="str">
        <x:v>NR</x:v>
      </x:c>
      <x:c r="G136" s="426" t="str">
        <x:v>engrey erg</x:v>
      </x:c>
      <x:c r="H136" s="426" t="str">
        <x:v>Google Scholar result</x:v>
      </x:c>
      <x:c r="I136" s="426" t="str">
        <x:v>10.31224/5064</x:v>
      </x:c>
      <x:c r="J136" s="426" t="str">
        <x:v>NR</x:v>
      </x:c>
      <x:c r="K136" s="426" t="str">
        <x:v>https://engrxiv.org/preprint/download/5064/8610/7159</x:v>
      </x:c>
      <x:c r="L136" s="426" t="str">
        <x:v>Accurate and interpretable diagnosis of dermatological lesions is crucial but challenging due to data scarcity, morphological diversity, and the "black-box" nature of traditional deep learning models. To address these limitations, we propose ConVLM (Concept-aware Vision-Language Model for Dermatology), a novel framework that leverages the power of Large Vision-Language Models (LVLMs) and Large Language Models (LLMs) for concept-guided multimodal reasoning. ConVLM first employs an LVLM to extract and ground high-level medical visual concepts (e.g., color, shape, surface features) from skin lesion images, which are then integrated with clinical metadata. A powerful LLM subsequently processes these multimodal concepts to perform robust diagnostic reasoning, culminating in a final diagnosis accompanied by a natural language explanation that articulates the underlying rationale. 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 Furthermore, ConVLM exhibits strong few-shot and zero-shot generalization capabilities (45.1% BACC in 0-shot), crucial for rare conditions. Our ablation studies confirm the indispensable role of both explicit concept grounding and LLM-based reasoning, while the integration of clinical metadata further boosts performance. ConVLM represents a significant step towards developing trustworthy and clinically applicable AI systems for dermatology.</x:v>
      </x:c>
      <x:c r="M136" s="426" t="str">
        <x:v>No duplicate</x:v>
      </x:c>
      <x:c r="N136" s="426" t="str">
        <x:v>DG-093</x:v>
      </x:c>
      <x:c r="O136" s="426" t="str">
        <x:v>Not applicable</x:v>
      </x:c>
      <x:c r="P136" s="426" t="str">
        <x:v>Yes</x:v>
      </x:c>
      <x:c r="Q136" s="426" t="str">
        <x:v>Include</x:v>
      </x:c>
      <x:c r="R136" s="426" t="str">
        <x:v>Explicit concept-guided dermatological diagnosis; retain as contextual medical concept-XAI evidence.</x:v>
      </x:c>
      <x:c r="S136" s="426" t="str">
        <x:v>Verification documented at process level</x:v>
      </x:c>
      <x:c r="T136" s="426" t="str">
        <x:v>Two additional authors performed random spot checks; individual spot-check assignments are not recorded in this register.</x:v>
      </x:c>
      <x:c r="U136" s="426" t="str">
        <x:v>Include</x:v>
      </x:c>
      <x:c r="V136" s="426" t="str">
        <x:v>Primary decision by the corresponding author; two additional authors performed random spot checks as a quality-control step.</x:v>
      </x:c>
      <x:c r="W136" s="426" t="str">
        <x:v>Yes</x:v>
      </x:c>
      <x:c r="X136" s="426" t="str">
        <x:v>Yes</x:v>
      </x:c>
      <x:c r="Y136" s="426" t="str">
        <x:v>Include</x:v>
      </x:c>
      <x:c r="Z136" s="426" t="str">
        <x:v>The corresponding author assessed the complete report and judged it eligible for inclusion in the review.</x:v>
      </x:c>
      <x:c r="AA136" s="22" t="str">
        <x:v>Verification documented at process level</x:v>
      </x:c>
      <x:c r="AB136" s="22" t="str">
        <x:v>Two additional authors performed random spot checks; individual spot-check assignments are not recorded in this register.</x:v>
      </x:c>
      <x:c r="AC136" s="22" t="str">
        <x:v>Include</x:v>
      </x:c>
      <x:c r="AD136" s="22" t="str">
        <x:v>Primary decision by the corresponding author; two additional authors performed random spot checks as a quality-control step.</x:v>
      </x:c>
      <x:c r="AE136" s="22" t="str">
        <x:v>Include</x:v>
      </x:c>
      <x:c r="AF136" s="22" t="str">
        <x:v>Contextual medical concept-XAI evidence</x:v>
      </x:c>
      <x:c r="AG136" s="22" t="str">
        <x:v>Evidence: 45c0a4d1-639d-4554-ac45-38085c10050f.png; page 9, result 9. Metadata transcribed from captured Google Scholar page; OCR-normalised, verify against publication before citation.</x:v>
      </x:c>
      <x:c r="AH136" s="20" t="str">
        <x:v>No duplicate identified under the documented matching rules.</x:v>
      </x:c>
    </x:row>
    <x:row r="137" ht="42" customHeight="1">
      <x:c r="A137" s="426" t="str">
        <x:v>GS-01-090</x:v>
      </x:c>
      <x:c r="B137" s="426" t="str">
        <x:v>Google Scholar</x:v>
      </x:c>
      <x:c r="C137" s="426" t="str">
        <x:v>GS-01</x:v>
      </x:c>
      <x:c r="D137" s="426" t="str">
        <x:v>Artificial intelligence in ophthalmology opportunities, challenges and ethical considerations</x:v>
      </x:c>
      <x:c r="E137" s="426" t="str">
        <x:v>K Kazemzadeh- =. Discovery and Innovation in Ophthailmolegy 20625</x:v>
      </x:c>
      <x:c r="F137" s="426" t="str">
        <x:v>NR</x:v>
      </x:c>
      <x:c r="G137" s="426" t="str">
        <x:v>pme ncbi nim nib gov</x:v>
      </x:c>
      <x:c r="H137" s="426" t="str">
        <x:v>Google Scholar result</x:v>
      </x:c>
      <x:c r="I137" s="426" t="str">
        <x:v>NR</x:v>
      </x:c>
      <x:c r="J137" s="426" t="str">
        <x:v>NR</x:v>
      </x:c>
      <x:c r="K137" s="426" t="str">
        <x:v>NR — URL not captured in the available source record</x:v>
      </x:c>
      <x:c r="L137" s="426" t="str">
        <x:v>Not available in the captured evidence; the screening decision used the title and available source metadata.</x:v>
      </x:c>
      <x:c r="M137" s="426" t="str">
        <x:v>No duplicate</x:v>
      </x:c>
      <x:c r="N137" s="426" t="str">
        <x:v>Not applicable — no duplicate group</x:v>
      </x:c>
      <x:c r="O137" s="426" t="str">
        <x:v>Not applicable</x:v>
      </x:c>
      <x:c r="P137" s="426" t="str">
        <x:v>Yes</x:v>
      </x:c>
      <x:c r="Q137" s="426" t="str">
        <x:v>Exclude</x:v>
      </x:c>
      <x:c r="R137" s="426" t="str">
        <x:v>Non-original review/discussion of AI in ophthalmology, not an empirical concept-XAI study.</x:v>
      </x:c>
      <x:c r="S137" s="426" t="str">
        <x:v>Verification documented at process level</x:v>
      </x:c>
      <x:c r="T137" s="426" t="str">
        <x:v>Two additional authors performed random spot checks; individual spot-check assignments are not recorded in this register.</x:v>
      </x:c>
      <x:c r="U137" s="426" t="str">
        <x:v>Exclude</x:v>
      </x:c>
      <x:c r="V137" s="426" t="str">
        <x:v>Primary decision by the corresponding author; two additional authors performed random spot checks as a quality-control step.</x:v>
      </x:c>
      <x:c r="W137" s="426" t="str">
        <x:v>No</x:v>
      </x:c>
      <x:c r="X137" s="426" t="str">
        <x:v>Not applicable</x:v>
      </x:c>
      <x:c r="Y137" s="426" t="str">
        <x:v>Not assessed</x:v>
      </x:c>
      <x:c r="Z137" s="426" t="str">
        <x:v>Not advanced to full-text assessment after the title/abstract decision.</x:v>
      </x:c>
      <x:c r="AA137" s="22" t="str">
        <x:v>Not applicable</x:v>
      </x:c>
      <x:c r="AB137" s="22" t="str">
        <x:v>Record was not advanced to full-text assessment.</x:v>
      </x:c>
      <x:c r="AC137" s="22" t="str">
        <x:v>Not assessed</x:v>
      </x:c>
      <x:c r="AD137" s="22" t="str">
        <x:v>Not applicable — no full-text assessment was required.</x:v>
      </x:c>
      <x:c r="AE137" s="22" t="str">
        <x:v>Not included — title/abstract exclusion</x:v>
      </x:c>
      <x:c r="AF137" s="22" t="str">
        <x:v>Not applicable — not included</x:v>
      </x:c>
      <x:c r="AG137" s="22" t="str">
        <x:v>Evidence: 45c0a4d1-639d-4554-ac45-38085c10050f.png; page 9, result 10. Metadata transcribed from captured Google Scholar page; OCR-normalised, verify against publication before citation.</x:v>
      </x:c>
      <x:c r="AH137" s="20" t="str">
        <x:v>No duplicate identified under the documented matching rules.</x:v>
      </x:c>
    </x:row>
    <x:row r="138" ht="42" customHeight="1">
      <x:c r="A138" s="426" t="str">
        <x:v>GS-01-091</x:v>
      </x:c>
      <x:c r="B138" s="426" t="str">
        <x:v>Google Scholar</x:v>
      </x:c>
      <x:c r="C138" s="426" t="str">
        <x:v>GS-01</x:v>
      </x:c>
      <x:c r="D138" s="426" t="str">
        <x:v>Detamnining fetal orientations from blind sweep ultrasound video</x:v>
      </x:c>
      <x:c r="E138" s="426" t="str">
        <x:v>JM Wisniewsk AN Christersen, MLNga</x:v>
      </x:c>
      <x:c r="F138" s="426" t="str">
        <x:v>NR</x:v>
      </x:c>
      <x:c r="G138" s="426" t="str">
        <x:v>Conference onImage = 20.25 - Saringe’</x:v>
      </x:c>
      <x:c r="H138" s="426" t="str">
        <x:v>Google Scholar result</x:v>
      </x:c>
      <x:c r="I138" s="426" t="str">
        <x:v>NR</x:v>
      </x:c>
      <x:c r="J138" s="426" t="str">
        <x:v>NR</x:v>
      </x:c>
      <x:c r="K138" s="426" t="str">
        <x:v>NR — URL not captured in the available source record</x:v>
      </x:c>
      <x:c r="L138" s="426" t="str">
        <x:v>Not available in the captured evidence; the screening decision used the title and available source metadata.</x:v>
      </x:c>
      <x:c r="M138" s="426" t="str">
        <x:v>No duplicate</x:v>
      </x:c>
      <x:c r="N138" s="426" t="str">
        <x:v>Not applicable — no duplicate group</x:v>
      </x:c>
      <x:c r="O138" s="426" t="str">
        <x:v>Not applicable</x:v>
      </x:c>
      <x:c r="P138" s="426" t="str">
        <x:v>Yes</x:v>
      </x:c>
      <x:c r="Q138" s="426" t="str">
        <x:v>Exclude</x:v>
      </x:c>
      <x:c r="R138" s="426" t="str">
        <x:v>Wrong clinical domain and no relevant concept-based explanation method.</x:v>
      </x:c>
      <x:c r="S138" s="426" t="str">
        <x:v>Verification documented at process level</x:v>
      </x:c>
      <x:c r="T138" s="426" t="str">
        <x:v>Two additional authors performed random spot checks; individual spot-check assignments are not recorded in this register.</x:v>
      </x:c>
      <x:c r="U138" s="426" t="str">
        <x:v>Exclude</x:v>
      </x:c>
      <x:c r="V138" s="426" t="str">
        <x:v>Primary decision by the corresponding author; two additional authors performed random spot checks as a quality-control step.</x:v>
      </x:c>
      <x:c r="W138" s="426" t="str">
        <x:v>No</x:v>
      </x:c>
      <x:c r="X138" s="426" t="str">
        <x:v>Not applicable</x:v>
      </x:c>
      <x:c r="Y138" s="426" t="str">
        <x:v>Not assessed</x:v>
      </x:c>
      <x:c r="Z138" s="426" t="str">
        <x:v>Not advanced to full-text assessment after the title/abstract decision.</x:v>
      </x:c>
      <x:c r="AA138" s="22" t="str">
        <x:v>Not applicable</x:v>
      </x:c>
      <x:c r="AB138" s="22" t="str">
        <x:v>Record was not advanced to full-text assessment.</x:v>
      </x:c>
      <x:c r="AC138" s="22" t="str">
        <x:v>Not assessed</x:v>
      </x:c>
      <x:c r="AD138" s="22" t="str">
        <x:v>Not applicable — no full-text assessment was required.</x:v>
      </x:c>
      <x:c r="AE138" s="22" t="str">
        <x:v>Not included — title/abstract exclusion</x:v>
      </x:c>
      <x:c r="AF138" s="22" t="str">
        <x:v>Not applicable — not included</x:v>
      </x:c>
      <x:c r="AG138" s="22" t="str">
        <x:v>Evidence: 18e3402b-f6e9-44ee-97db-00c92627ca60.png; page 10, result 1. Metadata transcribed from captured Google Scholar page; OCR-normalised, verify against publication before citation.</x:v>
      </x:c>
      <x:c r="AH138" s="20" t="str">
        <x:v>No duplicate identified under the documented matching rules.</x:v>
      </x:c>
    </x:row>
    <x:row r="139" ht="42" customHeight="1">
      <x:c r="A139" s="426" t="str">
        <x:v>GS-01-092</x:v>
      </x:c>
      <x:c r="B139" s="426" t="str">
        <x:v>Google Scholar</x:v>
      </x:c>
      <x:c r="C139" s="426" t="str">
        <x:v>GS-01</x:v>
      </x:c>
      <x:c r="D139" s="426" t="str">
        <x:v>Single domain generalization in diabetic retinopathy: A neuro-symbolic learning approach</x:v>
      </x:c>
      <x:c r="E139" s="426" t="str">
        <x:v>M Jrzoj ABanerjae F Shaikh K Thakur + arXty pregrini arXiv ©2025</x:v>
      </x:c>
      <x:c r="F139" s="426" t="n">
        <x:v>2025</x:v>
      </x:c>
      <x:c r="G139" s="426" t="str">
        <x:v>arxiv org</x:v>
      </x:c>
      <x:c r="H139" s="426" t="str">
        <x:v>Google Scholar result</x:v>
      </x:c>
      <x:c r="I139" s="426" t="str">
        <x:v>NR</x:v>
      </x:c>
      <x:c r="J139" s="426" t="str">
        <x:v>NR</x:v>
      </x:c>
      <x:c r="K139" s="426" t="str">
        <x:v>NR — URL not captured in the available source record</x:v>
      </x:c>
      <x:c r="L139" s="426" t="str">
        <x:v>Not available in the captured evidence; the screening decision used the title and available source metadata.</x:v>
      </x:c>
      <x:c r="M139" s="426" t="str">
        <x:v>Confirmed duplicate</x:v>
      </x:c>
      <x:c r="N139" s="426" t="str">
        <x:v>DG-018</x:v>
      </x:c>
      <x:c r="O139" s="426" t="str">
        <x:v>ARXIV-04-001</x:v>
      </x:c>
      <x:c r="P139" s="426" t="str">
        <x:v>No</x:v>
      </x:c>
      <x:c r="Q139" s="426" t="str">
        <x:v>Not screened</x:v>
      </x:c>
      <x:c r="R139" s="426" t="str">
        <x:v>Removed before title/abstract screening as a confirmed duplicate.</x:v>
      </x:c>
      <x:c r="S139" s="426" t="str">
        <x:v>Not applicable — removed before screening</x:v>
      </x:c>
      <x:c r="T139" s="426" t="str">
        <x:v>Record was outside the active screening set.</x:v>
      </x:c>
      <x:c r="U139" s="426" t="str">
        <x:v>Removed before screening</x:v>
      </x:c>
      <x:c r="V139" s="426" t="str">
        <x:v>Confirmed duplicate removed during deduplication.</x:v>
      </x:c>
      <x:c r="W139" s="426" t="str">
        <x:v>No</x:v>
      </x:c>
      <x:c r="X139" s="426" t="str">
        <x:v>Not applicable</x:v>
      </x:c>
      <x:c r="Y139" s="426" t="str">
        <x:v>Not assessed</x:v>
      </x:c>
      <x:c r="Z139" s="426" t="str">
        <x:v>Not applicable — record removed before screening.</x:v>
      </x:c>
      <x:c r="AA139" s="22" t="str">
        <x:v>Not applicable</x:v>
      </x:c>
      <x:c r="AB139" s="22" t="str">
        <x:v>Record was not advanced to full-text assessment.</x:v>
      </x:c>
      <x:c r="AC139" s="22" t="str">
        <x:v>Not assessed</x:v>
      </x:c>
      <x:c r="AD139" s="22" t="str">
        <x:v>Not applicable — no full-text assessment was required.</x:v>
      </x:c>
      <x:c r="AE139" s="22" t="str">
        <x:v>Removed before screening</x:v>
      </x:c>
      <x:c r="AF139" s="22" t="str">
        <x:v>Not applicable — not included</x:v>
      </x:c>
      <x:c r="AG139" s="22" t="str">
        <x:v>Evidence: 18e3402b-f6e9-44ee-97db-00c92627ca60.png; page 10, result 2. Metadata transcribed from captured Google Scholar page; OCR-normalised, verify against publication before citation.</x:v>
      </x:c>
      <x:c r="AH139" s="20" t="str">
        <x:v>Confirmed using identifier/title evidence; normalized title across captured searches.</x:v>
      </x:c>
    </x:row>
    <x:row r="140" ht="42" customHeight="1">
      <x:c r="A140" s="426" t="str">
        <x:v>GS-01-093</x:v>
      </x:c>
      <x:c r="B140" s="426" t="str">
        <x:v>Google Scholar</x:v>
      </x:c>
      <x:c r="C140" s="426" t="str">
        <x:v>GS-01</x:v>
      </x:c>
      <x:c r="D140" s="426" t="str">
        <x:v>Asynchronous federated learning for web-based OCT image analysis</x:v>
      </x:c>
      <x:c r="E140" s="426" t="str">
        <x:v>HMT 4tam T Maurer, AMohamed Seim</x:v>
      </x:c>
      <x:c r="F140" s="426" t="n">
        <x:v>2026</x:v>
      </x:c>
      <x:c r="G140" s="426" t="str">
        <x:v>JoumalcfMedical 2026 - spiedigitallibrary org</x:v>
      </x:c>
      <x:c r="H140" s="426" t="str">
        <x:v>Google Scholar result</x:v>
      </x:c>
      <x:c r="I140" s="426" t="str">
        <x:v>NR</x:v>
      </x:c>
      <x:c r="J140" s="426" t="str">
        <x:v>NR</x:v>
      </x:c>
      <x:c r="K140" s="426" t="str">
        <x:v>NR — URL not captured in the available source record</x:v>
      </x:c>
      <x:c r="L140" s="426" t="str">
        <x:v>Not available in the captured evidence; the screening decision used the title and available source metadata.</x:v>
      </x:c>
      <x:c r="M140" s="426" t="str">
        <x:v>No duplicate</x:v>
      </x:c>
      <x:c r="N140" s="426" t="str">
        <x:v>Not applicable — no duplicate group</x:v>
      </x:c>
      <x:c r="O140" s="426" t="str">
        <x:v>Not applicable</x:v>
      </x:c>
      <x:c r="P140" s="426" t="str">
        <x:v>Yes</x:v>
      </x:c>
      <x:c r="Q140" s="426" t="str">
        <x:v>Exclude</x:v>
      </x:c>
      <x:c r="R140" s="426" t="str">
        <x:v>Ophthalmic OCT analysis, but no concept-oriented or structured explainability mechanism.</x:v>
      </x:c>
      <x:c r="S140" s="426" t="str">
        <x:v>Verification documented at process level</x:v>
      </x:c>
      <x:c r="T140" s="426" t="str">
        <x:v>Two additional authors performed random spot checks; individual spot-check assignments are not recorded in this register.</x:v>
      </x:c>
      <x:c r="U140" s="426" t="str">
        <x:v>Exclude</x:v>
      </x:c>
      <x:c r="V140" s="426" t="str">
        <x:v>Primary decision by the corresponding author; two additional authors performed random spot checks as a quality-control step.</x:v>
      </x:c>
      <x:c r="W140" s="426" t="str">
        <x:v>No</x:v>
      </x:c>
      <x:c r="X140" s="426" t="str">
        <x:v>Not applicable</x:v>
      </x:c>
      <x:c r="Y140" s="426" t="str">
        <x:v>Not assessed</x:v>
      </x:c>
      <x:c r="Z140" s="426" t="str">
        <x:v>Not advanced to full-text assessment after the title/abstract decision.</x:v>
      </x:c>
      <x:c r="AA140" s="22" t="str">
        <x:v>Not applicable</x:v>
      </x:c>
      <x:c r="AB140" s="22" t="str">
        <x:v>Record was not advanced to full-text assessment.</x:v>
      </x:c>
      <x:c r="AC140" s="22" t="str">
        <x:v>Not assessed</x:v>
      </x:c>
      <x:c r="AD140" s="22" t="str">
        <x:v>Not applicable — no full-text assessment was required.</x:v>
      </x:c>
      <x:c r="AE140" s="22" t="str">
        <x:v>Not included — title/abstract exclusion</x:v>
      </x:c>
      <x:c r="AF140" s="22" t="str">
        <x:v>Not applicable — not included</x:v>
      </x:c>
      <x:c r="AG140" s="22" t="str">
        <x:v>Evidence: 18e3402b-f6e9-44ee-97db-00c92627ca60.png; page 10, result 3. Metadata transcribed from captured Google Scholar page; OCR-normalised, verify against publication before citation.</x:v>
      </x:c>
      <x:c r="AH140" s="20" t="str">
        <x:v>No duplicate identified under the documented matching rules.</x:v>
      </x:c>
    </x:row>
    <x:row r="141" ht="42" customHeight="1">
      <x:c r="A141" s="426" t="str">
        <x:v>GS-01-094</x:v>
      </x:c>
      <x:c r="B141" s="426" t="str">
        <x:v>Google Scholar</x:v>
      </x:c>
      <x:c r="C141" s="426" t="str">
        <x:v>GS-01</x:v>
      </x:c>
      <x:c r="D141" s="426" t="str">
        <x:v>(Por) Explainable Molecular Concept Learning with Large Language Models</x:v>
      </x:c>
      <x:c r="E141" s="426" t="str">
        <x:v>QOvtu S Zhang B Xie Z Zhang. F Sun Z Hu Y S.n- xadsci github io</x:v>
      </x:c>
      <x:c r="F141" s="426" t="str">
        <x:v>NR</x:v>
      </x:c>
      <x:c r="G141" s="426" t="str">
        <x:v>QOvtu S Zhang B Xie Z Zhang. F Sun Z Hu Y S.n- xadsci github io</x:v>
      </x:c>
      <x:c r="H141" s="426" t="str">
        <x:v>Google Scholar result</x:v>
      </x:c>
      <x:c r="I141" s="426" t="str">
        <x:v>NR</x:v>
      </x:c>
      <x:c r="J141" s="426" t="str">
        <x:v>NR</x:v>
      </x:c>
      <x:c r="K141" s="426" t="str">
        <x:v>NR — URL not captured in the available source record</x:v>
      </x:c>
      <x:c r="L141" s="426" t="str">
        <x:v>Not available in the captured evidence; the screening decision used the title and available source metadata.</x:v>
      </x:c>
      <x:c r="M141" s="426" t="str">
        <x:v>No duplicate</x:v>
      </x:c>
      <x:c r="N141" s="426" t="str">
        <x:v>Not applicable — no duplicate group</x:v>
      </x:c>
      <x:c r="O141" s="426" t="str">
        <x:v>Not applicable</x:v>
      </x:c>
      <x:c r="P141" s="426" t="str">
        <x:v>Yes</x:v>
      </x:c>
      <x:c r="Q141" s="426" t="str">
        <x:v>Exclude</x:v>
      </x:c>
      <x:c r="R141" s="426" t="str">
        <x:v>Wrong domain: molecular/LLM concept learning rather than medical imaging.</x:v>
      </x:c>
      <x:c r="S141" s="426" t="str">
        <x:v>Verification documented at process level</x:v>
      </x:c>
      <x:c r="T141" s="426" t="str">
        <x:v>Two additional authors performed random spot checks; individual spot-check assignments are not recorded in this register.</x:v>
      </x:c>
      <x:c r="U141" s="426" t="str">
        <x:v>Exclude</x:v>
      </x:c>
      <x:c r="V141" s="426" t="str">
        <x:v>Primary decision by the corresponding author; two additional authors performed random spot checks as a quality-control step.</x:v>
      </x:c>
      <x:c r="W141" s="426" t="str">
        <x:v>No</x:v>
      </x:c>
      <x:c r="X141" s="426" t="str">
        <x:v>Not applicable</x:v>
      </x:c>
      <x:c r="Y141" s="426" t="str">
        <x:v>Not assessed</x:v>
      </x:c>
      <x:c r="Z141" s="426" t="str">
        <x:v>Not advanced to full-text assessment after the title/abstract decision.</x:v>
      </x:c>
      <x:c r="AA141" s="22" t="str">
        <x:v>Not applicable</x:v>
      </x:c>
      <x:c r="AB141" s="22" t="str">
        <x:v>Record was not advanced to full-text assessment.</x:v>
      </x:c>
      <x:c r="AC141" s="22" t="str">
        <x:v>Not assessed</x:v>
      </x:c>
      <x:c r="AD141" s="22" t="str">
        <x:v>Not applicable — no full-text assessment was required.</x:v>
      </x:c>
      <x:c r="AE141" s="22" t="str">
        <x:v>Not included — title/abstract exclusion</x:v>
      </x:c>
      <x:c r="AF141" s="22" t="str">
        <x:v>Not applicable — not included</x:v>
      </x:c>
      <x:c r="AG141" s="22" t="str">
        <x:v>Evidence: 18e3402b-f6e9-44ee-97db-00c92627ca60.png; page 10, result 4. Metadata transcribed from captured Google Scholar page; OCR-normalised, verify against publication before citation.</x:v>
      </x:c>
      <x:c r="AH141" s="20" t="str">
        <x:v>No duplicate identified under the documented matching rules.</x:v>
      </x:c>
    </x:row>
    <x:row r="142" ht="42" customHeight="1">
      <x:c r="A142" s="426" t="str">
        <x:v>GS-01-095</x:v>
      </x:c>
      <x:c r="B142" s="426" t="str">
        <x:v>Google Scholar</x:v>
      </x:c>
      <x:c r="C142" s="426" t="str">
        <x:v>GS-01</x:v>
      </x:c>
      <x:c r="D142" s="426" t="str">
        <x:v>Aligning Characteristic Descriptors With Images for Improved Interpretability</x:v>
      </x:c>
      <x:c r="E142" s="426" t="str">
        <x:v>BC Yalavartri</x:v>
      </x:c>
      <x:c r="F142" s="426" t="n">
        <x:v>2024</x:v>
      </x:c>
      <x:c r="G142" s="426" t="str">
        <x:v>2024 - search praquasi com</x:v>
      </x:c>
      <x:c r="H142" s="426" t="str">
        <x:v>Google Scholar result</x:v>
      </x:c>
      <x:c r="I142" s="426" t="str">
        <x:v>NR</x:v>
      </x:c>
      <x:c r="J142" s="426" t="str">
        <x:v>NR</x:v>
      </x:c>
      <x:c r="K142" s="426" t="str">
        <x:v>NR — URL not captured in the available source record</x:v>
      </x:c>
      <x:c r="L142" s="426" t="str">
        <x:v>Not available in the captured evidence; the screening decision used the title and available source metadata.</x:v>
      </x:c>
      <x:c r="M142" s="426" t="str">
        <x:v>Confirmed duplicate</x:v>
      </x:c>
      <x:c r="N142" s="426" t="str">
        <x:v>DG-124</x:v>
      </x:c>
      <x:c r="O142" s="426" t="str">
        <x:v>GS-01-071</x:v>
      </x:c>
      <x:c r="P142" s="426" t="str">
        <x:v>No</x:v>
      </x:c>
      <x:c r="Q142" s="426" t="str">
        <x:v>Not screened</x:v>
      </x:c>
      <x:c r="R142" s="426" t="str">
        <x:v>Removed before title/abstract screening as a confirmed duplicate.</x:v>
      </x:c>
      <x:c r="S142" s="426" t="str">
        <x:v>Not applicable — removed before screening</x:v>
      </x:c>
      <x:c r="T142" s="426" t="str">
        <x:v>Record was outside the active screening set.</x:v>
      </x:c>
      <x:c r="U142" s="426" t="str">
        <x:v>Removed before screening</x:v>
      </x:c>
      <x:c r="V142" s="426" t="str">
        <x:v>Confirmed duplicate removed during deduplication.</x:v>
      </x:c>
      <x:c r="W142" s="426" t="str">
        <x:v>No</x:v>
      </x:c>
      <x:c r="X142" s="426" t="str">
        <x:v>Not applicable</x:v>
      </x:c>
      <x:c r="Y142" s="426" t="str">
        <x:v>Not assessed</x:v>
      </x:c>
      <x:c r="Z142" s="426" t="str">
        <x:v>Not applicable — record removed before screening.</x:v>
      </x:c>
      <x:c r="AA142" s="22" t="str">
        <x:v>Not applicable</x:v>
      </x:c>
      <x:c r="AB142" s="22" t="str">
        <x:v>Record was not advanced to full-text assessment.</x:v>
      </x:c>
      <x:c r="AC142" s="22" t="str">
        <x:v>Not assessed</x:v>
      </x:c>
      <x:c r="AD142" s="22" t="str">
        <x:v>Not applicable — no full-text assessment was required.</x:v>
      </x:c>
      <x:c r="AE142" s="22" t="str">
        <x:v>Removed before screening</x:v>
      </x:c>
      <x:c r="AF142" s="22" t="str">
        <x:v>Not applicable — not included</x:v>
      </x:c>
      <x:c r="AG142" s="22" t="str">
        <x:v>Evidence: 18e3402b-f6e9-44ee-97db-00c92627ca60.png; page 10, result 5. Metadata transcribed from captured Google Scholar page; OCR-normalised, verify against publication before citation.</x:v>
      </x:c>
      <x:c r="AH142" s="20" t="str">
        <x:v>No duplicate identified under the documented matching rules.</x:v>
      </x:c>
    </x:row>
    <x:row r="143" ht="42" customHeight="1">
      <x:c r="A143" s="426" t="str">
        <x:v>GS-01-096</x:v>
      </x:c>
      <x:c r="B143" s="426" t="str">
        <x:v>Google Scholar</x:v>
      </x:c>
      <x:c r="C143" s="426" t="str">
        <x:v>GS-01</x:v>
      </x:c>
      <x:c r="D143" s="426" t="str">
        <x:v>AC-MIL Weakly Supervised Atrial LGE-MRI Quality Assessment via Adversarial Concept Disentanglement</x:v>
      </x:c>
      <x:c r="E143" s="426" t="str">
        <x:v>KM Sudan KHansen BOncky AMorris -arXev pregnnt ari = 2926</x:v>
      </x:c>
      <x:c r="F143" s="426" t="str">
        <x:v>NR</x:v>
      </x:c>
      <x:c r="G143" s="426" t="str">
        <x:v>axiv org</x:v>
      </x:c>
      <x:c r="H143" s="426" t="str">
        <x:v>Google Scholar result</x:v>
      </x:c>
      <x:c r="I143" s="426" t="str">
        <x:v>NR</x:v>
      </x:c>
      <x:c r="J143" s="426" t="str">
        <x:v>2604.10303</x:v>
      </x:c>
      <x:c r="K143" s="426" t="str">
        <x:v>https://arxiv.org/pdf/2604.10303</x:v>
      </x:c>
      <x:c r="L143" s="426" t="str">
        <x:v>High-quality Late Gadolinium Enhancement (LGE) MRI can be helpful for atrial fibrillation management, yet scan quality is frequently compromised by patient motion, irregular breathing, and suboptimal image acquisition timing. While Multiple Instance Learning (MIL) has emerged as a powerful tool for automated quality assessment under weak supervision, current state-of-the-art methods map localized visual evidence to a single, opaque global feature vector. This black box approach fails to provide actionable feedback on specific failure modes, obscuring whether a scan degrades due to motion blur, inadequate contrast, or a lack of anatomical context. In this paper, we propose Adversarial Concept-MIL (AC-MIL), a weakly supervised framework that decomposes global image quality into clinically defined radiological concepts using only volume-level supervision. To capture latent quality variations without entangling predefined concepts, our framework incorporates an unsupervised residual branch guided by an adversarial erasure mechanism to strictly prevent information leakage. Furthermore, we introduce a spatial diversity constraint that penalizes overlap between distinct concept attention maps, ensuring localized and interpretable feature extraction. Extensive experiments on a clinical dataset of atrial LGE-MRI volumes demonstrate that AC-MIL successfully opens the MIL black box, providing highly localized spatial concept maps that allow clinicians to pinpoint the specific causes of non-diagnostic scans. Crucially, our framework achieves this deep clinical transparency while maintaining highly competitive ordinal grading performance against existing baselines. Code to be released on acceptance.</x:v>
      </x:c>
      <x:c r="M143" s="426" t="str">
        <x:v>No duplicate</x:v>
      </x:c>
      <x:c r="N143" s="426" t="str">
        <x:v>Not applicable — no duplicate group</x:v>
      </x:c>
      <x:c r="O143" s="426" t="str">
        <x:v>Not applicable</x:v>
      </x:c>
      <x:c r="P143" s="426" t="str">
        <x:v>Yes</x:v>
      </x:c>
      <x:c r="Q143" s="426" t="str">
        <x:v>Include</x:v>
      </x:c>
      <x:c r="R143" s="426" t="str">
        <x:v>Uses clinically defined concepts in medical imaging; retain as contextual concept-XAI evidence.</x:v>
      </x:c>
      <x:c r="S143" s="426" t="str">
        <x:v>Verification documented at process level</x:v>
      </x:c>
      <x:c r="T143" s="426" t="str">
        <x:v>Two additional authors performed random spot checks; individual spot-check assignments are not recorded in this register.</x:v>
      </x:c>
      <x:c r="U143" s="426" t="str">
        <x:v>Include</x:v>
      </x:c>
      <x:c r="V143" s="426" t="str">
        <x:v>Primary decision by the corresponding author; two additional authors performed random spot checks as a quality-control step.</x:v>
      </x:c>
      <x:c r="W143" s="426" t="str">
        <x:v>Yes</x:v>
      </x:c>
      <x:c r="X143" s="426" t="str">
        <x:v>Yes</x:v>
      </x:c>
      <x:c r="Y143" s="426" t="str">
        <x:v>Include</x:v>
      </x:c>
      <x:c r="Z143" s="426" t="str">
        <x:v>The corresponding author assessed the complete report and judged it eligible for inclusion in the review.</x:v>
      </x:c>
      <x:c r="AA143" s="22" t="str">
        <x:v>Verification documented at process level</x:v>
      </x:c>
      <x:c r="AB143" s="22" t="str">
        <x:v>Two additional authors performed random spot checks; individual spot-check assignments are not recorded in this register.</x:v>
      </x:c>
      <x:c r="AC143" s="22" t="str">
        <x:v>Include</x:v>
      </x:c>
      <x:c r="AD143" s="22" t="str">
        <x:v>Primary decision by the corresponding author; two additional authors performed random spot checks as a quality-control step.</x:v>
      </x:c>
      <x:c r="AE143" s="22" t="str">
        <x:v>Include</x:v>
      </x:c>
      <x:c r="AF143" s="22" t="str">
        <x:v>Contextual medical concept-XAI evidence</x:v>
      </x:c>
      <x:c r="AG143" s="22" t="str">
        <x:v>Evidence: 18e3402b-f6e9-44ee-97db-00c92627ca60.png; page 10, result 6. Metadata transcribed from captured Google Scholar page; OCR-normalised, verify against publication before citation.</x:v>
      </x:c>
      <x:c r="AH143" s="20" t="str">
        <x:v>No duplicate identified under the documented matching rules.</x:v>
      </x:c>
    </x:row>
    <x:row r="144" ht="42" customHeight="1">
      <x:c r="A144" s="426" t="str">
        <x:v>GS-01-097</x:v>
      </x:c>
      <x:c r="B144" s="426" t="str">
        <x:v>Google Scholar</x:v>
      </x:c>
      <x:c r="C144" s="426" t="str">
        <x:v>GS-01</x:v>
      </x:c>
      <x:c r="D144" s="426" t="str">
        <x:v>Agua. Aconcept-based explainer for learning-enabled systems</x:v>
      </x:c>
      <x:c r="E144" s="426" t="str">
        <x:v>Sate! Oran NNarodyiska SAJyath -Proceecings of thea ACM = 2326</x:v>
      </x:c>
      <x:c r="F144" s="426" t="str">
        <x:v>NR</x:v>
      </x:c>
      <x:c r="G144" s="426" t="str">
        <x:v>dl acm arg</x:v>
      </x:c>
      <x:c r="H144" s="426" t="str">
        <x:v>Google Scholar result</x:v>
      </x:c>
      <x:c r="I144" s="426" t="str">
        <x:v>NR</x:v>
      </x:c>
      <x:c r="J144" s="426" t="str">
        <x:v>NR</x:v>
      </x:c>
      <x:c r="K144" s="426" t="str">
        <x:v>NR — URL not captured in the available source record</x:v>
      </x:c>
      <x:c r="L144" s="426" t="str">
        <x:v>Not available in the captured evidence; the screening decision used the title and available source metadata.</x:v>
      </x:c>
      <x:c r="M144" s="426" t="str">
        <x:v>No duplicate</x:v>
      </x:c>
      <x:c r="N144" s="426" t="str">
        <x:v>Not applicable — no duplicate group</x:v>
      </x:c>
      <x:c r="O144" s="426" t="str">
        <x:v>Not applicable</x:v>
      </x:c>
      <x:c r="P144" s="426" t="str">
        <x:v>Yes</x:v>
      </x:c>
      <x:c r="Q144" s="426" t="str">
        <x:v>Exclude</x:v>
      </x:c>
      <x:c r="R144" s="426" t="str">
        <x:v>Generic concept-based explainer without medical or ophthalmic evaluation.</x:v>
      </x:c>
      <x:c r="S144" s="426" t="str">
        <x:v>Verification documented at process level</x:v>
      </x:c>
      <x:c r="T144" s="426" t="str">
        <x:v>Two additional authors performed random spot checks; individual spot-check assignments are not recorded in this register.</x:v>
      </x:c>
      <x:c r="U144" s="426" t="str">
        <x:v>Exclude</x:v>
      </x:c>
      <x:c r="V144" s="426" t="str">
        <x:v>Primary decision by the corresponding author; two additional authors performed random spot checks as a quality-control step.</x:v>
      </x:c>
      <x:c r="W144" s="426" t="str">
        <x:v>No</x:v>
      </x:c>
      <x:c r="X144" s="426" t="str">
        <x:v>Not applicable</x:v>
      </x:c>
      <x:c r="Y144" s="426" t="str">
        <x:v>Not assessed</x:v>
      </x:c>
      <x:c r="Z144" s="426" t="str">
        <x:v>Not advanced to full-text assessment after the title/abstract decision.</x:v>
      </x:c>
      <x:c r="AA144" s="22" t="str">
        <x:v>Not applicable</x:v>
      </x:c>
      <x:c r="AB144" s="22" t="str">
        <x:v>Record was not advanced to full-text assessment.</x:v>
      </x:c>
      <x:c r="AC144" s="22" t="str">
        <x:v>Not assessed</x:v>
      </x:c>
      <x:c r="AD144" s="22" t="str">
        <x:v>Not applicable — no full-text assessment was required.</x:v>
      </x:c>
      <x:c r="AE144" s="22" t="str">
        <x:v>Not included — title/abstract exclusion</x:v>
      </x:c>
      <x:c r="AF144" s="22" t="str">
        <x:v>Not applicable — not included</x:v>
      </x:c>
      <x:c r="AG144" s="22" t="str">
        <x:v>Evidence: 18e3402b-f6e9-44ee-97db-00c92627ca60.png; page 10, result 7. Metadata transcribed from captured Google Scholar page; OCR-normalised, verify against publication before citation.</x:v>
      </x:c>
      <x:c r="AH144" s="20" t="str">
        <x:v>No duplicate identified under the documented matching rules.</x:v>
      </x:c>
    </x:row>
    <x:row r="145" ht="42" customHeight="1">
      <x:c r="A145" s="426" t="str">
        <x:v>GS-01-098</x:v>
      </x:c>
      <x:c r="B145" s="426" t="str">
        <x:v>Google Scholar</x:v>
      </x:c>
      <x:c r="C145" s="426" t="str">
        <x:v>GS-01</x:v>
      </x:c>
      <x:c r="D145" s="426" t="str">
        <x:v>From Black-Box to Bedside’ A Framework for Explainable Al (XAl) in Deep Learning-Based Histopathological Screening of Cervical Cancer</x:v>
      </x:c>
      <x:c r="E145" s="426" t="str">
        <x:v>G Or Af Bulinger, C Shawnae © Juara 4 Okurela</x:v>
      </x:c>
      <x:c r="F145" s="426" t="n">
        <x:v>2025</x:v>
      </x:c>
      <x:c r="G145" s="426" t="str">
        <x:v>2025 - researchgate nel</x:v>
      </x:c>
      <x:c r="H145" s="426" t="str">
        <x:v>Google Scholar result</x:v>
      </x:c>
      <x:c r="I145" s="426" t="str">
        <x:v>NR</x:v>
      </x:c>
      <x:c r="J145" s="426" t="str">
        <x:v>NR</x:v>
      </x:c>
      <x:c r="K145" s="426" t="str">
        <x:v>NR — URL not captured in the available source record</x:v>
      </x:c>
      <x:c r="L145" s="426" t="str">
        <x:v>Not available in the captured evidence; the screening decision used the title and available source metadata.</x:v>
      </x:c>
      <x:c r="M145" s="426" t="str">
        <x:v>No duplicate</x:v>
      </x:c>
      <x:c r="N145" s="426" t="str">
        <x:v>Not applicable — no duplicate group</x:v>
      </x:c>
      <x:c r="O145" s="426" t="str">
        <x:v>Not applicable</x:v>
      </x:c>
      <x:c r="P145" s="426" t="str">
        <x:v>Yes</x:v>
      </x:c>
      <x:c r="Q145" s="426" t="str">
        <x:v>Exclude</x:v>
      </x:c>
      <x:c r="R145" s="426" t="str">
        <x:v>Wrong clinical domain and no explicit concept-based mechanism identified.</x:v>
      </x:c>
      <x:c r="S145" s="426" t="str">
        <x:v>Verification documented at process level</x:v>
      </x:c>
      <x:c r="T145" s="426" t="str">
        <x:v>Two additional authors performed random spot checks; individual spot-check assignments are not recorded in this register.</x:v>
      </x:c>
      <x:c r="U145" s="426" t="str">
        <x:v>Exclude</x:v>
      </x:c>
      <x:c r="V145" s="426" t="str">
        <x:v>Primary decision by the corresponding author; two additional authors performed random spot checks as a quality-control step.</x:v>
      </x:c>
      <x:c r="W145" s="426" t="str">
        <x:v>No</x:v>
      </x:c>
      <x:c r="X145" s="426" t="str">
        <x:v>Not applicable</x:v>
      </x:c>
      <x:c r="Y145" s="426" t="str">
        <x:v>Not assessed</x:v>
      </x:c>
      <x:c r="Z145" s="426" t="str">
        <x:v>Not advanced to full-text assessment after the title/abstract decision.</x:v>
      </x:c>
      <x:c r="AA145" s="22" t="str">
        <x:v>Not applicable</x:v>
      </x:c>
      <x:c r="AB145" s="22" t="str">
        <x:v>Record was not advanced to full-text assessment.</x:v>
      </x:c>
      <x:c r="AC145" s="22" t="str">
        <x:v>Not assessed</x:v>
      </x:c>
      <x:c r="AD145" s="22" t="str">
        <x:v>Not applicable — no full-text assessment was required.</x:v>
      </x:c>
      <x:c r="AE145" s="22" t="str">
        <x:v>Not included — title/abstract exclusion</x:v>
      </x:c>
      <x:c r="AF145" s="22" t="str">
        <x:v>Not applicable — not included</x:v>
      </x:c>
      <x:c r="AG145" s="22" t="str">
        <x:v>Evidence: 18e3402b-f6e9-44ee-97db-00c92627ca60.png; page 10, result 8. Metadata transcribed from captured Google Scholar page; OCR-normalised, verify against publication before citation.</x:v>
      </x:c>
      <x:c r="AH145" s="20" t="str">
        <x:v>No duplicate identified under the documented matching rules.</x:v>
      </x:c>
    </x:row>
    <x:row r="146" ht="42" customHeight="1">
      <x:c r="A146" s="426" t="str">
        <x:v>GS-01-099</x:v>
      </x:c>
      <x:c r="B146" s="426" t="str">
        <x:v>Google Scholar</x:v>
      </x:c>
      <x:c r="C146" s="426" t="str">
        <x:v>GS-01</x:v>
      </x:c>
      <x:c r="D146" s="426" t="str">
        <x:v>Bridging the gap between expert and Janguage models concept-guided chess commentary generatian and evaluation</x:v>
      </x:c>
      <x:c r="E146" s="426" t="str">
        <x:v>Kim JGoh LHwang JCho JOk</x:v>
      </x:c>
      <x:c r="F146" s="426" t="n">
        <x:v>2025</x:v>
      </x:c>
      <x:c r="G146" s="426" t="str">
        <x:v>Proceedings of the 2025 = 2025 - aclanthoragy org</x:v>
      </x:c>
      <x:c r="H146" s="426" t="str">
        <x:v>Google Scholar result</x:v>
      </x:c>
      <x:c r="I146" s="426" t="str">
        <x:v>NR</x:v>
      </x:c>
      <x:c r="J146" s="426" t="str">
        <x:v>NR</x:v>
      </x:c>
      <x:c r="K146" s="426" t="str">
        <x:v>NR — URL not captured in the available source record</x:v>
      </x:c>
      <x:c r="L146" s="426" t="str">
        <x:v>Not available in the captured evidence; the screening decision used the title and available source metadata.</x:v>
      </x:c>
      <x:c r="M146" s="426" t="str">
        <x:v>No duplicate</x:v>
      </x:c>
      <x:c r="N146" s="426" t="str">
        <x:v>Not applicable — no duplicate group</x:v>
      </x:c>
      <x:c r="O146" s="426" t="str">
        <x:v>Not applicable</x:v>
      </x:c>
      <x:c r="P146" s="426" t="str">
        <x:v>Yes</x:v>
      </x:c>
      <x:c r="Q146" s="426" t="str">
        <x:v>Exclude</x:v>
      </x:c>
      <x:c r="R146" s="426" t="str">
        <x:v>Wrong domain: concept-guided chess commentary.</x:v>
      </x:c>
      <x:c r="S146" s="426" t="str">
        <x:v>Verification documented at process level</x:v>
      </x:c>
      <x:c r="T146" s="426" t="str">
        <x:v>Two additional authors performed random spot checks; individual spot-check assignments are not recorded in this register.</x:v>
      </x:c>
      <x:c r="U146" s="426" t="str">
        <x:v>Exclude</x:v>
      </x:c>
      <x:c r="V146" s="426" t="str">
        <x:v>Primary decision by the corresponding author; two additional authors performed random spot checks as a quality-control step.</x:v>
      </x:c>
      <x:c r="W146" s="426" t="str">
        <x:v>No</x:v>
      </x:c>
      <x:c r="X146" s="426" t="str">
        <x:v>Not applicable</x:v>
      </x:c>
      <x:c r="Y146" s="426" t="str">
        <x:v>Not assessed</x:v>
      </x:c>
      <x:c r="Z146" s="426" t="str">
        <x:v>Not advanced to full-text assessment after the title/abstract decision.</x:v>
      </x:c>
      <x:c r="AA146" s="22" t="str">
        <x:v>Not applicable</x:v>
      </x:c>
      <x:c r="AB146" s="22" t="str">
        <x:v>Record was not advanced to full-text assessment.</x:v>
      </x:c>
      <x:c r="AC146" s="22" t="str">
        <x:v>Not assessed</x:v>
      </x:c>
      <x:c r="AD146" s="22" t="str">
        <x:v>Not applicable — no full-text assessment was required.</x:v>
      </x:c>
      <x:c r="AE146" s="22" t="str">
        <x:v>Not included — title/abstract exclusion</x:v>
      </x:c>
      <x:c r="AF146" s="22" t="str">
        <x:v>Not applicable — not included</x:v>
      </x:c>
      <x:c r="AG146" s="22" t="str">
        <x:v>Evidence: 18e3402b-f6e9-44ee-97db-00c92627ca60.png; page 10, result 9. Metadata transcribed from captured Google Scholar page; OCR-normalised, verify against publication before citation.</x:v>
      </x:c>
      <x:c r="AH146" s="20" t="str">
        <x:v>No duplicate identified under the documented matching rules.</x:v>
      </x:c>
    </x:row>
    <x:row r="147" ht="42" customHeight="1">
      <x:c r="A147" s="426" t="str">
        <x:v>GS-01-100</x:v>
      </x:c>
      <x:c r="B147" s="426" t="str">
        <x:v>Google Scholar</x:v>
      </x:c>
      <x:c r="C147" s="426" t="str">
        <x:v>GS-01</x:v>
      </x:c>
      <x:c r="D147" s="426" t="str">
        <x:v>A ResNet-50 Classifier with Grad-CAM and SHAP for Explainable Breast Cancer Detection in Dense Mammography Comparison with Human Radiologist</x:v>
      </x:c>
      <x:c r="E147" s="426" t="str">
        <x:v>AS Pilg AAbray, MP Cota | Paiva LG Viewa</x:v>
      </x:c>
      <x:c r="F147" s="426" t="n">
        <x:v>2026</x:v>
      </x:c>
      <x:c r="G147" s="426" t="str">
        <x:v>2026 - researcnscuare com</x:v>
      </x:c>
      <x:c r="H147" s="426" t="str">
        <x:v>Google Scholar result</x:v>
      </x:c>
      <x:c r="I147" s="426" t="str">
        <x:v>NR</x:v>
      </x:c>
      <x:c r="J147" s="426" t="str">
        <x:v>NR</x:v>
      </x:c>
      <x:c r="K147" s="426" t="str">
        <x:v>NR — URL not captured in the available source record</x:v>
      </x:c>
      <x:c r="L147" s="426" t="str">
        <x:v>Not available in the captured evidence; the screening decision used the title and available source metadata.</x:v>
      </x:c>
      <x:c r="M147" s="426" t="str">
        <x:v>No duplicate</x:v>
      </x:c>
      <x:c r="N147" s="426" t="str">
        <x:v>DG-019</x:v>
      </x:c>
      <x:c r="O147" s="426" t="str">
        <x:v>Not applicable</x:v>
      </x:c>
      <x:c r="P147" s="426" t="str">
        <x:v>Yes</x:v>
      </x:c>
      <x:c r="Q147" s="426" t="str">
        <x:v>Exclude</x:v>
      </x:c>
      <x:c r="R147" s="426" t="str">
        <x:v>Uses conventional Grad-CAM and SHAP attribution only, without concept-based explanation.</x:v>
      </x:c>
      <x:c r="S147" s="426" t="str">
        <x:v>Verification documented at process level</x:v>
      </x:c>
      <x:c r="T147" s="426" t="str">
        <x:v>Two additional authors performed random spot checks; individual spot-check assignments are not recorded in this register.</x:v>
      </x:c>
      <x:c r="U147" s="426" t="str">
        <x:v>Exclude</x:v>
      </x:c>
      <x:c r="V147" s="426" t="str">
        <x:v>Primary decision by the corresponding author; two additional authors performed random spot checks as a quality-control step.</x:v>
      </x:c>
      <x:c r="W147" s="426" t="str">
        <x:v>No</x:v>
      </x:c>
      <x:c r="X147" s="426" t="str">
        <x:v>Not applicable</x:v>
      </x:c>
      <x:c r="Y147" s="426" t="str">
        <x:v>Not assessed</x:v>
      </x:c>
      <x:c r="Z147" s="426" t="str">
        <x:v>Not advanced to full-text assessment after the title/abstract decision.</x:v>
      </x:c>
      <x:c r="AA147" s="22" t="str">
        <x:v>Not applicable</x:v>
      </x:c>
      <x:c r="AB147" s="22" t="str">
        <x:v>Record was not advanced to full-text assessment.</x:v>
      </x:c>
      <x:c r="AC147" s="22" t="str">
        <x:v>Not assessed</x:v>
      </x:c>
      <x:c r="AD147" s="22" t="str">
        <x:v>Not applicable — no full-text assessment was required.</x:v>
      </x:c>
      <x:c r="AE147" s="22" t="str">
        <x:v>Not included — title/abstract exclusion</x:v>
      </x:c>
      <x:c r="AF147" s="22" t="str">
        <x:v>Not applicable — not included</x:v>
      </x:c>
      <x:c r="AG147" s="22" t="str">
        <x:v>Evidence: 18e3402b-f6e9-44ee-97db-00c92627ca60.png; page 10, result 10. Metadata transcribed from captured Google Scholar page; OCR-normalised, verify against publication before citation.</x:v>
      </x:c>
      <x:c r="AH147" s="20" t="str">
        <x:v>Confirmed using normalized title across captured searches.</x:v>
      </x:c>
    </x:row>
    <x:row r="148" ht="42" customHeight="1">
      <x:c r="A148" s="426" t="str">
        <x:v>GS-02-001</x:v>
      </x:c>
      <x:c r="B148" s="426" t="str">
        <x:v>Google Scholar</x:v>
      </x:c>
      <x:c r="C148" s="426" t="str">
        <x:v>GS-02</x:v>
      </x:c>
      <x:c r="D148" s="426" t="str">
        <x:v>(xTML] Protctype-guided promptable retinal lesion segmentation from coarse annotations</x:v>
      </x:c>
      <x:c r="E148" s="426" t="str">
        <x:v>O Yu, X Sing</x:v>
      </x:c>
      <x:c r="F148" s="426" t="str">
        <x:v>NR</x:v>
      </x:c>
      <x:c r="G148" s="426" t="str">
        <x:v>Electronics 2325 - mop: com</x:v>
      </x:c>
      <x:c r="H148" s="426" t="str">
        <x:v>Google Scholar result</x:v>
      </x:c>
      <x:c r="I148" s="426" t="str">
        <x:v>10.3390/electronics14163252</x:v>
      </x:c>
      <x:c r="J148" s="426" t="str">
        <x:v>NR</x:v>
      </x:c>
      <x:c r="K148" s="426" t="str">
        <x:v>https://www.mdpi.com/2079-9292/14/16/3252</x:v>
      </x:c>
      <x:c r="L148" s="426" t="str">
        <x:v>Accurate segmentation of retinal lesions is critical for the diagnosis and management of ophthalmic diseases, but pixel-level annotation is labor-intensive and demanding in clinical scenarios. To address this, we introduce a promptable segmentation approach based on prototype learning that enables precise retinal lesion segmentation from low-cost, coarse annotations. Our framework treats clinician-provided coarse masks (such as ellipses) as prompts to guide the extraction and refinement of lesion and background feature prototypes. A lightweight U-Net backbone fuses image content with spatial priors, while a superpixel-guided prototype weighting module is employed to mitigate background interference within coarse prompts. We simulate coarse prompts from fine-grained masks to train the model, and extensively validate our method across three datasets (IDRiD, DDR, and a private clinical set) with a range of annotation coarseness levels. Experimental results demonstrate that our prototype-based model significantly outperforms fully supervised and non-prototypical promptable baselines, achieving more accurate and robust segmentation, particularly for challenging and variable lesions. The approach exhibits excellent adaptability to unseen data distributions and lesion types, maintaining stable performance even under highly coarse prompts. This work highlights the potential of prompt-driven, prototype-based solutions for efficient and reliable medical image segmentation in practical clinical settings.</x:v>
      </x:c>
      <x:c r="M148" s="426" t="str">
        <x:v>No duplicate</x:v>
      </x:c>
      <x:c r="N148" s="426" t="str">
        <x:v>Not applicable — no duplicate group</x:v>
      </x:c>
      <x:c r="O148" s="426" t="str">
        <x:v>Not applicable</x:v>
      </x:c>
      <x:c r="P148" s="426" t="str">
        <x:v>Yes</x:v>
      </x:c>
      <x:c r="Q148" s="426" t="str">
        <x:v>Include</x:v>
      </x:c>
      <x:c r="R148" s="426" t="str">
        <x:v>Direct retinal imaging study using prototype-guided lesion segmentation.</x:v>
      </x:c>
      <x:c r="S148" s="426" t="str">
        <x:v>Verification documented at process level</x:v>
      </x:c>
      <x:c r="T148" s="426" t="str">
        <x:v>Two additional authors performed random spot checks; individual spot-check assignments are not recorded in this register.</x:v>
      </x:c>
      <x:c r="U148" s="426" t="str">
        <x:v>Include</x:v>
      </x:c>
      <x:c r="V148" s="426" t="str">
        <x:v>Primary decision by the corresponding author; two additional authors performed random spot checks as a quality-control step.</x:v>
      </x:c>
      <x:c r="W148" s="426" t="str">
        <x:v>Yes</x:v>
      </x:c>
      <x:c r="X148" s="426" t="str">
        <x:v>Yes</x:v>
      </x:c>
      <x:c r="Y148" s="426" t="str">
        <x:v>Include</x:v>
      </x:c>
      <x:c r="Z148" s="426" t="str">
        <x:v>The corresponding author assessed the complete report and judged it eligible for inclusion in the review.</x:v>
      </x:c>
      <x:c r="AA148" s="22" t="str">
        <x:v>Verification documented at process level</x:v>
      </x:c>
      <x:c r="AB148" s="22" t="str">
        <x:v>Two additional authors performed random spot checks; individual spot-check assignments are not recorded in this register.</x:v>
      </x:c>
      <x:c r="AC148" s="22" t="str">
        <x:v>Include</x:v>
      </x:c>
      <x:c r="AD148" s="22" t="str">
        <x:v>Primary decision by the corresponding author; two additional authors performed random spot checks as a quality-control step.</x:v>
      </x:c>
      <x:c r="AE148" s="22" t="str">
        <x:v>Include</x:v>
      </x:c>
      <x:c r="AF148" s="22" t="str">
        <x:v>Direct retinal/ophthalmic evidence</x:v>
      </x:c>
      <x:c r="AG148" s="22" t="str">
        <x:v>Evidence: ddc0e077-e9e0-436a-846a-aedc279e4589.png; page 1, result 1. Metadata transcribed from captured Google Scholar page; OCR-normalised, verify against publication before citation.</x:v>
      </x:c>
      <x:c r="AH148" s="20" t="str">
        <x:v>No duplicate identified under the documented matching rules.</x:v>
      </x:c>
    </x:row>
    <x:row r="149" ht="42" customHeight="1">
      <x:c r="A149" s="426" t="str">
        <x:v>GS-02-002</x:v>
      </x:c>
      <x:c r="B149" s="426" t="str">
        <x:v>Google Scholar</x:v>
      </x:c>
      <x:c r="C149" s="426" t="str">
        <x:v>GS-02</x:v>
      </x:c>
      <x:c r="D149" s="426" t="str">
        <x:v>Prototype-based interpretable model for glaucoma detection</x:v>
      </x:c>
      <x:c r="E149" s="426" t="str">
        <x:v>M Singh BS Vivek J Guobi =</x:v>
      </x:c>
      <x:c r="F149" s="426" t="n">
        <x:v>2024</x:v>
      </x:c>
      <x:c r="G149" s="426" t="str">
        <x:v>2024 IEEE/CVF 2024 - leeaxpiore lege crg</x:v>
      </x:c>
      <x:c r="H149" s="426" t="str">
        <x:v>Google Scholar result</x:v>
      </x:c>
      <x:c r="I149" s="426" t="str">
        <x:v>NR</x:v>
      </x:c>
      <x:c r="J149" s="426" t="str">
        <x:v>NR</x:v>
      </x:c>
      <x:c r="K149" s="426" t="str">
        <x:v>NR — URL not captured in the available source record</x:v>
      </x:c>
      <x:c r="L149" s="426" t="str">
        <x:v>Not available in the captured evidence; the screening decision used the title and available source metadata.</x:v>
      </x:c>
      <x:c r="M149" s="426" t="str">
        <x:v>Removed from analytic set — unverifiable bibliographic artifact</x:v>
      </x:c>
      <x:c r="N149" s="426" t="str">
        <x:v>Not applicable — bibliographic artifact</x:v>
      </x:c>
      <x:c r="O149" s="426" t="str">
        <x:v>Not applicable</x:v>
      </x:c>
      <x:c r="P149" s="426" t="str">
        <x:v>No</x:v>
      </x:c>
      <x:c r="Q149" s="426" t="str">
        <x:v>Not screened</x:v>
      </x:c>
      <x:c r="R149" s="426" t="str">
        <x:v>Removed before title/abstract screening because the bibliographic artifact could not be verified.</x:v>
      </x:c>
      <x:c r="S149" s="426" t="str">
        <x:v>Not applicable — removed before screening</x:v>
      </x:c>
      <x:c r="T149" s="426" t="str">
        <x:v>Record was outside the active screening set.</x:v>
      </x:c>
      <x:c r="U149" s="426" t="str">
        <x:v>Removed before screening</x:v>
      </x:c>
      <x:c r="V149" s="426" t="str">
        <x:v>Unverifiable bibliographic artifact removed during verification.</x:v>
      </x:c>
      <x:c r="W149" s="426" t="str">
        <x:v>No</x:v>
      </x:c>
      <x:c r="X149" s="426" t="str">
        <x:v>Not applicable</x:v>
      </x:c>
      <x:c r="Y149" s="426" t="str">
        <x:v>Not assessed</x:v>
      </x:c>
      <x:c r="Z149" s="426" t="str">
        <x:v>Not applicable — record removed before screening.</x:v>
      </x:c>
      <x:c r="AA149" s="22" t="str">
        <x:v>Not applicable</x:v>
      </x:c>
      <x:c r="AB149" s="22" t="str">
        <x:v>Record was not advanced to full-text assessment.</x:v>
      </x:c>
      <x:c r="AC149" s="22" t="str">
        <x:v>Not assessed</x:v>
      </x:c>
      <x:c r="AD149" s="22" t="str">
        <x:v>Not applicable — no full-text assessment was required.</x:v>
      </x:c>
      <x:c r="AE149" s="22" t="str">
        <x:v>Removed before screening</x:v>
      </x:c>
      <x:c r="AF149" s="22" t="str">
        <x:v>Not applicable — not included</x:v>
      </x:c>
      <x:c r="AG149" s="22" t="str">
        <x:v>Evidence: ddc0e077-e9e0-436a-846a-aedc279e4589.png; page 1, result 2. Metadata transcribed from captured Google Scholar page; OCR-normalised, verify against publication before citation. Removed during bibliographic verification: the screenshot/OCR-derived title could not be matched to an authoritative scholarly record. Retained only in the audit trail and excluded from all active denominators.</x:v>
      </x:c>
      <x:c r="AH149" s="20" t="str">
        <x:v>Removed during bibliographic verification: the screenshot/OCR-derived title could not be matched to an authoritative scholarly record. Retained only in the audit trail and excluded from all active denominators.</x:v>
      </x:c>
    </x:row>
    <x:row r="150" ht="42" customHeight="1">
      <x:c r="A150" s="426" t="str">
        <x:v>GS-02-003</x:v>
      </x:c>
      <x:c r="B150" s="426" t="str">
        <x:v>Google Scholar</x:v>
      </x:c>
      <x:c r="C150" s="426" t="str">
        <x:v>GS-02</x:v>
      </x:c>
      <x:c r="D150" s="426" t="str">
        <x:v>(4TML] PiPViT: Patch -based Visual Interpretable Prototypes for retinal image analysis</x:v>
      </x:c>
      <x:c r="E150" s="426" t="str">
        <x:v>M Oghbsie TArawo GS Reilear WH Sogunovic- Signal Precessing and =. 2026</x:v>
      </x:c>
      <x:c r="F150" s="426" t="n">
        <x:v>2026</x:v>
      </x:c>
      <x:c r="G150" s="426" t="str">
        <x:v>Elsewer</x:v>
      </x:c>
      <x:c r="H150" s="426" t="str">
        <x:v>Google Scholar result</x:v>
      </x:c>
      <x:c r="I150" s="426" t="str">
        <x:v>NR</x:v>
      </x:c>
      <x:c r="J150" s="426" t="str">
        <x:v>NR</x:v>
      </x:c>
      <x:c r="K150" s="426" t="str">
        <x:v>NR — URL not captured in the available source record</x:v>
      </x:c>
      <x:c r="L150" s="426" t="str">
        <x:v>Not available in the captured evidence; the screening decision used the title and available source metadata.</x:v>
      </x:c>
      <x:c r="M150" s="426" t="str">
        <x:v>Confirmed duplicate</x:v>
      </x:c>
      <x:c r="N150" s="426" t="str">
        <x:v>DG-020</x:v>
      </x:c>
      <x:c r="O150" s="426" t="str">
        <x:v>ARXIV-02-007</x:v>
      </x:c>
      <x:c r="P150" s="426" t="str">
        <x:v>No</x:v>
      </x:c>
      <x:c r="Q150" s="426" t="str">
        <x:v>Not screened</x:v>
      </x:c>
      <x:c r="R150" s="426" t="str">
        <x:v>Removed before title/abstract screening as a confirmed duplicate.</x:v>
      </x:c>
      <x:c r="S150" s="426" t="str">
        <x:v>Not applicable — removed before screening</x:v>
      </x:c>
      <x:c r="T150" s="426" t="str">
        <x:v>Record was outside the active screening set.</x:v>
      </x:c>
      <x:c r="U150" s="426" t="str">
        <x:v>Removed before screening</x:v>
      </x:c>
      <x:c r="V150" s="426" t="str">
        <x:v>Confirmed duplicate removed during deduplication.</x:v>
      </x:c>
      <x:c r="W150" s="426" t="str">
        <x:v>No</x:v>
      </x:c>
      <x:c r="X150" s="426" t="str">
        <x:v>Not applicable</x:v>
      </x:c>
      <x:c r="Y150" s="426" t="str">
        <x:v>Not assessed</x:v>
      </x:c>
      <x:c r="Z150" s="426" t="str">
        <x:v>Not applicable — record removed before screening.</x:v>
      </x:c>
      <x:c r="AA150" s="22" t="str">
        <x:v>Not applicable</x:v>
      </x:c>
      <x:c r="AB150" s="22" t="str">
        <x:v>Record was not advanced to full-text assessment.</x:v>
      </x:c>
      <x:c r="AC150" s="22" t="str">
        <x:v>Not assessed</x:v>
      </x:c>
      <x:c r="AD150" s="22" t="str">
        <x:v>Not applicable — no full-text assessment was required.</x:v>
      </x:c>
      <x:c r="AE150" s="22" t="str">
        <x:v>Removed before screening</x:v>
      </x:c>
      <x:c r="AF150" s="22" t="str">
        <x:v>Not applicable — not included</x:v>
      </x:c>
      <x:c r="AG150" s="22" t="str">
        <x:v>Evidence: ddc0e077-e9e0-436a-846a-aedc279e4589.png; page 1, result 3. Metadata transcribed from captured Google Scholar page; OCR-normalised, verify against publication before citation.</x:v>
      </x:c>
      <x:c r="AH150" s="20" t="str">
        <x:v>Confirmed using normalized title across captured searches.</x:v>
      </x:c>
    </x:row>
    <x:row r="151" ht="42" customHeight="1">
      <x:c r="A151" s="426" t="str">
        <x:v>GS-02-004</x:v>
      </x:c>
      <x:c r="B151" s="426" t="str">
        <x:v>Google Scholar</x:v>
      </x:c>
      <x:c r="C151" s="426" t="str">
        <x:v>GS-02</x:v>
      </x:c>
      <x:c r="D151" s="426" t="str">
        <x:v>ProtoPatchNet: An interpretable patch-bassd prototypical network</x:v>
      </x:c>
      <x:c r="E151" s="426" t="str">
        <x:v>M Singh J Gubki RY Sabu</x:v>
      </x:c>
      <x:c r="F151" s="426" t="str">
        <x:v>NR</x:v>
      </x:c>
      <x:c r="G151" s="426" t="str">
        <x:v>Proceedings cf the IEEE 2625 - cpenaccess thecyf com</x:v>
      </x:c>
      <x:c r="H151" s="426" t="str">
        <x:v>Google Scholar result</x:v>
      </x:c>
      <x:c r="I151" s="426" t="str">
        <x:v>NR</x:v>
      </x:c>
      <x:c r="J151" s="426" t="str">
        <x:v>NR</x:v>
      </x:c>
      <x:c r="K151" s="426" t="str">
        <x:v>NR — URL not captured in the available source record</x:v>
      </x:c>
      <x:c r="L151" s="426" t="str">
        <x:v>Not available in the captured evidence; the screening decision used the title and available source metadata.</x:v>
      </x:c>
      <x:c r="M151" s="426" t="str">
        <x:v>No duplicate</x:v>
      </x:c>
      <x:c r="N151" s="426" t="str">
        <x:v>Not applicable — no duplicate group</x:v>
      </x:c>
      <x:c r="O151" s="426" t="str">
        <x:v>Not applicable</x:v>
      </x:c>
      <x:c r="P151" s="426" t="str">
        <x:v>Yes</x:v>
      </x:c>
      <x:c r="Q151" s="426" t="str">
        <x:v>Exclude</x:v>
      </x:c>
      <x:c r="R151" s="426" t="str">
        <x:v>Generic prototype method without medical or ophthalmic evaluation.</x:v>
      </x:c>
      <x:c r="S151" s="426" t="str">
        <x:v>Verification documented at process level</x:v>
      </x:c>
      <x:c r="T151" s="426" t="str">
        <x:v>Two additional authors performed random spot checks; individual spot-check assignments are not recorded in this register.</x:v>
      </x:c>
      <x:c r="U151" s="426" t="str">
        <x:v>Exclude</x:v>
      </x:c>
      <x:c r="V151" s="426" t="str">
        <x:v>Primary decision by the corresponding author; two additional authors performed random spot checks as a quality-control step.</x:v>
      </x:c>
      <x:c r="W151" s="426" t="str">
        <x:v>No</x:v>
      </x:c>
      <x:c r="X151" s="426" t="str">
        <x:v>Not applicable</x:v>
      </x:c>
      <x:c r="Y151" s="426" t="str">
        <x:v>Not assessed</x:v>
      </x:c>
      <x:c r="Z151" s="426" t="str">
        <x:v>Not advanced to full-text assessment after the title/abstract decision.</x:v>
      </x:c>
      <x:c r="AA151" s="22" t="str">
        <x:v>Not applicable</x:v>
      </x:c>
      <x:c r="AB151" s="22" t="str">
        <x:v>Record was not advanced to full-text assessment.</x:v>
      </x:c>
      <x:c r="AC151" s="22" t="str">
        <x:v>Not assessed</x:v>
      </x:c>
      <x:c r="AD151" s="22" t="str">
        <x:v>Not applicable — no full-text assessment was required.</x:v>
      </x:c>
      <x:c r="AE151" s="22" t="str">
        <x:v>Not included — title/abstract exclusion</x:v>
      </x:c>
      <x:c r="AF151" s="22" t="str">
        <x:v>Not applicable — not included</x:v>
      </x:c>
      <x:c r="AG151" s="22" t="str">
        <x:v>Evidence: ddc0e077-e9e0-436a-846a-aedc279e4589.png; page 1, result 4. Metadata transcribed from captured Google Scholar page; OCR-normalised, verify against publication before citation.</x:v>
      </x:c>
      <x:c r="AH151" s="20" t="str">
        <x:v>No duplicate identified under the documented matching rules.</x:v>
      </x:c>
    </x:row>
    <x:row r="152" ht="42" customHeight="1">
      <x:c r="A152" s="426" t="str">
        <x:v>GS-02-005</x:v>
      </x:c>
      <x:c r="B152" s="426" t="str">
        <x:v>Google Scholar</x:v>
      </x:c>
      <x:c r="C152" s="426" t="str">
        <x:v>GS-02</x:v>
      </x:c>
      <x:c r="D152" s="426" t="str">
        <x:v>Cross-and intra-imags prototypical learning for multi-label disease diagnosis and interpretation</x:v>
      </x:c>
      <x:c r="E152" s="426" t="str">
        <x:v>CwWang Flu. * Chen HFrazer. -IEEE “ransactiois on = 2025</x:v>
      </x:c>
      <x:c r="F152" s="426" t="n">
        <x:v>2025</x:v>
      </x:c>
      <x:c r="G152" s="426" t="str">
        <x:v>ieeexplore ieae arg</x:v>
      </x:c>
      <x:c r="H152" s="426" t="str">
        <x:v>Google Scholar result</x:v>
      </x:c>
      <x:c r="I152" s="426" t="str">
        <x:v>NR</x:v>
      </x:c>
      <x:c r="J152" s="426" t="str">
        <x:v>NR</x:v>
      </x:c>
      <x:c r="K152" s="426" t="str">
        <x:v>NR — URL not captured in the available source record</x:v>
      </x:c>
      <x:c r="L152" s="426" t="str">
        <x:v>Not available in the captured evidence; the screening decision used the title and available source metadata.</x:v>
      </x:c>
      <x:c r="M152" s="426" t="str">
        <x:v>Confirmed duplicate</x:v>
      </x:c>
      <x:c r="N152" s="426" t="str">
        <x:v>DG-004</x:v>
      </x:c>
      <x:c r="O152" s="426" t="str">
        <x:v>PM-012</x:v>
      </x:c>
      <x:c r="P152" s="426" t="str">
        <x:v>No</x:v>
      </x:c>
      <x:c r="Q152" s="426" t="str">
        <x:v>Not screened</x:v>
      </x:c>
      <x:c r="R152" s="426" t="str">
        <x:v>Removed before title/abstract screening as a confirmed duplicate.</x:v>
      </x:c>
      <x:c r="S152" s="426" t="str">
        <x:v>Not applicable — removed before screening</x:v>
      </x:c>
      <x:c r="T152" s="426" t="str">
        <x:v>Record was outside the active screening set.</x:v>
      </x:c>
      <x:c r="U152" s="426" t="str">
        <x:v>Removed before screening</x:v>
      </x:c>
      <x:c r="V152" s="426" t="str">
        <x:v>Confirmed duplicate removed during deduplication.</x:v>
      </x:c>
      <x:c r="W152" s="426" t="str">
        <x:v>No</x:v>
      </x:c>
      <x:c r="X152" s="426" t="str">
        <x:v>Not applicable</x:v>
      </x:c>
      <x:c r="Y152" s="426" t="str">
        <x:v>Not assessed</x:v>
      </x:c>
      <x:c r="Z152" s="426" t="str">
        <x:v>Not applicable — record removed before screening.</x:v>
      </x:c>
      <x:c r="AA152" s="22" t="str">
        <x:v>Not applicable</x:v>
      </x:c>
      <x:c r="AB152" s="22" t="str">
        <x:v>Record was not advanced to full-text assessment.</x:v>
      </x:c>
      <x:c r="AC152" s="22" t="str">
        <x:v>Not assessed</x:v>
      </x:c>
      <x:c r="AD152" s="22" t="str">
        <x:v>Not applicable — no full-text assessment was required.</x:v>
      </x:c>
      <x:c r="AE152" s="22" t="str">
        <x:v>Removed before screening</x:v>
      </x:c>
      <x:c r="AF152" s="22" t="str">
        <x:v>Not applicable — not included</x:v>
      </x:c>
      <x:c r="AG152" s="22" t="str">
        <x:v>Evidence: ddc0e077-e9e0-436a-846a-aedc279e4589.png; page 1, result 5. Metadata transcribed from captured Google Scholar page; OCR-normalised, verify against publication before citation.</x:v>
      </x:c>
      <x:c r="AH152" s="20" t="str">
        <x:v>Confirmed using DOI/title evidence; identifier/title evidence; normalized title across captured searches.</x:v>
      </x:c>
    </x:row>
    <x:row r="153" ht="42" customHeight="1">
      <x:c r="A153" s="426" t="str">
        <x:v>GS-02-006</x:v>
      </x:c>
      <x:c r="B153" s="426" t="str">
        <x:v>Google Scholar</x:v>
      </x:c>
      <x:c r="C153" s="426" t="str">
        <x:v>GS-02</x:v>
      </x:c>
      <x:c r="D153" s="426" t="str">
        <x:v>Decentralized tearning for medical image classification with prototypical contrastive network</x:v>
      </x:c>
      <x:c r="E153" s="426" t="str">
        <x:v>2Caz ¥Sh.S Zhang H Chan. WLi, GYue -Madical 2025</x:v>
      </x:c>
      <x:c r="F153" s="426" t="n">
        <x:v>2025</x:v>
      </x:c>
      <x:c r="G153" s="426" t="str">
        <x:v>Wiley Coline Library</x:v>
      </x:c>
      <x:c r="H153" s="426" t="str">
        <x:v>Google Scholar result</x:v>
      </x:c>
      <x:c r="I153" s="426" t="str">
        <x:v>NR</x:v>
      </x:c>
      <x:c r="J153" s="426" t="str">
        <x:v>NR</x:v>
      </x:c>
      <x:c r="K153" s="426" t="str">
        <x:v>NR — URL not captured in the available source record</x:v>
      </x:c>
      <x:c r="L153" s="426" t="str">
        <x:v>Not available in the captured evidence; the screening decision used the title and available source metadata.</x:v>
      </x:c>
      <x:c r="M153" s="426" t="str">
        <x:v>No duplicate</x:v>
      </x:c>
      <x:c r="N153" s="426" t="str">
        <x:v>Not applicable — no duplicate group</x:v>
      </x:c>
      <x:c r="O153" s="426" t="str">
        <x:v>Not applicable</x:v>
      </x:c>
      <x:c r="P153" s="426" t="str">
        <x:v>Yes</x:v>
      </x:c>
      <x:c r="Q153" s="426" t="str">
        <x:v>Exclude</x:v>
      </x:c>
      <x:c r="R153" s="426" t="str">
        <x:v>Prototypes support decentralized contrastive learning rather than explanation.</x:v>
      </x:c>
      <x:c r="S153" s="426" t="str">
        <x:v>Verification documented at process level</x:v>
      </x:c>
      <x:c r="T153" s="426" t="str">
        <x:v>Two additional authors performed random spot checks; individual spot-check assignments are not recorded in this register.</x:v>
      </x:c>
      <x:c r="U153" s="426" t="str">
        <x:v>Exclude</x:v>
      </x:c>
      <x:c r="V153" s="426" t="str">
        <x:v>Primary decision by the corresponding author; two additional authors performed random spot checks as a quality-control step.</x:v>
      </x:c>
      <x:c r="W153" s="426" t="str">
        <x:v>No</x:v>
      </x:c>
      <x:c r="X153" s="426" t="str">
        <x:v>Not applicable</x:v>
      </x:c>
      <x:c r="Y153" s="426" t="str">
        <x:v>Not assessed</x:v>
      </x:c>
      <x:c r="Z153" s="426" t="str">
        <x:v>Not advanced to full-text assessment after the title/abstract decision.</x:v>
      </x:c>
      <x:c r="AA153" s="22" t="str">
        <x:v>Not applicable</x:v>
      </x:c>
      <x:c r="AB153" s="22" t="str">
        <x:v>Record was not advanced to full-text assessment.</x:v>
      </x:c>
      <x:c r="AC153" s="22" t="str">
        <x:v>Not assessed</x:v>
      </x:c>
      <x:c r="AD153" s="22" t="str">
        <x:v>Not applicable — no full-text assessment was required.</x:v>
      </x:c>
      <x:c r="AE153" s="22" t="str">
        <x:v>Not included — title/abstract exclusion</x:v>
      </x:c>
      <x:c r="AF153" s="22" t="str">
        <x:v>Not applicable — not included</x:v>
      </x:c>
      <x:c r="AG153" s="22" t="str">
        <x:v>Evidence: ddc0e077-e9e0-436a-846a-aedc279e4589.png; page 1, result 6. Metadata transcribed from captured Google Scholar page; OCR-normalised, verify against publication before citation.</x:v>
      </x:c>
      <x:c r="AH153" s="20" t="str">
        <x:v>No duplicate identified under the documented matching rules.</x:v>
      </x:c>
    </x:row>
    <x:row r="154" ht="42" customHeight="1">
      <x:c r="A154" s="426" t="str">
        <x:v>GS-02-007</x:v>
      </x:c>
      <x:c r="B154" s="426" t="str">
        <x:v>Google Scholar</x:v>
      </x:c>
      <x:c r="C154" s="426" t="str">
        <x:v>GS-02</x:v>
      </x:c>
      <x:c r="D154" s="426" t="str">
        <x:v>A novel few-shot classification framework for diahetic retinopathy detection and grading</x:v>
      </x:c>
      <x:c r="E154" s="426" t="str">
        <x:v>MMuugappar NB Prakash R Jeya</x:v>
      </x:c>
      <x:c r="F154" s="426" t="str">
        <x:v>NR</x:v>
      </x:c>
      <x:c r="G154" s="426" t="str">
        <x:v>Measuremen! 2122 - Elsevier</x:v>
      </x:c>
      <x:c r="H154" s="426" t="str">
        <x:v>Google Scholar result</x:v>
      </x:c>
      <x:c r="I154" s="426" t="str">
        <x:v>10.1016/j.measurement.2022.111485</x:v>
      </x:c>
      <x:c r="J154" s="426" t="str">
        <x:v>NR</x:v>
      </x:c>
      <x:c r="K154" s="426" t="str">
        <x:v>https://irep.ntu.ac.uk/id/eprint/47016/1/1596874_Mahmud.pdf</x:v>
      </x:c>
      <x:c r="L154" s="426" t="str">
        <x:v>Diabetes Retinopathy (DR) is a major microvascular complication of diabetes. Computer-Aided Diagnosis (CAD) tools for DR management are primarily developed using Artificial Intelligence (AI) methods, such as machine and deep learning algorithms. DR diagnostic tools have been developed in recent years using deep learning models. Thus, these models require large amounts of data for training. Consequently, these huge amounts of data are not balanced due to fewer cases in the dataset. To solve the problems associated with training models with small datasets, such as overfitting and poor approximation, this paper proposes a paradigm called Few-Shot Learning (FSL) which uses a relatively small amount of training data to train the models effectively. This paper proposes a novel prototype network, a type of FSL classification network capable of grading and detecting DR based on attention. The DRNet framework uses episodic learning to train its model on few-shot classification tasks. We developed a DRNet based on the APTOS2019 dataset for diabetic detection and grading. In the proposed network, aggregated transformations and gradient activations of classes are leveraged to design the attention mechanism to capture image representations. As a result, the system achieves 99.73 % accuracy, 99.82 % sensitivity, 99.63 % specificity in DR detection, 98.18 % accuracy, 97.41% sensitivity, and 99.55% specificity in DR grading. An analysis of objective performance metrics and model interpretation shows that the proposed model can detect DR more efficiently and grade the severity more accurately when using unseen fundus images than existing state-of-the-art methods. Therefore, this tool could help provide a second opinion to an ophthalmologist about the severity level of DR.</x:v>
      </x:c>
      <x:c r="M154" s="426" t="str">
        <x:v>No duplicate</x:v>
      </x:c>
      <x:c r="N154" s="426" t="str">
        <x:v>Not applicable — no duplicate group</x:v>
      </x:c>
      <x:c r="O154" s="426" t="str">
        <x:v>Not applicable</x:v>
      </x:c>
      <x:c r="P154" s="426" t="str">
        <x:v>Yes</x:v>
      </x:c>
      <x:c r="Q154" s="426" t="str">
        <x:v>Include</x:v>
      </x:c>
      <x:c r="R154" s="426" t="str">
        <x:v>Direct retinal study using a prototype network; retain for full-text interpretability assessment.</x:v>
      </x:c>
      <x:c r="S154" s="426" t="str">
        <x:v>Verification documented at process level</x:v>
      </x:c>
      <x:c r="T154" s="426" t="str">
        <x:v>Two additional authors performed random spot checks; individual spot-check assignments are not recorded in this register.</x:v>
      </x:c>
      <x:c r="U154" s="426" t="str">
        <x:v>Include</x:v>
      </x:c>
      <x:c r="V154" s="426" t="str">
        <x:v>Primary decision by the corresponding author; two additional authors performed random spot checks as a quality-control step.</x:v>
      </x:c>
      <x:c r="W154" s="426" t="str">
        <x:v>Yes</x:v>
      </x:c>
      <x:c r="X154" s="426" t="str">
        <x:v>Yes</x:v>
      </x:c>
      <x:c r="Y154" s="426" t="str">
        <x:v>Include</x:v>
      </x:c>
      <x:c r="Z154" s="426" t="str">
        <x:v>The corresponding author assessed the complete report and judged it eligible for inclusion in the review.</x:v>
      </x:c>
      <x:c r="AA154" s="22" t="str">
        <x:v>Verification documented at process level</x:v>
      </x:c>
      <x:c r="AB154" s="22" t="str">
        <x:v>Two additional authors performed random spot checks; individual spot-check assignments are not recorded in this register.</x:v>
      </x:c>
      <x:c r="AC154" s="22" t="str">
        <x:v>Include</x:v>
      </x:c>
      <x:c r="AD154" s="22" t="str">
        <x:v>Primary decision by the corresponding author; two additional authors performed random spot checks as a quality-control step.</x:v>
      </x:c>
      <x:c r="AE154" s="22" t="str">
        <x:v>Include</x:v>
      </x:c>
      <x:c r="AF154" s="22" t="str">
        <x:v>Direct retinal/ophthalmic evidence</x:v>
      </x:c>
      <x:c r="AG154" s="22" t="str">
        <x:v>Evidence: ddc0e077-e9e0-436a-846a-aedc279e4589.png; page 1, result 7. Metadata transcribed from captured Google Scholar page; OCR-normalised, verify against publication before citation.</x:v>
      </x:c>
      <x:c r="AH154" s="20" t="str">
        <x:v>No duplicate identified under the documented matching rules.</x:v>
      </x:c>
    </x:row>
    <x:row r="155" ht="42" customHeight="1">
      <x:c r="A155" s="426" t="str">
        <x:v>GS-02-008</x:v>
      </x:c>
      <x:c r="B155" s="426" t="str">
        <x:v>Google Scholar</x:v>
      </x:c>
      <x:c r="C155" s="426" t="str">
        <x:v>GS-02</x:v>
      </x:c>
      <x:c r="D155" s="426" t="str">
        <x:v>Protostage-NET A Clinically Guided Foundation Model With Prototypical Learning for Automated Amd Grading From Oct Images</x:v>
      </x:c>
      <x:c r="E155" s="426" t="str">
        <x:v>M Elsrarkawy MElMelegy SAli</x:v>
      </x:c>
      <x:c r="F155" s="426" t="n">
        <x:v>2026</x:v>
      </x:c>
      <x:c r="G155" s="426" t="str">
        <x:v>2025 IEES 231d, 2026 - esexpkre ese org</x:v>
      </x:c>
      <x:c r="H155" s="426" t="str">
        <x:v>Google Scholar result</x:v>
      </x:c>
      <x:c r="I155" s="426" t="str">
        <x:v>NR</x:v>
      </x:c>
      <x:c r="J155" s="426" t="str">
        <x:v>NR</x:v>
      </x:c>
      <x:c r="K155" s="426" t="str">
        <x:v>NR — URL not captured in the available source record</x:v>
      </x:c>
      <x:c r="L155" s="426" t="str">
        <x:v>Not available in the captured evidence; the screening decision used the title and available source metadata.</x:v>
      </x:c>
      <x:c r="M155" s="426" t="str">
        <x:v>Confirmed duplicate</x:v>
      </x:c>
      <x:c r="N155" s="426" t="str">
        <x:v>DG-122</x:v>
      </x:c>
      <x:c r="O155" s="426" t="str">
        <x:v>IEEE-002</x:v>
      </x:c>
      <x:c r="P155" s="426" t="str">
        <x:v>No</x:v>
      </x:c>
      <x:c r="Q155" s="426" t="str">
        <x:v>Not screened</x:v>
      </x:c>
      <x:c r="R155" s="426" t="str">
        <x:v>Removed before title/abstract screening as a confirmed duplicate.</x:v>
      </x:c>
      <x:c r="S155" s="426" t="str">
        <x:v>Not applicable — removed before screening</x:v>
      </x:c>
      <x:c r="T155" s="426" t="str">
        <x:v>Record was outside the active screening set.</x:v>
      </x:c>
      <x:c r="U155" s="426" t="str">
        <x:v>Removed before screening</x:v>
      </x:c>
      <x:c r="V155" s="426" t="str">
        <x:v>Confirmed duplicate removed during deduplication.</x:v>
      </x:c>
      <x:c r="W155" s="426" t="str">
        <x:v>No</x:v>
      </x:c>
      <x:c r="X155" s="426" t="str">
        <x:v>Not applicable</x:v>
      </x:c>
      <x:c r="Y155" s="426" t="str">
        <x:v>Not assessed</x:v>
      </x:c>
      <x:c r="Z155" s="426" t="str">
        <x:v>Not applicable — record removed before screening.</x:v>
      </x:c>
      <x:c r="AA155" s="22" t="str">
        <x:v>Not applicable</x:v>
      </x:c>
      <x:c r="AB155" s="22" t="str">
        <x:v>Record was not advanced to full-text assessment.</x:v>
      </x:c>
      <x:c r="AC155" s="22" t="str">
        <x:v>Not assessed</x:v>
      </x:c>
      <x:c r="AD155" s="22" t="str">
        <x:v>Not applicable — no full-text assessment was required.</x:v>
      </x:c>
      <x:c r="AE155" s="22" t="str">
        <x:v>Removed before screening</x:v>
      </x:c>
      <x:c r="AF155" s="22" t="str">
        <x:v>Not applicable — not included</x:v>
      </x:c>
      <x:c r="AG155" s="22" t="str">
        <x:v>Evidence: ddc0e077-e9e0-436a-846a-aedc279e4589.png; page 1, result 8. Metadata transcribed from captured Google Scholar page; OCR-normalised, verify against publication before citation.</x:v>
      </x:c>
      <x:c r="AH155" s="20" t="str">
        <x:v>No duplicate identified under the documented matching rules.</x:v>
      </x:c>
    </x:row>
    <x:row r="156" ht="42" customHeight="1">
      <x:c r="A156" s="426" t="str">
        <x:v>GS-02-009</x:v>
      </x:c>
      <x:c r="B156" s="426" t="str">
        <x:v>Google Scholar</x:v>
      </x:c>
      <x:c r="C156" s="426" t="str">
        <x:v>GS-02</x:v>
      </x:c>
      <x:c r="D156" s="426" t="str">
        <x:v>HybridFusionNet: 4 Distnbuted Prototype-Guided Multi-Scale Transfonner-CNN Framework for Robust and Interpretable Diabetic Retinopathy Detection</x:v>
      </x:c>
      <x:c r="E156" s="426" t="str">
        <x:v>KV Shanthala KC Kundue</x:v>
      </x:c>
      <x:c r="F156" s="426" t="n">
        <x:v>2026</x:v>
      </x:c>
      <x:c r="G156" s="426" t="str">
        <x:v>9rocacia Comp.te- Scianca 2026 - Elsavier</x:v>
      </x:c>
      <x:c r="H156" s="426" t="str">
        <x:v>Google Scholar result</x:v>
      </x:c>
      <x:c r="I156" s="426" t="str">
        <x:v>10.1016/j.procs.2026.06.266</x:v>
      </x:c>
      <x:c r="J156" s="426" t="str">
        <x:v>NR</x:v>
      </x:c>
      <x:c r="K156" s="426" t="str">
        <x:v>https://www.sciencedirect.com/journal/procedia-computer-science/vol/283/suppl/C?page=2</x:v>
      </x:c>
      <x:c r="L156" s="426" t="str">
        <x:v>Diabetic retinopathy (DR) remains a leading cause of preventable blindness, demanding automated solutions that combine diagnostic accuracy, interpretability, and scalability for real-world deployment. Existing convolutional neural networks provide efficiency in detecting localized lesions but struggle to capture long-range dependencies, while transformer models deliver global reasoning at the expense of computational overhead and clinical transparency. To address these gaps, the proposed HybridFusionNet introduces a dual-stream design that integrates a multi-scale CNN branch for fine lesion extraction, a cross-scale transformer branch for modelling contextual dependencies, and a lesion-aware fusion module guided by a cross-branch prototype alignment mechanism. This architecture embeds interpretability into the decision-making process by aligning predictions with class-specific exemplars, while distributed optimization with gradient compression and prototype synchronization enables scalable training across large datasets. Experiments conducted on EyePACS, APTOS 2019, and Messidor-2 datasets demonstrated that HybridFusionNet achieves 95.8% accuracy, 0.934 sensitivity, 0.972 specificity, and a quadratic weighted kappa of 0.912, outperforming state-of-the-art baselines. The model achieves ~78 ms inference per image, a 14× training speedup, and 40% reduced memory footprint compared to conventional vision transformers, ensuring feasibility for real-time and resource-constrained clinical settings. These results highlight HybridFusionNet as a clinically trustworthy and computationally efficient solution for scalable DR screening.</x:v>
      </x:c>
      <x:c r="M156" s="426" t="str">
        <x:v>No duplicate</x:v>
      </x:c>
      <x:c r="N156" s="426" t="str">
        <x:v>Not applicable — no duplicate group</x:v>
      </x:c>
      <x:c r="O156" s="426" t="str">
        <x:v>Not applicable</x:v>
      </x:c>
      <x:c r="P156" s="426" t="str">
        <x:v>Yes</x:v>
      </x:c>
      <x:c r="Q156" s="426" t="str">
        <x:v>Include</x:v>
      </x:c>
      <x:c r="R156" s="426" t="str">
        <x:v>Direct retinal prototype-guided model described as interpretable.</x:v>
      </x:c>
      <x:c r="S156" s="426" t="str">
        <x:v>Verification documented at process level</x:v>
      </x:c>
      <x:c r="T156" s="426" t="str">
        <x:v>Two additional authors performed random spot checks; individual spot-check assignments are not recorded in this register.</x:v>
      </x:c>
      <x:c r="U156" s="426" t="str">
        <x:v>Include</x:v>
      </x:c>
      <x:c r="V156" s="426" t="str">
        <x:v>Primary decision by the corresponding author; two additional authors performed random spot checks as a quality-control step.</x:v>
      </x:c>
      <x:c r="W156" s="426" t="str">
        <x:v>Yes</x:v>
      </x:c>
      <x:c r="X156" s="426" t="str">
        <x:v>Yes</x:v>
      </x:c>
      <x:c r="Y156" s="426" t="str">
        <x:v>Include</x:v>
      </x:c>
      <x:c r="Z156" s="426" t="str">
        <x:v>The corresponding author assessed the complete report and judged it eligible for inclusion in the review.</x:v>
      </x:c>
      <x:c r="AA156" s="22" t="str">
        <x:v>Verification documented at process level</x:v>
      </x:c>
      <x:c r="AB156" s="22" t="str">
        <x:v>Two additional authors performed random spot checks; individual spot-check assignments are not recorded in this register.</x:v>
      </x:c>
      <x:c r="AC156" s="22" t="str">
        <x:v>Include</x:v>
      </x:c>
      <x:c r="AD156" s="22" t="str">
        <x:v>Primary decision by the corresponding author; two additional authors performed random spot checks as a quality-control step.</x:v>
      </x:c>
      <x:c r="AE156" s="22" t="str">
        <x:v>Include</x:v>
      </x:c>
      <x:c r="AF156" s="22" t="str">
        <x:v>Direct retinal/ophthalmic evidence</x:v>
      </x:c>
      <x:c r="AG156" s="22" t="str">
        <x:v>Evidence: ddc0e077-e9e0-436a-846a-aedc279e4589.png; page 1, result 9. Metadata transcribed from captured Google Scholar page; OCR-normalised, verify against publication before citation.</x:v>
      </x:c>
      <x:c r="AH156" s="20" t="str">
        <x:v>No duplicate identified under the documented matching rules.</x:v>
      </x:c>
    </x:row>
    <x:row r="157" ht="42" customHeight="1">
      <x:c r="A157" s="426" t="str">
        <x:v>GS-02-010</x:v>
      </x:c>
      <x:c r="B157" s="426" t="str">
        <x:v>Google Scholar</x:v>
      </x:c>
      <x:c r="C157" s="426" t="str">
        <x:v>GS-02</x:v>
      </x:c>
      <x:c r="D157" s="426" t="str">
        <x:v>Coarse retinal fesion annotations refinement via prototypical learning</x:v>
      </x:c>
      <x:c r="E157" s="426" t="str">
        <x:v>QY¥u KSang ZZho. ¥ Chen X Ding</x:v>
      </x:c>
      <x:c r="F157" s="426" t="str">
        <x:v>NR</x:v>
      </x:c>
      <x:c r="G157" s="426" t="str">
        <x:v>Inlernationa veorkshapon 2222 - Sprirger</x:v>
      </x:c>
      <x:c r="H157" s="426" t="str">
        <x:v>Google Scholar result</x:v>
      </x:c>
      <x:c r="I157" s="426" t="str">
        <x:v>NR</x:v>
      </x:c>
      <x:c r="J157" s="426" t="str">
        <x:v>NR</x:v>
      </x:c>
      <x:c r="K157" s="426" t="str">
        <x:v>NR — URL not captured in the available source record</x:v>
      </x:c>
      <x:c r="L157" s="426" t="str">
        <x:v>Not available in the captured evidence; the screening decision used the title and available source metadata.</x:v>
      </x:c>
      <x:c r="M157" s="426" t="str">
        <x:v>Confirmed duplicate</x:v>
      </x:c>
      <x:c r="N157" s="426" t="str">
        <x:v>DG-084</x:v>
      </x:c>
      <x:c r="O157" s="426" t="str">
        <x:v>ARXIV-02-014</x:v>
      </x:c>
      <x:c r="P157" s="426" t="str">
        <x:v>No</x:v>
      </x:c>
      <x:c r="Q157" s="426" t="str">
        <x:v>Not screened</x:v>
      </x:c>
      <x:c r="R157" s="426" t="str">
        <x:v>Removed before title/abstract screening as a confirmed duplicate.</x:v>
      </x:c>
      <x:c r="S157" s="426" t="str">
        <x:v>Not applicable — removed before screening</x:v>
      </x:c>
      <x:c r="T157" s="426" t="str">
        <x:v>Record was outside the active screening set.</x:v>
      </x:c>
      <x:c r="U157" s="426" t="str">
        <x:v>Removed before screening</x:v>
      </x:c>
      <x:c r="V157" s="426" t="str">
        <x:v>Confirmed duplicate removed during deduplication.</x:v>
      </x:c>
      <x:c r="W157" s="426" t="str">
        <x:v>No</x:v>
      </x:c>
      <x:c r="X157" s="426" t="str">
        <x:v>Not applicable</x:v>
      </x:c>
      <x:c r="Y157" s="426" t="str">
        <x:v>Not assessed</x:v>
      </x:c>
      <x:c r="Z157" s="426" t="str">
        <x:v>Not applicable — record removed before screening.</x:v>
      </x:c>
      <x:c r="AA157" s="22" t="str">
        <x:v>Not applicable</x:v>
      </x:c>
      <x:c r="AB157" s="22" t="str">
        <x:v>Record was not advanced to full-text assessment.</x:v>
      </x:c>
      <x:c r="AC157" s="22" t="str">
        <x:v>Not assessed</x:v>
      </x:c>
      <x:c r="AD157" s="22" t="str">
        <x:v>Not applicable — no full-text assessment was required.</x:v>
      </x:c>
      <x:c r="AE157" s="22" t="str">
        <x:v>Removed before screening</x:v>
      </x:c>
      <x:c r="AF157" s="22" t="str">
        <x:v>Not applicable — not included</x:v>
      </x:c>
      <x:c r="AG157" s="22" t="str">
        <x:v>Evidence: ddc0e077-e9e0-436a-846a-aedc279e4589.png; page 1, result 10. Metadata transcribed from captured Google Scholar page; OCR-normalised, verify against publication before citation.</x:v>
      </x:c>
      <x:c r="AH157" s="20" t="str">
        <x:v>No duplicate identified under the documented matching rules.</x:v>
      </x:c>
    </x:row>
    <x:row r="158" ht="42" customHeight="1">
      <x:c r="A158" s="426" t="str">
        <x:v>GS-02-011</x:v>
      </x:c>
      <x:c r="B158" s="426" t="str">
        <x:v>Google Scholar</x:v>
      </x:c>
      <x:c r="C158" s="426" t="str">
        <x:v>GS-02</x:v>
      </x:c>
      <x:c r="D158" s="426" t="str">
        <x:v>PratoD*C? Prototype-Based Dual-Supervision. Dual-Consistency. and Dual- Contrastive Learning for OCT Fluid Segmentation</x:v>
      </x:c>
      <x:c r="E158" s="426" t="str">
        <x:v>JLiu. M Zhang @ Targ.¥ Li XWer =</x:v>
      </x:c>
      <x:c r="F158" s="426" t="n">
        <x:v>2025</x:v>
      </x:c>
      <x:c r="G158" s="426" t="str">
        <x:v>2025 IEEE Intarnalional 2025 - ieeexpiore ieee org</x:v>
      </x:c>
      <x:c r="H158" s="426" t="str">
        <x:v>Google Scholar result</x:v>
      </x:c>
      <x:c r="I158" s="426" t="str">
        <x:v>NR</x:v>
      </x:c>
      <x:c r="J158" s="426" t="str">
        <x:v>NR</x:v>
      </x:c>
      <x:c r="K158" s="426" t="str">
        <x:v>NR — URL not captured in the available source record</x:v>
      </x:c>
      <x:c r="L158" s="426" t="str">
        <x:v>Not available in the captured evidence; the screening decision used the title and available source metadata.</x:v>
      </x:c>
      <x:c r="M158" s="426" t="str">
        <x:v>Confirmed duplicate</x:v>
      </x:c>
      <x:c r="N158" s="426" t="str">
        <x:v>DG-123</x:v>
      </x:c>
      <x:c r="O158" s="426" t="str">
        <x:v>IEEE-013</x:v>
      </x:c>
      <x:c r="P158" s="426" t="str">
        <x:v>No</x:v>
      </x:c>
      <x:c r="Q158" s="426" t="str">
        <x:v>Not screened</x:v>
      </x:c>
      <x:c r="R158" s="426" t="str">
        <x:v>Removed before title/abstract screening as a confirmed duplicate.</x:v>
      </x:c>
      <x:c r="S158" s="426" t="str">
        <x:v>Not applicable — removed before screening</x:v>
      </x:c>
      <x:c r="T158" s="426" t="str">
        <x:v>Record was outside the active screening set.</x:v>
      </x:c>
      <x:c r="U158" s="426" t="str">
        <x:v>Removed before screening</x:v>
      </x:c>
      <x:c r="V158" s="426" t="str">
        <x:v>Confirmed duplicate removed during deduplication.</x:v>
      </x:c>
      <x:c r="W158" s="426" t="str">
        <x:v>No</x:v>
      </x:c>
      <x:c r="X158" s="426" t="str">
        <x:v>Not applicable</x:v>
      </x:c>
      <x:c r="Y158" s="426" t="str">
        <x:v>Not assessed</x:v>
      </x:c>
      <x:c r="Z158" s="426" t="str">
        <x:v>Not applicable — record removed before screening.</x:v>
      </x:c>
      <x:c r="AA158" s="22" t="str">
        <x:v>Not applicable</x:v>
      </x:c>
      <x:c r="AB158" s="22" t="str">
        <x:v>Record was not advanced to full-text assessment.</x:v>
      </x:c>
      <x:c r="AC158" s="22" t="str">
        <x:v>Not assessed</x:v>
      </x:c>
      <x:c r="AD158" s="22" t="str">
        <x:v>Not applicable — no full-text assessment was required.</x:v>
      </x:c>
      <x:c r="AE158" s="22" t="str">
        <x:v>Removed before screening</x:v>
      </x:c>
      <x:c r="AF158" s="22" t="str">
        <x:v>Not applicable — not included</x:v>
      </x:c>
      <x:c r="AG158" s="22" t="str">
        <x:v>Evidence: 364ac037-2e0d-44b5-86c3-9134b78ed3d6.png; page 2, result 1. Metadata transcribed from captured Google Scholar page; OCR-normalised, verify against publication before citation.</x:v>
      </x:c>
      <x:c r="AH158" s="20" t="str">
        <x:v>No duplicate identified under the documented matching rules.</x:v>
      </x:c>
    </x:row>
    <x:row r="159" ht="42" customHeight="1">
      <x:c r="A159" s="426" t="str">
        <x:v>GS-02-012</x:v>
      </x:c>
      <x:c r="B159" s="426" t="str">
        <x:v>Google Scholar</x:v>
      </x:c>
      <x:c r="C159" s="426" t="str">
        <x:v>GS-02</x:v>
      </x:c>
      <x:c r="D159" s="426" t="str">
        <x:v>Transformer-based multi-prototype approach for chadetic macular edema analysis in o¢t images</x:v>
      </x:c>
      <x:c r="E159" s="426" t="str">
        <x:v>PL Vizal Jde Moura UNove MCnega -ICASSP 2023-2023 = 2023</x:v>
      </x:c>
      <x:c r="F159" s="426" t="n">
        <x:v>2023</x:v>
      </x:c>
      <x:c r="G159" s="426" t="str">
        <x:v>ieeexplere ieee org</x:v>
      </x:c>
      <x:c r="H159" s="426" t="str">
        <x:v>Google Scholar result</x:v>
      </x:c>
      <x:c r="I159" s="426" t="str">
        <x:v>10.1109/ICASSP49357.2023.10095039</x:v>
      </x:c>
      <x:c r="J159" s="426" t="str">
        <x:v>NR</x:v>
      </x:c>
      <x:c r="K159" s="426" t="str">
        <x:v>https://ieeexplore.ieee.org/iel7/10094559/10094560/10095039.pdf</x:v>
      </x:c>
      <x:c r="L159" s="426" t="str">
        <x:v>Optical Coherence Tomography (OCT) is the major diagnostic tool for the leading cause of blindness in developed countries: Diabetic Macular Edema (DME). Depending on the type of fluid accumulations, different treatments are needed. In particular, Cystoid Macular Edemas (CMEs) represent the most severe scenario, while Diffuse Retinal Thickening (DRT) is an early indicator of the disease but a challenging scenario to detect. While methodologies exist, their explanatory power is limited to the input sample itself. However, due to the complexity of these accumulations, this may not be enough for a clinician to assess the validity of the classification. Thus, in this work, we propose a novel approach based on multi-prototype networks with vision transformers to obtain an example-based explainable classification. Our proposal achieved robust results in two representative OCT devices, with a mean accuracy of 0.9099 ± 0.0083 and 0.8582 ± 0.0126 for CME and DRT-type fluid accumulations, respectively.</x:v>
      </x:c>
      <x:c r="M159" s="426" t="str">
        <x:v>No duplicate</x:v>
      </x:c>
      <x:c r="N159" s="426" t="str">
        <x:v>Not applicable — no duplicate group</x:v>
      </x:c>
      <x:c r="O159" s="426" t="str">
        <x:v>Not applicable</x:v>
      </x:c>
      <x:c r="P159" s="426" t="str">
        <x:v>Yes</x:v>
      </x:c>
      <x:c r="Q159" s="426" t="str">
        <x:v>Include</x:v>
      </x:c>
      <x:c r="R159" s="426" t="str">
        <x:v>Direct retinal OCT study using a multi-prototype approach for DME analysis.</x:v>
      </x:c>
      <x:c r="S159" s="426" t="str">
        <x:v>Verification documented at process level</x:v>
      </x:c>
      <x:c r="T159" s="426" t="str">
        <x:v>Two additional authors performed random spot checks; individual spot-check assignments are not recorded in this register.</x:v>
      </x:c>
      <x:c r="U159" s="426" t="str">
        <x:v>Include</x:v>
      </x:c>
      <x:c r="V159" s="426" t="str">
        <x:v>Primary decision by the corresponding author; two additional authors performed random spot checks as a quality-control step.</x:v>
      </x:c>
      <x:c r="W159" s="426" t="str">
        <x:v>Yes</x:v>
      </x:c>
      <x:c r="X159" s="426" t="str">
        <x:v>Yes</x:v>
      </x:c>
      <x:c r="Y159" s="426" t="str">
        <x:v>Include</x:v>
      </x:c>
      <x:c r="Z159" s="426" t="str">
        <x:v>The corresponding author assessed the complete report and judged it eligible for inclusion in the review.</x:v>
      </x:c>
      <x:c r="AA159" s="22" t="str">
        <x:v>Verification documented at process level</x:v>
      </x:c>
      <x:c r="AB159" s="22" t="str">
        <x:v>Two additional authors performed random spot checks; individual spot-check assignments are not recorded in this register.</x:v>
      </x:c>
      <x:c r="AC159" s="22" t="str">
        <x:v>Include</x:v>
      </x:c>
      <x:c r="AD159" s="22" t="str">
        <x:v>Primary decision by the corresponding author; two additional authors performed random spot checks as a quality-control step.</x:v>
      </x:c>
      <x:c r="AE159" s="22" t="str">
        <x:v>Include</x:v>
      </x:c>
      <x:c r="AF159" s="22" t="str">
        <x:v>Direct retinal/ophthalmic evidence</x:v>
      </x:c>
      <x:c r="AG159" s="22" t="str">
        <x:v>Evidence: 364ac037-2e0d-44b5-86c3-9134b78ed3d6.png; page 2, result 2. Metadata transcribed from captured Google Scholar page; OCR-normalised, verify against publication before citation.</x:v>
      </x:c>
      <x:c r="AH159" s="20" t="str">
        <x:v>No duplicate identified under the documented matching rules.</x:v>
      </x:c>
    </x:row>
    <x:row r="160" ht="42" customHeight="1">
      <x:c r="A160" s="426" t="str">
        <x:v>GS-02-013</x:v>
      </x:c>
      <x:c r="B160" s="426" t="str">
        <x:v>Google Scholar</x:v>
      </x:c>
      <x:c r="C160" s="426" t="str">
        <x:v>GS-02</x:v>
      </x:c>
      <x:c r="D160" s="426" t="str">
        <x:v>Far FedMOE Group Fair One Shot Federaled Learning via Prototype Guided Experts for Medical Imaging Analysis</x:v>
      </x:c>
      <x:c r="E160" s="426" t="str">
        <x:v>LMerg. 3 Gua. W2nang. ZLi HYu. NLw</x:v>
      </x:c>
      <x:c r="F160" s="426" t="str">
        <x:v>NR</x:v>
      </x:c>
      <x:c r="G160" s="426" t="str">
        <x:v>Forty-lhird Internaliona = -- openreview net</x:v>
      </x:c>
      <x:c r="H160" s="426" t="str">
        <x:v>Google Scholar result</x:v>
      </x:c>
      <x:c r="I160" s="426" t="str">
        <x:v>NR</x:v>
      </x:c>
      <x:c r="J160" s="426" t="str">
        <x:v>NR</x:v>
      </x:c>
      <x:c r="K160" s="426" t="str">
        <x:v>NR — URL not captured in the available source record</x:v>
      </x:c>
      <x:c r="L160" s="426" t="str">
        <x:v>Not available in the captured evidence; the screening decision used the title and available source metadata.</x:v>
      </x:c>
      <x:c r="M160" s="426" t="str">
        <x:v>No duplicate</x:v>
      </x:c>
      <x:c r="N160" s="426" t="str">
        <x:v>Not applicable — no duplicate group</x:v>
      </x:c>
      <x:c r="O160" s="426" t="str">
        <x:v>Not applicable</x:v>
      </x:c>
      <x:c r="P160" s="426" t="str">
        <x:v>Yes</x:v>
      </x:c>
      <x:c r="Q160" s="426" t="str">
        <x:v>Exclude</x:v>
      </x:c>
      <x:c r="R160" s="426" t="str">
        <x:v>Prototypes support federated fairness rather than concept-based explanation.</x:v>
      </x:c>
      <x:c r="S160" s="426" t="str">
        <x:v>Verification documented at process level</x:v>
      </x:c>
      <x:c r="T160" s="426" t="str">
        <x:v>Two additional authors performed random spot checks; individual spot-check assignments are not recorded in this register.</x:v>
      </x:c>
      <x:c r="U160" s="426" t="str">
        <x:v>Exclude</x:v>
      </x:c>
      <x:c r="V160" s="426" t="str">
        <x:v>Primary decision by the corresponding author; two additional authors performed random spot checks as a quality-control step.</x:v>
      </x:c>
      <x:c r="W160" s="426" t="str">
        <x:v>No</x:v>
      </x:c>
      <x:c r="X160" s="426" t="str">
        <x:v>Not applicable</x:v>
      </x:c>
      <x:c r="Y160" s="426" t="str">
        <x:v>Not assessed</x:v>
      </x:c>
      <x:c r="Z160" s="426" t="str">
        <x:v>Not advanced to full-text assessment after the title/abstract decision.</x:v>
      </x:c>
      <x:c r="AA160" s="22" t="str">
        <x:v>Not applicable</x:v>
      </x:c>
      <x:c r="AB160" s="22" t="str">
        <x:v>Record was not advanced to full-text assessment.</x:v>
      </x:c>
      <x:c r="AC160" s="22" t="str">
        <x:v>Not assessed</x:v>
      </x:c>
      <x:c r="AD160" s="22" t="str">
        <x:v>Not applicable — no full-text assessment was required.</x:v>
      </x:c>
      <x:c r="AE160" s="22" t="str">
        <x:v>Not included — title/abstract exclusion</x:v>
      </x:c>
      <x:c r="AF160" s="22" t="str">
        <x:v>Not applicable — not included</x:v>
      </x:c>
      <x:c r="AG160" s="22" t="str">
        <x:v>Evidence: 364ac037-2e0d-44b5-86c3-9134b78ed3d6.png; page 2, result 3. Metadata transcribed from captured Google Scholar page; OCR-normalised, verify against publication before citation.</x:v>
      </x:c>
      <x:c r="AH160" s="20" t="str">
        <x:v>No duplicate identified under the documented matching rules.</x:v>
      </x:c>
    </x:row>
    <x:row r="161" ht="42" customHeight="1">
      <x:c r="A161" s="426" t="str">
        <x:v>GS-02-014</x:v>
      </x:c>
      <x:c r="B161" s="426" t="str">
        <x:v>Google Scholar</x:v>
      </x:c>
      <x:c r="C161" s="426" t="str">
        <x:v>GS-02</x:v>
      </x:c>
      <x:c r="D161" s="426" t="str">
        <x:v>por] A Prototype Network for Few-Shot Retinal Vessel Segmentation Based on Nested Structures</x:v>
      </x:c>
      <x:c r="E161" s="426" t="str">
        <x:v>J Zhu M Gao</x:v>
      </x:c>
      <x:c r="F161" s="426" t="str">
        <x:v>NR</x:v>
      </x:c>
      <x:c r="G161" s="426" t="str">
        <x:v>science org</x:v>
      </x:c>
      <x:c r="H161" s="426" t="str">
        <x:v>Google Scholar result</x:v>
      </x:c>
      <x:c r="I161" s="426" t="str">
        <x:v>NR</x:v>
      </x:c>
      <x:c r="J161" s="426" t="str">
        <x:v>NR</x:v>
      </x:c>
      <x:c r="K161" s="426" t="str">
        <x:v>NR — URL not captured in the available source record</x:v>
      </x:c>
      <x:c r="L161" s="426" t="str">
        <x:v>Not available in the captured evidence; the screening decision used the title and available source metadata.</x:v>
      </x:c>
      <x:c r="M161" s="426" t="str">
        <x:v>Removed from analytic set — unverifiable bibliographic artifact</x:v>
      </x:c>
      <x:c r="N161" s="426" t="str">
        <x:v>Not applicable — bibliographic artifact</x:v>
      </x:c>
      <x:c r="O161" s="426" t="str">
        <x:v>Not applicable</x:v>
      </x:c>
      <x:c r="P161" s="426" t="str">
        <x:v>No</x:v>
      </x:c>
      <x:c r="Q161" s="426" t="str">
        <x:v>Not screened</x:v>
      </x:c>
      <x:c r="R161" s="426" t="str">
        <x:v>Removed before title/abstract screening because the bibliographic artifact could not be verified.</x:v>
      </x:c>
      <x:c r="S161" s="426" t="str">
        <x:v>Not applicable — removed before screening</x:v>
      </x:c>
      <x:c r="T161" s="426" t="str">
        <x:v>Record was outside the active screening set.</x:v>
      </x:c>
      <x:c r="U161" s="426" t="str">
        <x:v>Removed before screening</x:v>
      </x:c>
      <x:c r="V161" s="426" t="str">
        <x:v>Unverifiable bibliographic artifact removed during verification.</x:v>
      </x:c>
      <x:c r="W161" s="426" t="str">
        <x:v>No</x:v>
      </x:c>
      <x:c r="X161" s="426" t="str">
        <x:v>Not applicable</x:v>
      </x:c>
      <x:c r="Y161" s="426" t="str">
        <x:v>Not assessed</x:v>
      </x:c>
      <x:c r="Z161" s="426" t="str">
        <x:v>Not applicable — record removed before screening.</x:v>
      </x:c>
      <x:c r="AA161" s="22" t="str">
        <x:v>Not applicable</x:v>
      </x:c>
      <x:c r="AB161" s="22" t="str">
        <x:v>Record was not advanced to full-text assessment.</x:v>
      </x:c>
      <x:c r="AC161" s="22" t="str">
        <x:v>Not assessed</x:v>
      </x:c>
      <x:c r="AD161" s="22" t="str">
        <x:v>Not applicable — no full-text assessment was required.</x:v>
      </x:c>
      <x:c r="AE161" s="22" t="str">
        <x:v>Removed before screening</x:v>
      </x:c>
      <x:c r="AF161" s="22" t="str">
        <x:v>Not applicable — not included</x:v>
      </x:c>
      <x:c r="AG161" s="22" t="str">
        <x:v>Evidence: 364ac037-2e0d-44b5-86c3-9134b78ed3d6.png; page 2, result 4. Metadata transcribed from captured Google Scholar page; OCR-normalised, verify against publication before citation. Removed during bibliographic verification: the screenshot/OCR-derived title could not be matched to an authoritative scholarly record. Retained only in the audit trail and excluded from all active denominators.</x:v>
      </x:c>
      <x:c r="AH161" s="20" t="str">
        <x:v>Removed during bibliographic verification: the screenshot/OCR-derived title could not be matched to an authoritative scholarly record. Retained only in the audit trail and excluded from all active denominators.</x:v>
      </x:c>
    </x:row>
    <x:row r="162" ht="42" customHeight="1">
      <x:c r="A162" s="426" t="str">
        <x:v>GS-02-015</x:v>
      </x:c>
      <x:c r="B162" s="426" t="str">
        <x:v>Google Scholar</x:v>
      </x:c>
      <x:c r="C162" s="426" t="str">
        <x:v>GS-02</x:v>
      </x:c>
      <x:c r="D162" s="426" t="str">
        <x:v>Refinement via Prototypical Learning</x:v>
      </x:c>
      <x:c r="E162" s="426" t="str">
        <x:v>K Sang ¥ Chen X Ding- MLMI 2222 Heldin Conjunctlan with = 222</x:v>
      </x:c>
      <x:c r="F162" s="426" t="str">
        <x:v>NR</x:v>
      </x:c>
      <x:c r="G162" s="426" t="str">
        <x:v>baaks google com</x:v>
      </x:c>
      <x:c r="H162" s="426" t="str">
        <x:v>Google Scholar result</x:v>
      </x:c>
      <x:c r="I162" s="426" t="str">
        <x:v>NR</x:v>
      </x:c>
      <x:c r="J162" s="426" t="str">
        <x:v>NR</x:v>
      </x:c>
      <x:c r="K162" s="426" t="str">
        <x:v>NR — URL not captured in the available source record</x:v>
      </x:c>
      <x:c r="L162" s="426" t="str">
        <x:v>Not available in the captured evidence; the screening decision used the title and available source metadata.</x:v>
      </x:c>
      <x:c r="M162" s="426" t="str">
        <x:v>Confirmed duplicate</x:v>
      </x:c>
      <x:c r="N162" s="426" t="str">
        <x:v>DG-084</x:v>
      </x:c>
      <x:c r="O162" s="426" t="str">
        <x:v>ARXIV-02-014</x:v>
      </x:c>
      <x:c r="P162" s="426" t="str">
        <x:v>No</x:v>
      </x:c>
      <x:c r="Q162" s="426" t="str">
        <x:v>Not screened</x:v>
      </x:c>
      <x:c r="R162" s="426" t="str">
        <x:v>Removed before title/abstract screening as a confirmed duplicate.</x:v>
      </x:c>
      <x:c r="S162" s="426" t="str">
        <x:v>Not applicable — removed before screening</x:v>
      </x:c>
      <x:c r="T162" s="426" t="str">
        <x:v>Record was outside the active screening set.</x:v>
      </x:c>
      <x:c r="U162" s="426" t="str">
        <x:v>Removed before screening</x:v>
      </x:c>
      <x:c r="V162" s="426" t="str">
        <x:v>Confirmed duplicate removed during deduplication.</x:v>
      </x:c>
      <x:c r="W162" s="426" t="str">
        <x:v>No</x:v>
      </x:c>
      <x:c r="X162" s="426" t="str">
        <x:v>Not applicable</x:v>
      </x:c>
      <x:c r="Y162" s="426" t="str">
        <x:v>Not assessed</x:v>
      </x:c>
      <x:c r="Z162" s="426" t="str">
        <x:v>Not applicable — record removed before screening.</x:v>
      </x:c>
      <x:c r="AA162" s="22" t="str">
        <x:v>Not applicable</x:v>
      </x:c>
      <x:c r="AB162" s="22" t="str">
        <x:v>Record was not advanced to full-text assessment.</x:v>
      </x:c>
      <x:c r="AC162" s="22" t="str">
        <x:v>Not assessed</x:v>
      </x:c>
      <x:c r="AD162" s="22" t="str">
        <x:v>Not applicable — no full-text assessment was required.</x:v>
      </x:c>
      <x:c r="AE162" s="22" t="str">
        <x:v>Removed before screening</x:v>
      </x:c>
      <x:c r="AF162" s="22" t="str">
        <x:v>Not applicable — not included</x:v>
      </x:c>
      <x:c r="AG162" s="22" t="str">
        <x:v>Evidence: 364ac037-2e0d-44b5-86c3-9134b78ed3d6.png; page 2, result 5. Metadata transcribed from captured Google Scholar page; OCR-normalised, verify against publication before citation.</x:v>
      </x:c>
      <x:c r="AH162" s="20" t="str">
        <x:v>No duplicate identified under the documented matching rules.</x:v>
      </x:c>
    </x:row>
    <x:row r="163" ht="42" customHeight="1">
      <x:c r="A163" s="426" t="str">
        <x:v>GS-02-016</x:v>
      </x:c>
      <x:c r="B163" s="426" t="str">
        <x:v>Google Scholar</x:v>
      </x:c>
      <x:c r="C163" s="426" t="str">
        <x:v>GS-02</x:v>
      </x:c>
      <x:c r="D163" s="426" t="str">
        <x:v>Consistency-guided prolotype-heaimap hybrid-supervised malthad for OCT analysis of laser ablation</x:v>
      </x:c>
      <x:c r="E163" s="426" t="str">
        <x:v>2 Zhang YEap</x:v>
      </x:c>
      <x:c r="F163" s="426" t="n">
        <x:v>2026</x:v>
      </x:c>
      <x:c r="G163" s="426" t="str">
        <x:v>Proc of SPIE Yo 2026 - spisdigitalliorary ore</x:v>
      </x:c>
      <x:c r="H163" s="426" t="str">
        <x:v>Google Scholar result</x:v>
      </x:c>
      <x:c r="I163" s="426" t="str">
        <x:v>NR</x:v>
      </x:c>
      <x:c r="J163" s="426" t="str">
        <x:v>NR</x:v>
      </x:c>
      <x:c r="K163" s="426" t="str">
        <x:v>NR — URL not captured in the available source record</x:v>
      </x:c>
      <x:c r="L163" s="426" t="str">
        <x:v>Not available in the captured evidence; the screening decision used the title and available source metadata.</x:v>
      </x:c>
      <x:c r="M163" s="426" t="str">
        <x:v>No duplicate</x:v>
      </x:c>
      <x:c r="N163" s="426" t="str">
        <x:v>Not applicable — no duplicate group</x:v>
      </x:c>
      <x:c r="O163" s="426" t="str">
        <x:v>Not applicable</x:v>
      </x:c>
      <x:c r="P163" s="426" t="str">
        <x:v>Yes</x:v>
      </x:c>
      <x:c r="Q163" s="426" t="str">
        <x:v>Exclude</x:v>
      </x:c>
      <x:c r="R163" s="426" t="str">
        <x:v>OCT technology applied to laser ablation, not ophthalmic imaging.</x:v>
      </x:c>
      <x:c r="S163" s="426" t="str">
        <x:v>Verification documented at process level</x:v>
      </x:c>
      <x:c r="T163" s="426" t="str">
        <x:v>Two additional authors performed random spot checks; individual spot-check assignments are not recorded in this register.</x:v>
      </x:c>
      <x:c r="U163" s="426" t="str">
        <x:v>Exclude</x:v>
      </x:c>
      <x:c r="V163" s="426" t="str">
        <x:v>Primary decision by the corresponding author; two additional authors performed random spot checks as a quality-control step.</x:v>
      </x:c>
      <x:c r="W163" s="426" t="str">
        <x:v>No</x:v>
      </x:c>
      <x:c r="X163" s="426" t="str">
        <x:v>Not applicable</x:v>
      </x:c>
      <x:c r="Y163" s="426" t="str">
        <x:v>Not assessed</x:v>
      </x:c>
      <x:c r="Z163" s="426" t="str">
        <x:v>Not advanced to full-text assessment after the title/abstract decision.</x:v>
      </x:c>
      <x:c r="AA163" s="22" t="str">
        <x:v>Not applicable</x:v>
      </x:c>
      <x:c r="AB163" s="22" t="str">
        <x:v>Record was not advanced to full-text assessment.</x:v>
      </x:c>
      <x:c r="AC163" s="22" t="str">
        <x:v>Not assessed</x:v>
      </x:c>
      <x:c r="AD163" s="22" t="str">
        <x:v>Not applicable — no full-text assessment was required.</x:v>
      </x:c>
      <x:c r="AE163" s="22" t="str">
        <x:v>Not included — title/abstract exclusion</x:v>
      </x:c>
      <x:c r="AF163" s="22" t="str">
        <x:v>Not applicable — not included</x:v>
      </x:c>
      <x:c r="AG163" s="22" t="str">
        <x:v>Evidence: 364ac037-2e0d-44b5-86c3-9134b78ed3d6.png; page 2, result 6. Metadata transcribed from captured Google Scholar page; OCR-normalised, verify against publication before citation.</x:v>
      </x:c>
      <x:c r="AH163" s="20" t="str">
        <x:v>No duplicate identified under the documented matching rules.</x:v>
      </x:c>
    </x:row>
    <x:row r="164" ht="42" customHeight="1">
      <x:c r="A164" s="426" t="str">
        <x:v>GS-02-017</x:v>
      </x:c>
      <x:c r="B164" s="426" t="str">
        <x:v>Google Scholar</x:v>
      </x:c>
      <x:c r="C164" s="426" t="str">
        <x:v>GS-02</x:v>
      </x:c>
      <x:c r="D164" s="426" t="str">
        <x:v>Automatic Grading of Age-Related Cataract via Progressive Ordinal Attention and Topology-Constrained Prototype Learning</x:v>
      </x:c>
      <x:c r="E164" s="426" t="str">
        <x:v>2X%u Cvian XHu Wang. Y Hu. 2 Zhang</x:v>
      </x:c>
      <x:c r="F164" s="426" t="n">
        <x:v>2026</x:v>
      </x:c>
      <x:c r="G164" s="426" t="str">
        <x:v>Joureal of Imaging =. 2026 - Spnnger</x:v>
      </x:c>
      <x:c r="H164" s="426" t="str">
        <x:v>Google Scholar result</x:v>
      </x:c>
      <x:c r="I164" s="426" t="str">
        <x:v>10.1007/s10278-026-02144-2</x:v>
      </x:c>
      <x:c r="J164" s="426" t="str">
        <x:v>NR</x:v>
      </x:c>
      <x:c r="K164" s="426" t="str">
        <x:v>https://link.springer.com/content/pdf/10.1007/s10278-026-02144-2.pdf</x:v>
      </x:c>
      <x:c r="L164" s="426" t="str">
        <x:v>Age-related cataract is a leading cause of visual impairment among older adults, significantly affecting quality of life and independence. Accurate severity grading is essential for determining optimal surgical timing and improving clinical outcomes; however, conventional slit-lamp examination relies heavily on subjective assessment, resulting in considerable inter-observer variability. In this study, we propose a progressive ordinal attention network (POA-Net) for automated four-level cataract classification. The proposed method is built on a convolutional neural network backbone and introduces a progressive ordinal cumulative attention mechanism to explicitly capture the continuous progression of disease severity. A spatial gating module is further incorporated to suppress background interference and enhance feature representation of the lens region. In addition, an ordinal prototype projection head with a topology-constrained learning strategy is designed to enforce structured feature distributions consistent with clinical knowledge. Experimental results demonstrate that POA-Net achieves an accuracy of 89.20% and a weighted kappa coefficient of 93.82%, outperforming several state-of-the-art convolutional and Transformer-based methods. The model shows improved capability in distinguishing adjacent severity levels and exhibits strong agreement with clinical annotations. These findings indicate that the proposed approach provides an accurate, consistent, and interpretable solution for automated cataract grading, with potential applications in large-scale screening and long-term monitoring, particularly in resource-limited settings.</x:v>
      </x:c>
      <x:c r="M164" s="426" t="str">
        <x:v>No duplicate</x:v>
      </x:c>
      <x:c r="N164" s="426" t="str">
        <x:v>Not applicable — no duplicate group</x:v>
      </x:c>
      <x:c r="O164" s="426" t="str">
        <x:v>Not applicable</x:v>
      </x:c>
      <x:c r="P164" s="426" t="str">
        <x:v>Yes</x:v>
      </x:c>
      <x:c r="Q164" s="426" t="str">
        <x:v>Include</x:v>
      </x:c>
      <x:c r="R164" s="426" t="str">
        <x:v>Direct ophthalmic cataract-grading study using topology-constrained prototype learning.</x:v>
      </x:c>
      <x:c r="S164" s="426" t="str">
        <x:v>Verification documented at process level</x:v>
      </x:c>
      <x:c r="T164" s="426" t="str">
        <x:v>Two additional authors performed random spot checks; individual spot-check assignments are not recorded in this register.</x:v>
      </x:c>
      <x:c r="U164" s="426" t="str">
        <x:v>Include</x:v>
      </x:c>
      <x:c r="V164" s="426" t="str">
        <x:v>Primary decision by the corresponding author; two additional authors performed random spot checks as a quality-control step.</x:v>
      </x:c>
      <x:c r="W164" s="426" t="str">
        <x:v>Yes</x:v>
      </x:c>
      <x:c r="X164" s="426" t="str">
        <x:v>Yes</x:v>
      </x:c>
      <x:c r="Y164" s="426" t="str">
        <x:v>Include</x:v>
      </x:c>
      <x:c r="Z164" s="426" t="str">
        <x:v>The corresponding author assessed the complete report and judged it eligible for inclusion in the review.</x:v>
      </x:c>
      <x:c r="AA164" s="22" t="str">
        <x:v>Verification documented at process level</x:v>
      </x:c>
      <x:c r="AB164" s="22" t="str">
        <x:v>Two additional authors performed random spot checks; individual spot-check assignments are not recorded in this register.</x:v>
      </x:c>
      <x:c r="AC164" s="22" t="str">
        <x:v>Include</x:v>
      </x:c>
      <x:c r="AD164" s="22" t="str">
        <x:v>Primary decision by the corresponding author; two additional authors performed random spot checks as a quality-control step.</x:v>
      </x:c>
      <x:c r="AE164" s="22" t="str">
        <x:v>Include</x:v>
      </x:c>
      <x:c r="AF164" s="22" t="str">
        <x:v>Direct retinal/ophthalmic evidence</x:v>
      </x:c>
      <x:c r="AG164" s="22" t="str">
        <x:v>Evidence: 364ac037-2e0d-44b5-86c3-9134b78ed3d6.png; page 2, result 7. Metadata transcribed from captured Google Scholar page; OCR-normalised, verify against publication before citation.</x:v>
      </x:c>
      <x:c r="AH164" s="20" t="str">
        <x:v>No duplicate identified under the documented matching rules.</x:v>
      </x:c>
    </x:row>
    <x:row r="165" ht="42" customHeight="1">
      <x:c r="A165" s="426" t="str">
        <x:v>GS-02-018</x:v>
      </x:c>
      <x:c r="B165" s="426" t="str">
        <x:v>Google Scholar</x:v>
      </x:c>
      <x:c r="C165" s="426" t="str">
        <x:v>GS-02</x:v>
      </x:c>
      <x:c r="D165" s="426" t="str">
        <x:v>Cahbralion matters Prolatype-aware diffusion for OCT cervical classificatian with calibration</x:v>
      </x:c>
      <x:c r="E165" s="426" t="str">
        <x:v>Y Miong. 2Zhas YXu ¥ Zhang</x:v>
      </x:c>
      <x:c r="F165" s="426" t="n">
        <x:v>2024</x:v>
      </x:c>
      <x:c r="G165" s="426" t="str">
        <x:v>IEEE Signal Processing . 2024 - ieeexplore eee org</x:v>
      </x:c>
      <x:c r="H165" s="426" t="str">
        <x:v>Google Scholar result</x:v>
      </x:c>
      <x:c r="I165" s="426" t="str">
        <x:v>NR</x:v>
      </x:c>
      <x:c r="J165" s="426" t="str">
        <x:v>NR</x:v>
      </x:c>
      <x:c r="K165" s="426" t="str">
        <x:v>NR — URL not captured in the available source record</x:v>
      </x:c>
      <x:c r="L165" s="426" t="str">
        <x:v>Not available in the captured evidence; the screening decision used the title and available source metadata.</x:v>
      </x:c>
      <x:c r="M165" s="426" t="str">
        <x:v>Confirmed duplicate</x:v>
      </x:c>
      <x:c r="N165" s="426" t="str">
        <x:v>DG-115</x:v>
      </x:c>
      <x:c r="O165" s="426" t="str">
        <x:v>IEEE-008</x:v>
      </x:c>
      <x:c r="P165" s="426" t="str">
        <x:v>No</x:v>
      </x:c>
      <x:c r="Q165" s="426" t="str">
        <x:v>Not screened</x:v>
      </x:c>
      <x:c r="R165" s="426" t="str">
        <x:v>Removed before title/abstract screening as a confirmed duplicate.</x:v>
      </x:c>
      <x:c r="S165" s="426" t="str">
        <x:v>Not applicable — removed before screening</x:v>
      </x:c>
      <x:c r="T165" s="426" t="str">
        <x:v>Record was outside the active screening set.</x:v>
      </x:c>
      <x:c r="U165" s="426" t="str">
        <x:v>Removed before screening</x:v>
      </x:c>
      <x:c r="V165" s="426" t="str">
        <x:v>Confirmed duplicate removed during deduplication.</x:v>
      </x:c>
      <x:c r="W165" s="426" t="str">
        <x:v>No</x:v>
      </x:c>
      <x:c r="X165" s="426" t="str">
        <x:v>Not applicable</x:v>
      </x:c>
      <x:c r="Y165" s="426" t="str">
        <x:v>Not assessed</x:v>
      </x:c>
      <x:c r="Z165" s="426" t="str">
        <x:v>Not applicable — record removed before screening.</x:v>
      </x:c>
      <x:c r="AA165" s="22" t="str">
        <x:v>Not applicable</x:v>
      </x:c>
      <x:c r="AB165" s="22" t="str">
        <x:v>Record was not advanced to full-text assessment.</x:v>
      </x:c>
      <x:c r="AC165" s="22" t="str">
        <x:v>Not assessed</x:v>
      </x:c>
      <x:c r="AD165" s="22" t="str">
        <x:v>Not applicable — no full-text assessment was required.</x:v>
      </x:c>
      <x:c r="AE165" s="22" t="str">
        <x:v>Removed before screening</x:v>
      </x:c>
      <x:c r="AF165" s="22" t="str">
        <x:v>Not applicable — not included</x:v>
      </x:c>
      <x:c r="AG165" s="22" t="str">
        <x:v>Evidence: 364ac037-2e0d-44b5-86c3-9134b78ed3d6.png; page 2, result 8. Metadata transcribed from captured Google Scholar page; OCR-normalised, verify against publication before citation.</x:v>
      </x:c>
      <x:c r="AH165" s="20" t="str">
        <x:v>No duplicate identified under the documented matching rules.</x:v>
      </x:c>
    </x:row>
    <x:row r="166" ht="42" customHeight="1">
      <x:c r="A166" s="426" t="str">
        <x:v>GS-02-019</x:v>
      </x:c>
      <x:c r="B166" s="426" t="str">
        <x:v>Google Scholar</x:v>
      </x:c>
      <x:c r="C166" s="426" t="str">
        <x:v>GS-02</x:v>
      </x:c>
      <x:c r="D166" s="426" t="str">
        <x:v>Pratotype-guided autoancader for OC T-based fingerprint presentation attack detection</x:v>
      </x:c>
      <x:c r="E166" s="426" t="str">
        <x:v>¥Fuu W2uo Rleang H Syn -IEEE Transactlons on , 2023</x:v>
      </x:c>
      <x:c r="F166" s="426" t="n">
        <x:v>2023</x:v>
      </x:c>
      <x:c r="G166" s="426" t="str">
        <x:v>iaeexplore ‘eee org</x:v>
      </x:c>
      <x:c r="H166" s="426" t="str">
        <x:v>Google Scholar result</x:v>
      </x:c>
      <x:c r="I166" s="426" t="str">
        <x:v>NR</x:v>
      </x:c>
      <x:c r="J166" s="426" t="str">
        <x:v>NR</x:v>
      </x:c>
      <x:c r="K166" s="426" t="str">
        <x:v>NR — URL not captured in the available source record</x:v>
      </x:c>
      <x:c r="L166" s="426" t="str">
        <x:v>Not available in the captured evidence; the screening decision used the title and available source metadata.</x:v>
      </x:c>
      <x:c r="M166" s="426" t="str">
        <x:v>No duplicate</x:v>
      </x:c>
      <x:c r="N166" s="426" t="str">
        <x:v>Not applicable — no duplicate group</x:v>
      </x:c>
      <x:c r="O166" s="426" t="str">
        <x:v>Not applicable</x:v>
      </x:c>
      <x:c r="P166" s="426" t="str">
        <x:v>Yes</x:v>
      </x:c>
      <x:c r="Q166" s="426" t="str">
        <x:v>Exclude</x:v>
      </x:c>
      <x:c r="R166" s="426" t="str">
        <x:v>Wrong application: biometric fingerprint presentation-attack detection.</x:v>
      </x:c>
      <x:c r="S166" s="426" t="str">
        <x:v>Verification documented at process level</x:v>
      </x:c>
      <x:c r="T166" s="426" t="str">
        <x:v>Two additional authors performed random spot checks; individual spot-check assignments are not recorded in this register.</x:v>
      </x:c>
      <x:c r="U166" s="426" t="str">
        <x:v>Exclude</x:v>
      </x:c>
      <x:c r="V166" s="426" t="str">
        <x:v>Primary decision by the corresponding author; two additional authors performed random spot checks as a quality-control step.</x:v>
      </x:c>
      <x:c r="W166" s="426" t="str">
        <x:v>No</x:v>
      </x:c>
      <x:c r="X166" s="426" t="str">
        <x:v>Not applicable</x:v>
      </x:c>
      <x:c r="Y166" s="426" t="str">
        <x:v>Not assessed</x:v>
      </x:c>
      <x:c r="Z166" s="426" t="str">
        <x:v>Not advanced to full-text assessment after the title/abstract decision.</x:v>
      </x:c>
      <x:c r="AA166" s="22" t="str">
        <x:v>Not applicable</x:v>
      </x:c>
      <x:c r="AB166" s="22" t="str">
        <x:v>Record was not advanced to full-text assessment.</x:v>
      </x:c>
      <x:c r="AC166" s="22" t="str">
        <x:v>Not assessed</x:v>
      </x:c>
      <x:c r="AD166" s="22" t="str">
        <x:v>Not applicable — no full-text assessment was required.</x:v>
      </x:c>
      <x:c r="AE166" s="22" t="str">
        <x:v>Not included — title/abstract exclusion</x:v>
      </x:c>
      <x:c r="AF166" s="22" t="str">
        <x:v>Not applicable — not included</x:v>
      </x:c>
      <x:c r="AG166" s="22" t="str">
        <x:v>Evidence: 364ac037-2e0d-44b5-86c3-9134b78ed3d6.png; page 2, result 9. Metadata transcribed from captured Google Scholar page; OCR-normalised, verify against publication before citation.</x:v>
      </x:c>
      <x:c r="AH166" s="20" t="str">
        <x:v>No duplicate identified under the documented matching rules.</x:v>
      </x:c>
    </x:row>
    <x:row r="167" ht="42" customHeight="1">
      <x:c r="A167" s="426" t="str">
        <x:v>GS-02-020</x:v>
      </x:c>
      <x:c r="B167" s="426" t="str">
        <x:v>Google Scholar</x:v>
      </x:c>
      <x:c r="C167" s="426" t="str">
        <x:v>GS-02</x:v>
      </x:c>
      <x:c r="D167" s="426" t="str">
        <x:v>Prototype learning for automatic check-out</x:v>
      </x:c>
      <x:c r="E167" s="426" t="str">
        <x:v>HChen XS Wei L Xlao</x:v>
      </x:c>
      <x:c r="F167" s="426" t="n">
        <x:v>2023</x:v>
      </x:c>
      <x:c r="G167" s="426" t="str">
        <x:v>I€EE Transacilons on ‘Multimed a. 2023 - eeexplore eee org</x:v>
      </x:c>
      <x:c r="H167" s="426" t="str">
        <x:v>Google Scholar result</x:v>
      </x:c>
      <x:c r="I167" s="426" t="str">
        <x:v>NR</x:v>
      </x:c>
      <x:c r="J167" s="426" t="str">
        <x:v>NR</x:v>
      </x:c>
      <x:c r="K167" s="426" t="str">
        <x:v>NR — URL not captured in the available source record</x:v>
      </x:c>
      <x:c r="L167" s="426" t="str">
        <x:v>Not available in the captured evidence; the screening decision used the title and available source metadata.</x:v>
      </x:c>
      <x:c r="M167" s="426" t="str">
        <x:v>No duplicate</x:v>
      </x:c>
      <x:c r="N167" s="426" t="str">
        <x:v>Not applicable — no duplicate group</x:v>
      </x:c>
      <x:c r="O167" s="426" t="str">
        <x:v>Not applicable</x:v>
      </x:c>
      <x:c r="P167" s="426" t="str">
        <x:v>Yes</x:v>
      </x:c>
      <x:c r="Q167" s="426" t="str">
        <x:v>Exclude</x:v>
      </x:c>
      <x:c r="R167" s="426" t="str">
        <x:v>Wrong application: automatic retail checkout.</x:v>
      </x:c>
      <x:c r="S167" s="426" t="str">
        <x:v>Verification documented at process level</x:v>
      </x:c>
      <x:c r="T167" s="426" t="str">
        <x:v>Two additional authors performed random spot checks; individual spot-check assignments are not recorded in this register.</x:v>
      </x:c>
      <x:c r="U167" s="426" t="str">
        <x:v>Exclude</x:v>
      </x:c>
      <x:c r="V167" s="426" t="str">
        <x:v>Primary decision by the corresponding author; two additional authors performed random spot checks as a quality-control step.</x:v>
      </x:c>
      <x:c r="W167" s="426" t="str">
        <x:v>No</x:v>
      </x:c>
      <x:c r="X167" s="426" t="str">
        <x:v>Not applicable</x:v>
      </x:c>
      <x:c r="Y167" s="426" t="str">
        <x:v>Not assessed</x:v>
      </x:c>
      <x:c r="Z167" s="426" t="str">
        <x:v>Not advanced to full-text assessment after the title/abstract decision.</x:v>
      </x:c>
      <x:c r="AA167" s="22" t="str">
        <x:v>Not applicable</x:v>
      </x:c>
      <x:c r="AB167" s="22" t="str">
        <x:v>Record was not advanced to full-text assessment.</x:v>
      </x:c>
      <x:c r="AC167" s="22" t="str">
        <x:v>Not assessed</x:v>
      </x:c>
      <x:c r="AD167" s="22" t="str">
        <x:v>Not applicable — no full-text assessment was required.</x:v>
      </x:c>
      <x:c r="AE167" s="22" t="str">
        <x:v>Not included — title/abstract exclusion</x:v>
      </x:c>
      <x:c r="AF167" s="22" t="str">
        <x:v>Not applicable — not included</x:v>
      </x:c>
      <x:c r="AG167" s="22" t="str">
        <x:v>Evidence: 364ac037-2e0d-44b5-86c3-9134b78ed3d6.png; page 2, result 10. Metadata transcribed from captured Google Scholar page; OCR-normalised, verify against publication before citation.</x:v>
      </x:c>
      <x:c r="AH167" s="20" t="str">
        <x:v>No duplicate identified under the documented matching rules.</x:v>
      </x:c>
    </x:row>
    <x:row r="168" ht="42" customHeight="1">
      <x:c r="A168" s="426" t="str">
        <x:v>GS-02-021</x:v>
      </x:c>
      <x:c r="B168" s="426" t="str">
        <x:v>Google Scholar</x:v>
      </x:c>
      <x:c r="C168" s="426" t="str">
        <x:v>GS-02</x:v>
      </x:c>
      <x:c r="D168" s="426" t="str">
        <x:v>Attribute prototype learning for interactive face retrieval</x:v>
      </x:c>
      <x:c r="E168" s="426" t="str">
        <x:v>YFany Z Xiao Wf Zhang YHuan;</x:v>
      </x:c>
      <x:c r="F168" s="426" t="str">
        <x:v>NR</x:v>
      </x:c>
      <x:c r="G168" s="426" t="str">
        <x:v>IEEE Transactions 2421 -iseexplore iees org</x:v>
      </x:c>
      <x:c r="H168" s="426" t="str">
        <x:v>Google Scholar result</x:v>
      </x:c>
      <x:c r="I168" s="426" t="str">
        <x:v>NR</x:v>
      </x:c>
      <x:c r="J168" s="426" t="str">
        <x:v>NR</x:v>
      </x:c>
      <x:c r="K168" s="426" t="str">
        <x:v>NR — URL not captured in the available source record</x:v>
      </x:c>
      <x:c r="L168" s="426" t="str">
        <x:v>Not available in the captured evidence; the screening decision used the title and available source metadata.</x:v>
      </x:c>
      <x:c r="M168" s="426" t="str">
        <x:v>No duplicate</x:v>
      </x:c>
      <x:c r="N168" s="426" t="str">
        <x:v>Not applicable — no duplicate group</x:v>
      </x:c>
      <x:c r="O168" s="426" t="str">
        <x:v>Not applicable</x:v>
      </x:c>
      <x:c r="P168" s="426" t="str">
        <x:v>Yes</x:v>
      </x:c>
      <x:c r="Q168" s="426" t="str">
        <x:v>Exclude</x:v>
      </x:c>
      <x:c r="R168" s="426" t="str">
        <x:v>Wrong application: interactive face retrieval.</x:v>
      </x:c>
      <x:c r="S168" s="426" t="str">
        <x:v>Verification documented at process level</x:v>
      </x:c>
      <x:c r="T168" s="426" t="str">
        <x:v>Two additional authors performed random spot checks; individual spot-check assignments are not recorded in this register.</x:v>
      </x:c>
      <x:c r="U168" s="426" t="str">
        <x:v>Exclude</x:v>
      </x:c>
      <x:c r="V168" s="426" t="str">
        <x:v>Primary decision by the corresponding author; two additional authors performed random spot checks as a quality-control step.</x:v>
      </x:c>
      <x:c r="W168" s="426" t="str">
        <x:v>No</x:v>
      </x:c>
      <x:c r="X168" s="426" t="str">
        <x:v>Not applicable</x:v>
      </x:c>
      <x:c r="Y168" s="426" t="str">
        <x:v>Not assessed</x:v>
      </x:c>
      <x:c r="Z168" s="426" t="str">
        <x:v>Not advanced to full-text assessment after the title/abstract decision.</x:v>
      </x:c>
      <x:c r="AA168" s="22" t="str">
        <x:v>Not applicable</x:v>
      </x:c>
      <x:c r="AB168" s="22" t="str">
        <x:v>Record was not advanced to full-text assessment.</x:v>
      </x:c>
      <x:c r="AC168" s="22" t="str">
        <x:v>Not assessed</x:v>
      </x:c>
      <x:c r="AD168" s="22" t="str">
        <x:v>Not applicable — no full-text assessment was required.</x:v>
      </x:c>
      <x:c r="AE168" s="22" t="str">
        <x:v>Not included — title/abstract exclusion</x:v>
      </x:c>
      <x:c r="AF168" s="22" t="str">
        <x:v>Not applicable — not included</x:v>
      </x:c>
      <x:c r="AG168" s="22" t="str">
        <x:v>Evidence: bff01c96-ed02-497b-a821-9ffb4ac6b7a9.png; page 3, result 1. Metadata transcribed from captured Google Scholar page; OCR-normalised, verify against publication before citation.</x:v>
      </x:c>
      <x:c r="AH168" s="20" t="str">
        <x:v>No duplicate identified under the documented matching rules.</x:v>
      </x:c>
    </x:row>
    <x:row r="169" ht="42" customHeight="1">
      <x:c r="A169" s="426" t="str">
        <x:v>GS-02-022</x:v>
      </x:c>
      <x:c r="B169" s="426" t="str">
        <x:v>Google Scholar</x:v>
      </x:c>
      <x:c r="C169" s="426" t="str">
        <x:v>GS-02</x:v>
      </x:c>
      <x:c r="D169" s="426" t="str">
        <x:v>Learning dynamic prototypes for visual pattern dabiasing</x:v>
      </x:c>
      <x:c r="E169" s="426" t="str">
        <x:v>Kiang Z Yin. AMir. ¥ uw Z hla. J Guo~ ntematioral Jounalof =. 2024</x:v>
      </x:c>
      <x:c r="F169" s="426" t="n">
        <x:v>2024</x:v>
      </x:c>
      <x:c r="G169" s="426" t="str">
        <x:v>Springar</x:v>
      </x:c>
      <x:c r="H169" s="426" t="str">
        <x:v>Google Scholar result</x:v>
      </x:c>
      <x:c r="I169" s="426" t="str">
        <x:v>NR</x:v>
      </x:c>
      <x:c r="J169" s="426" t="str">
        <x:v>NR</x:v>
      </x:c>
      <x:c r="K169" s="426" t="str">
        <x:v>NR — URL not captured in the available source record</x:v>
      </x:c>
      <x:c r="L169" s="426" t="str">
        <x:v>Not available in the captured evidence; the screening decision used the title and available source metadata.</x:v>
      </x:c>
      <x:c r="M169" s="426" t="str">
        <x:v>No duplicate</x:v>
      </x:c>
      <x:c r="N169" s="426" t="str">
        <x:v>Not applicable — no duplicate group</x:v>
      </x:c>
      <x:c r="O169" s="426" t="str">
        <x:v>Not applicable</x:v>
      </x:c>
      <x:c r="P169" s="426" t="str">
        <x:v>Yes</x:v>
      </x:c>
      <x:c r="Q169" s="426" t="str">
        <x:v>Exclude</x:v>
      </x:c>
      <x:c r="R169" s="426" t="str">
        <x:v>Generic computer-vision debiasing without medical evaluation.</x:v>
      </x:c>
      <x:c r="S169" s="426" t="str">
        <x:v>Verification documented at process level</x:v>
      </x:c>
      <x:c r="T169" s="426" t="str">
        <x:v>Two additional authors performed random spot checks; individual spot-check assignments are not recorded in this register.</x:v>
      </x:c>
      <x:c r="U169" s="426" t="str">
        <x:v>Exclude</x:v>
      </x:c>
      <x:c r="V169" s="426" t="str">
        <x:v>Primary decision by the corresponding author; two additional authors performed random spot checks as a quality-control step.</x:v>
      </x:c>
      <x:c r="W169" s="426" t="str">
        <x:v>No</x:v>
      </x:c>
      <x:c r="X169" s="426" t="str">
        <x:v>Not applicable</x:v>
      </x:c>
      <x:c r="Y169" s="426" t="str">
        <x:v>Not assessed</x:v>
      </x:c>
      <x:c r="Z169" s="426" t="str">
        <x:v>Not advanced to full-text assessment after the title/abstract decision.</x:v>
      </x:c>
      <x:c r="AA169" s="22" t="str">
        <x:v>Not applicable</x:v>
      </x:c>
      <x:c r="AB169" s="22" t="str">
        <x:v>Record was not advanced to full-text assessment.</x:v>
      </x:c>
      <x:c r="AC169" s="22" t="str">
        <x:v>Not assessed</x:v>
      </x:c>
      <x:c r="AD169" s="22" t="str">
        <x:v>Not applicable — no full-text assessment was required.</x:v>
      </x:c>
      <x:c r="AE169" s="22" t="str">
        <x:v>Not included — title/abstract exclusion</x:v>
      </x:c>
      <x:c r="AF169" s="22" t="str">
        <x:v>Not applicable — not included</x:v>
      </x:c>
      <x:c r="AG169" s="22" t="str">
        <x:v>Evidence: bff01c96-ed02-497b-a821-9ffb4ac6b7a9.png; page 3, result 2. Metadata transcribed from captured Google Scholar page; OCR-normalised, verify against publication before citation.</x:v>
      </x:c>
      <x:c r="AH169" s="20" t="str">
        <x:v>No duplicate identified under the documented matching rules.</x:v>
      </x:c>
    </x:row>
    <x:row r="170" ht="42" customHeight="1">
      <x:c r="A170" s="426" t="str">
        <x:v>GS-02-023</x:v>
      </x:c>
      <x:c r="B170" s="426" t="str">
        <x:v>Google Scholar</x:v>
      </x:c>
      <x:c r="C170" s="426" t="str">
        <x:v>GS-02</x:v>
      </x:c>
      <x:c r="D170" s="426" t="str">
        <x:v>Prototypical representation learning for relation extraction</x:v>
      </x:c>
      <x:c r="E170" s="426" t="str">
        <x:v>NDing X Wang “Fu GX. Rang P Xia</x:v>
      </x:c>
      <x:c r="F170" s="426" t="n">
        <x:v>2021</x:v>
      </x:c>
      <x:c r="G170" s="426" t="str">
        <x:v>arxXiv preprint arXiv «= 2021 - arxivorg</x:v>
      </x:c>
      <x:c r="H170" s="426" t="str">
        <x:v>Google Scholar result</x:v>
      </x:c>
      <x:c r="I170" s="426" t="str">
        <x:v>NR</x:v>
      </x:c>
      <x:c r="J170" s="426" t="str">
        <x:v>NR</x:v>
      </x:c>
      <x:c r="K170" s="426" t="str">
        <x:v>NR — URL not captured in the available source record</x:v>
      </x:c>
      <x:c r="L170" s="426" t="str">
        <x:v>Not available in the captured evidence; the screening decision used the title and available source metadata.</x:v>
      </x:c>
      <x:c r="M170" s="426" t="str">
        <x:v>No duplicate</x:v>
      </x:c>
      <x:c r="N170" s="426" t="str">
        <x:v>Not applicable — no duplicate group</x:v>
      </x:c>
      <x:c r="O170" s="426" t="str">
        <x:v>Not applicable</x:v>
      </x:c>
      <x:c r="P170" s="426" t="str">
        <x:v>Yes</x:v>
      </x:c>
      <x:c r="Q170" s="426" t="str">
        <x:v>Exclude</x:v>
      </x:c>
      <x:c r="R170" s="426" t="str">
        <x:v>Wrong domain: NLP relation extraction.</x:v>
      </x:c>
      <x:c r="S170" s="426" t="str">
        <x:v>Verification documented at process level</x:v>
      </x:c>
      <x:c r="T170" s="426" t="str">
        <x:v>Two additional authors performed random spot checks; individual spot-check assignments are not recorded in this register.</x:v>
      </x:c>
      <x:c r="U170" s="426" t="str">
        <x:v>Exclude</x:v>
      </x:c>
      <x:c r="V170" s="426" t="str">
        <x:v>Primary decision by the corresponding author; two additional authors performed random spot checks as a quality-control step.</x:v>
      </x:c>
      <x:c r="W170" s="426" t="str">
        <x:v>No</x:v>
      </x:c>
      <x:c r="X170" s="426" t="str">
        <x:v>Not applicable</x:v>
      </x:c>
      <x:c r="Y170" s="426" t="str">
        <x:v>Not assessed</x:v>
      </x:c>
      <x:c r="Z170" s="426" t="str">
        <x:v>Not advanced to full-text assessment after the title/abstract decision.</x:v>
      </x:c>
      <x:c r="AA170" s="22" t="str">
        <x:v>Not applicable</x:v>
      </x:c>
      <x:c r="AB170" s="22" t="str">
        <x:v>Record was not advanced to full-text assessment.</x:v>
      </x:c>
      <x:c r="AC170" s="22" t="str">
        <x:v>Not assessed</x:v>
      </x:c>
      <x:c r="AD170" s="22" t="str">
        <x:v>Not applicable — no full-text assessment was required.</x:v>
      </x:c>
      <x:c r="AE170" s="22" t="str">
        <x:v>Not included — title/abstract exclusion</x:v>
      </x:c>
      <x:c r="AF170" s="22" t="str">
        <x:v>Not applicable — not included</x:v>
      </x:c>
      <x:c r="AG170" s="22" t="str">
        <x:v>Evidence: bff01c96-ed02-497b-a821-9ffb4ac6b7a9.png; page 3, result 3. Metadata transcribed from captured Google Scholar page; OCR-normalised, verify against publication before citation.</x:v>
      </x:c>
      <x:c r="AH170" s="20" t="str">
        <x:v>No duplicate identified under the documented matching rules.</x:v>
      </x:c>
    </x:row>
    <x:row r="171" ht="42" customHeight="1">
      <x:c r="A171" s="426" t="str">
        <x:v>GS-02-024</x:v>
      </x:c>
      <x:c r="B171" s="426" t="str">
        <x:v>Google Scholar</x:v>
      </x:c>
      <x:c r="C171" s="426" t="str">
        <x:v>GS-02</x:v>
      </x:c>
      <x:c r="D171" s="426" t="str">
        <x:v>Prototype-guided and lightweight adapters for inherent interpretation and generalisation in faderated learning</x:v>
      </x:c>
      <x:c r="E171" s="426" t="str">
        <x:v>S$ Dfcsu Mansah K Cigumess, P Be-ans</x:v>
      </x:c>
      <x:c r="F171" s="426" t="str">
        <x:v>NR</x:v>
      </x:c>
      <x:c r="G171" s="426" t="str">
        <x:v>Intemational Conference on =. 228 - Springer</x:v>
      </x:c>
      <x:c r="H171" s="426" t="str">
        <x:v>Google Scholar result</x:v>
      </x:c>
      <x:c r="I171" s="426" t="str">
        <x:v>NR</x:v>
      </x:c>
      <x:c r="J171" s="426" t="str">
        <x:v>NR</x:v>
      </x:c>
      <x:c r="K171" s="426" t="str">
        <x:v>NR — URL not captured in the available source record</x:v>
      </x:c>
      <x:c r="L171" s="426" t="str">
        <x:v>Not available in the captured evidence; the screening decision used the title and available source metadata.</x:v>
      </x:c>
      <x:c r="M171" s="426" t="str">
        <x:v>Confirmed duplicate</x:v>
      </x:c>
      <x:c r="N171" s="426" t="str">
        <x:v>DG-021</x:v>
      </x:c>
      <x:c r="O171" s="426" t="str">
        <x:v>ARXIV-02-006</x:v>
      </x:c>
      <x:c r="P171" s="426" t="str">
        <x:v>No</x:v>
      </x:c>
      <x:c r="Q171" s="426" t="str">
        <x:v>Not screened</x:v>
      </x:c>
      <x:c r="R171" s="426" t="str">
        <x:v>Removed before title/abstract screening as a confirmed duplicate.</x:v>
      </x:c>
      <x:c r="S171" s="426" t="str">
        <x:v>Not applicable — removed before screening</x:v>
      </x:c>
      <x:c r="T171" s="426" t="str">
        <x:v>Record was outside the active screening set.</x:v>
      </x:c>
      <x:c r="U171" s="426" t="str">
        <x:v>Removed before screening</x:v>
      </x:c>
      <x:c r="V171" s="426" t="str">
        <x:v>Confirmed duplicate removed during deduplication.</x:v>
      </x:c>
      <x:c r="W171" s="426" t="str">
        <x:v>No</x:v>
      </x:c>
      <x:c r="X171" s="426" t="str">
        <x:v>Not applicable</x:v>
      </x:c>
      <x:c r="Y171" s="426" t="str">
        <x:v>Not assessed</x:v>
      </x:c>
      <x:c r="Z171" s="426" t="str">
        <x:v>Not applicable — record removed before screening.</x:v>
      </x:c>
      <x:c r="AA171" s="22" t="str">
        <x:v>Not applicable</x:v>
      </x:c>
      <x:c r="AB171" s="22" t="str">
        <x:v>Record was not advanced to full-text assessment.</x:v>
      </x:c>
      <x:c r="AC171" s="22" t="str">
        <x:v>Not assessed</x:v>
      </x:c>
      <x:c r="AD171" s="22" t="str">
        <x:v>Not applicable — no full-text assessment was required.</x:v>
      </x:c>
      <x:c r="AE171" s="22" t="str">
        <x:v>Removed before screening</x:v>
      </x:c>
      <x:c r="AF171" s="22" t="str">
        <x:v>Not applicable — not included</x:v>
      </x:c>
      <x:c r="AG171" s="22" t="str">
        <x:v>Evidence: bff01c96-ed02-497b-a821-9ffb4ac6b7a9.png; page 3, result 4. Metadata transcribed from captured Google Scholar page; OCR-normalised, verify against publication before citation.</x:v>
      </x:c>
      <x:c r="AH171" s="20" t="str">
        <x:v>Confirmed using normalized title across captured searches.</x:v>
      </x:c>
    </x:row>
    <x:row r="172" ht="42" customHeight="1">
      <x:c r="A172" s="426" t="str">
        <x:v>GS-02-025</x:v>
      </x:c>
      <x:c r="B172" s="426" t="str">
        <x:v>Google Scholar</x:v>
      </x:c>
      <x:c r="C172" s="426" t="str">
        <x:v>GS-02</x:v>
      </x:c>
      <x:c r="D172" s="426" t="str">
        <x:v>Prototype-based dataset comparison</x:v>
      </x:c>
      <x:c r="E172" s="426" t="str">
        <x:v>N Yan Noord</x:v>
      </x:c>
      <x:c r="F172" s="426" t="n">
        <x:v>2023</x:v>
      </x:c>
      <x:c r="G172" s="426" t="str">
        <x:v>2023 IEEE/CVF Intemational Conlererce on 2023 -iegexplo-eigee org</x:v>
      </x:c>
      <x:c r="H172" s="426" t="str">
        <x:v>Google Scholar result</x:v>
      </x:c>
      <x:c r="I172" s="426" t="str">
        <x:v>NR</x:v>
      </x:c>
      <x:c r="J172" s="426" t="str">
        <x:v>NR</x:v>
      </x:c>
      <x:c r="K172" s="426" t="str">
        <x:v>NR — URL not captured in the available source record</x:v>
      </x:c>
      <x:c r="L172" s="426" t="str">
        <x:v>Not available in the captured evidence; the screening decision used the title and available source metadata.</x:v>
      </x:c>
      <x:c r="M172" s="426" t="str">
        <x:v>No duplicate</x:v>
      </x:c>
      <x:c r="N172" s="426" t="str">
        <x:v>Not applicable — no duplicate group</x:v>
      </x:c>
      <x:c r="O172" s="426" t="str">
        <x:v>Not applicable</x:v>
      </x:c>
      <x:c r="P172" s="426" t="str">
        <x:v>Yes</x:v>
      </x:c>
      <x:c r="Q172" s="426" t="str">
        <x:v>Exclude</x:v>
      </x:c>
      <x:c r="R172" s="426" t="str">
        <x:v>Generic dataset-comparison method outside the review domain.</x:v>
      </x:c>
      <x:c r="S172" s="426" t="str">
        <x:v>Verification documented at process level</x:v>
      </x:c>
      <x:c r="T172" s="426" t="str">
        <x:v>Two additional authors performed random spot checks; individual spot-check assignments are not recorded in this register.</x:v>
      </x:c>
      <x:c r="U172" s="426" t="str">
        <x:v>Exclude</x:v>
      </x:c>
      <x:c r="V172" s="426" t="str">
        <x:v>Primary decision by the corresponding author; two additional authors performed random spot checks as a quality-control step.</x:v>
      </x:c>
      <x:c r="W172" s="426" t="str">
        <x:v>No</x:v>
      </x:c>
      <x:c r="X172" s="426" t="str">
        <x:v>Not applicable</x:v>
      </x:c>
      <x:c r="Y172" s="426" t="str">
        <x:v>Not assessed</x:v>
      </x:c>
      <x:c r="Z172" s="426" t="str">
        <x:v>Not advanced to full-text assessment after the title/abstract decision.</x:v>
      </x:c>
      <x:c r="AA172" s="22" t="str">
        <x:v>Not applicable</x:v>
      </x:c>
      <x:c r="AB172" s="22" t="str">
        <x:v>Record was not advanced to full-text assessment.</x:v>
      </x:c>
      <x:c r="AC172" s="22" t="str">
        <x:v>Not assessed</x:v>
      </x:c>
      <x:c r="AD172" s="22" t="str">
        <x:v>Not applicable — no full-text assessment was required.</x:v>
      </x:c>
      <x:c r="AE172" s="22" t="str">
        <x:v>Not included — title/abstract exclusion</x:v>
      </x:c>
      <x:c r="AF172" s="22" t="str">
        <x:v>Not applicable — not included</x:v>
      </x:c>
      <x:c r="AG172" s="22" t="str">
        <x:v>Evidence: bff01c96-ed02-497b-a821-9ffb4ac6b7a9.png; page 3, result 5. Metadata transcribed from captured Google Scholar page; OCR-normalised, verify against publication before citation.</x:v>
      </x:c>
      <x:c r="AH172" s="20" t="str">
        <x:v>No duplicate identified under the documented matching rules.</x:v>
      </x:c>
    </x:row>
    <x:row r="173" ht="42" customHeight="1">
      <x:c r="A173" s="426" t="str">
        <x:v>GS-02-026</x:v>
      </x:c>
      <x:c r="B173" s="426" t="str">
        <x:v>Google Scholar</x:v>
      </x:c>
      <x:c r="C173" s="426" t="str">
        <x:v>GS-02</x:v>
      </x:c>
      <x:c r="D173" s="426" t="str">
        <x:v>This actually looks like that: Proto-BagNets for local and global interpretability-by- design</x:v>
      </x:c>
      <x:c r="E173" s="426" t="str">
        <x:v>KOjoumess]. BBan L Kiewein, 2Bereng</x:v>
      </x:c>
      <x:c r="F173" s="426" t="n">
        <x:v>2024</x:v>
      </x:c>
      <x:c r="G173" s="426" t="str">
        <x:v>Conference on Medical . 2024 - Springer</x:v>
      </x:c>
      <x:c r="H173" s="426" t="str">
        <x:v>Google Scholar result</x:v>
      </x:c>
      <x:c r="I173" s="426" t="str">
        <x:v>NR</x:v>
      </x:c>
      <x:c r="J173" s="426" t="str">
        <x:v>NR</x:v>
      </x:c>
      <x:c r="K173" s="426" t="str">
        <x:v>NR — URL not captured in the available source record</x:v>
      </x:c>
      <x:c r="L173" s="426" t="str">
        <x:v>Not available in the captured evidence; the screening decision used the title and available source metadata.</x:v>
      </x:c>
      <x:c r="M173" s="426" t="str">
        <x:v>Confirmed duplicate</x:v>
      </x:c>
      <x:c r="N173" s="426" t="str">
        <x:v>DG-022</x:v>
      </x:c>
      <x:c r="O173" s="426" t="str">
        <x:v>ARXIV-02-008</x:v>
      </x:c>
      <x:c r="P173" s="426" t="str">
        <x:v>No</x:v>
      </x:c>
      <x:c r="Q173" s="426" t="str">
        <x:v>Not screened</x:v>
      </x:c>
      <x:c r="R173" s="426" t="str">
        <x:v>Removed before title/abstract screening as a confirmed duplicate.</x:v>
      </x:c>
      <x:c r="S173" s="426" t="str">
        <x:v>Not applicable — removed before screening</x:v>
      </x:c>
      <x:c r="T173" s="426" t="str">
        <x:v>Record was outside the active screening set.</x:v>
      </x:c>
      <x:c r="U173" s="426" t="str">
        <x:v>Removed before screening</x:v>
      </x:c>
      <x:c r="V173" s="426" t="str">
        <x:v>Confirmed duplicate removed during deduplication.</x:v>
      </x:c>
      <x:c r="W173" s="426" t="str">
        <x:v>No</x:v>
      </x:c>
      <x:c r="X173" s="426" t="str">
        <x:v>Not applicable</x:v>
      </x:c>
      <x:c r="Y173" s="426" t="str">
        <x:v>Not assessed</x:v>
      </x:c>
      <x:c r="Z173" s="426" t="str">
        <x:v>Not applicable — record removed before screening.</x:v>
      </x:c>
      <x:c r="AA173" s="22" t="str">
        <x:v>Not applicable</x:v>
      </x:c>
      <x:c r="AB173" s="22" t="str">
        <x:v>Record was not advanced to full-text assessment.</x:v>
      </x:c>
      <x:c r="AC173" s="22" t="str">
        <x:v>Not assessed</x:v>
      </x:c>
      <x:c r="AD173" s="22" t="str">
        <x:v>Not applicable — no full-text assessment was required.</x:v>
      </x:c>
      <x:c r="AE173" s="22" t="str">
        <x:v>Removed before screening</x:v>
      </x:c>
      <x:c r="AF173" s="22" t="str">
        <x:v>Not applicable — not included</x:v>
      </x:c>
      <x:c r="AG173" s="22" t="str">
        <x:v>Evidence: bff01c96-ed02-497b-a821-9ffb4ac6b7a9.png; page 3, result 6. Metadata transcribed from captured Google Scholar page; OCR-normalised, verify against publication before citation.</x:v>
      </x:c>
      <x:c r="AH173" s="20" t="str">
        <x:v>Confirmed using identifier/title evidence; normalized title across captured searches.</x:v>
      </x:c>
    </x:row>
    <x:row r="174" ht="42" customHeight="1">
      <x:c r="A174" s="426" t="str">
        <x:v>GS-02-027</x:v>
      </x:c>
      <x:c r="B174" s="426" t="str">
        <x:v>Google Scholar</x:v>
      </x:c>
      <x:c r="C174" s="426" t="str">
        <x:v>GS-02</x:v>
      </x:c>
      <x:c r="D174" s="426" t="str">
        <x:v>An interpretable and accurate deep-learning diagnosis framework modeled with fully and semi-supervised reciprocal learning</x:v>
      </x:c>
      <x:c r="E174" s="426" t="str">
        <x:v>CYvang. ¥ Chen Flip MEliot -JEEE iransactions on. 2023</x:v>
      </x:c>
      <x:c r="F174" s="426" t="n">
        <x:v>2023</x:v>
      </x:c>
      <x:c r="G174" s="426" t="str">
        <x:v>eeexplore ieee org</x:v>
      </x:c>
      <x:c r="H174" s="426" t="str">
        <x:v>Google Scholar result</x:v>
      </x:c>
      <x:c r="I174" s="426" t="str">
        <x:v>NR</x:v>
      </x:c>
      <x:c r="J174" s="426" t="str">
        <x:v>NR</x:v>
      </x:c>
      <x:c r="K174" s="426" t="str">
        <x:v>NR — URL not captured in the available source record</x:v>
      </x:c>
      <x:c r="L174" s="426" t="str">
        <x:v>Not available in the captured evidence; the screening decision used the title and available source metadata.</x:v>
      </x:c>
      <x:c r="M174" s="426" t="str">
        <x:v>Confirmed duplicate</x:v>
      </x:c>
      <x:c r="N174" s="426" t="str">
        <x:v>DG-001</x:v>
      </x:c>
      <x:c r="O174" s="426" t="str">
        <x:v>PM-004</x:v>
      </x:c>
      <x:c r="P174" s="426" t="str">
        <x:v>No</x:v>
      </x:c>
      <x:c r="Q174" s="426" t="str">
        <x:v>Not screened</x:v>
      </x:c>
      <x:c r="R174" s="426" t="str">
        <x:v>Removed before title/abstract screening as a confirmed duplicate.</x:v>
      </x:c>
      <x:c r="S174" s="426" t="str">
        <x:v>Not applicable — removed before screening</x:v>
      </x:c>
      <x:c r="T174" s="426" t="str">
        <x:v>Record was outside the active screening set.</x:v>
      </x:c>
      <x:c r="U174" s="426" t="str">
        <x:v>Removed before screening</x:v>
      </x:c>
      <x:c r="V174" s="426" t="str">
        <x:v>Confirmed duplicate removed during deduplication.</x:v>
      </x:c>
      <x:c r="W174" s="426" t="str">
        <x:v>No</x:v>
      </x:c>
      <x:c r="X174" s="426" t="str">
        <x:v>Not applicable</x:v>
      </x:c>
      <x:c r="Y174" s="426" t="str">
        <x:v>Not assessed</x:v>
      </x:c>
      <x:c r="Z174" s="426" t="str">
        <x:v>Not applicable — record removed before screening.</x:v>
      </x:c>
      <x:c r="AA174" s="22" t="str">
        <x:v>Not applicable</x:v>
      </x:c>
      <x:c r="AB174" s="22" t="str">
        <x:v>Record was not advanced to full-text assessment.</x:v>
      </x:c>
      <x:c r="AC174" s="22" t="str">
        <x:v>Not assessed</x:v>
      </x:c>
      <x:c r="AD174" s="22" t="str">
        <x:v>Not applicable — no full-text assessment was required.</x:v>
      </x:c>
      <x:c r="AE174" s="22" t="str">
        <x:v>Removed before screening</x:v>
      </x:c>
      <x:c r="AF174" s="22" t="str">
        <x:v>Not applicable — not included</x:v>
      </x:c>
      <x:c r="AG174" s="22" t="str">
        <x:v>Evidence: bff01c96-ed02-497b-a821-9ffb4ac6b7a9.png; page 3, result 7. Metadata transcribed from captured Google Scholar page; OCR-normalised, verify against publication before citation.</x:v>
      </x:c>
      <x:c r="AH174" s="20" t="str">
        <x:v>Confirmed using DOI/title evidence; identifier/title evidence; normalized title across captured searches.</x:v>
      </x:c>
    </x:row>
    <x:row r="175" ht="42" customHeight="1">
      <x:c r="A175" s="426" t="str">
        <x:v>GS-02-028</x:v>
      </x:c>
      <x:c r="B175" s="426" t="str">
        <x:v>Google Scholar</x:v>
      </x:c>
      <x:c r="C175" s="426" t="str">
        <x:v>GS-02</x:v>
      </x:c>
      <x:c r="D175" s="426" t="str">
        <x:v>Pratolens Advancing prototype learning for fine-grained interpretability in text classificatian</x:v>
      </x:c>
      <x:c r="E175" s="426" t="str">
        <x:v>Biel 22h,</x:v>
      </x:c>
      <x:c r="F175" s="426" t="n">
        <x:v>2025</x:v>
      </x:c>
      <x:c r="G175" s="426" t="str">
        <x:v>Proceedings of the 63rd Annual Meeting cflhe =. 2025 - aclanthology arg</x:v>
      </x:c>
      <x:c r="H175" s="426" t="str">
        <x:v>Google Scholar result</x:v>
      </x:c>
      <x:c r="I175" s="426" t="str">
        <x:v>NR</x:v>
      </x:c>
      <x:c r="J175" s="426" t="str">
        <x:v>NR</x:v>
      </x:c>
      <x:c r="K175" s="426" t="str">
        <x:v>NR — URL not captured in the available source record</x:v>
      </x:c>
      <x:c r="L175" s="426" t="str">
        <x:v>Not available in the captured evidence; the screening decision used the title and available source metadata.</x:v>
      </x:c>
      <x:c r="M175" s="426" t="str">
        <x:v>No duplicate</x:v>
      </x:c>
      <x:c r="N175" s="426" t="str">
        <x:v>Not applicable — no duplicate group</x:v>
      </x:c>
      <x:c r="O175" s="426" t="str">
        <x:v>Not applicable</x:v>
      </x:c>
      <x:c r="P175" s="426" t="str">
        <x:v>Yes</x:v>
      </x:c>
      <x:c r="Q175" s="426" t="str">
        <x:v>Exclude</x:v>
      </x:c>
      <x:c r="R175" s="426" t="str">
        <x:v>Wrong domain: prototype-based text classification.</x:v>
      </x:c>
      <x:c r="S175" s="426" t="str">
        <x:v>Verification documented at process level</x:v>
      </x:c>
      <x:c r="T175" s="426" t="str">
        <x:v>Two additional authors performed random spot checks; individual spot-check assignments are not recorded in this register.</x:v>
      </x:c>
      <x:c r="U175" s="426" t="str">
        <x:v>Exclude</x:v>
      </x:c>
      <x:c r="V175" s="426" t="str">
        <x:v>Primary decision by the corresponding author; two additional authors performed random spot checks as a quality-control step.</x:v>
      </x:c>
      <x:c r="W175" s="426" t="str">
        <x:v>No</x:v>
      </x:c>
      <x:c r="X175" s="426" t="str">
        <x:v>Not applicable</x:v>
      </x:c>
      <x:c r="Y175" s="426" t="str">
        <x:v>Not assessed</x:v>
      </x:c>
      <x:c r="Z175" s="426" t="str">
        <x:v>Not advanced to full-text assessment after the title/abstract decision.</x:v>
      </x:c>
      <x:c r="AA175" s="22" t="str">
        <x:v>Not applicable</x:v>
      </x:c>
      <x:c r="AB175" s="22" t="str">
        <x:v>Record was not advanced to full-text assessment.</x:v>
      </x:c>
      <x:c r="AC175" s="22" t="str">
        <x:v>Not assessed</x:v>
      </x:c>
      <x:c r="AD175" s="22" t="str">
        <x:v>Not applicable — no full-text assessment was required.</x:v>
      </x:c>
      <x:c r="AE175" s="22" t="str">
        <x:v>Not included — title/abstract exclusion</x:v>
      </x:c>
      <x:c r="AF175" s="22" t="str">
        <x:v>Not applicable — not included</x:v>
      </x:c>
      <x:c r="AG175" s="22" t="str">
        <x:v>Evidence: bff01c96-ed02-497b-a821-9ffb4ac6b7a9.png; page 3, result 8. Metadata transcribed from captured Google Scholar page; OCR-normalised, verify against publication before citation.</x:v>
      </x:c>
      <x:c r="AH175" s="20" t="str">
        <x:v>No duplicate identified under the documented matching rules.</x:v>
      </x:c>
    </x:row>
    <x:row r="176" ht="42" customHeight="1">
      <x:c r="A176" s="426" t="str">
        <x:v>GS-02-029</x:v>
      </x:c>
      <x:c r="B176" s="426" t="str">
        <x:v>Google Scholar</x:v>
      </x:c>
      <x:c r="C176" s="426" t="str">
        <x:v>GS-02</x:v>
      </x:c>
      <x:c r="D176" s="426" t="str">
        <x:v>Parallel prototype filter and feature refinement for few-shat medical image segmentation</x:v>
      </x:c>
      <x:c r="E176" s="426" t="str">
        <x:v>H2he F Chen, Yuli J Sun 2 Chen</x:v>
      </x:c>
      <x:c r="F176" s="426" t="str">
        <x:v>NR</x:v>
      </x:c>
      <x:c r="G176" s="426" t="str">
        <x:v>Froctiers of Information =. 225 - ieeexpicre ieee ong</x:v>
      </x:c>
      <x:c r="H176" s="426" t="str">
        <x:v>Google Scholar result</x:v>
      </x:c>
      <x:c r="I176" s="426" t="str">
        <x:v>NR</x:v>
      </x:c>
      <x:c r="J176" s="426" t="str">
        <x:v>NR</x:v>
      </x:c>
      <x:c r="K176" s="426" t="str">
        <x:v>NR — URL not captured in the available source record</x:v>
      </x:c>
      <x:c r="L176" s="426" t="str">
        <x:v>Not available in the captured evidence; the screening decision used the title and available source metadata.</x:v>
      </x:c>
      <x:c r="M176" s="426" t="str">
        <x:v>No duplicate</x:v>
      </x:c>
      <x:c r="N176" s="426" t="str">
        <x:v>Not applicable — no duplicate group</x:v>
      </x:c>
      <x:c r="O176" s="426" t="str">
        <x:v>Not applicable</x:v>
      </x:c>
      <x:c r="P176" s="426" t="str">
        <x:v>Yes</x:v>
      </x:c>
      <x:c r="Q176" s="426" t="str">
        <x:v>Exclude</x:v>
      </x:c>
      <x:c r="R176" s="426" t="str">
        <x:v>Technical medical segmentation method without a concept-oriented explanation mechanism.</x:v>
      </x:c>
      <x:c r="S176" s="426" t="str">
        <x:v>Verification documented at process level</x:v>
      </x:c>
      <x:c r="T176" s="426" t="str">
        <x:v>Two additional authors performed random spot checks; individual spot-check assignments are not recorded in this register.</x:v>
      </x:c>
      <x:c r="U176" s="426" t="str">
        <x:v>Exclude</x:v>
      </x:c>
      <x:c r="V176" s="426" t="str">
        <x:v>Primary decision by the corresponding author; two additional authors performed random spot checks as a quality-control step.</x:v>
      </x:c>
      <x:c r="W176" s="426" t="str">
        <x:v>No</x:v>
      </x:c>
      <x:c r="X176" s="426" t="str">
        <x:v>Not applicable</x:v>
      </x:c>
      <x:c r="Y176" s="426" t="str">
        <x:v>Not assessed</x:v>
      </x:c>
      <x:c r="Z176" s="426" t="str">
        <x:v>Not advanced to full-text assessment after the title/abstract decision.</x:v>
      </x:c>
      <x:c r="AA176" s="22" t="str">
        <x:v>Not applicable</x:v>
      </x:c>
      <x:c r="AB176" s="22" t="str">
        <x:v>Record was not advanced to full-text assessment.</x:v>
      </x:c>
      <x:c r="AC176" s="22" t="str">
        <x:v>Not assessed</x:v>
      </x:c>
      <x:c r="AD176" s="22" t="str">
        <x:v>Not applicable — no full-text assessment was required.</x:v>
      </x:c>
      <x:c r="AE176" s="22" t="str">
        <x:v>Not included — title/abstract exclusion</x:v>
      </x:c>
      <x:c r="AF176" s="22" t="str">
        <x:v>Not applicable — not included</x:v>
      </x:c>
      <x:c r="AG176" s="22" t="str">
        <x:v>Evidence: bff01c96-ed02-497b-a821-9ffb4ac6b7a9.png; page 3, result 9. Metadata transcribed from captured Google Scholar page; OCR-normalised, verify against publication before citation.</x:v>
      </x:c>
      <x:c r="AH176" s="20" t="str">
        <x:v>No duplicate identified under the documented matching rules.</x:v>
      </x:c>
    </x:row>
    <x:row r="177" ht="42" customHeight="1">
      <x:c r="A177" s="426" t="str">
        <x:v>GS-02-030</x:v>
      </x:c>
      <x:c r="B177" s="426" t="str">
        <x:v>Google Scholar</x:v>
      </x:c>
      <x:c r="C177" s="426" t="str">
        <x:v>GS-02</x:v>
      </x:c>
      <x:c r="D177" s="426" t="str">
        <x:v>Semantically meaningful class prototype learning for one-shot image segmentation</x:v>
      </x:c>
      <x:c r="E177" s="426" t="str">
        <x:v>Chen GS Xie. Y Yaa QYvang ESher -!E5E Transactions 2021</x:v>
      </x:c>
      <x:c r="F177" s="426" t="n">
        <x:v>2021</x:v>
      </x:c>
      <x:c r="G177" s="426" t="str">
        <x:v>iaeexplzre iee2 org</x:v>
      </x:c>
      <x:c r="H177" s="426" t="str">
        <x:v>Google Scholar result</x:v>
      </x:c>
      <x:c r="I177" s="426" t="str">
        <x:v>NR</x:v>
      </x:c>
      <x:c r="J177" s="426" t="str">
        <x:v>NR</x:v>
      </x:c>
      <x:c r="K177" s="426" t="str">
        <x:v>NR — URL not captured in the available source record</x:v>
      </x:c>
      <x:c r="L177" s="426" t="str">
        <x:v>Not available in the captured evidence; the screening decision used the title and available source metadata.</x:v>
      </x:c>
      <x:c r="M177" s="426" t="str">
        <x:v>No duplicate</x:v>
      </x:c>
      <x:c r="N177" s="426" t="str">
        <x:v>Not applicable — no duplicate group</x:v>
      </x:c>
      <x:c r="O177" s="426" t="str">
        <x:v>Not applicable</x:v>
      </x:c>
      <x:c r="P177" s="426" t="str">
        <x:v>Yes</x:v>
      </x:c>
      <x:c r="Q177" s="426" t="str">
        <x:v>Exclude</x:v>
      </x:c>
      <x:c r="R177" s="426" t="str">
        <x:v>Generic one-shot segmentation, not ophthalmic and not explanatory.</x:v>
      </x:c>
      <x:c r="S177" s="426" t="str">
        <x:v>Verification documented at process level</x:v>
      </x:c>
      <x:c r="T177" s="426" t="str">
        <x:v>Two additional authors performed random spot checks; individual spot-check assignments are not recorded in this register.</x:v>
      </x:c>
      <x:c r="U177" s="426" t="str">
        <x:v>Exclude</x:v>
      </x:c>
      <x:c r="V177" s="426" t="str">
        <x:v>Primary decision by the corresponding author; two additional authors performed random spot checks as a quality-control step.</x:v>
      </x:c>
      <x:c r="W177" s="426" t="str">
        <x:v>No</x:v>
      </x:c>
      <x:c r="X177" s="426" t="str">
        <x:v>Not applicable</x:v>
      </x:c>
      <x:c r="Y177" s="426" t="str">
        <x:v>Not assessed</x:v>
      </x:c>
      <x:c r="Z177" s="426" t="str">
        <x:v>Not advanced to full-text assessment after the title/abstract decision.</x:v>
      </x:c>
      <x:c r="AA177" s="22" t="str">
        <x:v>Not applicable</x:v>
      </x:c>
      <x:c r="AB177" s="22" t="str">
        <x:v>Record was not advanced to full-text assessment.</x:v>
      </x:c>
      <x:c r="AC177" s="22" t="str">
        <x:v>Not assessed</x:v>
      </x:c>
      <x:c r="AD177" s="22" t="str">
        <x:v>Not applicable — no full-text assessment was required.</x:v>
      </x:c>
      <x:c r="AE177" s="22" t="str">
        <x:v>Not included — title/abstract exclusion</x:v>
      </x:c>
      <x:c r="AF177" s="22" t="str">
        <x:v>Not applicable — not included</x:v>
      </x:c>
      <x:c r="AG177" s="22" t="str">
        <x:v>Evidence: bff01c96-ed02-497b-a821-9ffb4ac6b7a9.png; page 3, result 10. Metadata transcribed from captured Google Scholar page; OCR-normalised, verify against publication before citation.</x:v>
      </x:c>
      <x:c r="AH177" s="20" t="str">
        <x:v>No duplicate identified under the documented matching rules.</x:v>
      </x:c>
    </x:row>
    <x:row r="178" ht="42" customHeight="1">
      <x:c r="A178" s="426" t="str">
        <x:v>GS-02-031</x:v>
      </x:c>
      <x:c r="B178" s="426" t="str">
        <x:v>Google Scholar</x:v>
      </x:c>
      <x:c r="C178" s="426" t="str">
        <x:v>GS-02</x:v>
      </x:c>
      <x:c r="D178" s="426" t="str">
        <x:v>Federated prototype adaptation learning: Personalized and generalizable Igarning in distributed networks</x:v>
      </x:c>
      <x:c r="E178" s="426" t="str">
        <x:v>H Lee, C Seo</x:v>
      </x:c>
      <x:c r="F178" s="426" t="n">
        <x:v>2025</x:v>
      </x:c>
      <x:c r="G178" s="426" t="str">
        <x:v>IEEE Internal of Things Jaurnal 2025 - ieeexplore ieee org</x:v>
      </x:c>
      <x:c r="H178" s="426" t="str">
        <x:v>Google Scholar result</x:v>
      </x:c>
      <x:c r="I178" s="426" t="str">
        <x:v>NR</x:v>
      </x:c>
      <x:c r="J178" s="426" t="str">
        <x:v>NR</x:v>
      </x:c>
      <x:c r="K178" s="426" t="str">
        <x:v>NR — URL not captured in the available source record</x:v>
      </x:c>
      <x:c r="L178" s="426" t="str">
        <x:v>Not available in the captured evidence; the screening decision used the title and available source metadata.</x:v>
      </x:c>
      <x:c r="M178" s="426" t="str">
        <x:v>No duplicate</x:v>
      </x:c>
      <x:c r="N178" s="426" t="str">
        <x:v>Not applicable — no duplicate group</x:v>
      </x:c>
      <x:c r="O178" s="426" t="str">
        <x:v>Not applicable</x:v>
      </x:c>
      <x:c r="P178" s="426" t="str">
        <x:v>Yes</x:v>
      </x:c>
      <x:c r="Q178" s="426" t="str">
        <x:v>Exclude</x:v>
      </x:c>
      <x:c r="R178" s="426" t="str">
        <x:v>Generic federated prototype adaptation without relevant explainability.</x:v>
      </x:c>
      <x:c r="S178" s="426" t="str">
        <x:v>Verification documented at process level</x:v>
      </x:c>
      <x:c r="T178" s="426" t="str">
        <x:v>Two additional authors performed random spot checks; individual spot-check assignments are not recorded in this register.</x:v>
      </x:c>
      <x:c r="U178" s="426" t="str">
        <x:v>Exclude</x:v>
      </x:c>
      <x:c r="V178" s="426" t="str">
        <x:v>Primary decision by the corresponding author; two additional authors performed random spot checks as a quality-control step.</x:v>
      </x:c>
      <x:c r="W178" s="426" t="str">
        <x:v>No</x:v>
      </x:c>
      <x:c r="X178" s="426" t="str">
        <x:v>Not applicable</x:v>
      </x:c>
      <x:c r="Y178" s="426" t="str">
        <x:v>Not assessed</x:v>
      </x:c>
      <x:c r="Z178" s="426" t="str">
        <x:v>Not advanced to full-text assessment after the title/abstract decision.</x:v>
      </x:c>
      <x:c r="AA178" s="22" t="str">
        <x:v>Not applicable</x:v>
      </x:c>
      <x:c r="AB178" s="22" t="str">
        <x:v>Record was not advanced to full-text assessment.</x:v>
      </x:c>
      <x:c r="AC178" s="22" t="str">
        <x:v>Not assessed</x:v>
      </x:c>
      <x:c r="AD178" s="22" t="str">
        <x:v>Not applicable — no full-text assessment was required.</x:v>
      </x:c>
      <x:c r="AE178" s="22" t="str">
        <x:v>Not included — title/abstract exclusion</x:v>
      </x:c>
      <x:c r="AF178" s="22" t="str">
        <x:v>Not applicable — not included</x:v>
      </x:c>
      <x:c r="AG178" s="22" t="str">
        <x:v>Evidence: 93c788f6-a9aa-45cf-af30-575ca304b7cc.png; page 4, result 1. Metadata transcribed from captured Google Scholar page; OCR-normalised, verify against publication before citation.</x:v>
      </x:c>
      <x:c r="AH178" s="20" t="str">
        <x:v>No duplicate identified under the documented matching rules.</x:v>
      </x:c>
    </x:row>
    <x:row r="179" ht="42" customHeight="1">
      <x:c r="A179" s="426" t="str">
        <x:v>GS-02-032</x:v>
      </x:c>
      <x:c r="B179" s="426" t="str">
        <x:v>Google Scholar</x:v>
      </x:c>
      <x:c r="C179" s="426" t="str">
        <x:v>GS-02</x:v>
      </x:c>
      <x:c r="D179" s="426" t="str">
        <x:v>Weakly supervised sea fog dsatection in remote sensing images via prototype leaming</x:v>
      </x:c>
      <x:c r="E179" s="426" t="str">
        <x:v>Y Huang M Yiu. X Jiang JL M Xu</x:v>
      </x:c>
      <x:c r="F179" s="426" t="n">
        <x:v>2023</x:v>
      </x:c>
      <x:c r="G179" s="426" t="str">
        <x:v>IEEE Transactionsan =, 2023 - ieeaxplore ieee arg</x:v>
      </x:c>
      <x:c r="H179" s="426" t="str">
        <x:v>Google Scholar result</x:v>
      </x:c>
      <x:c r="I179" s="426" t="str">
        <x:v>NR</x:v>
      </x:c>
      <x:c r="J179" s="426" t="str">
        <x:v>NR</x:v>
      </x:c>
      <x:c r="K179" s="426" t="str">
        <x:v>NR — URL not captured in the available source record</x:v>
      </x:c>
      <x:c r="L179" s="426" t="str">
        <x:v>Not available in the captured evidence; the screening decision used the title and available source metadata.</x:v>
      </x:c>
      <x:c r="M179" s="426" t="str">
        <x:v>No duplicate</x:v>
      </x:c>
      <x:c r="N179" s="426" t="str">
        <x:v>Not applicable — no duplicate group</x:v>
      </x:c>
      <x:c r="O179" s="426" t="str">
        <x:v>Not applicable</x:v>
      </x:c>
      <x:c r="P179" s="426" t="str">
        <x:v>Yes</x:v>
      </x:c>
      <x:c r="Q179" s="426" t="str">
        <x:v>Exclude</x:v>
      </x:c>
      <x:c r="R179" s="426" t="str">
        <x:v>Wrong domain: remote-sensing sea-fog detection.</x:v>
      </x:c>
      <x:c r="S179" s="426" t="str">
        <x:v>Verification documented at process level</x:v>
      </x:c>
      <x:c r="T179" s="426" t="str">
        <x:v>Two additional authors performed random spot checks; individual spot-check assignments are not recorded in this register.</x:v>
      </x:c>
      <x:c r="U179" s="426" t="str">
        <x:v>Exclude</x:v>
      </x:c>
      <x:c r="V179" s="426" t="str">
        <x:v>Primary decision by the corresponding author; two additional authors performed random spot checks as a quality-control step.</x:v>
      </x:c>
      <x:c r="W179" s="426" t="str">
        <x:v>No</x:v>
      </x:c>
      <x:c r="X179" s="426" t="str">
        <x:v>Not applicable</x:v>
      </x:c>
      <x:c r="Y179" s="426" t="str">
        <x:v>Not assessed</x:v>
      </x:c>
      <x:c r="Z179" s="426" t="str">
        <x:v>Not advanced to full-text assessment after the title/abstract decision.</x:v>
      </x:c>
      <x:c r="AA179" s="22" t="str">
        <x:v>Not applicable</x:v>
      </x:c>
      <x:c r="AB179" s="22" t="str">
        <x:v>Record was not advanced to full-text assessment.</x:v>
      </x:c>
      <x:c r="AC179" s="22" t="str">
        <x:v>Not assessed</x:v>
      </x:c>
      <x:c r="AD179" s="22" t="str">
        <x:v>Not applicable — no full-text assessment was required.</x:v>
      </x:c>
      <x:c r="AE179" s="22" t="str">
        <x:v>Not included — title/abstract exclusion</x:v>
      </x:c>
      <x:c r="AF179" s="22" t="str">
        <x:v>Not applicable — not included</x:v>
      </x:c>
      <x:c r="AG179" s="22" t="str">
        <x:v>Evidence: 93c788f6-a9aa-45cf-af30-575ca304b7cc.png; page 4, result 2. Metadata transcribed from captured Google Scholar page; OCR-normalised, verify against publication before citation.</x:v>
      </x:c>
      <x:c r="AH179" s="20" t="str">
        <x:v>No duplicate identified under the documented matching rules.</x:v>
      </x:c>
    </x:row>
    <x:row r="180" ht="42" customHeight="1">
      <x:c r="A180" s="426" t="str">
        <x:v>GS-02-033</x:v>
      </x:c>
      <x:c r="B180" s="426" t="str">
        <x:v>Google Scholar</x:v>
      </x:c>
      <x:c r="C180" s="426" t="str">
        <x:v>GS-02</x:v>
      </x:c>
      <x:c r="D180" s="426" t="str">
        <x:v>ImProNCDE Impulse-Corrected Neural Controiled Differential Equations with Prototype Learning for Longitudinal Prognosis Prediction</x:v>
      </x:c>
      <x:c r="E180" s="426" t="str">
        <x:v>Hwang ¥ Xu JLin S¥e YPaeng JKim KLiv</x:v>
      </x:c>
      <x:c r="F180" s="426" t="n">
        <x:v>2025</x:v>
      </x:c>
      <x:c r="G180" s="426" t="str">
        <x:v>arxiv preprinl arXiv =. 2025 - arxiv org</x:v>
      </x:c>
      <x:c r="H180" s="426" t="str">
        <x:v>Google Scholar result</x:v>
      </x:c>
      <x:c r="I180" s="426" t="str">
        <x:v>NR</x:v>
      </x:c>
      <x:c r="J180" s="426" t="str">
        <x:v>NR</x:v>
      </x:c>
      <x:c r="K180" s="426" t="str">
        <x:v>NR — URL not captured in the available source record</x:v>
      </x:c>
      <x:c r="L180" s="426" t="str">
        <x:v>Not available in the captured evidence; the screening decision used the title and available source metadata.</x:v>
      </x:c>
      <x:c r="M180" s="426" t="str">
        <x:v>No duplicate</x:v>
      </x:c>
      <x:c r="N180" s="426" t="str">
        <x:v>Not applicable — no duplicate group</x:v>
      </x:c>
      <x:c r="O180" s="426" t="str">
        <x:v>Not applicable</x:v>
      </x:c>
      <x:c r="P180" s="426" t="str">
        <x:v>Yes</x:v>
      </x:c>
      <x:c r="Q180" s="426" t="str">
        <x:v>Exclude</x:v>
      </x:c>
      <x:c r="R180" s="426" t="str">
        <x:v>Longitudinal prognosis modelling without relevant imaging concept explanation.</x:v>
      </x:c>
      <x:c r="S180" s="426" t="str">
        <x:v>Verification documented at process level</x:v>
      </x:c>
      <x:c r="T180" s="426" t="str">
        <x:v>Two additional authors performed random spot checks; individual spot-check assignments are not recorded in this register.</x:v>
      </x:c>
      <x:c r="U180" s="426" t="str">
        <x:v>Exclude</x:v>
      </x:c>
      <x:c r="V180" s="426" t="str">
        <x:v>Primary decision by the corresponding author; two additional authors performed random spot checks as a quality-control step.</x:v>
      </x:c>
      <x:c r="W180" s="426" t="str">
        <x:v>No</x:v>
      </x:c>
      <x:c r="X180" s="426" t="str">
        <x:v>Not applicable</x:v>
      </x:c>
      <x:c r="Y180" s="426" t="str">
        <x:v>Not assessed</x:v>
      </x:c>
      <x:c r="Z180" s="426" t="str">
        <x:v>Not advanced to full-text assessment after the title/abstract decision.</x:v>
      </x:c>
      <x:c r="AA180" s="22" t="str">
        <x:v>Not applicable</x:v>
      </x:c>
      <x:c r="AB180" s="22" t="str">
        <x:v>Record was not advanced to full-text assessment.</x:v>
      </x:c>
      <x:c r="AC180" s="22" t="str">
        <x:v>Not assessed</x:v>
      </x:c>
      <x:c r="AD180" s="22" t="str">
        <x:v>Not applicable — no full-text assessment was required.</x:v>
      </x:c>
      <x:c r="AE180" s="22" t="str">
        <x:v>Not included — title/abstract exclusion</x:v>
      </x:c>
      <x:c r="AF180" s="22" t="str">
        <x:v>Not applicable — not included</x:v>
      </x:c>
      <x:c r="AG180" s="22" t="str">
        <x:v>Evidence: 93c788f6-a9aa-45cf-af30-575ca304b7cc.png; page 4, result 3. Metadata transcribed from captured Google Scholar page; OCR-normalised, verify against publication before citation.</x:v>
      </x:c>
      <x:c r="AH180" s="20" t="str">
        <x:v>No duplicate identified under the documented matching rules.</x:v>
      </x:c>
    </x:row>
    <x:row r="181" ht="42" customHeight="1">
      <x:c r="A181" s="426" t="str">
        <x:v>GS-02-034</x:v>
      </x:c>
      <x:c r="B181" s="426" t="str">
        <x:v>Google Scholar</x:v>
      </x:c>
      <x:c r="C181" s="426" t="str">
        <x:v>GS-02</x:v>
      </x:c>
      <x:c r="D181" s="426" t="str">
        <x:v>Rehabdle Mutt-Prototypical Contrastive Learning for Sami-supervised Hetsrogsneous and Multi-organ Medical Image Segmentation</x:v>
      </x:c>
      <x:c r="E181" s="426" t="str">
        <x:v>X Yang JRen.L Yang kK Li ¥vvang + on Medical Imaging 2226</x:v>
      </x:c>
      <x:c r="F181" s="426" t="str">
        <x:v>NR</x:v>
      </x:c>
      <x:c r="G181" s="426" t="str">
        <x:v>ieaexplora ieee org</x:v>
      </x:c>
      <x:c r="H181" s="426" t="str">
        <x:v>Google Scholar result</x:v>
      </x:c>
      <x:c r="I181" s="426" t="str">
        <x:v>NR</x:v>
      </x:c>
      <x:c r="J181" s="426" t="str">
        <x:v>NR</x:v>
      </x:c>
      <x:c r="K181" s="426" t="str">
        <x:v>NR — URL not captured in the available source record</x:v>
      </x:c>
      <x:c r="L181" s="426" t="str">
        <x:v>Not available in the captured evidence; the screening decision used the title and available source metadata.</x:v>
      </x:c>
      <x:c r="M181" s="426" t="str">
        <x:v>No duplicate</x:v>
      </x:c>
      <x:c r="N181" s="426" t="str">
        <x:v>Not applicable — no duplicate group</x:v>
      </x:c>
      <x:c r="O181" s="426" t="str">
        <x:v>Not applicable</x:v>
      </x:c>
      <x:c r="P181" s="426" t="str">
        <x:v>Yes</x:v>
      </x:c>
      <x:c r="Q181" s="426" t="str">
        <x:v>Exclude</x:v>
      </x:c>
      <x:c r="R181" s="426" t="str">
        <x:v>Prototypes support contrastive medical-image segmentation rather than explanation.</x:v>
      </x:c>
      <x:c r="S181" s="426" t="str">
        <x:v>Verification documented at process level</x:v>
      </x:c>
      <x:c r="T181" s="426" t="str">
        <x:v>Two additional authors performed random spot checks; individual spot-check assignments are not recorded in this register.</x:v>
      </x:c>
      <x:c r="U181" s="426" t="str">
        <x:v>Exclude</x:v>
      </x:c>
      <x:c r="V181" s="426" t="str">
        <x:v>Primary decision by the corresponding author; two additional authors performed random spot checks as a quality-control step.</x:v>
      </x:c>
      <x:c r="W181" s="426" t="str">
        <x:v>No</x:v>
      </x:c>
      <x:c r="X181" s="426" t="str">
        <x:v>Not applicable</x:v>
      </x:c>
      <x:c r="Y181" s="426" t="str">
        <x:v>Not assessed</x:v>
      </x:c>
      <x:c r="Z181" s="426" t="str">
        <x:v>Not advanced to full-text assessment after the title/abstract decision.</x:v>
      </x:c>
      <x:c r="AA181" s="22" t="str">
        <x:v>Not applicable</x:v>
      </x:c>
      <x:c r="AB181" s="22" t="str">
        <x:v>Record was not advanced to full-text assessment.</x:v>
      </x:c>
      <x:c r="AC181" s="22" t="str">
        <x:v>Not assessed</x:v>
      </x:c>
      <x:c r="AD181" s="22" t="str">
        <x:v>Not applicable — no full-text assessment was required.</x:v>
      </x:c>
      <x:c r="AE181" s="22" t="str">
        <x:v>Not included — title/abstract exclusion</x:v>
      </x:c>
      <x:c r="AF181" s="22" t="str">
        <x:v>Not applicable — not included</x:v>
      </x:c>
      <x:c r="AG181" s="22" t="str">
        <x:v>Evidence: 93c788f6-a9aa-45cf-af30-575ca304b7cc.png; page 4, result 4. Metadata transcribed from captured Google Scholar page; OCR-normalised, verify against publication before citation.</x:v>
      </x:c>
      <x:c r="AH181" s="20" t="str">
        <x:v>No duplicate identified under the documented matching rules.</x:v>
      </x:c>
    </x:row>
    <x:row r="182" ht="42" customHeight="1">
      <x:c r="A182" s="426" t="str">
        <x:v>GS-02-035</x:v>
      </x:c>
      <x:c r="B182" s="426" t="str">
        <x:v>Google Scholar</x:v>
      </x:c>
      <x:c r="C182" s="426" t="str">
        <x:v>GS-02</x:v>
      </x:c>
      <x:c r="D182" s="426" t="str">
        <x:v>Federated learning for medical image classification based on prototype alignment</x:v>
      </x:c>
      <x:c r="E182" s="426" t="str">
        <x:v>M Wai R Xu. Q Zhang HL. J civ</x:v>
      </x:c>
      <x:c r="F182" s="426" t="n">
        <x:v>2026</x:v>
      </x:c>
      <x:c r="G182" s="426" t="str">
        <x:v>Mutimecia Systems, 2026 - Sprirger</x:v>
      </x:c>
      <x:c r="H182" s="426" t="str">
        <x:v>Google Scholar result</x:v>
      </x:c>
      <x:c r="I182" s="426" t="str">
        <x:v>NR</x:v>
      </x:c>
      <x:c r="J182" s="426" t="str">
        <x:v>NR</x:v>
      </x:c>
      <x:c r="K182" s="426" t="str">
        <x:v>NR — URL not captured in the available source record</x:v>
      </x:c>
      <x:c r="L182" s="426" t="str">
        <x:v>Not available in the captured evidence; the screening decision used the title and available source metadata.</x:v>
      </x:c>
      <x:c r="M182" s="426" t="str">
        <x:v>No duplicate</x:v>
      </x:c>
      <x:c r="N182" s="426" t="str">
        <x:v>Not applicable — no duplicate group</x:v>
      </x:c>
      <x:c r="O182" s="426" t="str">
        <x:v>Not applicable</x:v>
      </x:c>
      <x:c r="P182" s="426" t="str">
        <x:v>Yes</x:v>
      </x:c>
      <x:c r="Q182" s="426" t="str">
        <x:v>Exclude</x:v>
      </x:c>
      <x:c r="R182" s="426" t="str">
        <x:v>Federated prototype alignment for classification, not concept-XAI.</x:v>
      </x:c>
      <x:c r="S182" s="426" t="str">
        <x:v>Verification documented at process level</x:v>
      </x:c>
      <x:c r="T182" s="426" t="str">
        <x:v>Two additional authors performed random spot checks; individual spot-check assignments are not recorded in this register.</x:v>
      </x:c>
      <x:c r="U182" s="426" t="str">
        <x:v>Exclude</x:v>
      </x:c>
      <x:c r="V182" s="426" t="str">
        <x:v>Primary decision by the corresponding author; two additional authors performed random spot checks as a quality-control step.</x:v>
      </x:c>
      <x:c r="W182" s="426" t="str">
        <x:v>No</x:v>
      </x:c>
      <x:c r="X182" s="426" t="str">
        <x:v>Not applicable</x:v>
      </x:c>
      <x:c r="Y182" s="426" t="str">
        <x:v>Not assessed</x:v>
      </x:c>
      <x:c r="Z182" s="426" t="str">
        <x:v>Not advanced to full-text assessment after the title/abstract decision.</x:v>
      </x:c>
      <x:c r="AA182" s="22" t="str">
        <x:v>Not applicable</x:v>
      </x:c>
      <x:c r="AB182" s="22" t="str">
        <x:v>Record was not advanced to full-text assessment.</x:v>
      </x:c>
      <x:c r="AC182" s="22" t="str">
        <x:v>Not assessed</x:v>
      </x:c>
      <x:c r="AD182" s="22" t="str">
        <x:v>Not applicable — no full-text assessment was required.</x:v>
      </x:c>
      <x:c r="AE182" s="22" t="str">
        <x:v>Not included — title/abstract exclusion</x:v>
      </x:c>
      <x:c r="AF182" s="22" t="str">
        <x:v>Not applicable — not included</x:v>
      </x:c>
      <x:c r="AG182" s="22" t="str">
        <x:v>Evidence: 93c788f6-a9aa-45cf-af30-575ca304b7cc.png; page 4, result 5. Metadata transcribed from captured Google Scholar page; OCR-normalised, verify against publication before citation.</x:v>
      </x:c>
      <x:c r="AH182" s="20" t="str">
        <x:v>No duplicate identified under the documented matching rules.</x:v>
      </x:c>
    </x:row>
    <x:row r="183" ht="42" customHeight="1">
      <x:c r="A183" s="426" t="str">
        <x:v>GS-02-036</x:v>
      </x:c>
      <x:c r="B183" s="426" t="str">
        <x:v>Google Scholar</x:v>
      </x:c>
      <x:c r="C183" s="426" t="str">
        <x:v>GS-02</x:v>
      </x:c>
      <x:c r="D183" s="426" t="str">
        <x:v>Heterogeneous defect prediction based on federated prototype learning</x:v>
      </x:c>
      <x:c r="E183" s="426" t="str">
        <x:v>AWarg . Yang H Wu. ¥ lwahod</x:v>
      </x:c>
      <x:c r="F183" s="426" t="str">
        <x:v>NR</x:v>
      </x:c>
      <x:c r="G183" s="426" t="str">
        <x:v>IEEE Access 2923 - iezexpiore ieee org</x:v>
      </x:c>
      <x:c r="H183" s="426" t="str">
        <x:v>Google Scholar result</x:v>
      </x:c>
      <x:c r="I183" s="426" t="str">
        <x:v>NR</x:v>
      </x:c>
      <x:c r="J183" s="426" t="str">
        <x:v>NR</x:v>
      </x:c>
      <x:c r="K183" s="426" t="str">
        <x:v>NR — URL not captured in the available source record</x:v>
      </x:c>
      <x:c r="L183" s="426" t="str">
        <x:v>Not available in the captured evidence; the screening decision used the title and available source metadata.</x:v>
      </x:c>
      <x:c r="M183" s="426" t="str">
        <x:v>No duplicate</x:v>
      </x:c>
      <x:c r="N183" s="426" t="str">
        <x:v>Not applicable — no duplicate group</x:v>
      </x:c>
      <x:c r="O183" s="426" t="str">
        <x:v>Not applicable</x:v>
      </x:c>
      <x:c r="P183" s="426" t="str">
        <x:v>Yes</x:v>
      </x:c>
      <x:c r="Q183" s="426" t="str">
        <x:v>Exclude</x:v>
      </x:c>
      <x:c r="R183" s="426" t="str">
        <x:v>Wrong domain: heterogeneous defect prediction.</x:v>
      </x:c>
      <x:c r="S183" s="426" t="str">
        <x:v>Verification documented at process level</x:v>
      </x:c>
      <x:c r="T183" s="426" t="str">
        <x:v>Two additional authors performed random spot checks; individual spot-check assignments are not recorded in this register.</x:v>
      </x:c>
      <x:c r="U183" s="426" t="str">
        <x:v>Exclude</x:v>
      </x:c>
      <x:c r="V183" s="426" t="str">
        <x:v>Primary decision by the corresponding author; two additional authors performed random spot checks as a quality-control step.</x:v>
      </x:c>
      <x:c r="W183" s="426" t="str">
        <x:v>No</x:v>
      </x:c>
      <x:c r="X183" s="426" t="str">
        <x:v>Not applicable</x:v>
      </x:c>
      <x:c r="Y183" s="426" t="str">
        <x:v>Not assessed</x:v>
      </x:c>
      <x:c r="Z183" s="426" t="str">
        <x:v>Not advanced to full-text assessment after the title/abstract decision.</x:v>
      </x:c>
      <x:c r="AA183" s="22" t="str">
        <x:v>Not applicable</x:v>
      </x:c>
      <x:c r="AB183" s="22" t="str">
        <x:v>Record was not advanced to full-text assessment.</x:v>
      </x:c>
      <x:c r="AC183" s="22" t="str">
        <x:v>Not assessed</x:v>
      </x:c>
      <x:c r="AD183" s="22" t="str">
        <x:v>Not applicable — no full-text assessment was required.</x:v>
      </x:c>
      <x:c r="AE183" s="22" t="str">
        <x:v>Not included — title/abstract exclusion</x:v>
      </x:c>
      <x:c r="AF183" s="22" t="str">
        <x:v>Not applicable — not included</x:v>
      </x:c>
      <x:c r="AG183" s="22" t="str">
        <x:v>Evidence: 93c788f6-a9aa-45cf-af30-575ca304b7cc.png; page 4, result 6. Metadata transcribed from captured Google Scholar page; OCR-normalised, verify against publication before citation.</x:v>
      </x:c>
      <x:c r="AH183" s="20" t="str">
        <x:v>No duplicate identified under the documented matching rules.</x:v>
      </x:c>
    </x:row>
    <x:row r="184" ht="42" customHeight="1">
      <x:c r="A184" s="426" t="str">
        <x:v>GS-02-037</x:v>
      </x:c>
      <x:c r="B184" s="426" t="str">
        <x:v>Google Scholar</x:v>
      </x:c>
      <x:c r="C184" s="426" t="str">
        <x:v>GS-02</x:v>
      </x:c>
      <x:c r="D184" s="426" t="str">
        <x:v>tHTML] Clintcopathological and (maging Distinction Between Ocular Adnexal MALT Lymphoma and IgG4-Reiated Ophthalmic Disease</x:v>
      </x:c>
      <x:c r="E184" s="426" t="str">
        <x:v>2@Has W He -American Jo.mal of Ophthalmology 2026</x:v>
      </x:c>
      <x:c r="F184" s="426" t="n">
        <x:v>2026</x:v>
      </x:c>
      <x:c r="G184" s="426" t="str">
        <x:v>Elsevier</x:v>
      </x:c>
      <x:c r="H184" s="426" t="str">
        <x:v>Google Scholar result</x:v>
      </x:c>
      <x:c r="I184" s="426" t="str">
        <x:v>NR</x:v>
      </x:c>
      <x:c r="J184" s="426" t="str">
        <x:v>NR</x:v>
      </x:c>
      <x:c r="K184" s="426" t="str">
        <x:v>NR — URL not captured in the available source record</x:v>
      </x:c>
      <x:c r="L184" s="426" t="str">
        <x:v>Not available in the captured evidence; the screening decision used the title and available source metadata.</x:v>
      </x:c>
      <x:c r="M184" s="426" t="str">
        <x:v>No duplicate</x:v>
      </x:c>
      <x:c r="N184" s="426" t="str">
        <x:v>Not applicable — no duplicate group</x:v>
      </x:c>
      <x:c r="O184" s="426" t="str">
        <x:v>Not applicable</x:v>
      </x:c>
      <x:c r="P184" s="426" t="str">
        <x:v>Yes</x:v>
      </x:c>
      <x:c r="Q184" s="426" t="str">
        <x:v>Exclude</x:v>
      </x:c>
      <x:c r="R184" s="426" t="str">
        <x:v>Clinical ophthalmic comparison study without an AI or XAI method.</x:v>
      </x:c>
      <x:c r="S184" s="426" t="str">
        <x:v>Verification documented at process level</x:v>
      </x:c>
      <x:c r="T184" s="426" t="str">
        <x:v>Two additional authors performed random spot checks; individual spot-check assignments are not recorded in this register.</x:v>
      </x:c>
      <x:c r="U184" s="426" t="str">
        <x:v>Exclude</x:v>
      </x:c>
      <x:c r="V184" s="426" t="str">
        <x:v>Primary decision by the corresponding author; two additional authors performed random spot checks as a quality-control step.</x:v>
      </x:c>
      <x:c r="W184" s="426" t="str">
        <x:v>No</x:v>
      </x:c>
      <x:c r="X184" s="426" t="str">
        <x:v>Not applicable</x:v>
      </x:c>
      <x:c r="Y184" s="426" t="str">
        <x:v>Not assessed</x:v>
      </x:c>
      <x:c r="Z184" s="426" t="str">
        <x:v>Not advanced to full-text assessment after the title/abstract decision.</x:v>
      </x:c>
      <x:c r="AA184" s="22" t="str">
        <x:v>Not applicable</x:v>
      </x:c>
      <x:c r="AB184" s="22" t="str">
        <x:v>Record was not advanced to full-text assessment.</x:v>
      </x:c>
      <x:c r="AC184" s="22" t="str">
        <x:v>Not assessed</x:v>
      </x:c>
      <x:c r="AD184" s="22" t="str">
        <x:v>Not applicable — no full-text assessment was required.</x:v>
      </x:c>
      <x:c r="AE184" s="22" t="str">
        <x:v>Not included — title/abstract exclusion</x:v>
      </x:c>
      <x:c r="AF184" s="22" t="str">
        <x:v>Not applicable — not included</x:v>
      </x:c>
      <x:c r="AG184" s="22" t="str">
        <x:v>Evidence: 93c788f6-a9aa-45cf-af30-575ca304b7cc.png; page 4, result 7. Metadata transcribed from captured Google Scholar page; OCR-normalised, verify against publication before citation.</x:v>
      </x:c>
      <x:c r="AH184" s="20" t="str">
        <x:v>No duplicate identified under the documented matching rules.</x:v>
      </x:c>
    </x:row>
    <x:row r="185" ht="42" customHeight="1">
      <x:c r="A185" s="426" t="str">
        <x:v>GS-02-038</x:v>
      </x:c>
      <x:c r="B185" s="426" t="str">
        <x:v>Google Scholar</x:v>
      </x:c>
      <x:c r="C185" s="426" t="str">
        <x:v>GS-02</x:v>
      </x:c>
      <x:c r="D185" s="426" t="str">
        <x:v>Advancing interpretabitity in text classification through prototype learning</x:v>
      </x:c>
      <x:c r="E185" s="426" t="str">
        <x:v>BWei Z Zh,</x:v>
      </x:c>
      <x:c r="F185" s="426" t="n">
        <x:v>2024</x:v>
      </x:c>
      <x:c r="G185" s="426" t="str">
        <x:v>arXiv preprint arXiv 24°90 17546 2024 - arxiv arg</x:v>
      </x:c>
      <x:c r="H185" s="426" t="str">
        <x:v>Google Scholar result</x:v>
      </x:c>
      <x:c r="I185" s="426" t="str">
        <x:v>NR</x:v>
      </x:c>
      <x:c r="J185" s="426" t="str">
        <x:v>NR</x:v>
      </x:c>
      <x:c r="K185" s="426" t="str">
        <x:v>NR — URL not captured in the available source record</x:v>
      </x:c>
      <x:c r="L185" s="426" t="str">
        <x:v>Not available in the captured evidence; the screening decision used the title and available source metadata.</x:v>
      </x:c>
      <x:c r="M185" s="426" t="str">
        <x:v>No duplicate</x:v>
      </x:c>
      <x:c r="N185" s="426" t="str">
        <x:v>Not applicable — no duplicate group</x:v>
      </x:c>
      <x:c r="O185" s="426" t="str">
        <x:v>Not applicable</x:v>
      </x:c>
      <x:c r="P185" s="426" t="str">
        <x:v>Yes</x:v>
      </x:c>
      <x:c r="Q185" s="426" t="str">
        <x:v>Exclude</x:v>
      </x:c>
      <x:c r="R185" s="426" t="str">
        <x:v>Wrong domain: prototype-based text classification.</x:v>
      </x:c>
      <x:c r="S185" s="426" t="str">
        <x:v>Verification documented at process level</x:v>
      </x:c>
      <x:c r="T185" s="426" t="str">
        <x:v>Two additional authors performed random spot checks; individual spot-check assignments are not recorded in this register.</x:v>
      </x:c>
      <x:c r="U185" s="426" t="str">
        <x:v>Exclude</x:v>
      </x:c>
      <x:c r="V185" s="426" t="str">
        <x:v>Primary decision by the corresponding author; two additional authors performed random spot checks as a quality-control step.</x:v>
      </x:c>
      <x:c r="W185" s="426" t="str">
        <x:v>No</x:v>
      </x:c>
      <x:c r="X185" s="426" t="str">
        <x:v>Not applicable</x:v>
      </x:c>
      <x:c r="Y185" s="426" t="str">
        <x:v>Not assessed</x:v>
      </x:c>
      <x:c r="Z185" s="426" t="str">
        <x:v>Not advanced to full-text assessment after the title/abstract decision.</x:v>
      </x:c>
      <x:c r="AA185" s="22" t="str">
        <x:v>Not applicable</x:v>
      </x:c>
      <x:c r="AB185" s="22" t="str">
        <x:v>Record was not advanced to full-text assessment.</x:v>
      </x:c>
      <x:c r="AC185" s="22" t="str">
        <x:v>Not assessed</x:v>
      </x:c>
      <x:c r="AD185" s="22" t="str">
        <x:v>Not applicable — no full-text assessment was required.</x:v>
      </x:c>
      <x:c r="AE185" s="22" t="str">
        <x:v>Not included — title/abstract exclusion</x:v>
      </x:c>
      <x:c r="AF185" s="22" t="str">
        <x:v>Not applicable — not included</x:v>
      </x:c>
      <x:c r="AG185" s="22" t="str">
        <x:v>Evidence: 93c788f6-a9aa-45cf-af30-575ca304b7cc.png; page 4, result 8. Metadata transcribed from captured Google Scholar page; OCR-normalised, verify against publication before citation.</x:v>
      </x:c>
      <x:c r="AH185" s="20" t="str">
        <x:v>No duplicate identified under the documented matching rules.</x:v>
      </x:c>
    </x:row>
    <x:row r="186" ht="42" customHeight="1">
      <x:c r="A186" s="426" t="str">
        <x:v>GS-02-039</x:v>
      </x:c>
      <x:c r="B186" s="426" t="str">
        <x:v>Google Scholar</x:v>
      </x:c>
      <x:c r="C186" s="426" t="str">
        <x:v>GS-02</x:v>
      </x:c>
      <x:c r="D186" s="426" t="str">
        <x:v>W5-SAM: self-prompting SAM with wavelet and spatial domain for OCTA retinal vessel segmentation 2 Zhang et al</x:v>
      </x:c>
      <x:c r="E186" s="426" t="str">
        <x:v>é Zhang FMa,HYluu,X Dong ¥Guo «The ounalof = 2025</x:v>
      </x:c>
      <x:c r="F186" s="426" t="n">
        <x:v>2025</x:v>
      </x:c>
      <x:c r="G186" s="426" t="str">
        <x:v>Spanger</x:v>
      </x:c>
      <x:c r="H186" s="426" t="str">
        <x:v>Google Scholar result</x:v>
      </x:c>
      <x:c r="I186" s="426" t="str">
        <x:v>NR</x:v>
      </x:c>
      <x:c r="J186" s="426" t="str">
        <x:v>NR</x:v>
      </x:c>
      <x:c r="K186" s="426" t="str">
        <x:v>NR — URL not captured in the available source record</x:v>
      </x:c>
      <x:c r="L186" s="426" t="str">
        <x:v>Not available in the captured evidence; the screening decision used the title and available source metadata.</x:v>
      </x:c>
      <x:c r="M186" s="426" t="str">
        <x:v>No duplicate</x:v>
      </x:c>
      <x:c r="N186" s="426" t="str">
        <x:v>Not applicable — no duplicate group</x:v>
      </x:c>
      <x:c r="O186" s="426" t="str">
        <x:v>Not applicable</x:v>
      </x:c>
      <x:c r="P186" s="426" t="str">
        <x:v>Yes</x:v>
      </x:c>
      <x:c r="Q186" s="426" t="str">
        <x:v>Exclude</x:v>
      </x:c>
      <x:c r="R186" s="426" t="str">
        <x:v>Retinal OCTA segmentation but no relevant concept or prototype explanation.</x:v>
      </x:c>
      <x:c r="S186" s="426" t="str">
        <x:v>Verification documented at process level</x:v>
      </x:c>
      <x:c r="T186" s="426" t="str">
        <x:v>Two additional authors performed random spot checks; individual spot-check assignments are not recorded in this register.</x:v>
      </x:c>
      <x:c r="U186" s="426" t="str">
        <x:v>Exclude</x:v>
      </x:c>
      <x:c r="V186" s="426" t="str">
        <x:v>Primary decision by the corresponding author; two additional authors performed random spot checks as a quality-control step.</x:v>
      </x:c>
      <x:c r="W186" s="426" t="str">
        <x:v>No</x:v>
      </x:c>
      <x:c r="X186" s="426" t="str">
        <x:v>Not applicable</x:v>
      </x:c>
      <x:c r="Y186" s="426" t="str">
        <x:v>Not assessed</x:v>
      </x:c>
      <x:c r="Z186" s="426" t="str">
        <x:v>Not advanced to full-text assessment after the title/abstract decision.</x:v>
      </x:c>
      <x:c r="AA186" s="22" t="str">
        <x:v>Not applicable</x:v>
      </x:c>
      <x:c r="AB186" s="22" t="str">
        <x:v>Record was not advanced to full-text assessment.</x:v>
      </x:c>
      <x:c r="AC186" s="22" t="str">
        <x:v>Not assessed</x:v>
      </x:c>
      <x:c r="AD186" s="22" t="str">
        <x:v>Not applicable — no full-text assessment was required.</x:v>
      </x:c>
      <x:c r="AE186" s="22" t="str">
        <x:v>Not included — title/abstract exclusion</x:v>
      </x:c>
      <x:c r="AF186" s="22" t="str">
        <x:v>Not applicable — not included</x:v>
      </x:c>
      <x:c r="AG186" s="22" t="str">
        <x:v>Evidence: 93c788f6-a9aa-45cf-af30-575ca304b7cc.png; page 4, result 9. Metadata transcribed from captured Google Scholar page; OCR-normalised, verify against publication before citation.</x:v>
      </x:c>
      <x:c r="AH186" s="20" t="str">
        <x:v>No duplicate identified under the documented matching rules.</x:v>
      </x:c>
    </x:row>
    <x:row r="187" ht="42" customHeight="1">
      <x:c r="A187" s="426" t="str">
        <x:v>GS-02-040</x:v>
      </x:c>
      <x:c r="B187" s="426" t="str">
        <x:v>Google Scholar</x:v>
      </x:c>
      <x:c r="C187" s="426" t="str">
        <x:v>GS-02</x:v>
      </x:c>
      <x:c r="D187" s="426" t="str">
        <x:v>xHTML] CrassVesselNet A one-shot retinal vessel segmentation Net</x:v>
      </x:c>
      <x:c r="E187" s="426" t="str">
        <x:v>H Xiong J Sang S Gorbachey SZhang Flong</x:v>
      </x:c>
      <x:c r="F187" s="426" t="n">
        <x:v>2026</x:v>
      </x:c>
      <x:c r="G187" s="426" t="str">
        <x:v>SignalProcessingacd , 2026 - Elsevier</x:v>
      </x:c>
      <x:c r="H187" s="426" t="str">
        <x:v>Google Scholar result</x:v>
      </x:c>
      <x:c r="I187" s="426" t="str">
        <x:v>NR</x:v>
      </x:c>
      <x:c r="J187" s="426" t="str">
        <x:v>NR</x:v>
      </x:c>
      <x:c r="K187" s="426" t="str">
        <x:v>NR — URL not captured in the available source record</x:v>
      </x:c>
      <x:c r="L187" s="426" t="str">
        <x:v>Not available in the captured evidence; the screening decision used the title and available source metadata.</x:v>
      </x:c>
      <x:c r="M187" s="426" t="str">
        <x:v>No duplicate</x:v>
      </x:c>
      <x:c r="N187" s="426" t="str">
        <x:v>Not applicable — no duplicate group</x:v>
      </x:c>
      <x:c r="O187" s="426" t="str">
        <x:v>Not applicable</x:v>
      </x:c>
      <x:c r="P187" s="426" t="str">
        <x:v>Yes</x:v>
      </x:c>
      <x:c r="Q187" s="426" t="str">
        <x:v>Exclude</x:v>
      </x:c>
      <x:c r="R187" s="426" t="str">
        <x:v>Retinal vessel segmentation but no concept-based or prototype explanation.</x:v>
      </x:c>
      <x:c r="S187" s="426" t="str">
        <x:v>Verification documented at process level</x:v>
      </x:c>
      <x:c r="T187" s="426" t="str">
        <x:v>Two additional authors performed random spot checks; individual spot-check assignments are not recorded in this register.</x:v>
      </x:c>
      <x:c r="U187" s="426" t="str">
        <x:v>Exclude</x:v>
      </x:c>
      <x:c r="V187" s="426" t="str">
        <x:v>Primary decision by the corresponding author; two additional authors performed random spot checks as a quality-control step.</x:v>
      </x:c>
      <x:c r="W187" s="426" t="str">
        <x:v>No</x:v>
      </x:c>
      <x:c r="X187" s="426" t="str">
        <x:v>Not applicable</x:v>
      </x:c>
      <x:c r="Y187" s="426" t="str">
        <x:v>Not assessed</x:v>
      </x:c>
      <x:c r="Z187" s="426" t="str">
        <x:v>Not advanced to full-text assessment after the title/abstract decision.</x:v>
      </x:c>
      <x:c r="AA187" s="22" t="str">
        <x:v>Not applicable</x:v>
      </x:c>
      <x:c r="AB187" s="22" t="str">
        <x:v>Record was not advanced to full-text assessment.</x:v>
      </x:c>
      <x:c r="AC187" s="22" t="str">
        <x:v>Not assessed</x:v>
      </x:c>
      <x:c r="AD187" s="22" t="str">
        <x:v>Not applicable — no full-text assessment was required.</x:v>
      </x:c>
      <x:c r="AE187" s="22" t="str">
        <x:v>Not included — title/abstract exclusion</x:v>
      </x:c>
      <x:c r="AF187" s="22" t="str">
        <x:v>Not applicable — not included</x:v>
      </x:c>
      <x:c r="AG187" s="22" t="str">
        <x:v>Evidence: 93c788f6-a9aa-45cf-af30-575ca304b7cc.png; page 4, result 10. Metadata transcribed from captured Google Scholar page; OCR-normalised, verify against publication before citation.</x:v>
      </x:c>
      <x:c r="AH187" s="20" t="str">
        <x:v>No duplicate identified under the documented matching rules.</x:v>
      </x:c>
    </x:row>
    <x:row r="188" ht="42" customHeight="1">
      <x:c r="A188" s="426" t="str">
        <x:v>GS-02-041</x:v>
      </x:c>
      <x:c r="B188" s="426" t="str">
        <x:v>Google Scholar</x:v>
      </x:c>
      <x:c r="C188" s="426" t="str">
        <x:v>GS-02</x:v>
      </x:c>
      <x:c r="D188" s="426" t="str">
        <x:v>Prototype-dnven hard-sample contrastive learning for camera-based respiratory Imaging analysis</x:v>
      </x:c>
      <x:c r="E188" s="426" t="str">
        <x:v>D Huang. M Xia LPan GWarg X Song... IEEE Journalof 2025</x:v>
      </x:c>
      <x:c r="F188" s="426" t="n">
        <x:v>2025</x:v>
      </x:c>
      <x:c r="G188" s="426" t="str">
        <x:v>iasexp.ore ieee arg</x:v>
      </x:c>
      <x:c r="H188" s="426" t="str">
        <x:v>Google Scholar result</x:v>
      </x:c>
      <x:c r="I188" s="426" t="str">
        <x:v>NR</x:v>
      </x:c>
      <x:c r="J188" s="426" t="str">
        <x:v>NR</x:v>
      </x:c>
      <x:c r="K188" s="426" t="str">
        <x:v>NR — URL not captured in the available source record</x:v>
      </x:c>
      <x:c r="L188" s="426" t="str">
        <x:v>Not available in the captured evidence; the screening decision used the title and available source metadata.</x:v>
      </x:c>
      <x:c r="M188" s="426" t="str">
        <x:v>No duplicate</x:v>
      </x:c>
      <x:c r="N188" s="426" t="str">
        <x:v>Not applicable — no duplicate group</x:v>
      </x:c>
      <x:c r="O188" s="426" t="str">
        <x:v>Not applicable</x:v>
      </x:c>
      <x:c r="P188" s="426" t="str">
        <x:v>Yes</x:v>
      </x:c>
      <x:c r="Q188" s="426" t="str">
        <x:v>Exclude</x:v>
      </x:c>
      <x:c r="R188" s="426" t="str">
        <x:v>Wrong clinical domain; prototypes support contrastive respiratory-imaging training rather than explanation.</x:v>
      </x:c>
      <x:c r="S188" s="426" t="str">
        <x:v>Verification documented at process level</x:v>
      </x:c>
      <x:c r="T188" s="426" t="str">
        <x:v>Two additional authors performed random spot checks; individual spot-check assignments are not recorded in this register.</x:v>
      </x:c>
      <x:c r="U188" s="426" t="str">
        <x:v>Exclude</x:v>
      </x:c>
      <x:c r="V188" s="426" t="str">
        <x:v>Primary decision by the corresponding author; two additional authors performed random spot checks as a quality-control step.</x:v>
      </x:c>
      <x:c r="W188" s="426" t="str">
        <x:v>No</x:v>
      </x:c>
      <x:c r="X188" s="426" t="str">
        <x:v>Not applicable</x:v>
      </x:c>
      <x:c r="Y188" s="426" t="str">
        <x:v>Not assessed</x:v>
      </x:c>
      <x:c r="Z188" s="426" t="str">
        <x:v>Not advanced to full-text assessment after the title/abstract decision.</x:v>
      </x:c>
      <x:c r="AA188" s="22" t="str">
        <x:v>Not applicable</x:v>
      </x:c>
      <x:c r="AB188" s="22" t="str">
        <x:v>Record was not advanced to full-text assessment.</x:v>
      </x:c>
      <x:c r="AC188" s="22" t="str">
        <x:v>Not assessed</x:v>
      </x:c>
      <x:c r="AD188" s="22" t="str">
        <x:v>Not applicable — no full-text assessment was required.</x:v>
      </x:c>
      <x:c r="AE188" s="22" t="str">
        <x:v>Not included — title/abstract exclusion</x:v>
      </x:c>
      <x:c r="AF188" s="22" t="str">
        <x:v>Not applicable — not included</x:v>
      </x:c>
      <x:c r="AG188" s="22" t="str">
        <x:v>Evidence: 2792c297-3df2-4f4f-b9a8-c39913767e15.png; page 5, result 1. Metadata transcribed from captured Google Scholar page; OCR-normalised, verify against publication before citation.</x:v>
      </x:c>
      <x:c r="AH188" s="20" t="str">
        <x:v>No duplicate identified under the documented matching rules.</x:v>
      </x:c>
    </x:row>
    <x:row r="189" ht="42" customHeight="1">
      <x:c r="A189" s="426" t="str">
        <x:v>GS-02-042</x:v>
      </x:c>
      <x:c r="B189" s="426" t="str">
        <x:v>Google Scholar</x:v>
      </x:c>
      <x:c r="C189" s="426" t="str">
        <x:v>GS-02</x:v>
      </x:c>
      <x:c r="D189" s="426" t="str">
        <x:v>Toward modality gap’ Vision prototype learning for weakly-supervised semantic segmentation with clip</x:v>
      </x:c>
      <x:c r="E189" s="426" t="str">
        <x:v>2Xu F sng 2Cren ¥ Su,2Zhan GZhang</x:v>
      </x:c>
      <x:c r="F189" s="426" t="n">
        <x:v>2025</x:v>
      </x:c>
      <x:c r="G189" s="426" t="str">
        <x:v>Proceedings ofthe | 2025- ajs aaai org</x:v>
      </x:c>
      <x:c r="H189" s="426" t="str">
        <x:v>Google Scholar result</x:v>
      </x:c>
      <x:c r="I189" s="426" t="str">
        <x:v>NR</x:v>
      </x:c>
      <x:c r="J189" s="426" t="str">
        <x:v>NR</x:v>
      </x:c>
      <x:c r="K189" s="426" t="str">
        <x:v>NR — URL not captured in the available source record</x:v>
      </x:c>
      <x:c r="L189" s="426" t="str">
        <x:v>Not available in the captured evidence; the screening decision used the title and available source metadata.</x:v>
      </x:c>
      <x:c r="M189" s="426" t="str">
        <x:v>No duplicate</x:v>
      </x:c>
      <x:c r="N189" s="426" t="str">
        <x:v>Not applicable — no duplicate group</x:v>
      </x:c>
      <x:c r="O189" s="426" t="str">
        <x:v>Not applicable</x:v>
      </x:c>
      <x:c r="P189" s="426" t="str">
        <x:v>Yes</x:v>
      </x:c>
      <x:c r="Q189" s="426" t="str">
        <x:v>Exclude</x:v>
      </x:c>
      <x:c r="R189" s="426" t="str">
        <x:v>Generic semantic-segmentation method without medical evaluation or explanation.</x:v>
      </x:c>
      <x:c r="S189" s="426" t="str">
        <x:v>Verification documented at process level</x:v>
      </x:c>
      <x:c r="T189" s="426" t="str">
        <x:v>Two additional authors performed random spot checks; individual spot-check assignments are not recorded in this register.</x:v>
      </x:c>
      <x:c r="U189" s="426" t="str">
        <x:v>Exclude</x:v>
      </x:c>
      <x:c r="V189" s="426" t="str">
        <x:v>Primary decision by the corresponding author; two additional authors performed random spot checks as a quality-control step.</x:v>
      </x:c>
      <x:c r="W189" s="426" t="str">
        <x:v>No</x:v>
      </x:c>
      <x:c r="X189" s="426" t="str">
        <x:v>Not applicable</x:v>
      </x:c>
      <x:c r="Y189" s="426" t="str">
        <x:v>Not assessed</x:v>
      </x:c>
      <x:c r="Z189" s="426" t="str">
        <x:v>Not advanced to full-text assessment after the title/abstract decision.</x:v>
      </x:c>
      <x:c r="AA189" s="22" t="str">
        <x:v>Not applicable</x:v>
      </x:c>
      <x:c r="AB189" s="22" t="str">
        <x:v>Record was not advanced to full-text assessment.</x:v>
      </x:c>
      <x:c r="AC189" s="22" t="str">
        <x:v>Not assessed</x:v>
      </x:c>
      <x:c r="AD189" s="22" t="str">
        <x:v>Not applicable — no full-text assessment was required.</x:v>
      </x:c>
      <x:c r="AE189" s="22" t="str">
        <x:v>Not included — title/abstract exclusion</x:v>
      </x:c>
      <x:c r="AF189" s="22" t="str">
        <x:v>Not applicable — not included</x:v>
      </x:c>
      <x:c r="AG189" s="22" t="str">
        <x:v>Evidence: 2792c297-3df2-4f4f-b9a8-c39913767e15.png; page 5, result 2. Metadata transcribed from captured Google Scholar page; OCR-normalised, verify against publication before citation.</x:v>
      </x:c>
      <x:c r="AH189" s="20" t="str">
        <x:v>No duplicate identified under the documented matching rules.</x:v>
      </x:c>
    </x:row>
    <x:row r="190" ht="42" customHeight="1">
      <x:c r="A190" s="426" t="str">
        <x:v>GS-02-043</x:v>
      </x:c>
      <x:c r="B190" s="426" t="str">
        <x:v>Google Scholar</x:v>
      </x:c>
      <x:c r="C190" s="426" t="str">
        <x:v>GS-02</x:v>
      </x:c>
      <x:c r="D190" s="426" t="str">
        <x:v>A convolutional neural network combined with prototype learning framework for brain functional network classification of auttsm spectrum disorder</x:v>
      </x:c>
      <x:c r="E190" s="426" t="str">
        <x:v>Y Liang BLu H Zhang- IEEE Transactons on Neural 202‘</x:v>
      </x:c>
      <x:c r="F190" s="426" t="str">
        <x:v>NR</x:v>
      </x:c>
      <x:c r="G190" s="426" t="str">
        <x:v>eeaxplore iese. org</x:v>
      </x:c>
      <x:c r="H190" s="426" t="str">
        <x:v>Google Scholar result</x:v>
      </x:c>
      <x:c r="I190" s="426" t="str">
        <x:v>NR</x:v>
      </x:c>
      <x:c r="J190" s="426" t="str">
        <x:v>NR</x:v>
      </x:c>
      <x:c r="K190" s="426" t="str">
        <x:v>NR — URL not captured in the available source record</x:v>
      </x:c>
      <x:c r="L190" s="426" t="str">
        <x:v>Not available in the captured evidence; the screening decision used the title and available source metadata.</x:v>
      </x:c>
      <x:c r="M190" s="426" t="str">
        <x:v>No duplicate</x:v>
      </x:c>
      <x:c r="N190" s="426" t="str">
        <x:v>Not applicable — no duplicate group</x:v>
      </x:c>
      <x:c r="O190" s="426" t="str">
        <x:v>Not applicable</x:v>
      </x:c>
      <x:c r="P190" s="426" t="str">
        <x:v>Yes</x:v>
      </x:c>
      <x:c r="Q190" s="426" t="str">
        <x:v>Exclude</x:v>
      </x:c>
      <x:c r="R190" s="426" t="str">
        <x:v>Autism brain-network classification, not ophthalmic imaging or concept-XAI.</x:v>
      </x:c>
      <x:c r="S190" s="426" t="str">
        <x:v>Verification documented at process level</x:v>
      </x:c>
      <x:c r="T190" s="426" t="str">
        <x:v>Two additional authors performed random spot checks; individual spot-check assignments are not recorded in this register.</x:v>
      </x:c>
      <x:c r="U190" s="426" t="str">
        <x:v>Exclude</x:v>
      </x:c>
      <x:c r="V190" s="426" t="str">
        <x:v>Primary decision by the corresponding author; two additional authors performed random spot checks as a quality-control step.</x:v>
      </x:c>
      <x:c r="W190" s="426" t="str">
        <x:v>No</x:v>
      </x:c>
      <x:c r="X190" s="426" t="str">
        <x:v>Not applicable</x:v>
      </x:c>
      <x:c r="Y190" s="426" t="str">
        <x:v>Not assessed</x:v>
      </x:c>
      <x:c r="Z190" s="426" t="str">
        <x:v>Not advanced to full-text assessment after the title/abstract decision.</x:v>
      </x:c>
      <x:c r="AA190" s="22" t="str">
        <x:v>Not applicable</x:v>
      </x:c>
      <x:c r="AB190" s="22" t="str">
        <x:v>Record was not advanced to full-text assessment.</x:v>
      </x:c>
      <x:c r="AC190" s="22" t="str">
        <x:v>Not assessed</x:v>
      </x:c>
      <x:c r="AD190" s="22" t="str">
        <x:v>Not applicable — no full-text assessment was required.</x:v>
      </x:c>
      <x:c r="AE190" s="22" t="str">
        <x:v>Not included — title/abstract exclusion</x:v>
      </x:c>
      <x:c r="AF190" s="22" t="str">
        <x:v>Not applicable — not included</x:v>
      </x:c>
      <x:c r="AG190" s="22" t="str">
        <x:v>Evidence: 2792c297-3df2-4f4f-b9a8-c39913767e15.png; page 5, result 3. Metadata transcribed from captured Google Scholar page; OCR-normalised, verify against publication before citation.</x:v>
      </x:c>
      <x:c r="AH190" s="20" t="str">
        <x:v>No duplicate identified under the documented matching rules.</x:v>
      </x:c>
    </x:row>
    <x:row r="191" ht="42" customHeight="1">
      <x:c r="A191" s="426" t="str">
        <x:v>GS-02-044</x:v>
      </x:c>
      <x:c r="B191" s="426" t="str">
        <x:v>Google Scholar</x:v>
      </x:c>
      <x:c r="C191" s="426" t="str">
        <x:v>GS-02</x:v>
      </x:c>
      <x:c r="D191" s="426" t="str">
        <x:v>Heterogeneous prototype learning from contaminated faces across domains via disentangling latent factors</x:v>
      </x:c>
      <x:c r="E191" s="426" t="str">
        <x:v>Marg BWang MYe YMCheung</x:v>
      </x:c>
      <x:c r="F191" s="426" t="n">
        <x:v>2024</x:v>
      </x:c>
      <x:c r="G191" s="426" t="str">
        <x:v>onNaura Networks | 2024 - iseaxplcre iees og</x:v>
      </x:c>
      <x:c r="H191" s="426" t="str">
        <x:v>Google Scholar result</x:v>
      </x:c>
      <x:c r="I191" s="426" t="str">
        <x:v>NR</x:v>
      </x:c>
      <x:c r="J191" s="426" t="str">
        <x:v>NR</x:v>
      </x:c>
      <x:c r="K191" s="426" t="str">
        <x:v>NR — URL not captured in the available source record</x:v>
      </x:c>
      <x:c r="L191" s="426" t="str">
        <x:v>Not available in the captured evidence; the screening decision used the title and available source metadata.</x:v>
      </x:c>
      <x:c r="M191" s="426" t="str">
        <x:v>No duplicate</x:v>
      </x:c>
      <x:c r="N191" s="426" t="str">
        <x:v>Not applicable — no duplicate group</x:v>
      </x:c>
      <x:c r="O191" s="426" t="str">
        <x:v>Not applicable</x:v>
      </x:c>
      <x:c r="P191" s="426" t="str">
        <x:v>Yes</x:v>
      </x:c>
      <x:c r="Q191" s="426" t="str">
        <x:v>Exclude</x:v>
      </x:c>
      <x:c r="R191" s="426" t="str">
        <x:v>Wrong domain: face recognition across domains.</x:v>
      </x:c>
      <x:c r="S191" s="426" t="str">
        <x:v>Verification documented at process level</x:v>
      </x:c>
      <x:c r="T191" s="426" t="str">
        <x:v>Two additional authors performed random spot checks; individual spot-check assignments are not recorded in this register.</x:v>
      </x:c>
      <x:c r="U191" s="426" t="str">
        <x:v>Exclude</x:v>
      </x:c>
      <x:c r="V191" s="426" t="str">
        <x:v>Primary decision by the corresponding author; two additional authors performed random spot checks as a quality-control step.</x:v>
      </x:c>
      <x:c r="W191" s="426" t="str">
        <x:v>No</x:v>
      </x:c>
      <x:c r="X191" s="426" t="str">
        <x:v>Not applicable</x:v>
      </x:c>
      <x:c r="Y191" s="426" t="str">
        <x:v>Not assessed</x:v>
      </x:c>
      <x:c r="Z191" s="426" t="str">
        <x:v>Not advanced to full-text assessment after the title/abstract decision.</x:v>
      </x:c>
      <x:c r="AA191" s="22" t="str">
        <x:v>Not applicable</x:v>
      </x:c>
      <x:c r="AB191" s="22" t="str">
        <x:v>Record was not advanced to full-text assessment.</x:v>
      </x:c>
      <x:c r="AC191" s="22" t="str">
        <x:v>Not assessed</x:v>
      </x:c>
      <x:c r="AD191" s="22" t="str">
        <x:v>Not applicable — no full-text assessment was required.</x:v>
      </x:c>
      <x:c r="AE191" s="22" t="str">
        <x:v>Not included — title/abstract exclusion</x:v>
      </x:c>
      <x:c r="AF191" s="22" t="str">
        <x:v>Not applicable — not included</x:v>
      </x:c>
      <x:c r="AG191" s="22" t="str">
        <x:v>Evidence: 2792c297-3df2-4f4f-b9a8-c39913767e15.png; page 5, result 4. Metadata transcribed from captured Google Scholar page; OCR-normalised, verify against publication before citation.</x:v>
      </x:c>
      <x:c r="AH191" s="20" t="str">
        <x:v>No duplicate identified under the documented matching rules.</x:v>
      </x:c>
    </x:row>
    <x:row r="192" ht="42" customHeight="1">
      <x:c r="A192" s="426" t="str">
        <x:v>GS-02-045</x:v>
      </x:c>
      <x:c r="B192" s="426" t="str">
        <x:v>Google Scholar</x:v>
      </x:c>
      <x:c r="C192" s="426" t="str">
        <x:v>GS-02</x:v>
      </x:c>
      <x:c r="D192" s="426" t="str">
        <x:v>Feature adaptive modulation and protetype learning for domain generalization intelligent fault diagnosis</x:v>
      </x:c>
      <x:c r="E192" s="426" t="str">
        <x:v>K Xu Hi Y Chai MM Guo- IEEE Tracsactions on Industial = 20.24</x:v>
      </x:c>
      <x:c r="F192" s="426" t="str">
        <x:v>NR</x:v>
      </x:c>
      <x:c r="G192" s="426" t="str">
        <x:v>te@aexplo-a iaea org</x:v>
      </x:c>
      <x:c r="H192" s="426" t="str">
        <x:v>Google Scholar result</x:v>
      </x:c>
      <x:c r="I192" s="426" t="str">
        <x:v>NR</x:v>
      </x:c>
      <x:c r="J192" s="426" t="str">
        <x:v>NR</x:v>
      </x:c>
      <x:c r="K192" s="426" t="str">
        <x:v>NR — URL not captured in the available source record</x:v>
      </x:c>
      <x:c r="L192" s="426" t="str">
        <x:v>Not available in the captured evidence; the screening decision used the title and available source metadata.</x:v>
      </x:c>
      <x:c r="M192" s="426" t="str">
        <x:v>No duplicate</x:v>
      </x:c>
      <x:c r="N192" s="426" t="str">
        <x:v>Not applicable — no duplicate group</x:v>
      </x:c>
      <x:c r="O192" s="426" t="str">
        <x:v>Not applicable</x:v>
      </x:c>
      <x:c r="P192" s="426" t="str">
        <x:v>Yes</x:v>
      </x:c>
      <x:c r="Q192" s="426" t="str">
        <x:v>Exclude</x:v>
      </x:c>
      <x:c r="R192" s="426" t="str">
        <x:v>Wrong domain: industrial fault diagnosis.</x:v>
      </x:c>
      <x:c r="S192" s="426" t="str">
        <x:v>Verification documented at process level</x:v>
      </x:c>
      <x:c r="T192" s="426" t="str">
        <x:v>Two additional authors performed random spot checks; individual spot-check assignments are not recorded in this register.</x:v>
      </x:c>
      <x:c r="U192" s="426" t="str">
        <x:v>Exclude</x:v>
      </x:c>
      <x:c r="V192" s="426" t="str">
        <x:v>Primary decision by the corresponding author; two additional authors performed random spot checks as a quality-control step.</x:v>
      </x:c>
      <x:c r="W192" s="426" t="str">
        <x:v>No</x:v>
      </x:c>
      <x:c r="X192" s="426" t="str">
        <x:v>Not applicable</x:v>
      </x:c>
      <x:c r="Y192" s="426" t="str">
        <x:v>Not assessed</x:v>
      </x:c>
      <x:c r="Z192" s="426" t="str">
        <x:v>Not advanced to full-text assessment after the title/abstract decision.</x:v>
      </x:c>
      <x:c r="AA192" s="22" t="str">
        <x:v>Not applicable</x:v>
      </x:c>
      <x:c r="AB192" s="22" t="str">
        <x:v>Record was not advanced to full-text assessment.</x:v>
      </x:c>
      <x:c r="AC192" s="22" t="str">
        <x:v>Not assessed</x:v>
      </x:c>
      <x:c r="AD192" s="22" t="str">
        <x:v>Not applicable — no full-text assessment was required.</x:v>
      </x:c>
      <x:c r="AE192" s="22" t="str">
        <x:v>Not included — title/abstract exclusion</x:v>
      </x:c>
      <x:c r="AF192" s="22" t="str">
        <x:v>Not applicable — not included</x:v>
      </x:c>
      <x:c r="AG192" s="22" t="str">
        <x:v>Evidence: 2792c297-3df2-4f4f-b9a8-c39913767e15.png; page 5, result 5. Metadata transcribed from captured Google Scholar page; OCR-normalised, verify against publication before citation.</x:v>
      </x:c>
      <x:c r="AH192" s="20" t="str">
        <x:v>No duplicate identified under the documented matching rules.</x:v>
      </x:c>
    </x:row>
    <x:row r="193" ht="42" customHeight="1">
      <x:c r="A193" s="426" t="str">
        <x:v>GS-02-046</x:v>
      </x:c>
      <x:c r="B193" s="426" t="str">
        <x:v>Google Scholar</x:v>
      </x:c>
      <x:c r="C193" s="426" t="str">
        <x:v>GS-02</x:v>
      </x:c>
      <x:c r="D193" s="426" t="str">
        <x:v>Retinofusionnet’ A scalable and interpretable vision transformer framework for diabetic retinopathy detection</x:v>
      </x:c>
      <x:c r="E193" s="426" t="str">
        <x:v>KY Shanthala KC Kundue</x:v>
      </x:c>
      <x:c r="F193" s="426" t="n">
        <x:v>2026</x:v>
      </x:c>
      <x:c r="G193" s="426" t="str">
        <x:v>Engineering Techrology &amp; Agplies = 2026 - mai elasr corr</x:v>
      </x:c>
      <x:c r="H193" s="426" t="str">
        <x:v>Google Scholar result</x:v>
      </x:c>
      <x:c r="I193" s="426" t="str">
        <x:v>10.48084/etasr.15311</x:v>
      </x:c>
      <x:c r="J193" s="426" t="str">
        <x:v>NR</x:v>
      </x:c>
      <x:c r="K193" s="426" t="str">
        <x:v>https://www.etasr.com/index.php/ETASR/article/download/15311/6142</x:v>
      </x:c>
      <x:c r="L193" s="426" t="str">
        <x:v>Diabetic Retinopathy (DR) is a leading cause of preventable blindness, highlighting the need for automated screening systems that combine accuracy, efficiency, and interpretability. The present study introduces RetinoFusionNet, a prototype-guided Vision Transformer (ViT) that unifies multi-resolution patch embedding, cross-scale attention, and class-specific prototype reasoning to capture both localized lesions and broader retinal structures. By segmenting fundus images into varied patch sizes, the model effectively extracts fine and global features, while cross-scale attention establishes dependencies across distant abnormalities. Prototype-based learning provides interpretable visual anchors that align predictions with clinically recognized disease patterns, enhancing trust in automated decisions. Comprehensive evaluation on EyePACS, APTOS 2019, and Messidor-2 datasets demonstrates state-of-the-art accuracy with only a 4.1–4.5% cross-dataset drop, outperforming ViT and ProtoPNet, which show a decline of 8.3–12.1%. RetinoFusionNet also achieves a per-image inference time of 78 ms, reduces memory usage by 42% compared to standard ViTs, and operates at just 14.6 GFLOPs, confirming its robustness and deployment feasibility. By combining precision, computational efficiency, and transparency, RetinoFusionNet is established as a practical and scalable solution for large-scale DR screening, particularly in resource-limited clinical settings.</x:v>
      </x:c>
      <x:c r="M193" s="426" t="str">
        <x:v>No duplicate</x:v>
      </x:c>
      <x:c r="N193" s="426" t="str">
        <x:v>Not applicable — no duplicate group</x:v>
      </x:c>
      <x:c r="O193" s="426" t="str">
        <x:v>Not applicable</x:v>
      </x:c>
      <x:c r="P193" s="426" t="str">
        <x:v>Yes</x:v>
      </x:c>
      <x:c r="Q193" s="426" t="str">
        <x:v>Include</x:v>
      </x:c>
      <x:c r="R193" s="426" t="str">
        <x:v>Direct retinal study combining prototype learning with interpretable diabetic-retinopathy detection.</x:v>
      </x:c>
      <x:c r="S193" s="426" t="str">
        <x:v>Verification documented at process level</x:v>
      </x:c>
      <x:c r="T193" s="426" t="str">
        <x:v>Two additional authors performed random spot checks; individual spot-check assignments are not recorded in this register.</x:v>
      </x:c>
      <x:c r="U193" s="426" t="str">
        <x:v>Include</x:v>
      </x:c>
      <x:c r="V193" s="426" t="str">
        <x:v>Primary decision by the corresponding author; two additional authors performed random spot checks as a quality-control step.</x:v>
      </x:c>
      <x:c r="W193" s="426" t="str">
        <x:v>Yes</x:v>
      </x:c>
      <x:c r="X193" s="426" t="str">
        <x:v>Yes</x:v>
      </x:c>
      <x:c r="Y193" s="426" t="str">
        <x:v>Include</x:v>
      </x:c>
      <x:c r="Z193" s="426" t="str">
        <x:v>The corresponding author assessed the complete report and judged it eligible for inclusion in the review.</x:v>
      </x:c>
      <x:c r="AA193" s="22" t="str">
        <x:v>Verification documented at process level</x:v>
      </x:c>
      <x:c r="AB193" s="22" t="str">
        <x:v>Two additional authors performed random spot checks; individual spot-check assignments are not recorded in this register.</x:v>
      </x:c>
      <x:c r="AC193" s="22" t="str">
        <x:v>Include</x:v>
      </x:c>
      <x:c r="AD193" s="22" t="str">
        <x:v>Primary decision by the corresponding author; two additional authors performed random spot checks as a quality-control step.</x:v>
      </x:c>
      <x:c r="AE193" s="22" t="str">
        <x:v>Include</x:v>
      </x:c>
      <x:c r="AF193" s="22" t="str">
        <x:v>Direct retinal/ophthalmic evidence</x:v>
      </x:c>
      <x:c r="AG193" s="22" t="str">
        <x:v>Evidence: 2792c297-3df2-4f4f-b9a8-c39913767e15.png; page 5, result 6. Metadata transcribed from captured Google Scholar page; OCR-normalised, verify against publication before citation.</x:v>
      </x:c>
      <x:c r="AH193" s="20" t="str">
        <x:v>No duplicate identified under the documented matching rules.</x:v>
      </x:c>
    </x:row>
    <x:row r="194" ht="42" customHeight="1">
      <x:c r="A194" s="426" t="str">
        <x:v>GS-02-047</x:v>
      </x:c>
      <x:c r="B194" s="426" t="str">
        <x:v>Google Scholar</x:v>
      </x:c>
      <x:c r="C194" s="426" t="str">
        <x:v>GS-02</x:v>
      </x:c>
      <x:c r="D194" s="426" t="str">
        <x:v>Semi-supermsed multwiew prototype leaming with motion reconstruction for moving infrared small target detection</x:v>
      </x:c>
      <x:c r="E194" s="426" t="str">
        <x:v>WiDusn i Ji .Huang S$Cren S$Pang</x:v>
      </x:c>
      <x:c r="F194" s="426" t="n">
        <x:v>2024</x:v>
      </x:c>
      <x:c r="G194" s="426" t="str">
        <x:v>onGeoscience ang 2024 -iseexptore iaes og</x:v>
      </x:c>
      <x:c r="H194" s="426" t="str">
        <x:v>Google Scholar result</x:v>
      </x:c>
      <x:c r="I194" s="426" t="str">
        <x:v>NR</x:v>
      </x:c>
      <x:c r="J194" s="426" t="str">
        <x:v>NR</x:v>
      </x:c>
      <x:c r="K194" s="426" t="str">
        <x:v>NR — URL not captured in the available source record</x:v>
      </x:c>
      <x:c r="L194" s="426" t="str">
        <x:v>Not available in the captured evidence; the screening decision used the title and available source metadata.</x:v>
      </x:c>
      <x:c r="M194" s="426" t="str">
        <x:v>No duplicate</x:v>
      </x:c>
      <x:c r="N194" s="426" t="str">
        <x:v>Not applicable — no duplicate group</x:v>
      </x:c>
      <x:c r="O194" s="426" t="str">
        <x:v>Not applicable</x:v>
      </x:c>
      <x:c r="P194" s="426" t="str">
        <x:v>Yes</x:v>
      </x:c>
      <x:c r="Q194" s="426" t="str">
        <x:v>Exclude</x:v>
      </x:c>
      <x:c r="R194" s="426" t="str">
        <x:v>Wrong domain: infrared small-target detection.</x:v>
      </x:c>
      <x:c r="S194" s="426" t="str">
        <x:v>Verification documented at process level</x:v>
      </x:c>
      <x:c r="T194" s="426" t="str">
        <x:v>Two additional authors performed random spot checks; individual spot-check assignments are not recorded in this register.</x:v>
      </x:c>
      <x:c r="U194" s="426" t="str">
        <x:v>Exclude</x:v>
      </x:c>
      <x:c r="V194" s="426" t="str">
        <x:v>Primary decision by the corresponding author; two additional authors performed random spot checks as a quality-control step.</x:v>
      </x:c>
      <x:c r="W194" s="426" t="str">
        <x:v>No</x:v>
      </x:c>
      <x:c r="X194" s="426" t="str">
        <x:v>Not applicable</x:v>
      </x:c>
      <x:c r="Y194" s="426" t="str">
        <x:v>Not assessed</x:v>
      </x:c>
      <x:c r="Z194" s="426" t="str">
        <x:v>Not advanced to full-text assessment after the title/abstract decision.</x:v>
      </x:c>
      <x:c r="AA194" s="22" t="str">
        <x:v>Not applicable</x:v>
      </x:c>
      <x:c r="AB194" s="22" t="str">
        <x:v>Record was not advanced to full-text assessment.</x:v>
      </x:c>
      <x:c r="AC194" s="22" t="str">
        <x:v>Not assessed</x:v>
      </x:c>
      <x:c r="AD194" s="22" t="str">
        <x:v>Not applicable — no full-text assessment was required.</x:v>
      </x:c>
      <x:c r="AE194" s="22" t="str">
        <x:v>Not included — title/abstract exclusion</x:v>
      </x:c>
      <x:c r="AF194" s="22" t="str">
        <x:v>Not applicable — not included</x:v>
      </x:c>
      <x:c r="AG194" s="22" t="str">
        <x:v>Evidence: 2792c297-3df2-4f4f-b9a8-c39913767e15.png; page 5, result 7. Metadata transcribed from captured Google Scholar page; OCR-normalised, verify against publication before citation.</x:v>
      </x:c>
      <x:c r="AH194" s="20" t="str">
        <x:v>No duplicate identified under the documented matching rules.</x:v>
      </x:c>
    </x:row>
    <x:row r="195" ht="42" customHeight="1">
      <x:c r="A195" s="426" t="str">
        <x:v>GS-02-048</x:v>
      </x:c>
      <x:c r="B195" s="426" t="str">
        <x:v>Google Scholar</x:v>
      </x:c>
      <x:c r="C195" s="426" t="str">
        <x:v>GS-02</x:v>
      </x:c>
      <x:c r="D195" s="426" t="str">
        <x:v>Few-shot class-incremental SAR target recognition via cosine prototype leaming</x:v>
      </x:c>
      <x:c r="E195" s="426" t="str">
        <x:v>Y¥Zhaa L Zhao. C Ding DHu -IEES Transactions on =. 21023.</x:v>
      </x:c>
      <x:c r="F195" s="426" t="str">
        <x:v>NR</x:v>
      </x:c>
      <x:c r="G195" s="426" t="str">
        <x:v>iepeexplore ieee org</x:v>
      </x:c>
      <x:c r="H195" s="426" t="str">
        <x:v>Google Scholar result</x:v>
      </x:c>
      <x:c r="I195" s="426" t="str">
        <x:v>NR</x:v>
      </x:c>
      <x:c r="J195" s="426" t="str">
        <x:v>NR</x:v>
      </x:c>
      <x:c r="K195" s="426" t="str">
        <x:v>NR — URL not captured in the available source record</x:v>
      </x:c>
      <x:c r="L195" s="426" t="str">
        <x:v>Not available in the captured evidence; the screening decision used the title and available source metadata.</x:v>
      </x:c>
      <x:c r="M195" s="426" t="str">
        <x:v>No duplicate</x:v>
      </x:c>
      <x:c r="N195" s="426" t="str">
        <x:v>Not applicable — no duplicate group</x:v>
      </x:c>
      <x:c r="O195" s="426" t="str">
        <x:v>Not applicable</x:v>
      </x:c>
      <x:c r="P195" s="426" t="str">
        <x:v>Yes</x:v>
      </x:c>
      <x:c r="Q195" s="426" t="str">
        <x:v>Exclude</x:v>
      </x:c>
      <x:c r="R195" s="426" t="str">
        <x:v>Wrong domain: SAR target recognition.</x:v>
      </x:c>
      <x:c r="S195" s="426" t="str">
        <x:v>Verification documented at process level</x:v>
      </x:c>
      <x:c r="T195" s="426" t="str">
        <x:v>Two additional authors performed random spot checks; individual spot-check assignments are not recorded in this register.</x:v>
      </x:c>
      <x:c r="U195" s="426" t="str">
        <x:v>Exclude</x:v>
      </x:c>
      <x:c r="V195" s="426" t="str">
        <x:v>Primary decision by the corresponding author; two additional authors performed random spot checks as a quality-control step.</x:v>
      </x:c>
      <x:c r="W195" s="426" t="str">
        <x:v>No</x:v>
      </x:c>
      <x:c r="X195" s="426" t="str">
        <x:v>Not applicable</x:v>
      </x:c>
      <x:c r="Y195" s="426" t="str">
        <x:v>Not assessed</x:v>
      </x:c>
      <x:c r="Z195" s="426" t="str">
        <x:v>Not advanced to full-text assessment after the title/abstract decision.</x:v>
      </x:c>
      <x:c r="AA195" s="22" t="str">
        <x:v>Not applicable</x:v>
      </x:c>
      <x:c r="AB195" s="22" t="str">
        <x:v>Record was not advanced to full-text assessment.</x:v>
      </x:c>
      <x:c r="AC195" s="22" t="str">
        <x:v>Not assessed</x:v>
      </x:c>
      <x:c r="AD195" s="22" t="str">
        <x:v>Not applicable — no full-text assessment was required.</x:v>
      </x:c>
      <x:c r="AE195" s="22" t="str">
        <x:v>Not included — title/abstract exclusion</x:v>
      </x:c>
      <x:c r="AF195" s="22" t="str">
        <x:v>Not applicable — not included</x:v>
      </x:c>
      <x:c r="AG195" s="22" t="str">
        <x:v>Evidence: 2792c297-3df2-4f4f-b9a8-c39913767e15.png; page 5, result 8. Metadata transcribed from captured Google Scholar page; OCR-normalised, verify against publication before citation.</x:v>
      </x:c>
      <x:c r="AH195" s="20" t="str">
        <x:v>No duplicate identified under the documented matching rules.</x:v>
      </x:c>
    </x:row>
    <x:row r="196" ht="42" customHeight="1">
      <x:c r="A196" s="426" t="str">
        <x:v>GS-02-049</x:v>
      </x:c>
      <x:c r="B196" s="426" t="str">
        <x:v>Google Scholar</x:v>
      </x:c>
      <x:c r="C196" s="426" t="str">
        <x:v>GS-02</x:v>
      </x:c>
      <x:c r="D196" s="426" t="str">
        <x:v>Neural prototype trees far interpretable fine-grained image recognition</x:v>
      </x:c>
      <x:c r="E196" s="426" t="str">
        <x:v>Maula, 8 Yar Bree, £ Seifert</x:v>
      </x:c>
      <x:c r="F196" s="426" t="n">
        <x:v>2021</x:v>
      </x:c>
      <x:c r="G196" s="426" t="str">
        <x:v>202° IEEE‘CVF Conference . 2021 - ieeexplore ieee oro</x:v>
      </x:c>
      <x:c r="H196" s="426" t="str">
        <x:v>Google Scholar result</x:v>
      </x:c>
      <x:c r="I196" s="426" t="str">
        <x:v>NR</x:v>
      </x:c>
      <x:c r="J196" s="426" t="str">
        <x:v>NR</x:v>
      </x:c>
      <x:c r="K196" s="426" t="str">
        <x:v>NR — URL not captured in the available source record</x:v>
      </x:c>
      <x:c r="L196" s="426" t="str">
        <x:v>Not available in the captured evidence; the screening decision used the title and available source metadata.</x:v>
      </x:c>
      <x:c r="M196" s="426" t="str">
        <x:v>No duplicate</x:v>
      </x:c>
      <x:c r="N196" s="426" t="str">
        <x:v>Not applicable — no duplicate group</x:v>
      </x:c>
      <x:c r="O196" s="426" t="str">
        <x:v>Not applicable</x:v>
      </x:c>
      <x:c r="P196" s="426" t="str">
        <x:v>Yes</x:v>
      </x:c>
      <x:c r="Q196" s="426" t="str">
        <x:v>Exclude</x:v>
      </x:c>
      <x:c r="R196" s="426" t="str">
        <x:v>Interpretable prototype method but without medical or ophthalmic evaluation.</x:v>
      </x:c>
      <x:c r="S196" s="426" t="str">
        <x:v>Verification documented at process level</x:v>
      </x:c>
      <x:c r="T196" s="426" t="str">
        <x:v>Two additional authors performed random spot checks; individual spot-check assignments are not recorded in this register.</x:v>
      </x:c>
      <x:c r="U196" s="426" t="str">
        <x:v>Exclude</x:v>
      </x:c>
      <x:c r="V196" s="426" t="str">
        <x:v>Primary decision by the corresponding author; two additional authors performed random spot checks as a quality-control step.</x:v>
      </x:c>
      <x:c r="W196" s="426" t="str">
        <x:v>No</x:v>
      </x:c>
      <x:c r="X196" s="426" t="str">
        <x:v>Not applicable</x:v>
      </x:c>
      <x:c r="Y196" s="426" t="str">
        <x:v>Not assessed</x:v>
      </x:c>
      <x:c r="Z196" s="426" t="str">
        <x:v>Not advanced to full-text assessment after the title/abstract decision.</x:v>
      </x:c>
      <x:c r="AA196" s="22" t="str">
        <x:v>Not applicable</x:v>
      </x:c>
      <x:c r="AB196" s="22" t="str">
        <x:v>Record was not advanced to full-text assessment.</x:v>
      </x:c>
      <x:c r="AC196" s="22" t="str">
        <x:v>Not assessed</x:v>
      </x:c>
      <x:c r="AD196" s="22" t="str">
        <x:v>Not applicable — no full-text assessment was required.</x:v>
      </x:c>
      <x:c r="AE196" s="22" t="str">
        <x:v>Not included — title/abstract exclusion</x:v>
      </x:c>
      <x:c r="AF196" s="22" t="str">
        <x:v>Not applicable — not included</x:v>
      </x:c>
      <x:c r="AG196" s="22" t="str">
        <x:v>Evidence: 2792c297-3df2-4f4f-b9a8-c39913767e15.png; page 5, result 9. Metadata transcribed from captured Google Scholar page; OCR-normalised, verify against publication before citation.</x:v>
      </x:c>
      <x:c r="AH196" s="20" t="str">
        <x:v>No duplicate identified under the documented matching rules.</x:v>
      </x:c>
    </x:row>
    <x:row r="197" ht="42" customHeight="1">
      <x:c r="A197" s="426" t="str">
        <x:v>GS-02-050</x:v>
      </x:c>
      <x:c r="B197" s="426" t="str">
        <x:v>Google Scholar</x:v>
      </x:c>
      <x:c r="C197" s="426" t="str">
        <x:v>GS-02</x:v>
      </x:c>
      <x:c r="D197" s="426" t="str">
        <x:v>Electricity theft detectian method based an ensemble learning and prototype leaming</x:v>
      </x:c>
      <x:c r="E197" s="426" t="str">
        <x:v>X Sur JH, Z 2hang. D Cao. SHyang -Journa'ofMedern 2023</x:v>
      </x:c>
      <x:c r="F197" s="426" t="n">
        <x:v>2023</x:v>
      </x:c>
      <x:c r="G197" s="426" t="str">
        <x:v>iepexplore ieee arg</x:v>
      </x:c>
      <x:c r="H197" s="426" t="str">
        <x:v>Google Scholar result</x:v>
      </x:c>
      <x:c r="I197" s="426" t="str">
        <x:v>NR</x:v>
      </x:c>
      <x:c r="J197" s="426" t="str">
        <x:v>NR</x:v>
      </x:c>
      <x:c r="K197" s="426" t="str">
        <x:v>NR — URL not captured in the available source record</x:v>
      </x:c>
      <x:c r="L197" s="426" t="str">
        <x:v>Not available in the captured evidence; the screening decision used the title and available source metadata.</x:v>
      </x:c>
      <x:c r="M197" s="426" t="str">
        <x:v>No duplicate</x:v>
      </x:c>
      <x:c r="N197" s="426" t="str">
        <x:v>Not applicable — no duplicate group</x:v>
      </x:c>
      <x:c r="O197" s="426" t="str">
        <x:v>Not applicable</x:v>
      </x:c>
      <x:c r="P197" s="426" t="str">
        <x:v>Yes</x:v>
      </x:c>
      <x:c r="Q197" s="426" t="str">
        <x:v>Exclude</x:v>
      </x:c>
      <x:c r="R197" s="426" t="str">
        <x:v>Wrong domain: electricity-theft detection.</x:v>
      </x:c>
      <x:c r="S197" s="426" t="str">
        <x:v>Verification documented at process level</x:v>
      </x:c>
      <x:c r="T197" s="426" t="str">
        <x:v>Two additional authors performed random spot checks; individual spot-check assignments are not recorded in this register.</x:v>
      </x:c>
      <x:c r="U197" s="426" t="str">
        <x:v>Exclude</x:v>
      </x:c>
      <x:c r="V197" s="426" t="str">
        <x:v>Primary decision by the corresponding author; two additional authors performed random spot checks as a quality-control step.</x:v>
      </x:c>
      <x:c r="W197" s="426" t="str">
        <x:v>No</x:v>
      </x:c>
      <x:c r="X197" s="426" t="str">
        <x:v>Not applicable</x:v>
      </x:c>
      <x:c r="Y197" s="426" t="str">
        <x:v>Not assessed</x:v>
      </x:c>
      <x:c r="Z197" s="426" t="str">
        <x:v>Not advanced to full-text assessment after the title/abstract decision.</x:v>
      </x:c>
      <x:c r="AA197" s="22" t="str">
        <x:v>Not applicable</x:v>
      </x:c>
      <x:c r="AB197" s="22" t="str">
        <x:v>Record was not advanced to full-text assessment.</x:v>
      </x:c>
      <x:c r="AC197" s="22" t="str">
        <x:v>Not assessed</x:v>
      </x:c>
      <x:c r="AD197" s="22" t="str">
        <x:v>Not applicable — no full-text assessment was required.</x:v>
      </x:c>
      <x:c r="AE197" s="22" t="str">
        <x:v>Not included — title/abstract exclusion</x:v>
      </x:c>
      <x:c r="AF197" s="22" t="str">
        <x:v>Not applicable — not included</x:v>
      </x:c>
      <x:c r="AG197" s="22" t="str">
        <x:v>Evidence: 2792c297-3df2-4f4f-b9a8-c39913767e15.png; page 5, result 10. Metadata transcribed from captured Google Scholar page; OCR-normalised, verify against publication before citation.</x:v>
      </x:c>
      <x:c r="AH197" s="20" t="str">
        <x:v>No duplicate identified under the documented matching rules.</x:v>
      </x:c>
    </x:row>
    <x:row r="198" ht="42" customHeight="1">
      <x:c r="A198" s="426" t="str">
        <x:v>GS-02-051</x:v>
      </x:c>
      <x:c r="B198" s="426" t="str">
        <x:v>Google Scholar</x:v>
      </x:c>
      <x:c r="C198" s="426" t="str">
        <x:v>GS-02</x:v>
      </x:c>
      <x:c r="D198" s="426" t="str">
        <x:v>Multiview calibrated prototype learning for few-shot hyperspectral image classification</x:v>
      </x:c>
      <x:c r="E198" s="426" t="str">
        <x:v>CY¥u BGong. Song. E Zhao</x:v>
      </x:c>
      <x:c r="F198" s="426" t="n">
        <x:v>2022</x:v>
      </x:c>
      <x:c r="G198" s="426" t="str">
        <x:v>IEEE Transatlionson 2022 - ieeaxprore ieee org</x:v>
      </x:c>
      <x:c r="H198" s="426" t="str">
        <x:v>Google Scholar result</x:v>
      </x:c>
      <x:c r="I198" s="426" t="str">
        <x:v>NR</x:v>
      </x:c>
      <x:c r="J198" s="426" t="str">
        <x:v>NR</x:v>
      </x:c>
      <x:c r="K198" s="426" t="str">
        <x:v>NR — URL not captured in the available source record</x:v>
      </x:c>
      <x:c r="L198" s="426" t="str">
        <x:v>Not available in the captured evidence; the screening decision used the title and available source metadata.</x:v>
      </x:c>
      <x:c r="M198" s="426" t="str">
        <x:v>No duplicate</x:v>
      </x:c>
      <x:c r="N198" s="426" t="str">
        <x:v>Not applicable — no duplicate group</x:v>
      </x:c>
      <x:c r="O198" s="426" t="str">
        <x:v>Not applicable</x:v>
      </x:c>
      <x:c r="P198" s="426" t="str">
        <x:v>Yes</x:v>
      </x:c>
      <x:c r="Q198" s="426" t="str">
        <x:v>Exclude</x:v>
      </x:c>
      <x:c r="R198" s="426" t="str">
        <x:v>Wrong domain: hyperspectral remote-sensing classification.</x:v>
      </x:c>
      <x:c r="S198" s="426" t="str">
        <x:v>Verification documented at process level</x:v>
      </x:c>
      <x:c r="T198" s="426" t="str">
        <x:v>Two additional authors performed random spot checks; individual spot-check assignments are not recorded in this register.</x:v>
      </x:c>
      <x:c r="U198" s="426" t="str">
        <x:v>Exclude</x:v>
      </x:c>
      <x:c r="V198" s="426" t="str">
        <x:v>Primary decision by the corresponding author; two additional authors performed random spot checks as a quality-control step.</x:v>
      </x:c>
      <x:c r="W198" s="426" t="str">
        <x:v>No</x:v>
      </x:c>
      <x:c r="X198" s="426" t="str">
        <x:v>Not applicable</x:v>
      </x:c>
      <x:c r="Y198" s="426" t="str">
        <x:v>Not assessed</x:v>
      </x:c>
      <x:c r="Z198" s="426" t="str">
        <x:v>Not advanced to full-text assessment after the title/abstract decision.</x:v>
      </x:c>
      <x:c r="AA198" s="22" t="str">
        <x:v>Not applicable</x:v>
      </x:c>
      <x:c r="AB198" s="22" t="str">
        <x:v>Record was not advanced to full-text assessment.</x:v>
      </x:c>
      <x:c r="AC198" s="22" t="str">
        <x:v>Not assessed</x:v>
      </x:c>
      <x:c r="AD198" s="22" t="str">
        <x:v>Not applicable — no full-text assessment was required.</x:v>
      </x:c>
      <x:c r="AE198" s="22" t="str">
        <x:v>Not included — title/abstract exclusion</x:v>
      </x:c>
      <x:c r="AF198" s="22" t="str">
        <x:v>Not applicable — not included</x:v>
      </x:c>
      <x:c r="AG198" s="22" t="str">
        <x:v>Evidence: 34261b4e-fc51-4d5d-8619-9e4fd0d4274d.png; page 6, result 1. Metadata transcribed from captured Google Scholar page; OCR-normalised, verify against publication before citation.</x:v>
      </x:c>
      <x:c r="AH198" s="20" t="str">
        <x:v>No duplicate identified under the documented matching rules.</x:v>
      </x:c>
    </x:row>
    <x:row r="199" ht="42" customHeight="1">
      <x:c r="A199" s="426" t="str">
        <x:v>GS-02-052</x:v>
      </x:c>
      <x:c r="B199" s="426" t="str">
        <x:v>Google Scholar</x:v>
      </x:c>
      <x:c r="C199" s="426" t="str">
        <x:v>GS-02</x:v>
      </x:c>
      <x:c r="D199" s="426" t="str">
        <x:v>Cplmt-net' Consistency and prototype learning mean teacher network for semi- supervised medical image segmentation</x:v>
      </x:c>
      <x:c r="E199" s="426" t="str">
        <x:v>H Zhang XHan Jv. ¥ Ren Di -'EEE Transactions or 2025</x:v>
      </x:c>
      <x:c r="F199" s="426" t="n">
        <x:v>2025</x:v>
      </x:c>
      <x:c r="G199" s="426" t="str">
        <x:v>weexplore ieee org</x:v>
      </x:c>
      <x:c r="H199" s="426" t="str">
        <x:v>Google Scholar result</x:v>
      </x:c>
      <x:c r="I199" s="426" t="str">
        <x:v>NR</x:v>
      </x:c>
      <x:c r="J199" s="426" t="str">
        <x:v>NR</x:v>
      </x:c>
      <x:c r="K199" s="426" t="str">
        <x:v>NR — URL not captured in the available source record</x:v>
      </x:c>
      <x:c r="L199" s="426" t="str">
        <x:v>Not available in the captured evidence; the screening decision used the title and available source metadata.</x:v>
      </x:c>
      <x:c r="M199" s="426" t="str">
        <x:v>No duplicate</x:v>
      </x:c>
      <x:c r="N199" s="426" t="str">
        <x:v>Not applicable — no duplicate group</x:v>
      </x:c>
      <x:c r="O199" s="426" t="str">
        <x:v>Not applicable</x:v>
      </x:c>
      <x:c r="P199" s="426" t="str">
        <x:v>Yes</x:v>
      </x:c>
      <x:c r="Q199" s="426" t="str">
        <x:v>Exclude</x:v>
      </x:c>
      <x:c r="R199" s="426" t="str">
        <x:v>Prototypes support semi-supervised medical-image segmentation rather than explanation.</x:v>
      </x:c>
      <x:c r="S199" s="426" t="str">
        <x:v>Verification documented at process level</x:v>
      </x:c>
      <x:c r="T199" s="426" t="str">
        <x:v>Two additional authors performed random spot checks; individual spot-check assignments are not recorded in this register.</x:v>
      </x:c>
      <x:c r="U199" s="426" t="str">
        <x:v>Exclude</x:v>
      </x:c>
      <x:c r="V199" s="426" t="str">
        <x:v>Primary decision by the corresponding author; two additional authors performed random spot checks as a quality-control step.</x:v>
      </x:c>
      <x:c r="W199" s="426" t="str">
        <x:v>No</x:v>
      </x:c>
      <x:c r="X199" s="426" t="str">
        <x:v>Not applicable</x:v>
      </x:c>
      <x:c r="Y199" s="426" t="str">
        <x:v>Not assessed</x:v>
      </x:c>
      <x:c r="Z199" s="426" t="str">
        <x:v>Not advanced to full-text assessment after the title/abstract decision.</x:v>
      </x:c>
      <x:c r="AA199" s="22" t="str">
        <x:v>Not applicable</x:v>
      </x:c>
      <x:c r="AB199" s="22" t="str">
        <x:v>Record was not advanced to full-text assessment.</x:v>
      </x:c>
      <x:c r="AC199" s="22" t="str">
        <x:v>Not assessed</x:v>
      </x:c>
      <x:c r="AD199" s="22" t="str">
        <x:v>Not applicable — no full-text assessment was required.</x:v>
      </x:c>
      <x:c r="AE199" s="22" t="str">
        <x:v>Not included — title/abstract exclusion</x:v>
      </x:c>
      <x:c r="AF199" s="22" t="str">
        <x:v>Not applicable — not included</x:v>
      </x:c>
      <x:c r="AG199" s="22" t="str">
        <x:v>Evidence: 34261b4e-fc51-4d5d-8619-9e4fd0d4274d.png; page 6, result 2. Metadata transcribed from captured Google Scholar page; OCR-normalised, verify against publication before citation.</x:v>
      </x:c>
      <x:c r="AH199" s="20" t="str">
        <x:v>No duplicate identified under the documented matching rules.</x:v>
      </x:c>
    </x:row>
    <x:row r="200" ht="42" customHeight="1">
      <x:c r="A200" s="426" t="str">
        <x:v>GS-02-053</x:v>
      </x:c>
      <x:c r="B200" s="426" t="str">
        <x:v>Google Scholar</x:v>
      </x:c>
      <x:c r="C200" s="426" t="str">
        <x:v>GS-02</x:v>
      </x:c>
      <x:c r="D200" s="426" t="str">
        <x:v>Rabust spatiotemporal prototype learning for spiking neural nebworks</x:v>
      </x:c>
      <x:c r="E200" s="426" t="str">
        <x:v>Vita HS.n GLiag J He Dohen + EEE Tansaclionson 2025</x:v>
      </x:c>
      <x:c r="F200" s="426" t="n">
        <x:v>2025</x:v>
      </x:c>
      <x:c r="G200" s="426" t="str">
        <x:v>iaeexplore ieee arg</x:v>
      </x:c>
      <x:c r="H200" s="426" t="str">
        <x:v>Google Scholar result</x:v>
      </x:c>
      <x:c r="I200" s="426" t="str">
        <x:v>NR</x:v>
      </x:c>
      <x:c r="J200" s="426" t="str">
        <x:v>NR</x:v>
      </x:c>
      <x:c r="K200" s="426" t="str">
        <x:v>NR — URL not captured in the available source record</x:v>
      </x:c>
      <x:c r="L200" s="426" t="str">
        <x:v>Not available in the captured evidence; the screening decision used the title and available source metadata.</x:v>
      </x:c>
      <x:c r="M200" s="426" t="str">
        <x:v>No duplicate</x:v>
      </x:c>
      <x:c r="N200" s="426" t="str">
        <x:v>Not applicable — no duplicate group</x:v>
      </x:c>
      <x:c r="O200" s="426" t="str">
        <x:v>Not applicable</x:v>
      </x:c>
      <x:c r="P200" s="426" t="str">
        <x:v>Yes</x:v>
      </x:c>
      <x:c r="Q200" s="426" t="str">
        <x:v>Exclude</x:v>
      </x:c>
      <x:c r="R200" s="426" t="str">
        <x:v>Generic prototype method for spiking neural networks without medical evaluation.</x:v>
      </x:c>
      <x:c r="S200" s="426" t="str">
        <x:v>Verification documented at process level</x:v>
      </x:c>
      <x:c r="T200" s="426" t="str">
        <x:v>Two additional authors performed random spot checks; individual spot-check assignments are not recorded in this register.</x:v>
      </x:c>
      <x:c r="U200" s="426" t="str">
        <x:v>Exclude</x:v>
      </x:c>
      <x:c r="V200" s="426" t="str">
        <x:v>Primary decision by the corresponding author; two additional authors performed random spot checks as a quality-control step.</x:v>
      </x:c>
      <x:c r="W200" s="426" t="str">
        <x:v>No</x:v>
      </x:c>
      <x:c r="X200" s="426" t="str">
        <x:v>Not applicable</x:v>
      </x:c>
      <x:c r="Y200" s="426" t="str">
        <x:v>Not assessed</x:v>
      </x:c>
      <x:c r="Z200" s="426" t="str">
        <x:v>Not advanced to full-text assessment after the title/abstract decision.</x:v>
      </x:c>
      <x:c r="AA200" s="22" t="str">
        <x:v>Not applicable</x:v>
      </x:c>
      <x:c r="AB200" s="22" t="str">
        <x:v>Record was not advanced to full-text assessment.</x:v>
      </x:c>
      <x:c r="AC200" s="22" t="str">
        <x:v>Not assessed</x:v>
      </x:c>
      <x:c r="AD200" s="22" t="str">
        <x:v>Not applicable — no full-text assessment was required.</x:v>
      </x:c>
      <x:c r="AE200" s="22" t="str">
        <x:v>Not included — title/abstract exclusion</x:v>
      </x:c>
      <x:c r="AF200" s="22" t="str">
        <x:v>Not applicable — not included</x:v>
      </x:c>
      <x:c r="AG200" s="22" t="str">
        <x:v>Evidence: 34261b4e-fc51-4d5d-8619-9e4fd0d4274d.png; page 6, result 3. Metadata transcribed from captured Google Scholar page; OCR-normalised, verify against publication before citation.</x:v>
      </x:c>
      <x:c r="AH200" s="20" t="str">
        <x:v>No duplicate identified under the documented matching rules.</x:v>
      </x:c>
    </x:row>
    <x:row r="201" ht="42" customHeight="1">
      <x:c r="A201" s="22" t="str">
        <x:v>GS-02-054</x:v>
      </x:c>
      <x:c r="B201" s="22" t="str">
        <x:v>Google Scholar</x:v>
      </x:c>
      <x:c r="C201" s="22" t="str">
        <x:v>GS-02</x:v>
      </x:c>
      <x:c r="D201" s="22" t="str">
        <x:v>Hope Hybrid-granulanty ordinal prototype learning for progression prediction of mild cognitive impairment</x:v>
      </x:c>
      <x:c r="E201" s="22" t="str">
        <x:v>CwWang ¥YLei.TChen J Zhang YLi -IEEE Journalaf =. 2024</x:v>
      </x:c>
      <x:c r="F201" s="22" t="n">
        <x:v>2024</x:v>
      </x:c>
      <x:c r="G201" s="22" t="str">
        <x:v>iaeexplore. ase org</x:v>
      </x:c>
      <x:c r="H201" s="22" t="str">
        <x:v>Google Scholar result</x:v>
      </x:c>
      <x:c r="I201" s="22" t="str">
        <x:v>10.1109/JBHI.2024.3357453</x:v>
      </x:c>
      <x:c r="J201" s="22" t="str">
        <x:v>2401.10966</x:v>
      </x:c>
      <x:c r="K201" s="22" t="str">
        <x:v>https://ieeexplore.ieee.org/iel7/6221020/6363502/10412338.pdf</x:v>
      </x:c>
      <x:c r="L201" s="22" t="str">
        <x:v>Mild cognitive impairment is at high risk of progression to Alzheimer's disease, but acquiring progression subtype labels requires long follow-up and produces small datasets. HOPE learns an ordinal metric space for progression prediction by prototype comparison, combines instance-to-instance ordinality, instance-to-class compactness and class-to-class separation, and uses exponential moving averages to learn global normal-control and Alzheimer's disease prototypes. Experiments on the internal ADNI and external NACC datasets demonstrate superiority over state-of-the-art methods and interpretability.</x:v>
      </x:c>
      <x:c r="M201" s="22" t="str">
        <x:v>No duplicate</x:v>
      </x:c>
      <x:c r="N201" s="22" t="str">
        <x:v>Not applicable — no duplicate group</x:v>
      </x:c>
      <x:c r="O201" s="22" t="str">
        <x:v>Not applicable</x:v>
      </x:c>
      <x:c r="P201" s="22" t="str">
        <x:v>Yes</x:v>
      </x:c>
      <x:c r="Q201" s="22" t="str">
        <x:v>Include</x:v>
      </x:c>
      <x:c r="R201" s="22" t="str">
        <x:v>Interpretable medical prototype model for MCI progression; retain as contextual evidence.</x:v>
      </x:c>
      <x:c r="S201" s="22" t="str">
        <x:v>Verification documented at process level</x:v>
      </x:c>
      <x:c r="T201" s="22" t="str">
        <x:v>Two additional authors performed random spot checks; individual spot-check assignments are not recorded in this register.</x:v>
      </x:c>
      <x:c r="U201" s="22" t="str">
        <x:v>Include</x:v>
      </x:c>
      <x:c r="V201" s="22" t="str">
        <x:v>Primary decision by the corresponding author; two additional authors performed random spot checks as a quality-control step.</x:v>
      </x:c>
      <x:c r="W201" s="22" t="str">
        <x:v>Yes</x:v>
      </x:c>
      <x:c r="X201" s="22" t="str">
        <x:v>Yes</x:v>
      </x:c>
      <x:c r="Y201" s="22" t="str">
        <x:v>Include</x:v>
      </x:c>
      <x:c r="Z201" s="22" t="str">
        <x:v>The corresponding author assessed the complete report and judged it eligible for inclusion in the review.</x:v>
      </x:c>
      <x:c r="AA201" s="22" t="str">
        <x:v>Verification documented at process level</x:v>
      </x:c>
      <x:c r="AB201" s="22" t="str">
        <x:v>Two additional authors performed random spot checks; individual spot-check assignments are not recorded in this register.</x:v>
      </x:c>
      <x:c r="AC201" s="22" t="str">
        <x:v>Include</x:v>
      </x:c>
      <x:c r="AD201" s="22" t="str">
        <x:v>Primary decision by the corresponding author; two additional authors performed random spot checks as a quality-control step.</x:v>
      </x:c>
      <x:c r="AE201" s="22" t="str">
        <x:v>Include</x:v>
      </x:c>
      <x:c r="AF201" s="22" t="str">
        <x:v>Contextual medical concept-XAI evidence</x:v>
      </x:c>
      <x:c r="AG201" s="22" t="str">
        <x:v>Evidence: 34261b4e-fc51-4d5d-8619-9e4fd0d4274d.png; page 6, result 4. Metadata transcribed from captured Google Scholar page; OCR-normalised, verify against publication before citation.</x:v>
      </x:c>
      <x:c r="AH201" s="20" t="str">
        <x:v>No duplicate identified under the documented matching rules.</x:v>
      </x:c>
    </x:row>
    <x:row r="202" ht="42" customHeight="1">
      <x:c r="A202" s="22" t="str">
        <x:v>GS-02-055</x:v>
      </x:c>
      <x:c r="B202" s="22" t="str">
        <x:v>Google Scholar</x:v>
      </x:c>
      <x:c r="C202" s="22" t="str">
        <x:v>GS-02</x:v>
      </x:c>
      <x:c r="D202" s="22" t="str">
        <x:v>Adaptive distraction recognition via soft prototype leaming and probabilistic label alignment</x:v>
      </x:c>
      <x:c r="E202" s="22" t="str">
        <x:v>Yiu. SOy HHare XCren WZeng -IEEE Transactionson | 2024</x:v>
      </x:c>
      <x:c r="F202" s="22" t="n">
        <x:v>2024</x:v>
      </x:c>
      <x:c r="G202" s="22" t="str">
        <x:v>ieeaxplore eae org</x:v>
      </x:c>
      <x:c r="H202" s="22" t="str">
        <x:v>Google Scholar result</x:v>
      </x:c>
      <x:c r="I202" s="22" t="str">
        <x:v>NR</x:v>
      </x:c>
      <x:c r="J202" s="22" t="str">
        <x:v>NR</x:v>
      </x:c>
      <x:c r="K202" s="22" t="str">
        <x:v>NR — URL not captured in the available source record</x:v>
      </x:c>
      <x:c r="L202" s="22" t="str">
        <x:v>Not available in the captured evidence; the screening decision used the title and available source metadata.</x:v>
      </x:c>
      <x:c r="M202" s="22" t="str">
        <x:v>No duplicate</x:v>
      </x:c>
      <x:c r="N202" s="22" t="str">
        <x:v>Not applicable — no duplicate group</x:v>
      </x:c>
      <x:c r="O202" s="22" t="str">
        <x:v>Not applicable</x:v>
      </x:c>
      <x:c r="P202" s="22" t="str">
        <x:v>Yes</x:v>
      </x:c>
      <x:c r="Q202" s="22" t="str">
        <x:v>Exclude</x:v>
      </x:c>
      <x:c r="R202" s="22" t="str">
        <x:v>Wrong domain: human-distraction recognition.</x:v>
      </x:c>
      <x:c r="S202" s="22" t="str">
        <x:v>Verification documented at process level</x:v>
      </x:c>
      <x:c r="T202" s="22" t="str">
        <x:v>Two additional authors performed random spot checks; individual spot-check assignments are not recorded in this register.</x:v>
      </x:c>
      <x:c r="U202" s="22" t="str">
        <x:v>Exclude</x:v>
      </x:c>
      <x:c r="V202" s="22" t="str">
        <x:v>Primary decision by the corresponding author; two additional authors performed random spot checks as a quality-control step.</x:v>
      </x:c>
      <x:c r="W202" s="22" t="str">
        <x:v>No</x:v>
      </x:c>
      <x:c r="X202" s="22" t="str">
        <x:v>Not applicable</x:v>
      </x:c>
      <x:c r="Y202" s="22" t="str">
        <x:v>Not assessed</x:v>
      </x:c>
      <x:c r="Z202" s="22" t="str">
        <x:v>Not advanced to full-text assessment after the title/abstract decision.</x:v>
      </x:c>
      <x:c r="AA202" s="22" t="str">
        <x:v>Not applicable</x:v>
      </x:c>
      <x:c r="AB202" s="22" t="str">
        <x:v>Record was not advanced to full-text assessment.</x:v>
      </x:c>
      <x:c r="AC202" s="22" t="str">
        <x:v>Not assessed</x:v>
      </x:c>
      <x:c r="AD202" s="22" t="str">
        <x:v>Not applicable — no full-text assessment was required.</x:v>
      </x:c>
      <x:c r="AE202" s="22" t="str">
        <x:v>Not included — title/abstract exclusion</x:v>
      </x:c>
      <x:c r="AF202" s="22" t="str">
        <x:v>Not applicable — not included</x:v>
      </x:c>
      <x:c r="AG202" s="22" t="str">
        <x:v>Evidence: 34261b4e-fc51-4d5d-8619-9e4fd0d4274d.png; page 6, result 5. Metadata transcribed from captured Google Scholar page; OCR-normalised, verify against publication before citation.</x:v>
      </x:c>
      <x:c r="AH202" s="20" t="str">
        <x:v>No duplicate identified under the documented matching rules.</x:v>
      </x:c>
    </x:row>
    <x:row r="203" ht="42" customHeight="1">
      <x:c r="A203" s="22" t="str">
        <x:v>GS-02-056</x:v>
      </x:c>
      <x:c r="B203" s="22" t="str">
        <x:v>Google Scholar</x:v>
      </x:c>
      <x:c r="C203" s="22" t="str">
        <x:v>GS-02</x:v>
      </x:c>
      <x:c r="D203" s="22" t="str">
        <x:v>Class-wise cantrastive prototype learning for semi-supervised classification under intersectional class mismatch</x:v>
      </x:c>
      <x:c r="E203" s="22" t="str">
        <x:v>MiuT Zhou BHan TLiy XLang -IEEETrsnsactonson . 2024</x:v>
      </x:c>
      <x:c r="F203" s="22" t="n">
        <x:v>2024</x:v>
      </x:c>
      <x:c r="G203" s="22" t="str">
        <x:v>ieeexplore ieee org</x:v>
      </x:c>
      <x:c r="H203" s="22" t="str">
        <x:v>Google Scholar result</x:v>
      </x:c>
      <x:c r="I203" s="22" t="str">
        <x:v>NR</x:v>
      </x:c>
      <x:c r="J203" s="22" t="str">
        <x:v>NR</x:v>
      </x:c>
      <x:c r="K203" s="22" t="str">
        <x:v>NR — URL not captured in the available source record</x:v>
      </x:c>
      <x:c r="L203" s="22" t="str">
        <x:v>Not available in the captured evidence; the screening decision used the title and available source metadata.</x:v>
      </x:c>
      <x:c r="M203" s="22" t="str">
        <x:v>No duplicate</x:v>
      </x:c>
      <x:c r="N203" s="22" t="str">
        <x:v>Not applicable — no duplicate group</x:v>
      </x:c>
      <x:c r="O203" s="22" t="str">
        <x:v>Not applicable</x:v>
      </x:c>
      <x:c r="P203" s="22" t="str">
        <x:v>Yes</x:v>
      </x:c>
      <x:c r="Q203" s="22" t="str">
        <x:v>Exclude</x:v>
      </x:c>
      <x:c r="R203" s="22" t="str">
        <x:v>Generic contrastive prototype classification without medical evaluation.</x:v>
      </x:c>
      <x:c r="S203" s="22" t="str">
        <x:v>Verification documented at process level</x:v>
      </x:c>
      <x:c r="T203" s="22" t="str">
        <x:v>Two additional authors performed random spot checks; individual spot-check assignments are not recorded in this register.</x:v>
      </x:c>
      <x:c r="U203" s="22" t="str">
        <x:v>Exclude</x:v>
      </x:c>
      <x:c r="V203" s="22" t="str">
        <x:v>Primary decision by the corresponding author; two additional authors performed random spot checks as a quality-control step.</x:v>
      </x:c>
      <x:c r="W203" s="22" t="str">
        <x:v>No</x:v>
      </x:c>
      <x:c r="X203" s="22" t="str">
        <x:v>Not applicable</x:v>
      </x:c>
      <x:c r="Y203" s="22" t="str">
        <x:v>Not assessed</x:v>
      </x:c>
      <x:c r="Z203" s="22" t="str">
        <x:v>Not advanced to full-text assessment after the title/abstract decision.</x:v>
      </x:c>
      <x:c r="AA203" s="22" t="str">
        <x:v>Not applicable</x:v>
      </x:c>
      <x:c r="AB203" s="22" t="str">
        <x:v>Record was not advanced to full-text assessment.</x:v>
      </x:c>
      <x:c r="AC203" s="22" t="str">
        <x:v>Not assessed</x:v>
      </x:c>
      <x:c r="AD203" s="22" t="str">
        <x:v>Not applicable — no full-text assessment was required.</x:v>
      </x:c>
      <x:c r="AE203" s="22" t="str">
        <x:v>Not included — title/abstract exclusion</x:v>
      </x:c>
      <x:c r="AF203" s="22" t="str">
        <x:v>Not applicable — not included</x:v>
      </x:c>
      <x:c r="AG203" s="22" t="str">
        <x:v>Evidence: 34261b4e-fc51-4d5d-8619-9e4fd0d4274d.png; page 6, result 6. Metadata transcribed from captured Google Scholar page; OCR-normalised, verify against publication before citation.</x:v>
      </x:c>
      <x:c r="AH203" s="20" t="str">
        <x:v>No duplicate identified under the documented matching rules.</x:v>
      </x:c>
    </x:row>
    <x:row r="204" ht="42" customHeight="1">
      <x:c r="A204" s="22" t="str">
        <x:v>GS-02-057</x:v>
      </x:c>
      <x:c r="B204" s="22" t="str">
        <x:v>Google Scholar</x:v>
      </x:c>
      <x:c r="C204" s="22" t="str">
        <x:v>GS-02</x:v>
      </x:c>
      <x:c r="D204" s="22" t="str">
        <x:v>Class-Aware Prototype Learning with Negative Contrast for Test- Time Adaptation of Vision-Language Models</x:v>
      </x:c>
      <x:c r="E204" s="22" t="str">
        <x:v>X Diag » Zhao. ¥ Jiang X Guo, ZSuen</x:v>
      </x:c>
      <x:c r="F204" s="22" t="n">
        <x:v>2025</x:v>
      </x:c>
      <x:c r="G204" s="22" t="str">
        <x:v>arXiv preprint arXy = 2025 - arxiv org</x:v>
      </x:c>
      <x:c r="H204" s="22" t="str">
        <x:v>Google Scholar result</x:v>
      </x:c>
      <x:c r="I204" s="22" t="str">
        <x:v>NR</x:v>
      </x:c>
      <x:c r="J204" s="22" t="str">
        <x:v>NR</x:v>
      </x:c>
      <x:c r="K204" s="22" t="str">
        <x:v>NR — URL not captured in the available source record</x:v>
      </x:c>
      <x:c r="L204" s="22" t="str">
        <x:v>Not available in the captured evidence; the screening decision used the title and available source metadata.</x:v>
      </x:c>
      <x:c r="M204" s="22" t="str">
        <x:v>No duplicate</x:v>
      </x:c>
      <x:c r="N204" s="22" t="str">
        <x:v>Not applicable — no duplicate group</x:v>
      </x:c>
      <x:c r="O204" s="22" t="str">
        <x:v>Not applicable</x:v>
      </x:c>
      <x:c r="P204" s="22" t="str">
        <x:v>Yes</x:v>
      </x:c>
      <x:c r="Q204" s="22" t="str">
        <x:v>Exclude</x:v>
      </x:c>
      <x:c r="R204" s="22" t="str">
        <x:v>Generic vision-language test-time adaptation, not medical concept-XAI.</x:v>
      </x:c>
      <x:c r="S204" s="22" t="str">
        <x:v>Verification documented at process level</x:v>
      </x:c>
      <x:c r="T204" s="22" t="str">
        <x:v>Two additional authors performed random spot checks; individual spot-check assignments are not recorded in this register.</x:v>
      </x:c>
      <x:c r="U204" s="22" t="str">
        <x:v>Exclude</x:v>
      </x:c>
      <x:c r="V204" s="22" t="str">
        <x:v>Primary decision by the corresponding author; two additional authors performed random spot checks as a quality-control step.</x:v>
      </x:c>
      <x:c r="W204" s="22" t="str">
        <x:v>No</x:v>
      </x:c>
      <x:c r="X204" s="22" t="str">
        <x:v>Not applicable</x:v>
      </x:c>
      <x:c r="Y204" s="22" t="str">
        <x:v>Not assessed</x:v>
      </x:c>
      <x:c r="Z204" s="22" t="str">
        <x:v>Not advanced to full-text assessment after the title/abstract decision.</x:v>
      </x:c>
      <x:c r="AA204" s="22" t="str">
        <x:v>Not applicable</x:v>
      </x:c>
      <x:c r="AB204" s="22" t="str">
        <x:v>Record was not advanced to full-text assessment.</x:v>
      </x:c>
      <x:c r="AC204" s="22" t="str">
        <x:v>Not assessed</x:v>
      </x:c>
      <x:c r="AD204" s="22" t="str">
        <x:v>Not applicable — no full-text assessment was required.</x:v>
      </x:c>
      <x:c r="AE204" s="22" t="str">
        <x:v>Not included — title/abstract exclusion</x:v>
      </x:c>
      <x:c r="AF204" s="22" t="str">
        <x:v>Not applicable — not included</x:v>
      </x:c>
      <x:c r="AG204" s="22" t="str">
        <x:v>Evidence: 34261b4e-fc51-4d5d-8619-9e4fd0d4274d.png; page 6, result 7. Metadata transcribed from captured Google Scholar page; OCR-normalised, verify against publication before citation.</x:v>
      </x:c>
      <x:c r="AH204" s="20" t="str">
        <x:v>No duplicate identified under the documented matching rules.</x:v>
      </x:c>
    </x:row>
    <x:row r="205" ht="42" customHeight="1">
      <x:c r="A205" s="22" t="str">
        <x:v>GS-02-058</x:v>
      </x:c>
      <x:c r="B205" s="22" t="str">
        <x:v>Google Scholar</x:v>
      </x:c>
      <x:c r="C205" s="22" t="str">
        <x:v>GS-02</x:v>
      </x:c>
      <x:c r="D205" s="22" t="str">
        <x:v>Two-stream prototype leaming network for few-shot face recognition under occlusions</x:v>
      </x:c>
      <x:c r="E205" s="22" t="str">
        <x:v>X Yang MHan, Ybue HHu -fEEE Transactions on . 2023</x:v>
      </x:c>
      <x:c r="F205" s="22" t="n">
        <x:v>2023</x:v>
      </x:c>
      <x:c r="G205" s="22" t="str">
        <x:v>eeexplore iege org</x:v>
      </x:c>
      <x:c r="H205" s="22" t="str">
        <x:v>Google Scholar result</x:v>
      </x:c>
      <x:c r="I205" s="22" t="str">
        <x:v>NR</x:v>
      </x:c>
      <x:c r="J205" s="22" t="str">
        <x:v>NR</x:v>
      </x:c>
      <x:c r="K205" s="22" t="str">
        <x:v>NR — URL not captured in the available source record</x:v>
      </x:c>
      <x:c r="L205" s="22" t="str">
        <x:v>Not available in the captured evidence; the screening decision used the title and available source metadata.</x:v>
      </x:c>
      <x:c r="M205" s="22" t="str">
        <x:v>No duplicate</x:v>
      </x:c>
      <x:c r="N205" s="22" t="str">
        <x:v>Not applicable — no duplicate group</x:v>
      </x:c>
      <x:c r="O205" s="22" t="str">
        <x:v>Not applicable</x:v>
      </x:c>
      <x:c r="P205" s="22" t="str">
        <x:v>Yes</x:v>
      </x:c>
      <x:c r="Q205" s="22" t="str">
        <x:v>Exclude</x:v>
      </x:c>
      <x:c r="R205" s="22" t="str">
        <x:v>Wrong domain: face recognition under occlusion.</x:v>
      </x:c>
      <x:c r="S205" s="22" t="str">
        <x:v>Verification documented at process level</x:v>
      </x:c>
      <x:c r="T205" s="22" t="str">
        <x:v>Two additional authors performed random spot checks; individual spot-check assignments are not recorded in this register.</x:v>
      </x:c>
      <x:c r="U205" s="22" t="str">
        <x:v>Exclude</x:v>
      </x:c>
      <x:c r="V205" s="22" t="str">
        <x:v>Primary decision by the corresponding author; two additional authors performed random spot checks as a quality-control step.</x:v>
      </x:c>
      <x:c r="W205" s="22" t="str">
        <x:v>No</x:v>
      </x:c>
      <x:c r="X205" s="22" t="str">
        <x:v>Not applicable</x:v>
      </x:c>
      <x:c r="Y205" s="22" t="str">
        <x:v>Not assessed</x:v>
      </x:c>
      <x:c r="Z205" s="22" t="str">
        <x:v>Not advanced to full-text assessment after the title/abstract decision.</x:v>
      </x:c>
      <x:c r="AA205" s="22" t="str">
        <x:v>Not applicable</x:v>
      </x:c>
      <x:c r="AB205" s="22" t="str">
        <x:v>Record was not advanced to full-text assessment.</x:v>
      </x:c>
      <x:c r="AC205" s="22" t="str">
        <x:v>Not assessed</x:v>
      </x:c>
      <x:c r="AD205" s="22" t="str">
        <x:v>Not applicable — no full-text assessment was required.</x:v>
      </x:c>
      <x:c r="AE205" s="22" t="str">
        <x:v>Not included — title/abstract exclusion</x:v>
      </x:c>
      <x:c r="AF205" s="22" t="str">
        <x:v>Not applicable — not included</x:v>
      </x:c>
      <x:c r="AG205" s="22" t="str">
        <x:v>Evidence: 34261b4e-fc51-4d5d-8619-9e4fd0d4274d.png; page 6, result 8. Metadata transcribed from captured Google Scholar page; OCR-normalised, verify against publication before citation.</x:v>
      </x:c>
      <x:c r="AH205" s="20" t="str">
        <x:v>No duplicate identified under the documented matching rules.</x:v>
      </x:c>
    </x:row>
    <x:row r="206" ht="42" customHeight="1">
      <x:c r="A206" s="22" t="str">
        <x:v>GS-02-059</x:v>
      </x:c>
      <x:c r="B206" s="22" t="str">
        <x:v>Google Scholar</x:v>
      </x:c>
      <x:c r="C206" s="22" t="str">
        <x:v>GS-02</x:v>
      </x:c>
      <x:c r="D206" s="22" t="str">
        <x:v>Personalized federated prototype learning in mixed heterogeneous data scenarios</x:v>
      </x:c>
      <x:c r="E206" s="22" t="str">
        <x:v>JZeng ¥¥ Xing LSh,XHvang. J Wang 2Cao -a-XivprepomtarXy = 2028</x:v>
      </x:c>
      <x:c r="F206" s="22" t="n">
        <x:v>2028</x:v>
      </x:c>
      <x:c r="G206" s="22" t="str">
        <x:v>arxiv org</x:v>
      </x:c>
      <x:c r="H206" s="22" t="str">
        <x:v>Google Scholar result</x:v>
      </x:c>
      <x:c r="I206" s="22" t="str">
        <x:v>NR</x:v>
      </x:c>
      <x:c r="J206" s="22" t="str">
        <x:v>NR</x:v>
      </x:c>
      <x:c r="K206" s="22" t="str">
        <x:v>NR — URL not captured in the available source record</x:v>
      </x:c>
      <x:c r="L206" s="22" t="str">
        <x:v>Not available in the captured evidence; the screening decision used the title and available source metadata.</x:v>
      </x:c>
      <x:c r="M206" s="22" t="str">
        <x:v>No duplicate</x:v>
      </x:c>
      <x:c r="N206" s="22" t="str">
        <x:v>Not applicable — no duplicate group</x:v>
      </x:c>
      <x:c r="O206" s="22" t="str">
        <x:v>Not applicable</x:v>
      </x:c>
      <x:c r="P206" s="22" t="str">
        <x:v>Yes</x:v>
      </x:c>
      <x:c r="Q206" s="22" t="str">
        <x:v>Exclude</x:v>
      </x:c>
      <x:c r="R206" s="22" t="str">
        <x:v>Generic federated prototype learning and recorded year is outside the eligible search period.</x:v>
      </x:c>
      <x:c r="S206" s="22" t="str">
        <x:v>Verification documented at process level</x:v>
      </x:c>
      <x:c r="T206" s="22" t="str">
        <x:v>Two additional authors performed random spot checks; individual spot-check assignments are not recorded in this register.</x:v>
      </x:c>
      <x:c r="U206" s="22" t="str">
        <x:v>Exclude</x:v>
      </x:c>
      <x:c r="V206" s="22" t="str">
        <x:v>Primary decision by the corresponding author; two additional authors performed random spot checks as a quality-control step.</x:v>
      </x:c>
      <x:c r="W206" s="22" t="str">
        <x:v>No</x:v>
      </x:c>
      <x:c r="X206" s="22" t="str">
        <x:v>Not applicable</x:v>
      </x:c>
      <x:c r="Y206" s="22" t="str">
        <x:v>Not assessed</x:v>
      </x:c>
      <x:c r="Z206" s="22" t="str">
        <x:v>Not advanced to full-text assessment after the title/abstract decision.</x:v>
      </x:c>
      <x:c r="AA206" s="22" t="str">
        <x:v>Not applicable</x:v>
      </x:c>
      <x:c r="AB206" s="22" t="str">
        <x:v>Record was not advanced to full-text assessment.</x:v>
      </x:c>
      <x:c r="AC206" s="22" t="str">
        <x:v>Not assessed</x:v>
      </x:c>
      <x:c r="AD206" s="22" t="str">
        <x:v>Not applicable — no full-text assessment was required.</x:v>
      </x:c>
      <x:c r="AE206" s="22" t="str">
        <x:v>Not included — title/abstract exclusion</x:v>
      </x:c>
      <x:c r="AF206" s="22" t="str">
        <x:v>Not applicable — not included</x:v>
      </x:c>
      <x:c r="AG206" s="22" t="str">
        <x:v>Evidence: 34261b4e-fc51-4d5d-8619-9e4fd0d4274d.png; page 6, result 9. Metadata transcribed from captured Google Scholar page; OCR-normalised, verify against publication before citation.</x:v>
      </x:c>
      <x:c r="AH206" s="20" t="str">
        <x:v>No duplicate identified under the documented matching rules.</x:v>
      </x:c>
    </x:row>
    <x:row r="207" ht="42" customHeight="1">
      <x:c r="A207" s="22" t="str">
        <x:v>GS-02-060</x:v>
      </x:c>
      <x:c r="B207" s="22" t="str">
        <x:v>Google Scholar</x:v>
      </x:c>
      <x:c r="C207" s="22" t="str">
        <x:v>GS-02</x:v>
      </x:c>
      <x:c r="D207" s="22" t="str">
        <x:v>A prototype learning framework based on continual learning for mator incremental fault diagnosis under few-shot conditions</x:v>
      </x:c>
      <x:c r="E207" s="22" t="str">
        <x:v>H Shan, X Zhang Wi Liang 2'Wu IEEE Transactions on =. 2025</x:v>
      </x:c>
      <x:c r="F207" s="22" t="n">
        <x:v>2025</x:v>
      </x:c>
      <x:c r="G207" s="22" t="str">
        <x:v>ieeexplore ieee org</x:v>
      </x:c>
      <x:c r="H207" s="22" t="str">
        <x:v>Google Scholar result</x:v>
      </x:c>
      <x:c r="I207" s="22" t="str">
        <x:v>NR</x:v>
      </x:c>
      <x:c r="J207" s="22" t="str">
        <x:v>NR</x:v>
      </x:c>
      <x:c r="K207" s="22" t="str">
        <x:v>NR — URL not captured in the available source record</x:v>
      </x:c>
      <x:c r="L207" s="22" t="str">
        <x:v>Not available in the captured evidence; the screening decision used the title and available source metadata.</x:v>
      </x:c>
      <x:c r="M207" s="22" t="str">
        <x:v>No duplicate</x:v>
      </x:c>
      <x:c r="N207" s="22" t="str">
        <x:v>Not applicable — no duplicate group</x:v>
      </x:c>
      <x:c r="O207" s="22" t="str">
        <x:v>Not applicable</x:v>
      </x:c>
      <x:c r="P207" s="22" t="str">
        <x:v>Yes</x:v>
      </x:c>
      <x:c r="Q207" s="22" t="str">
        <x:v>Exclude</x:v>
      </x:c>
      <x:c r="R207" s="22" t="str">
        <x:v>Wrong domain: industrial motor fault diagnosis.</x:v>
      </x:c>
      <x:c r="S207" s="22" t="str">
        <x:v>Verification documented at process level</x:v>
      </x:c>
      <x:c r="T207" s="22" t="str">
        <x:v>Two additional authors performed random spot checks; individual spot-check assignments are not recorded in this register.</x:v>
      </x:c>
      <x:c r="U207" s="22" t="str">
        <x:v>Exclude</x:v>
      </x:c>
      <x:c r="V207" s="22" t="str">
        <x:v>Primary decision by the corresponding author; two additional authors performed random spot checks as a quality-control step.</x:v>
      </x:c>
      <x:c r="W207" s="22" t="str">
        <x:v>No</x:v>
      </x:c>
      <x:c r="X207" s="22" t="str">
        <x:v>Not applicable</x:v>
      </x:c>
      <x:c r="Y207" s="22" t="str">
        <x:v>Not assessed</x:v>
      </x:c>
      <x:c r="Z207" s="22" t="str">
        <x:v>Not advanced to full-text assessment after the title/abstract decision.</x:v>
      </x:c>
      <x:c r="AA207" s="22" t="str">
        <x:v>Not applicable</x:v>
      </x:c>
      <x:c r="AB207" s="22" t="str">
        <x:v>Record was not advanced to full-text assessment.</x:v>
      </x:c>
      <x:c r="AC207" s="22" t="str">
        <x:v>Not assessed</x:v>
      </x:c>
      <x:c r="AD207" s="22" t="str">
        <x:v>Not applicable — no full-text assessment was required.</x:v>
      </x:c>
      <x:c r="AE207" s="22" t="str">
        <x:v>Not included — title/abstract exclusion</x:v>
      </x:c>
      <x:c r="AF207" s="22" t="str">
        <x:v>Not applicable — not included</x:v>
      </x:c>
      <x:c r="AG207" s="22" t="str">
        <x:v>Evidence: 34261b4e-fc51-4d5d-8619-9e4fd0d4274d.png; page 6, result 10. Metadata transcribed from captured Google Scholar page; OCR-normalised, verify against publication before citation.</x:v>
      </x:c>
      <x:c r="AH207" s="20" t="str">
        <x:v>No duplicate identified under the documented matching rules.</x:v>
      </x:c>
    </x:row>
    <x:row r="208" ht="42" customHeight="1">
      <x:c r="A208" s="22" t="str">
        <x:v>GS-02-061</x:v>
      </x:c>
      <x:c r="B208" s="22" t="str">
        <x:v>Google Scholar</x:v>
      </x:c>
      <x:c r="C208" s="22" t="str">
        <x:v>GS-02</x:v>
      </x:c>
      <x:c r="D208" s="22" t="str">
        <x:v>A.unified framework for bidirectional prototype learning from contaminated faces across heterogsneous domains</x:v>
      </x:c>
      <x:c r="E208" s="22" t="str">
        <x:v>M Paco. Bany SHuang</x:v>
      </x:c>
      <x:c r="F208" s="22" t="n">
        <x:v>2022</x:v>
      </x:c>
      <x:c r="G208" s="22" t="str">
        <x:v>EEE Tavsacticnson .. 2022 - ieaexzlore ieee org</x:v>
      </x:c>
      <x:c r="H208" s="22" t="str">
        <x:v>Google Scholar result</x:v>
      </x:c>
      <x:c r="I208" s="22" t="str">
        <x:v>NR</x:v>
      </x:c>
      <x:c r="J208" s="22" t="str">
        <x:v>NR</x:v>
      </x:c>
      <x:c r="K208" s="22" t="str">
        <x:v>NR — URL not captured in the available source record</x:v>
      </x:c>
      <x:c r="L208" s="22" t="str">
        <x:v>Not available in the captured evidence; the screening decision used the title and available source metadata.</x:v>
      </x:c>
      <x:c r="M208" s="22" t="str">
        <x:v>No duplicate</x:v>
      </x:c>
      <x:c r="N208" s="22" t="str">
        <x:v>Not applicable — no duplicate group</x:v>
      </x:c>
      <x:c r="O208" s="22" t="str">
        <x:v>Not applicable</x:v>
      </x:c>
      <x:c r="P208" s="22" t="str">
        <x:v>Yes</x:v>
      </x:c>
      <x:c r="Q208" s="22" t="str">
        <x:v>Exclude</x:v>
      </x:c>
      <x:c r="R208" s="22" t="str">
        <x:v>Wrong domain: face recognition across heterogeneous domains.</x:v>
      </x:c>
      <x:c r="S208" s="22" t="str">
        <x:v>Verification documented at process level</x:v>
      </x:c>
      <x:c r="T208" s="22" t="str">
        <x:v>Two additional authors performed random spot checks; individual spot-check assignments are not recorded in this register.</x:v>
      </x:c>
      <x:c r="U208" s="22" t="str">
        <x:v>Exclude</x:v>
      </x:c>
      <x:c r="V208" s="22" t="str">
        <x:v>Primary decision by the corresponding author; two additional authors performed random spot checks as a quality-control step.</x:v>
      </x:c>
      <x:c r="W208" s="22" t="str">
        <x:v>No</x:v>
      </x:c>
      <x:c r="X208" s="22" t="str">
        <x:v>Not applicable</x:v>
      </x:c>
      <x:c r="Y208" s="22" t="str">
        <x:v>Not assessed</x:v>
      </x:c>
      <x:c r="Z208" s="22" t="str">
        <x:v>Not advanced to full-text assessment after the title/abstract decision.</x:v>
      </x:c>
      <x:c r="AA208" s="22" t="str">
        <x:v>Not applicable</x:v>
      </x:c>
      <x:c r="AB208" s="22" t="str">
        <x:v>Record was not advanced to full-text assessment.</x:v>
      </x:c>
      <x:c r="AC208" s="22" t="str">
        <x:v>Not assessed</x:v>
      </x:c>
      <x:c r="AD208" s="22" t="str">
        <x:v>Not applicable — no full-text assessment was required.</x:v>
      </x:c>
      <x:c r="AE208" s="22" t="str">
        <x:v>Not included — title/abstract exclusion</x:v>
      </x:c>
      <x:c r="AF208" s="22" t="str">
        <x:v>Not applicable — not included</x:v>
      </x:c>
      <x:c r="AG208" s="22" t="str">
        <x:v>Evidence: 164acd43-d20f-4767-80aa-24e6ab2a2fcb.png; page 7, result 1. Metadata transcribed from captured Google Scholar page; OCR-normalised, verify against publication before citation.</x:v>
      </x:c>
      <x:c r="AH208" s="20" t="str">
        <x:v>No duplicate identified under the documented matching rules.</x:v>
      </x:c>
    </x:row>
    <x:row r="209" ht="42" customHeight="1">
      <x:c r="A209" s="22" t="str">
        <x:v>GS-02-062</x:v>
      </x:c>
      <x:c r="B209" s="22" t="str">
        <x:v>Google Scholar</x:v>
      </x:c>
      <x:c r="C209" s="22" t="str">
        <x:v>GS-02</x:v>
      </x:c>
      <x:c r="D209" s="22" t="str">
        <x:v>Momentum-Enhanced Dual-Prototype Learning Framework for Robust Few- Shot Hyperspectral Image Classification</x:v>
      </x:c>
      <x:c r="E209" s="22" t="str">
        <x:v>HLu J He &amp; Zhang, 21.</x:v>
      </x:c>
      <x:c r="F209" s="22" t="n">
        <x:v>2025</x:v>
      </x:c>
      <x:c r="G209" s="22" t="str">
        <x:v>(EEE Transactions on Geoscience =. 2025 - eeexp'pre ieae arg</x:v>
      </x:c>
      <x:c r="H209" s="22" t="str">
        <x:v>Google Scholar result</x:v>
      </x:c>
      <x:c r="I209" s="22" t="str">
        <x:v>NR</x:v>
      </x:c>
      <x:c r="J209" s="22" t="str">
        <x:v>NR</x:v>
      </x:c>
      <x:c r="K209" s="22" t="str">
        <x:v>NR — URL not captured in the available source record</x:v>
      </x:c>
      <x:c r="L209" s="22" t="str">
        <x:v>Not available in the captured evidence; the screening decision used the title and available source metadata.</x:v>
      </x:c>
      <x:c r="M209" s="22" t="str">
        <x:v>No duplicate</x:v>
      </x:c>
      <x:c r="N209" s="22" t="str">
        <x:v>Not applicable — no duplicate group</x:v>
      </x:c>
      <x:c r="O209" s="22" t="str">
        <x:v>Not applicable</x:v>
      </x:c>
      <x:c r="P209" s="22" t="str">
        <x:v>Yes</x:v>
      </x:c>
      <x:c r="Q209" s="22" t="str">
        <x:v>Exclude</x:v>
      </x:c>
      <x:c r="R209" s="22" t="str">
        <x:v>Wrong domain: hyperspectral remote-sensing classification.</x:v>
      </x:c>
      <x:c r="S209" s="22" t="str">
        <x:v>Verification documented at process level</x:v>
      </x:c>
      <x:c r="T209" s="22" t="str">
        <x:v>Two additional authors performed random spot checks; individual spot-check assignments are not recorded in this register.</x:v>
      </x:c>
      <x:c r="U209" s="22" t="str">
        <x:v>Exclude</x:v>
      </x:c>
      <x:c r="V209" s="22" t="str">
        <x:v>Primary decision by the corresponding author; two additional authors performed random spot checks as a quality-control step.</x:v>
      </x:c>
      <x:c r="W209" s="22" t="str">
        <x:v>No</x:v>
      </x:c>
      <x:c r="X209" s="22" t="str">
        <x:v>Not applicable</x:v>
      </x:c>
      <x:c r="Y209" s="22" t="str">
        <x:v>Not assessed</x:v>
      </x:c>
      <x:c r="Z209" s="22" t="str">
        <x:v>Not advanced to full-text assessment after the title/abstract decision.</x:v>
      </x:c>
      <x:c r="AA209" s="22" t="str">
        <x:v>Not applicable</x:v>
      </x:c>
      <x:c r="AB209" s="22" t="str">
        <x:v>Record was not advanced to full-text assessment.</x:v>
      </x:c>
      <x:c r="AC209" s="22" t="str">
        <x:v>Not assessed</x:v>
      </x:c>
      <x:c r="AD209" s="22" t="str">
        <x:v>Not applicable — no full-text assessment was required.</x:v>
      </x:c>
      <x:c r="AE209" s="22" t="str">
        <x:v>Not included — title/abstract exclusion</x:v>
      </x:c>
      <x:c r="AF209" s="22" t="str">
        <x:v>Not applicable — not included</x:v>
      </x:c>
      <x:c r="AG209" s="22" t="str">
        <x:v>Evidence: 164acd43-d20f-4767-80aa-24e6ab2a2fcb.png; page 7, result 2. Metadata transcribed from captured Google Scholar page; OCR-normalised, verify against publication before citation.</x:v>
      </x:c>
      <x:c r="AH209" s="20" t="str">
        <x:v>No duplicate identified under the documented matching rules.</x:v>
      </x:c>
    </x:row>
    <x:row r="210" ht="42" customHeight="1">
      <x:c r="A210" s="22" t="str">
        <x:v>GS-02-063</x:v>
      </x:c>
      <x:c r="B210" s="22" t="str">
        <x:v>Google Scholar</x:v>
      </x:c>
      <x:c r="C210" s="22" t="str">
        <x:v>GS-02</x:v>
      </x:c>
      <x:c r="D210" s="22" t="str">
        <x:v>Hierarchical prototype learning with uncertainty-aware adaptation for cross- domain semantic segmentation of remote sensing images</x:v>
      </x:c>
      <x:c r="E210" s="22" t="str">
        <x:v>Jhing ZRen BHau,R Jiang SLiu</x:v>
      </x:c>
      <x:c r="F210" s="22" t="n">
        <x:v>2025</x:v>
      </x:c>
      <x:c r="G210" s="22" t="str">
        <x:v>IEEE Transactions an =, 2025 - ieeexplore eaa.org</x:v>
      </x:c>
      <x:c r="H210" s="22" t="str">
        <x:v>Google Scholar result</x:v>
      </x:c>
      <x:c r="I210" s="22" t="str">
        <x:v>NR</x:v>
      </x:c>
      <x:c r="J210" s="22" t="str">
        <x:v>NR</x:v>
      </x:c>
      <x:c r="K210" s="22" t="str">
        <x:v>NR — URL not captured in the available source record</x:v>
      </x:c>
      <x:c r="L210" s="22" t="str">
        <x:v>Not available in the captured evidence; the screening decision used the title and available source metadata.</x:v>
      </x:c>
      <x:c r="M210" s="22" t="str">
        <x:v>No duplicate</x:v>
      </x:c>
      <x:c r="N210" s="22" t="str">
        <x:v>Not applicable — no duplicate group</x:v>
      </x:c>
      <x:c r="O210" s="22" t="str">
        <x:v>Not applicable</x:v>
      </x:c>
      <x:c r="P210" s="22" t="str">
        <x:v>Yes</x:v>
      </x:c>
      <x:c r="Q210" s="22" t="str">
        <x:v>Exclude</x:v>
      </x:c>
      <x:c r="R210" s="22" t="str">
        <x:v>Wrong domain: remote-sensing semantic segmentation.</x:v>
      </x:c>
      <x:c r="S210" s="22" t="str">
        <x:v>Verification documented at process level</x:v>
      </x:c>
      <x:c r="T210" s="22" t="str">
        <x:v>Two additional authors performed random spot checks; individual spot-check assignments are not recorded in this register.</x:v>
      </x:c>
      <x:c r="U210" s="22" t="str">
        <x:v>Exclude</x:v>
      </x:c>
      <x:c r="V210" s="22" t="str">
        <x:v>Primary decision by the corresponding author; two additional authors performed random spot checks as a quality-control step.</x:v>
      </x:c>
      <x:c r="W210" s="22" t="str">
        <x:v>No</x:v>
      </x:c>
      <x:c r="X210" s="22" t="str">
        <x:v>Not applicable</x:v>
      </x:c>
      <x:c r="Y210" s="22" t="str">
        <x:v>Not assessed</x:v>
      </x:c>
      <x:c r="Z210" s="22" t="str">
        <x:v>Not advanced to full-text assessment after the title/abstract decision.</x:v>
      </x:c>
      <x:c r="AA210" s="22" t="str">
        <x:v>Not applicable</x:v>
      </x:c>
      <x:c r="AB210" s="22" t="str">
        <x:v>Record was not advanced to full-text assessment.</x:v>
      </x:c>
      <x:c r="AC210" s="22" t="str">
        <x:v>Not assessed</x:v>
      </x:c>
      <x:c r="AD210" s="22" t="str">
        <x:v>Not applicable — no full-text assessment was required.</x:v>
      </x:c>
      <x:c r="AE210" s="22" t="str">
        <x:v>Not included — title/abstract exclusion</x:v>
      </x:c>
      <x:c r="AF210" s="22" t="str">
        <x:v>Not applicable — not included</x:v>
      </x:c>
      <x:c r="AG210" s="22" t="str">
        <x:v>Evidence: 164acd43-d20f-4767-80aa-24e6ab2a2fcb.png; page 7, result 3. Metadata transcribed from captured Google Scholar page; OCR-normalised, verify against publication before citation.</x:v>
      </x:c>
      <x:c r="AH210" s="20" t="str">
        <x:v>No duplicate identified under the documented matching rules.</x:v>
      </x:c>
    </x:row>
    <x:row r="211" ht="42" customHeight="1">
      <x:c r="A211" s="22" t="str">
        <x:v>GS-02-064</x:v>
      </x:c>
      <x:c r="B211" s="22" t="str">
        <x:v>Google Scholar</x:v>
      </x:c>
      <x:c r="C211" s="22" t="str">
        <x:v>GS-02</x:v>
      </x:c>
      <x:c r="D211" s="22" t="str">
        <x:v>Space decoupled prototype learning for few-shot attack detection in cyber— physical systems</x:v>
      </x:c>
      <x:c r="E211" s="22" t="str">
        <x:v>MSun ¥H.ang C Zhou.L Han HLw -IEEE Transactionson =. 2024</x:v>
      </x:c>
      <x:c r="F211" s="22" t="n">
        <x:v>2024</x:v>
      </x:c>
      <x:c r="G211" s="22" t="str">
        <x:v>eeexpiore tee6 arg</x:v>
      </x:c>
      <x:c r="H211" s="22" t="str">
        <x:v>Google Scholar result</x:v>
      </x:c>
      <x:c r="I211" s="22" t="str">
        <x:v>NR</x:v>
      </x:c>
      <x:c r="J211" s="22" t="str">
        <x:v>NR</x:v>
      </x:c>
      <x:c r="K211" s="22" t="str">
        <x:v>NR — URL not captured in the available source record</x:v>
      </x:c>
      <x:c r="L211" s="22" t="str">
        <x:v>Not available in the captured evidence; the screening decision used the title and available source metadata.</x:v>
      </x:c>
      <x:c r="M211" s="22" t="str">
        <x:v>No duplicate</x:v>
      </x:c>
      <x:c r="N211" s="22" t="str">
        <x:v>Not applicable — no duplicate group</x:v>
      </x:c>
      <x:c r="O211" s="22" t="str">
        <x:v>Not applicable</x:v>
      </x:c>
      <x:c r="P211" s="22" t="str">
        <x:v>Yes</x:v>
      </x:c>
      <x:c r="Q211" s="22" t="str">
        <x:v>Exclude</x:v>
      </x:c>
      <x:c r="R211" s="22" t="str">
        <x:v>Wrong domain: cyber-physical attack detection.</x:v>
      </x:c>
      <x:c r="S211" s="22" t="str">
        <x:v>Verification documented at process level</x:v>
      </x:c>
      <x:c r="T211" s="22" t="str">
        <x:v>Two additional authors performed random spot checks; individual spot-check assignments are not recorded in this register.</x:v>
      </x:c>
      <x:c r="U211" s="22" t="str">
        <x:v>Exclude</x:v>
      </x:c>
      <x:c r="V211" s="22" t="str">
        <x:v>Primary decision by the corresponding author; two additional authors performed random spot checks as a quality-control step.</x:v>
      </x:c>
      <x:c r="W211" s="22" t="str">
        <x:v>No</x:v>
      </x:c>
      <x:c r="X211" s="22" t="str">
        <x:v>Not applicable</x:v>
      </x:c>
      <x:c r="Y211" s="22" t="str">
        <x:v>Not assessed</x:v>
      </x:c>
      <x:c r="Z211" s="22" t="str">
        <x:v>Not advanced to full-text assessment after the title/abstract decision.</x:v>
      </x:c>
      <x:c r="AA211" s="22" t="str">
        <x:v>Not applicable</x:v>
      </x:c>
      <x:c r="AB211" s="22" t="str">
        <x:v>Record was not advanced to full-text assessment.</x:v>
      </x:c>
      <x:c r="AC211" s="22" t="str">
        <x:v>Not assessed</x:v>
      </x:c>
      <x:c r="AD211" s="22" t="str">
        <x:v>Not applicable — no full-text assessment was required.</x:v>
      </x:c>
      <x:c r="AE211" s="22" t="str">
        <x:v>Not included — title/abstract exclusion</x:v>
      </x:c>
      <x:c r="AF211" s="22" t="str">
        <x:v>Not applicable — not included</x:v>
      </x:c>
      <x:c r="AG211" s="22" t="str">
        <x:v>Evidence: 164acd43-d20f-4767-80aa-24e6ab2a2fcb.png; page 7, result 4. Metadata transcribed from captured Google Scholar page; OCR-normalised, verify against publication before citation.</x:v>
      </x:c>
      <x:c r="AH211" s="20" t="str">
        <x:v>No duplicate identified under the documented matching rules.</x:v>
      </x:c>
    </x:row>
    <x:row r="212" ht="42" customHeight="1">
      <x:c r="A212" s="22" t="str">
        <x:v>GS-02-065</x:v>
      </x:c>
      <x:c r="B212" s="22" t="str">
        <x:v>Google Scholar</x:v>
      </x:c>
      <x:c r="C212" s="22" t="str">
        <x:v>GS-02</x:v>
      </x:c>
      <x:c r="D212" s="22" t="str">
        <x:v>(4TML] Part-protatype models in medical imaging applications and current challenges</x:v>
      </x:c>
      <x:c r="E212" s="22" t="str">
        <x:v>L4 Oe Sanli, Fl Piparo F Bargagns MF Sanvaretti</x:v>
      </x:c>
      <x:c r="F212" s="22" t="str">
        <x:v>NR</x:v>
      </x:c>
      <x:c r="G212" s="22" t="str">
        <x:v>| 202¢-mrdp com</x:v>
      </x:c>
      <x:c r="H212" s="22" t="str">
        <x:v>Google Scholar result</x:v>
      </x:c>
      <x:c r="I212" s="22" t="str">
        <x:v>NR</x:v>
      </x:c>
      <x:c r="J212" s="22" t="str">
        <x:v>NR</x:v>
      </x:c>
      <x:c r="K212" s="22" t="str">
        <x:v>NR — URL not captured in the available source record</x:v>
      </x:c>
      <x:c r="L212" s="22" t="str">
        <x:v>Not available in the captured evidence; the screening decision used the title and available source metadata.</x:v>
      </x:c>
      <x:c r="M212" s="22" t="str">
        <x:v>No duplicate</x:v>
      </x:c>
      <x:c r="N212" s="22" t="str">
        <x:v>Not applicable — no duplicate group</x:v>
      </x:c>
      <x:c r="O212" s="22" t="str">
        <x:v>Not applicable</x:v>
      </x:c>
      <x:c r="P212" s="22" t="str">
        <x:v>Yes</x:v>
      </x:c>
      <x:c r="Q212" s="22" t="str">
        <x:v>Exclude</x:v>
      </x:c>
      <x:c r="R212" s="22" t="str">
        <x:v>Narrative review of part-prototype medical-imaging models; not original empirical research.</x:v>
      </x:c>
      <x:c r="S212" s="22" t="str">
        <x:v>Verification documented at process level</x:v>
      </x:c>
      <x:c r="T212" s="22" t="str">
        <x:v>Two additional authors performed random spot checks; individual spot-check assignments are not recorded in this register.</x:v>
      </x:c>
      <x:c r="U212" s="22" t="str">
        <x:v>Exclude</x:v>
      </x:c>
      <x:c r="V212" s="22" t="str">
        <x:v>Primary decision by the corresponding author; two additional authors performed random spot checks as a quality-control step.</x:v>
      </x:c>
      <x:c r="W212" s="22" t="str">
        <x:v>No</x:v>
      </x:c>
      <x:c r="X212" s="22" t="str">
        <x:v>Not applicable</x:v>
      </x:c>
      <x:c r="Y212" s="22" t="str">
        <x:v>Not assessed</x:v>
      </x:c>
      <x:c r="Z212" s="22" t="str">
        <x:v>Not advanced to full-text assessment after the title/abstract decision.</x:v>
      </x:c>
      <x:c r="AA212" s="22" t="str">
        <x:v>Not applicable</x:v>
      </x:c>
      <x:c r="AB212" s="22" t="str">
        <x:v>Record was not advanced to full-text assessment.</x:v>
      </x:c>
      <x:c r="AC212" s="22" t="str">
        <x:v>Not assessed</x:v>
      </x:c>
      <x:c r="AD212" s="22" t="str">
        <x:v>Not applicable — no full-text assessment was required.</x:v>
      </x:c>
      <x:c r="AE212" s="22" t="str">
        <x:v>Not included — title/abstract exclusion</x:v>
      </x:c>
      <x:c r="AF212" s="22" t="str">
        <x:v>Not applicable — not included</x:v>
      </x:c>
      <x:c r="AG212" s="22" t="str">
        <x:v>Evidence: 164acd43-d20f-4767-80aa-24e6ab2a2fcb.png; page 7, result 5. Metadata transcribed from captured Google Scholar page; OCR-normalised, verify against publication before citation.</x:v>
      </x:c>
      <x:c r="AH212" s="20" t="str">
        <x:v>No duplicate identified under the documented matching rules.</x:v>
      </x:c>
    </x:row>
    <x:row r="213" ht="42" customHeight="1">
      <x:c r="A213" s="22" t="str">
        <x:v>GS-02-066</x:v>
      </x:c>
      <x:c r="B213" s="22" t="str">
        <x:v>Google Scholar</x:v>
      </x:c>
      <x:c r="C213" s="22" t="str">
        <x:v>GS-02</x:v>
      </x:c>
      <x:c r="D213" s="22" t="str">
        <x:v>sensing-based engineering geological lithology interpretatian in highly vegetated</x:v>
      </x:c>
      <x:c r="E213" s="22" t="str">
        <x:v>§$ Ouyang ¥¥ Chen X Cin</x:v>
      </x:c>
      <x:c r="F213" s="22" t="n">
        <x:v>2024</x:v>
      </x:c>
      <x:c r="G213" s="22" t="str">
        <x:v>EEE Journal of Seected ... 2024 - iseexclore.ieee oro</x:v>
      </x:c>
      <x:c r="H213" s="22" t="str">
        <x:v>Google Scholar result</x:v>
      </x:c>
      <x:c r="I213" s="22" t="str">
        <x:v>NR</x:v>
      </x:c>
      <x:c r="J213" s="22" t="str">
        <x:v>NR</x:v>
      </x:c>
      <x:c r="K213" s="22" t="str">
        <x:v>NR — URL not captured in the available source record</x:v>
      </x:c>
      <x:c r="L213" s="22" t="str">
        <x:v>Not available in the captured evidence; the screening decision used the title and available source metadata.</x:v>
      </x:c>
      <x:c r="M213" s="22" t="str">
        <x:v>No duplicate</x:v>
      </x:c>
      <x:c r="N213" s="22" t="str">
        <x:v>Not applicable — no duplicate group</x:v>
      </x:c>
      <x:c r="O213" s="22" t="str">
        <x:v>Not applicable</x:v>
      </x:c>
      <x:c r="P213" s="22" t="str">
        <x:v>Yes</x:v>
      </x:c>
      <x:c r="Q213" s="22" t="str">
        <x:v>Exclude</x:v>
      </x:c>
      <x:c r="R213" s="22" t="str">
        <x:v>Wrong domain: geological lithology interpretation.</x:v>
      </x:c>
      <x:c r="S213" s="22" t="str">
        <x:v>Verification documented at process level</x:v>
      </x:c>
      <x:c r="T213" s="22" t="str">
        <x:v>Two additional authors performed random spot checks; individual spot-check assignments are not recorded in this register.</x:v>
      </x:c>
      <x:c r="U213" s="22" t="str">
        <x:v>Exclude</x:v>
      </x:c>
      <x:c r="V213" s="22" t="str">
        <x:v>Primary decision by the corresponding author; two additional authors performed random spot checks as a quality-control step.</x:v>
      </x:c>
      <x:c r="W213" s="22" t="str">
        <x:v>No</x:v>
      </x:c>
      <x:c r="X213" s="22" t="str">
        <x:v>Not applicable</x:v>
      </x:c>
      <x:c r="Y213" s="22" t="str">
        <x:v>Not assessed</x:v>
      </x:c>
      <x:c r="Z213" s="22" t="str">
        <x:v>Not advanced to full-text assessment after the title/abstract decision.</x:v>
      </x:c>
      <x:c r="AA213" s="22" t="str">
        <x:v>Not applicable</x:v>
      </x:c>
      <x:c r="AB213" s="22" t="str">
        <x:v>Record was not advanced to full-text assessment.</x:v>
      </x:c>
      <x:c r="AC213" s="22" t="str">
        <x:v>Not assessed</x:v>
      </x:c>
      <x:c r="AD213" s="22" t="str">
        <x:v>Not applicable — no full-text assessment was required.</x:v>
      </x:c>
      <x:c r="AE213" s="22" t="str">
        <x:v>Not included — title/abstract exclusion</x:v>
      </x:c>
      <x:c r="AF213" s="22" t="str">
        <x:v>Not applicable — not included</x:v>
      </x:c>
      <x:c r="AG213" s="22" t="str">
        <x:v>Evidence: 164acd43-d20f-4767-80aa-24e6ab2a2fcb.png; page 7, result 6. Metadata transcribed from captured Google Scholar page; OCR-normalised, verify against publication before citation.</x:v>
      </x:c>
      <x:c r="AH213" s="20" t="str">
        <x:v>No duplicate identified under the documented matching rules.</x:v>
      </x:c>
    </x:row>
    <x:row r="214" ht="42" customHeight="1">
      <x:c r="A214" s="22" t="str">
        <x:v>GS-02-067</x:v>
      </x:c>
      <x:c r="B214" s="22" t="str">
        <x:v>Google Scholar</x:v>
      </x:c>
      <x:c r="C214" s="22" t="str">
        <x:v>GS-02</x:v>
      </x:c>
      <x:c r="D214" s="22" t="str">
        <x:v>Human-machine interactive tissue prototype learning for label-efficient histopatholagy image segmentation</x:v>
      </x:c>
      <x:c r="E214" s="22" t="str">
        <x:v>WPan J Yan HChae J ¥ang ZXu Xi -. Conference aninforqalon 2C23.- Springer</x:v>
      </x:c>
      <x:c r="F214" s="22" t="str">
        <x:v>NR</x:v>
      </x:c>
      <x:c r="G214" s="22" t="str">
        <x:v>WPan J Yan HChae J ¥ang ZXu Xi -. Conference aninforqalon 2C23.- Springer</x:v>
      </x:c>
      <x:c r="H214" s="22" t="str">
        <x:v>Google Scholar result</x:v>
      </x:c>
      <x:c r="I214" s="22" t="str">
        <x:v>NR</x:v>
      </x:c>
      <x:c r="J214" s="22" t="str">
        <x:v>NR</x:v>
      </x:c>
      <x:c r="K214" s="22" t="str">
        <x:v>NR — URL not captured in the available source record</x:v>
      </x:c>
      <x:c r="L214" s="22" t="str">
        <x:v>Not available in the captured evidence; the screening decision used the title and available source metadata.</x:v>
      </x:c>
      <x:c r="M214" s="22" t="str">
        <x:v>No duplicate</x:v>
      </x:c>
      <x:c r="N214" s="22" t="str">
        <x:v>Not applicable — no duplicate group</x:v>
      </x:c>
      <x:c r="O214" s="22" t="str">
        <x:v>Not applicable</x:v>
      </x:c>
      <x:c r="P214" s="22" t="str">
        <x:v>Yes</x:v>
      </x:c>
      <x:c r="Q214" s="22" t="str">
        <x:v>Exclude</x:v>
      </x:c>
      <x:c r="R214" s="22" t="str">
        <x:v>Tissue prototypes support label-efficient histopathology segmentation rather than concept explanation.</x:v>
      </x:c>
      <x:c r="S214" s="22" t="str">
        <x:v>Verification documented at process level</x:v>
      </x:c>
      <x:c r="T214" s="22" t="str">
        <x:v>Two additional authors performed random spot checks; individual spot-check assignments are not recorded in this register.</x:v>
      </x:c>
      <x:c r="U214" s="22" t="str">
        <x:v>Exclude</x:v>
      </x:c>
      <x:c r="V214" s="22" t="str">
        <x:v>Primary decision by the corresponding author; two additional authors performed random spot checks as a quality-control step.</x:v>
      </x:c>
      <x:c r="W214" s="22" t="str">
        <x:v>No</x:v>
      </x:c>
      <x:c r="X214" s="22" t="str">
        <x:v>Not applicable</x:v>
      </x:c>
      <x:c r="Y214" s="22" t="str">
        <x:v>Not assessed</x:v>
      </x:c>
      <x:c r="Z214" s="22" t="str">
        <x:v>Not advanced to full-text assessment after the title/abstract decision.</x:v>
      </x:c>
      <x:c r="AA214" s="22" t="str">
        <x:v>Not applicable</x:v>
      </x:c>
      <x:c r="AB214" s="22" t="str">
        <x:v>Record was not advanced to full-text assessment.</x:v>
      </x:c>
      <x:c r="AC214" s="22" t="str">
        <x:v>Not assessed</x:v>
      </x:c>
      <x:c r="AD214" s="22" t="str">
        <x:v>Not applicable — no full-text assessment was required.</x:v>
      </x:c>
      <x:c r="AE214" s="22" t="str">
        <x:v>Not included — title/abstract exclusion</x:v>
      </x:c>
      <x:c r="AF214" s="22" t="str">
        <x:v>Not applicable — not included</x:v>
      </x:c>
      <x:c r="AG214" s="22" t="str">
        <x:v>Evidence: 164acd43-d20f-4767-80aa-24e6ab2a2fcb.png; page 7, result 7. Metadata transcribed from captured Google Scholar page; OCR-normalised, verify against publication before citation.</x:v>
      </x:c>
      <x:c r="AH214" s="20" t="str">
        <x:v>No duplicate identified under the documented matching rules.</x:v>
      </x:c>
    </x:row>
    <x:row r="215" ht="42" customHeight="1">
      <x:c r="A215" s="22" t="str">
        <x:v>GS-02-068</x:v>
      </x:c>
      <x:c r="B215" s="22" t="str">
        <x:v>Google Scholar</x:v>
      </x:c>
      <x:c r="C215" s="22" t="str">
        <x:v>GS-02</x:v>
      </x:c>
      <x:c r="D215" s="22" t="str">
        <x:v>All-around real tabel supervision’ Cyclic prototype consistancy learning for semi- supervised medical image segmentation</x:v>
      </x:c>
      <x:c r="E215" s="22" t="str">
        <x:v>2Xu ¥ Wang DlLu LYu J¥an Jlua</x:v>
      </x:c>
      <x:c r="F215" s="22" t="n">
        <x:v>2022</x:v>
      </x:c>
      <x:c r="G215" s="22" t="str">
        <x:v>EEE Jounalof 2022. eeexp'ore ieee arg</x:v>
      </x:c>
      <x:c r="H215" s="22" t="str">
        <x:v>Google Scholar result</x:v>
      </x:c>
      <x:c r="I215" s="22" t="str">
        <x:v>NR</x:v>
      </x:c>
      <x:c r="J215" s="22" t="str">
        <x:v>NR</x:v>
      </x:c>
      <x:c r="K215" s="22" t="str">
        <x:v>NR — URL not captured in the available source record</x:v>
      </x:c>
      <x:c r="L215" s="22" t="str">
        <x:v>Not available in the captured evidence; the screening decision used the title and available source metadata.</x:v>
      </x:c>
      <x:c r="M215" s="22" t="str">
        <x:v>No duplicate</x:v>
      </x:c>
      <x:c r="N215" s="22" t="str">
        <x:v>Not applicable — no duplicate group</x:v>
      </x:c>
      <x:c r="O215" s="22" t="str">
        <x:v>Not applicable</x:v>
      </x:c>
      <x:c r="P215" s="22" t="str">
        <x:v>Yes</x:v>
      </x:c>
      <x:c r="Q215" s="22" t="str">
        <x:v>Exclude</x:v>
      </x:c>
      <x:c r="R215" s="22" t="str">
        <x:v>Prototypes generate supervision and pseudo-labels for medical segmentation rather than explanations.</x:v>
      </x:c>
      <x:c r="S215" s="22" t="str">
        <x:v>Verification documented at process level</x:v>
      </x:c>
      <x:c r="T215" s="22" t="str">
        <x:v>Two additional authors performed random spot checks; individual spot-check assignments are not recorded in this register.</x:v>
      </x:c>
      <x:c r="U215" s="22" t="str">
        <x:v>Exclude</x:v>
      </x:c>
      <x:c r="V215" s="22" t="str">
        <x:v>Primary decision by the corresponding author; two additional authors performed random spot checks as a quality-control step.</x:v>
      </x:c>
      <x:c r="W215" s="22" t="str">
        <x:v>No</x:v>
      </x:c>
      <x:c r="X215" s="22" t="str">
        <x:v>Not applicable</x:v>
      </x:c>
      <x:c r="Y215" s="22" t="str">
        <x:v>Not assessed</x:v>
      </x:c>
      <x:c r="Z215" s="22" t="str">
        <x:v>Not advanced to full-text assessment after the title/abstract decision.</x:v>
      </x:c>
      <x:c r="AA215" s="22" t="str">
        <x:v>Not applicable</x:v>
      </x:c>
      <x:c r="AB215" s="22" t="str">
        <x:v>Record was not advanced to full-text assessment.</x:v>
      </x:c>
      <x:c r="AC215" s="22" t="str">
        <x:v>Not assessed</x:v>
      </x:c>
      <x:c r="AD215" s="22" t="str">
        <x:v>Not applicable — no full-text assessment was required.</x:v>
      </x:c>
      <x:c r="AE215" s="22" t="str">
        <x:v>Not included — title/abstract exclusion</x:v>
      </x:c>
      <x:c r="AF215" s="22" t="str">
        <x:v>Not applicable — not included</x:v>
      </x:c>
      <x:c r="AG215" s="22" t="str">
        <x:v>Evidence: 164acd43-d20f-4767-80aa-24e6ab2a2fcb.png; page 7, result 8. Metadata transcribed from captured Google Scholar page; OCR-normalised, verify against publication before citation.</x:v>
      </x:c>
      <x:c r="AH215" s="20" t="str">
        <x:v>No duplicate identified under the documented matching rules.</x:v>
      </x:c>
    </x:row>
    <x:row r="216" ht="42" customHeight="1">
      <x:c r="A216" s="22" t="str">
        <x:v>GS-02-069</x:v>
      </x:c>
      <x:c r="B216" s="22" t="str">
        <x:v>Google Scholar</x:v>
      </x:c>
      <x:c r="C216" s="22" t="str">
        <x:v>GS-02</x:v>
      </x:c>
      <x:c r="D216" s="22" t="str">
        <x:v>Hierarchical prototype learning for zero-shot recognition</x:v>
      </x:c>
      <x:c r="E216" s="22" t="str">
        <x:v>X Zhang. SGui Z2Zhu ¥ Zhao</x:v>
      </x:c>
      <x:c r="F216" s="22" t="n">
        <x:v>2015</x:v>
      </x:c>
      <x:c r="G216" s="22" t="str">
        <x:v>IEEE “rensactions on . 2015 - ieeexplore eae org</x:v>
      </x:c>
      <x:c r="H216" s="22" t="str">
        <x:v>Google Scholar result</x:v>
      </x:c>
      <x:c r="I216" s="22" t="str">
        <x:v>NR</x:v>
      </x:c>
      <x:c r="J216" s="22" t="str">
        <x:v>NR</x:v>
      </x:c>
      <x:c r="K216" s="22" t="str">
        <x:v>NR — URL not captured in the available source record</x:v>
      </x:c>
      <x:c r="L216" s="22" t="str">
        <x:v>Not available in the captured evidence; the screening decision used the title and available source metadata.</x:v>
      </x:c>
      <x:c r="M216" s="22" t="str">
        <x:v>No duplicate</x:v>
      </x:c>
      <x:c r="N216" s="22" t="str">
        <x:v>Not applicable — no duplicate group</x:v>
      </x:c>
      <x:c r="O216" s="22" t="str">
        <x:v>Not applicable</x:v>
      </x:c>
      <x:c r="P216" s="22" t="str">
        <x:v>Yes</x:v>
      </x:c>
      <x:c r="Q216" s="22" t="str">
        <x:v>Exclude</x:v>
      </x:c>
      <x:c r="R216" s="22" t="str">
        <x:v>Generic zero-shot prototype method published before the 2017 eligibility threshold.</x:v>
      </x:c>
      <x:c r="S216" s="22" t="str">
        <x:v>Verification documented at process level</x:v>
      </x:c>
      <x:c r="T216" s="22" t="str">
        <x:v>Two additional authors performed random spot checks; individual spot-check assignments are not recorded in this register.</x:v>
      </x:c>
      <x:c r="U216" s="22" t="str">
        <x:v>Exclude</x:v>
      </x:c>
      <x:c r="V216" s="22" t="str">
        <x:v>Primary decision by the corresponding author; two additional authors performed random spot checks as a quality-control step.</x:v>
      </x:c>
      <x:c r="W216" s="22" t="str">
        <x:v>No</x:v>
      </x:c>
      <x:c r="X216" s="22" t="str">
        <x:v>Not applicable</x:v>
      </x:c>
      <x:c r="Y216" s="22" t="str">
        <x:v>Not assessed</x:v>
      </x:c>
      <x:c r="Z216" s="22" t="str">
        <x:v>Not advanced to full-text assessment after the title/abstract decision.</x:v>
      </x:c>
      <x:c r="AA216" s="22" t="str">
        <x:v>Not applicable</x:v>
      </x:c>
      <x:c r="AB216" s="22" t="str">
        <x:v>Record was not advanced to full-text assessment.</x:v>
      </x:c>
      <x:c r="AC216" s="22" t="str">
        <x:v>Not assessed</x:v>
      </x:c>
      <x:c r="AD216" s="22" t="str">
        <x:v>Not applicable — no full-text assessment was required.</x:v>
      </x:c>
      <x:c r="AE216" s="22" t="str">
        <x:v>Not included — title/abstract exclusion</x:v>
      </x:c>
      <x:c r="AF216" s="22" t="str">
        <x:v>Not applicable — not included</x:v>
      </x:c>
      <x:c r="AG216" s="22" t="str">
        <x:v>Evidence: 164acd43-d20f-4767-80aa-24e6ab2a2fcb.png; page 7, result 9. Metadata transcribed from captured Google Scholar page; OCR-normalised, verify against publication before citation.</x:v>
      </x:c>
      <x:c r="AH216" s="20" t="str">
        <x:v>No duplicate identified under the documented matching rules.</x:v>
      </x:c>
    </x:row>
    <x:row r="217" ht="42" customHeight="1">
      <x:c r="A217" s="22" t="str">
        <x:v>GS-02-070</x:v>
      </x:c>
      <x:c r="B217" s="22" t="str">
        <x:v>Google Scholar</x:v>
      </x:c>
      <x:c r="C217" s="22" t="str">
        <x:v>GS-02</x:v>
      </x:c>
      <x:c r="D217" s="22" t="str">
        <x:v>Incremental classification for high-dimensional EEG manifold representation using bidirectional dimensionality reduction and prototype learning</x:v>
      </x:c>
      <x:c r="E217" s="22" t="str">
        <x:v>DLiu @Ding CTsng JAI.</x:v>
      </x:c>
      <x:c r="F217" s="22" t="n">
        <x:v>2024</x:v>
      </x:c>
      <x:c r="G217" s="22" t="str">
        <x:v>IEEE Jourmal ai Biomedical | 2024- iseaxplora iaze orc</x:v>
      </x:c>
      <x:c r="H217" s="22" t="str">
        <x:v>Google Scholar result</x:v>
      </x:c>
      <x:c r="I217" s="22" t="str">
        <x:v>NR</x:v>
      </x:c>
      <x:c r="J217" s="22" t="str">
        <x:v>NR</x:v>
      </x:c>
      <x:c r="K217" s="22" t="str">
        <x:v>NR — URL not captured in the available source record</x:v>
      </x:c>
      <x:c r="L217" s="22" t="str">
        <x:v>Not available in the captured evidence; the screening decision used the title and available source metadata.</x:v>
      </x:c>
      <x:c r="M217" s="22" t="str">
        <x:v>No duplicate</x:v>
      </x:c>
      <x:c r="N217" s="22" t="str">
        <x:v>Not applicable — no duplicate group</x:v>
      </x:c>
      <x:c r="O217" s="22" t="str">
        <x:v>Not applicable</x:v>
      </x:c>
      <x:c r="P217" s="22" t="str">
        <x:v>Yes</x:v>
      </x:c>
      <x:c r="Q217" s="22" t="str">
        <x:v>Exclude</x:v>
      </x:c>
      <x:c r="R217" s="22" t="str">
        <x:v>EEG classification rather than ophthalmic imaging or concept-XAI.</x:v>
      </x:c>
      <x:c r="S217" s="22" t="str">
        <x:v>Verification documented at process level</x:v>
      </x:c>
      <x:c r="T217" s="22" t="str">
        <x:v>Two additional authors performed random spot checks; individual spot-check assignments are not recorded in this register.</x:v>
      </x:c>
      <x:c r="U217" s="22" t="str">
        <x:v>Exclude</x:v>
      </x:c>
      <x:c r="V217" s="22" t="str">
        <x:v>Primary decision by the corresponding author; two additional authors performed random spot checks as a quality-control step.</x:v>
      </x:c>
      <x:c r="W217" s="22" t="str">
        <x:v>No</x:v>
      </x:c>
      <x:c r="X217" s="22" t="str">
        <x:v>Not applicable</x:v>
      </x:c>
      <x:c r="Y217" s="22" t="str">
        <x:v>Not assessed</x:v>
      </x:c>
      <x:c r="Z217" s="22" t="str">
        <x:v>Not advanced to full-text assessment after the title/abstract decision.</x:v>
      </x:c>
      <x:c r="AA217" s="22" t="str">
        <x:v>Not applicable</x:v>
      </x:c>
      <x:c r="AB217" s="22" t="str">
        <x:v>Record was not advanced to full-text assessment.</x:v>
      </x:c>
      <x:c r="AC217" s="22" t="str">
        <x:v>Not assessed</x:v>
      </x:c>
      <x:c r="AD217" s="22" t="str">
        <x:v>Not applicable — no full-text assessment was required.</x:v>
      </x:c>
      <x:c r="AE217" s="22" t="str">
        <x:v>Not included — title/abstract exclusion</x:v>
      </x:c>
      <x:c r="AF217" s="22" t="str">
        <x:v>Not applicable — not included</x:v>
      </x:c>
      <x:c r="AG217" s="22" t="str">
        <x:v>Evidence: 164acd43-d20f-4767-80aa-24e6ab2a2fcb.png; page 7, result 10. Metadata transcribed from captured Google Scholar page; OCR-normalised, verify against publication before citation.</x:v>
      </x:c>
      <x:c r="AH217" s="20" t="str">
        <x:v>No duplicate identified under the documented matching rules.</x:v>
      </x:c>
    </x:row>
    <x:row r="218" ht="42" customHeight="1">
      <x:c r="A218" s="22" t="str">
        <x:v>GS-02-071</x:v>
      </x:c>
      <x:c r="B218" s="22" t="str">
        <x:v>Google Scholar</x:v>
      </x:c>
      <x:c r="C218" s="22" t="str">
        <x:v>GS-02</x:v>
      </x:c>
      <x:c r="D218" s="22" t="str">
        <x:v>(4TML] Masked image modeling-guided cross-image prototype leaming for scribble-supervised medical image segmentation</x:v>
      </x:c>
      <x:c r="E218" s="22" t="str">
        <x:v>S$ Xu J Zhang &amp; Zhaa</x:v>
      </x:c>
      <x:c r="F218" s="22" t="str">
        <x:v>NR</x:v>
      </x:c>
      <x:c r="G218" s="22" t="str">
        <x:v>Expert Sysiems with Applications 2926 - Elsevier</x:v>
      </x:c>
      <x:c r="H218" s="22" t="str">
        <x:v>Google Scholar result</x:v>
      </x:c>
      <x:c r="I218" s="22" t="str">
        <x:v>NR</x:v>
      </x:c>
      <x:c r="J218" s="22" t="str">
        <x:v>NR</x:v>
      </x:c>
      <x:c r="K218" s="22" t="str">
        <x:v>NR — URL not captured in the available source record</x:v>
      </x:c>
      <x:c r="L218" s="22" t="str">
        <x:v>Not available in the captured evidence; the screening decision used the title and available source metadata.</x:v>
      </x:c>
      <x:c r="M218" s="22" t="str">
        <x:v>No duplicate</x:v>
      </x:c>
      <x:c r="N218" s="22" t="str">
        <x:v>Not applicable — no duplicate group</x:v>
      </x:c>
      <x:c r="O218" s="22" t="str">
        <x:v>Not applicable</x:v>
      </x:c>
      <x:c r="P218" s="22" t="str">
        <x:v>Yes</x:v>
      </x:c>
      <x:c r="Q218" s="22" t="str">
        <x:v>Exclude</x:v>
      </x:c>
      <x:c r="R218" s="22" t="str">
        <x:v>Technical medical-image segmentation method without relevant explainability.</x:v>
      </x:c>
      <x:c r="S218" s="22" t="str">
        <x:v>Verification documented at process level</x:v>
      </x:c>
      <x:c r="T218" s="22" t="str">
        <x:v>Two additional authors performed random spot checks; individual spot-check assignments are not recorded in this register.</x:v>
      </x:c>
      <x:c r="U218" s="22" t="str">
        <x:v>Exclude</x:v>
      </x:c>
      <x:c r="V218" s="22" t="str">
        <x:v>Primary decision by the corresponding author; two additional authors performed random spot checks as a quality-control step.</x:v>
      </x:c>
      <x:c r="W218" s="22" t="str">
        <x:v>No</x:v>
      </x:c>
      <x:c r="X218" s="22" t="str">
        <x:v>Not applicable</x:v>
      </x:c>
      <x:c r="Y218" s="22" t="str">
        <x:v>Not assessed</x:v>
      </x:c>
      <x:c r="Z218" s="22" t="str">
        <x:v>Not advanced to full-text assessment after the title/abstract decision.</x:v>
      </x:c>
      <x:c r="AA218" s="22" t="str">
        <x:v>Not applicable</x:v>
      </x:c>
      <x:c r="AB218" s="22" t="str">
        <x:v>Record was not advanced to full-text assessment.</x:v>
      </x:c>
      <x:c r="AC218" s="22" t="str">
        <x:v>Not assessed</x:v>
      </x:c>
      <x:c r="AD218" s="22" t="str">
        <x:v>Not applicable — no full-text assessment was required.</x:v>
      </x:c>
      <x:c r="AE218" s="22" t="str">
        <x:v>Not included — title/abstract exclusion</x:v>
      </x:c>
      <x:c r="AF218" s="22" t="str">
        <x:v>Not applicable — not included</x:v>
      </x:c>
      <x:c r="AG218" s="22" t="str">
        <x:v>Evidence: 377a6f2a-8af3-463b-ba77-e19509b013fb.png; page 8, result 1. Metadata transcribed from captured Google Scholar page; OCR-normalised, verify against publication before citation.</x:v>
      </x:c>
      <x:c r="AH218" s="20" t="str">
        <x:v>No duplicate identified under the documented matching rules.</x:v>
      </x:c>
    </x:row>
    <x:row r="219" ht="42" customHeight="1">
      <x:c r="A219" s="22" t="str">
        <x:v>GS-02-072</x:v>
      </x:c>
      <x:c r="B219" s="22" t="str">
        <x:v>Google Scholar</x:v>
      </x:c>
      <x:c r="C219" s="22" t="str">
        <x:v>GS-02</x:v>
      </x:c>
      <x:c r="D219" s="22" t="str">
        <x:v>Query-guided prototype learming with decoder alignment and dynamic fusion in few-shot segmentation</x:v>
      </x:c>
      <x:c r="E219" s="22" t="str">
        <x:v>Yang ¥ Yu</x:v>
      </x:c>
      <x:c r="F219" s="22" t="n">
        <x:v>2023</x:v>
      </x:c>
      <x:c r="G219" s="22" t="str">
        <x:v>ACM T-angaclions on Multimedia Computing == 2023. - dl acm erg</x:v>
      </x:c>
      <x:c r="H219" s="22" t="str">
        <x:v>Google Scholar result</x:v>
      </x:c>
      <x:c r="I219" s="22" t="str">
        <x:v>NR</x:v>
      </x:c>
      <x:c r="J219" s="22" t="str">
        <x:v>NR</x:v>
      </x:c>
      <x:c r="K219" s="22" t="str">
        <x:v>NR — URL not captured in the available source record</x:v>
      </x:c>
      <x:c r="L219" s="22" t="str">
        <x:v>Not available in the captured evidence; the screening decision used the title and available source metadata.</x:v>
      </x:c>
      <x:c r="M219" s="22" t="str">
        <x:v>No duplicate</x:v>
      </x:c>
      <x:c r="N219" s="22" t="str">
        <x:v>Not applicable — no duplicate group</x:v>
      </x:c>
      <x:c r="O219" s="22" t="str">
        <x:v>Not applicable</x:v>
      </x:c>
      <x:c r="P219" s="22" t="str">
        <x:v>Yes</x:v>
      </x:c>
      <x:c r="Q219" s="22" t="str">
        <x:v>Exclude</x:v>
      </x:c>
      <x:c r="R219" s="22" t="str">
        <x:v>Generic few-shot segmentation method without medical or ophthalmic explanation.</x:v>
      </x:c>
      <x:c r="S219" s="22" t="str">
        <x:v>Verification documented at process level</x:v>
      </x:c>
      <x:c r="T219" s="22" t="str">
        <x:v>Two additional authors performed random spot checks; individual spot-check assignments are not recorded in this register.</x:v>
      </x:c>
      <x:c r="U219" s="22" t="str">
        <x:v>Exclude</x:v>
      </x:c>
      <x:c r="V219" s="22" t="str">
        <x:v>Primary decision by the corresponding author; two additional authors performed random spot checks as a quality-control step.</x:v>
      </x:c>
      <x:c r="W219" s="22" t="str">
        <x:v>No</x:v>
      </x:c>
      <x:c r="X219" s="22" t="str">
        <x:v>Not applicable</x:v>
      </x:c>
      <x:c r="Y219" s="22" t="str">
        <x:v>Not assessed</x:v>
      </x:c>
      <x:c r="Z219" s="22" t="str">
        <x:v>Not advanced to full-text assessment after the title/abstract decision.</x:v>
      </x:c>
      <x:c r="AA219" s="22" t="str">
        <x:v>Not applicable</x:v>
      </x:c>
      <x:c r="AB219" s="22" t="str">
        <x:v>Record was not advanced to full-text assessment.</x:v>
      </x:c>
      <x:c r="AC219" s="22" t="str">
        <x:v>Not assessed</x:v>
      </x:c>
      <x:c r="AD219" s="22" t="str">
        <x:v>Not applicable — no full-text assessment was required.</x:v>
      </x:c>
      <x:c r="AE219" s="22" t="str">
        <x:v>Not included — title/abstract exclusion</x:v>
      </x:c>
      <x:c r="AF219" s="22" t="str">
        <x:v>Not applicable — not included</x:v>
      </x:c>
      <x:c r="AG219" s="22" t="str">
        <x:v>Evidence: 377a6f2a-8af3-463b-ba77-e19509b013fb.png; page 8, result 2. Metadata transcribed from captured Google Scholar page; OCR-normalised, verify against publication before citation.</x:v>
      </x:c>
      <x:c r="AH219" s="20" t="str">
        <x:v>No duplicate identified under the documented matching rules.</x:v>
      </x:c>
    </x:row>
    <x:row r="220" ht="42" customHeight="1">
      <x:c r="A220" s="22" t="str">
        <x:v>GS-02-073</x:v>
      </x:c>
      <x:c r="B220" s="22" t="str">
        <x:v>Google Scholar</x:v>
      </x:c>
      <x:c r="C220" s="22" t="str">
        <x:v>GS-02</x:v>
      </x:c>
      <x:c r="D220" s="22" t="str">
        <x:v>Federated deep leaming with prototype matching for object extraction from very- high-resolution remote sensing images</x:v>
      </x:c>
      <x:c r="E220" s="22" t="str">
        <x:v>X Zhang, B Zhang wy ¥. X Kang-lEEE Transactions an, 2023</x:v>
      </x:c>
      <x:c r="F220" s="22" t="n">
        <x:v>2023</x:v>
      </x:c>
      <x:c r="G220" s="22" t="str">
        <x:v>ieeaxplore ieee crg</x:v>
      </x:c>
      <x:c r="H220" s="22" t="str">
        <x:v>Google Scholar result</x:v>
      </x:c>
      <x:c r="I220" s="22" t="str">
        <x:v>NR</x:v>
      </x:c>
      <x:c r="J220" s="22" t="str">
        <x:v>NR</x:v>
      </x:c>
      <x:c r="K220" s="22" t="str">
        <x:v>NR — URL not captured in the available source record</x:v>
      </x:c>
      <x:c r="L220" s="22" t="str">
        <x:v>Not available in the captured evidence; the screening decision used the title and available source metadata.</x:v>
      </x:c>
      <x:c r="M220" s="22" t="str">
        <x:v>No duplicate</x:v>
      </x:c>
      <x:c r="N220" s="22" t="str">
        <x:v>Not applicable — no duplicate group</x:v>
      </x:c>
      <x:c r="O220" s="22" t="str">
        <x:v>Not applicable</x:v>
      </x:c>
      <x:c r="P220" s="22" t="str">
        <x:v>Yes</x:v>
      </x:c>
      <x:c r="Q220" s="22" t="str">
        <x:v>Exclude</x:v>
      </x:c>
      <x:c r="R220" s="22" t="str">
        <x:v>Wrong domain: federated remote-sensing object extraction.</x:v>
      </x:c>
      <x:c r="S220" s="22" t="str">
        <x:v>Verification documented at process level</x:v>
      </x:c>
      <x:c r="T220" s="22" t="str">
        <x:v>Two additional authors performed random spot checks; individual spot-check assignments are not recorded in this register.</x:v>
      </x:c>
      <x:c r="U220" s="22" t="str">
        <x:v>Exclude</x:v>
      </x:c>
      <x:c r="V220" s="22" t="str">
        <x:v>Primary decision by the corresponding author; two additional authors performed random spot checks as a quality-control step.</x:v>
      </x:c>
      <x:c r="W220" s="22" t="str">
        <x:v>No</x:v>
      </x:c>
      <x:c r="X220" s="22" t="str">
        <x:v>Not applicable</x:v>
      </x:c>
      <x:c r="Y220" s="22" t="str">
        <x:v>Not assessed</x:v>
      </x:c>
      <x:c r="Z220" s="22" t="str">
        <x:v>Not advanced to full-text assessment after the title/abstract decision.</x:v>
      </x:c>
      <x:c r="AA220" s="22" t="str">
        <x:v>Not applicable</x:v>
      </x:c>
      <x:c r="AB220" s="22" t="str">
        <x:v>Record was not advanced to full-text assessment.</x:v>
      </x:c>
      <x:c r="AC220" s="22" t="str">
        <x:v>Not assessed</x:v>
      </x:c>
      <x:c r="AD220" s="22" t="str">
        <x:v>Not applicable — no full-text assessment was required.</x:v>
      </x:c>
      <x:c r="AE220" s="22" t="str">
        <x:v>Not included — title/abstract exclusion</x:v>
      </x:c>
      <x:c r="AF220" s="22" t="str">
        <x:v>Not applicable — not included</x:v>
      </x:c>
      <x:c r="AG220" s="22" t="str">
        <x:v>Evidence: 377a6f2a-8af3-463b-ba77-e19509b013fb.png; page 8, result 3. Metadata transcribed from captured Google Scholar page; OCR-normalised, verify against publication before citation.</x:v>
      </x:c>
      <x:c r="AH220" s="20" t="str">
        <x:v>No duplicate identified under the documented matching rules.</x:v>
      </x:c>
    </x:row>
    <x:row r="221" ht="42" customHeight="1">
      <x:c r="A221" s="22" t="str">
        <x:v>GS-02-074</x:v>
      </x:c>
      <x:c r="B221" s="22" t="str">
        <x:v>Google Scholar</x:v>
      </x:c>
      <x:c r="C221" s="22" t="str">
        <x:v>GS-02</x:v>
      </x:c>
      <x:c r="D221" s="22" t="str">
        <x:v>Advancing madical image segmentation via self-supervised instanca-adaptive prototype learning</x:v>
      </x:c>
      <x:c r="E221" s="22" t="str">
        <x:v>G Liang O Zhou . Chen Z Wang, C Yao- arXiv prepant arXiv . 2025</x:v>
      </x:c>
      <x:c r="F221" s="22" t="n">
        <x:v>2025</x:v>
      </x:c>
      <x:c r="G221" s="22" t="str">
        <x:v>arxiv org</x:v>
      </x:c>
      <x:c r="H221" s="22" t="str">
        <x:v>Google Scholar result</x:v>
      </x:c>
      <x:c r="I221" s="22" t="str">
        <x:v>NR</x:v>
      </x:c>
      <x:c r="J221" s="22" t="str">
        <x:v>NR</x:v>
      </x:c>
      <x:c r="K221" s="22" t="str">
        <x:v>NR — URL not captured in the available source record</x:v>
      </x:c>
      <x:c r="L221" s="22" t="str">
        <x:v>Not available in the captured evidence; the screening decision used the title and available source metadata.</x:v>
      </x:c>
      <x:c r="M221" s="22" t="str">
        <x:v>No duplicate</x:v>
      </x:c>
      <x:c r="N221" s="22" t="str">
        <x:v>Not applicable — no duplicate group</x:v>
      </x:c>
      <x:c r="O221" s="22" t="str">
        <x:v>Not applicable</x:v>
      </x:c>
      <x:c r="P221" s="22" t="str">
        <x:v>Yes</x:v>
      </x:c>
      <x:c r="Q221" s="22" t="str">
        <x:v>Exclude</x:v>
      </x:c>
      <x:c r="R221" s="22" t="str">
        <x:v>Prototype representations improve medical segmentation but do not explain predictions.</x:v>
      </x:c>
      <x:c r="S221" s="22" t="str">
        <x:v>Verification documented at process level</x:v>
      </x:c>
      <x:c r="T221" s="22" t="str">
        <x:v>Two additional authors performed random spot checks; individual spot-check assignments are not recorded in this register.</x:v>
      </x:c>
      <x:c r="U221" s="22" t="str">
        <x:v>Exclude</x:v>
      </x:c>
      <x:c r="V221" s="22" t="str">
        <x:v>Primary decision by the corresponding author; two additional authors performed random spot checks as a quality-control step.</x:v>
      </x:c>
      <x:c r="W221" s="22" t="str">
        <x:v>No</x:v>
      </x:c>
      <x:c r="X221" s="22" t="str">
        <x:v>Not applicable</x:v>
      </x:c>
      <x:c r="Y221" s="22" t="str">
        <x:v>Not assessed</x:v>
      </x:c>
      <x:c r="Z221" s="22" t="str">
        <x:v>Not advanced to full-text assessment after the title/abstract decision.</x:v>
      </x:c>
      <x:c r="AA221" s="22" t="str">
        <x:v>Not applicable</x:v>
      </x:c>
      <x:c r="AB221" s="22" t="str">
        <x:v>Record was not advanced to full-text assessment.</x:v>
      </x:c>
      <x:c r="AC221" s="22" t="str">
        <x:v>Not assessed</x:v>
      </x:c>
      <x:c r="AD221" s="22" t="str">
        <x:v>Not applicable — no full-text assessment was required.</x:v>
      </x:c>
      <x:c r="AE221" s="22" t="str">
        <x:v>Not included — title/abstract exclusion</x:v>
      </x:c>
      <x:c r="AF221" s="22" t="str">
        <x:v>Not applicable — not included</x:v>
      </x:c>
      <x:c r="AG221" s="22" t="str">
        <x:v>Evidence: 377a6f2a-8af3-463b-ba77-e19509b013fb.png; page 8, result 4. Metadata transcribed from captured Google Scholar page; OCR-normalised, verify against publication before citation.</x:v>
      </x:c>
      <x:c r="AH221" s="20" t="str">
        <x:v>No duplicate identified under the documented matching rules.</x:v>
      </x:c>
    </x:row>
    <x:row r="222" ht="42" customHeight="1">
      <x:c r="A222" s="22" t="str">
        <x:v>GS-02-075</x:v>
      </x:c>
      <x:c r="B222" s="22" t="str">
        <x:v>Google Scholar</x:v>
      </x:c>
      <x:c r="C222" s="22" t="str">
        <x:v>GS-02</x:v>
      </x:c>
      <x:c r="D222" s="22" t="str">
        <x:v>Automatic epitepsy detection based on generalized convolutional prototype learning</x:v>
      </x:c>
      <x:c r="E222" s="22" t="str">
        <x:v>Cly. ¥ Chen Z Chen Y Liu Z Wang</x:v>
      </x:c>
      <x:c r="F222" s="22" t="n">
        <x:v>2021</x:v>
      </x:c>
      <x:c r="G222" s="22" t="str">
        <x:v>Measureerl 2021 - Elsevier</x:v>
      </x:c>
      <x:c r="H222" s="22" t="str">
        <x:v>Google Scholar result</x:v>
      </x:c>
      <x:c r="I222" s="22" t="str">
        <x:v>NR</x:v>
      </x:c>
      <x:c r="J222" s="22" t="str">
        <x:v>NR</x:v>
      </x:c>
      <x:c r="K222" s="22" t="str">
        <x:v>NR — URL not captured in the available source record</x:v>
      </x:c>
      <x:c r="L222" s="22" t="str">
        <x:v>Not available in the captured evidence; the screening decision used the title and available source metadata.</x:v>
      </x:c>
      <x:c r="M222" s="22" t="str">
        <x:v>No duplicate</x:v>
      </x:c>
      <x:c r="N222" s="22" t="str">
        <x:v>Not applicable — no duplicate group</x:v>
      </x:c>
      <x:c r="O222" s="22" t="str">
        <x:v>Not applicable</x:v>
      </x:c>
      <x:c r="P222" s="22" t="str">
        <x:v>Yes</x:v>
      </x:c>
      <x:c r="Q222" s="22" t="str">
        <x:v>Exclude</x:v>
      </x:c>
      <x:c r="R222" s="22" t="str">
        <x:v>Wrong clinical data and domain: epilepsy detection without concept explanation.</x:v>
      </x:c>
      <x:c r="S222" s="22" t="str">
        <x:v>Verification documented at process level</x:v>
      </x:c>
      <x:c r="T222" s="22" t="str">
        <x:v>Two additional authors performed random spot checks; individual spot-check assignments are not recorded in this register.</x:v>
      </x:c>
      <x:c r="U222" s="22" t="str">
        <x:v>Exclude</x:v>
      </x:c>
      <x:c r="V222" s="22" t="str">
        <x:v>Primary decision by the corresponding author; two additional authors performed random spot checks as a quality-control step.</x:v>
      </x:c>
      <x:c r="W222" s="22" t="str">
        <x:v>No</x:v>
      </x:c>
      <x:c r="X222" s="22" t="str">
        <x:v>Not applicable</x:v>
      </x:c>
      <x:c r="Y222" s="22" t="str">
        <x:v>Not assessed</x:v>
      </x:c>
      <x:c r="Z222" s="22" t="str">
        <x:v>Not advanced to full-text assessment after the title/abstract decision.</x:v>
      </x:c>
      <x:c r="AA222" s="22" t="str">
        <x:v>Not applicable</x:v>
      </x:c>
      <x:c r="AB222" s="22" t="str">
        <x:v>Record was not advanced to full-text assessment.</x:v>
      </x:c>
      <x:c r="AC222" s="22" t="str">
        <x:v>Not assessed</x:v>
      </x:c>
      <x:c r="AD222" s="22" t="str">
        <x:v>Not applicable — no full-text assessment was required.</x:v>
      </x:c>
      <x:c r="AE222" s="22" t="str">
        <x:v>Not included — title/abstract exclusion</x:v>
      </x:c>
      <x:c r="AF222" s="22" t="str">
        <x:v>Not applicable — not included</x:v>
      </x:c>
      <x:c r="AG222" s="22" t="str">
        <x:v>Evidence: 377a6f2a-8af3-463b-ba77-e19509b013fb.png; page 8, result 5. Metadata transcribed from captured Google Scholar page; OCR-normalised, verify against publication before citation.</x:v>
      </x:c>
      <x:c r="AH222" s="20" t="str">
        <x:v>No duplicate identified under the documented matching rules.</x:v>
      </x:c>
    </x:row>
    <x:row r="223" ht="42" customHeight="1">
      <x:c r="A223" s="22" t="str">
        <x:v>GS-02-076</x:v>
      </x:c>
      <x:c r="B223" s="22" t="str">
        <x:v>Google Scholar</x:v>
      </x:c>
      <x:c r="C223" s="22" t="str">
        <x:v>GS-02</x:v>
      </x:c>
      <x:c r="D223" s="22" t="str">
        <x:v>Hyperbolic prototype learning for open-set joint HSI-LIDAR classification</x:v>
      </x:c>
      <x:c r="E223" s="22" t="str">
        <x:v>AKhoshtakhl E Aptoula -IEEE Geoscience and Remola 2026</x:v>
      </x:c>
      <x:c r="F223" s="22" t="n">
        <x:v>2026</x:v>
      </x:c>
      <x:c r="G223" s="22" t="str">
        <x:v>iseexplcre ieea org</x:v>
      </x:c>
      <x:c r="H223" s="22" t="str">
        <x:v>Google Scholar result</x:v>
      </x:c>
      <x:c r="I223" s="22" t="str">
        <x:v>NR</x:v>
      </x:c>
      <x:c r="J223" s="22" t="str">
        <x:v>NR</x:v>
      </x:c>
      <x:c r="K223" s="22" t="str">
        <x:v>NR — URL not captured in the available source record</x:v>
      </x:c>
      <x:c r="L223" s="22" t="str">
        <x:v>Not available in the captured evidence; the screening decision used the title and available source metadata.</x:v>
      </x:c>
      <x:c r="M223" s="22" t="str">
        <x:v>No duplicate</x:v>
      </x:c>
      <x:c r="N223" s="22" t="str">
        <x:v>Not applicable — no duplicate group</x:v>
      </x:c>
      <x:c r="O223" s="22" t="str">
        <x:v>Not applicable</x:v>
      </x:c>
      <x:c r="P223" s="22" t="str">
        <x:v>Yes</x:v>
      </x:c>
      <x:c r="Q223" s="22" t="str">
        <x:v>Exclude</x:v>
      </x:c>
      <x:c r="R223" s="22" t="str">
        <x:v>Wrong domain: hyperspectral-LiDAR remote-sensing classification.</x:v>
      </x:c>
      <x:c r="S223" s="22" t="str">
        <x:v>Verification documented at process level</x:v>
      </x:c>
      <x:c r="T223" s="22" t="str">
        <x:v>Two additional authors performed random spot checks; individual spot-check assignments are not recorded in this register.</x:v>
      </x:c>
      <x:c r="U223" s="22" t="str">
        <x:v>Exclude</x:v>
      </x:c>
      <x:c r="V223" s="22" t="str">
        <x:v>Primary decision by the corresponding author; two additional authors performed random spot checks as a quality-control step.</x:v>
      </x:c>
      <x:c r="W223" s="22" t="str">
        <x:v>No</x:v>
      </x:c>
      <x:c r="X223" s="22" t="str">
        <x:v>Not applicable</x:v>
      </x:c>
      <x:c r="Y223" s="22" t="str">
        <x:v>Not assessed</x:v>
      </x:c>
      <x:c r="Z223" s="22" t="str">
        <x:v>Not advanced to full-text assessment after the title/abstract decision.</x:v>
      </x:c>
      <x:c r="AA223" s="22" t="str">
        <x:v>Not applicable</x:v>
      </x:c>
      <x:c r="AB223" s="22" t="str">
        <x:v>Record was not advanced to full-text assessment.</x:v>
      </x:c>
      <x:c r="AC223" s="22" t="str">
        <x:v>Not assessed</x:v>
      </x:c>
      <x:c r="AD223" s="22" t="str">
        <x:v>Not applicable — no full-text assessment was required.</x:v>
      </x:c>
      <x:c r="AE223" s="22" t="str">
        <x:v>Not included — title/abstract exclusion</x:v>
      </x:c>
      <x:c r="AF223" s="22" t="str">
        <x:v>Not applicable — not included</x:v>
      </x:c>
      <x:c r="AG223" s="22" t="str">
        <x:v>Evidence: 377a6f2a-8af3-463b-ba77-e19509b013fb.png; page 8, result 6. Metadata transcribed from captured Google Scholar page; OCR-normalised, verify against publication before citation.</x:v>
      </x:c>
      <x:c r="AH223" s="20" t="str">
        <x:v>No duplicate identified under the documented matching rules.</x:v>
      </x:c>
    </x:row>
    <x:row r="224" ht="42" customHeight="1">
      <x:c r="A224" s="22" t="str">
        <x:v>GS-02-077</x:v>
      </x:c>
      <x:c r="B224" s="22" t="str">
        <x:v>Google Scholar</x:v>
      </x:c>
      <x:c r="C224" s="22" t="str">
        <x:v>GS-02</x:v>
      </x:c>
      <x:c r="D224" s="22" t="str">
        <x:v>Prototype-based incremental few-shot semantic segmentation</x:v>
      </x:c>
      <x:c r="E224" s="22" t="str">
        <x:v>F Ceneh, Mancini ¥ Xign Z Akata =~ arXiv preprini arXiv = 2021</x:v>
      </x:c>
      <x:c r="F224" s="22" t="n">
        <x:v>2021</x:v>
      </x:c>
      <x:c r="G224" s="22" t="str">
        <x:v>arxiv org</x:v>
      </x:c>
      <x:c r="H224" s="22" t="str">
        <x:v>Google Scholar result</x:v>
      </x:c>
      <x:c r="I224" s="22" t="str">
        <x:v>NR</x:v>
      </x:c>
      <x:c r="J224" s="22" t="str">
        <x:v>NR</x:v>
      </x:c>
      <x:c r="K224" s="22" t="str">
        <x:v>NR — URL not captured in the available source record</x:v>
      </x:c>
      <x:c r="L224" s="22" t="str">
        <x:v>Not available in the captured evidence; the screening decision used the title and available source metadata.</x:v>
      </x:c>
      <x:c r="M224" s="22" t="str">
        <x:v>No duplicate</x:v>
      </x:c>
      <x:c r="N224" s="22" t="str">
        <x:v>Not applicable — no duplicate group</x:v>
      </x:c>
      <x:c r="O224" s="22" t="str">
        <x:v>Not applicable</x:v>
      </x:c>
      <x:c r="P224" s="22" t="str">
        <x:v>Yes</x:v>
      </x:c>
      <x:c r="Q224" s="22" t="str">
        <x:v>Exclude</x:v>
      </x:c>
      <x:c r="R224" s="22" t="str">
        <x:v>Generic prototype-based few-shot segmentation without medical evaluation.</x:v>
      </x:c>
      <x:c r="S224" s="22" t="str">
        <x:v>Verification documented at process level</x:v>
      </x:c>
      <x:c r="T224" s="22" t="str">
        <x:v>Two additional authors performed random spot checks; individual spot-check assignments are not recorded in this register.</x:v>
      </x:c>
      <x:c r="U224" s="22" t="str">
        <x:v>Exclude</x:v>
      </x:c>
      <x:c r="V224" s="22" t="str">
        <x:v>Primary decision by the corresponding author; two additional authors performed random spot checks as a quality-control step.</x:v>
      </x:c>
      <x:c r="W224" s="22" t="str">
        <x:v>No</x:v>
      </x:c>
      <x:c r="X224" s="22" t="str">
        <x:v>Not applicable</x:v>
      </x:c>
      <x:c r="Y224" s="22" t="str">
        <x:v>Not assessed</x:v>
      </x:c>
      <x:c r="Z224" s="22" t="str">
        <x:v>Not advanced to full-text assessment after the title/abstract decision.</x:v>
      </x:c>
      <x:c r="AA224" s="22" t="str">
        <x:v>Not applicable</x:v>
      </x:c>
      <x:c r="AB224" s="22" t="str">
        <x:v>Record was not advanced to full-text assessment.</x:v>
      </x:c>
      <x:c r="AC224" s="22" t="str">
        <x:v>Not assessed</x:v>
      </x:c>
      <x:c r="AD224" s="22" t="str">
        <x:v>Not applicable — no full-text assessment was required.</x:v>
      </x:c>
      <x:c r="AE224" s="22" t="str">
        <x:v>Not included — title/abstract exclusion</x:v>
      </x:c>
      <x:c r="AF224" s="22" t="str">
        <x:v>Not applicable — not included</x:v>
      </x:c>
      <x:c r="AG224" s="22" t="str">
        <x:v>Evidence: 377a6f2a-8af3-463b-ba77-e19509b013fb.png; page 8, result 7. Metadata transcribed from captured Google Scholar page; OCR-normalised, verify against publication before citation.</x:v>
      </x:c>
      <x:c r="AH224" s="20" t="str">
        <x:v>No duplicate identified under the documented matching rules.</x:v>
      </x:c>
    </x:row>
    <x:row r="225" ht="42" customHeight="1">
      <x:c r="A225" s="22" t="str">
        <x:v>GS-02-078</x:v>
      </x:c>
      <x:c r="B225" s="22" t="str">
        <x:v>Google Scholar</x:v>
      </x:c>
      <x:c r="C225" s="22" t="str">
        <x:v>GS-02</x:v>
      </x:c>
      <x:c r="D225" s="22" t="str">
        <x:v>A VR-based Automated Strabismus Diagnosis System with Progressive Semi- Supervised Learning</x:v>
      </x:c>
      <x:c r="E225" s="22" t="str">
        <x:v>DQiy B Ma. 2 Xiong. ¥ Yang, Deng -IEEE Jcurnalof 2025</x:v>
      </x:c>
      <x:c r="F225" s="22" t="n">
        <x:v>2025</x:v>
      </x:c>
      <x:c r="G225" s="22" t="str">
        <x:v>ieeexslore ieee org</x:v>
      </x:c>
      <x:c r="H225" s="22" t="str">
        <x:v>Google Scholar result</x:v>
      </x:c>
      <x:c r="I225" s="22" t="str">
        <x:v>NR</x:v>
      </x:c>
      <x:c r="J225" s="22" t="str">
        <x:v>NR</x:v>
      </x:c>
      <x:c r="K225" s="22" t="str">
        <x:v>NR — URL not captured in the available source record</x:v>
      </x:c>
      <x:c r="L225" s="22" t="str">
        <x:v>Not available in the captured evidence; the screening decision used the title and available source metadata.</x:v>
      </x:c>
      <x:c r="M225" s="22" t="str">
        <x:v>No duplicate</x:v>
      </x:c>
      <x:c r="N225" s="22" t="str">
        <x:v>Not applicable — no duplicate group</x:v>
      </x:c>
      <x:c r="O225" s="22" t="str">
        <x:v>Not applicable</x:v>
      </x:c>
      <x:c r="P225" s="22" t="str">
        <x:v>Yes</x:v>
      </x:c>
      <x:c r="Q225" s="22" t="str">
        <x:v>Exclude</x:v>
      </x:c>
      <x:c r="R225" s="22" t="str">
        <x:v>Ophthalmic strabismus study, but no concept-based or structured XAI mechanism.</x:v>
      </x:c>
      <x:c r="S225" s="22" t="str">
        <x:v>Verification documented at process level</x:v>
      </x:c>
      <x:c r="T225" s="22" t="str">
        <x:v>Two additional authors performed random spot checks; individual spot-check assignments are not recorded in this register.</x:v>
      </x:c>
      <x:c r="U225" s="22" t="str">
        <x:v>Exclude</x:v>
      </x:c>
      <x:c r="V225" s="22" t="str">
        <x:v>Primary decision by the corresponding author; two additional authors performed random spot checks as a quality-control step.</x:v>
      </x:c>
      <x:c r="W225" s="22" t="str">
        <x:v>No</x:v>
      </x:c>
      <x:c r="X225" s="22" t="str">
        <x:v>Not applicable</x:v>
      </x:c>
      <x:c r="Y225" s="22" t="str">
        <x:v>Not assessed</x:v>
      </x:c>
      <x:c r="Z225" s="22" t="str">
        <x:v>Not advanced to full-text assessment after the title/abstract decision.</x:v>
      </x:c>
      <x:c r="AA225" s="22" t="str">
        <x:v>Not applicable</x:v>
      </x:c>
      <x:c r="AB225" s="22" t="str">
        <x:v>Record was not advanced to full-text assessment.</x:v>
      </x:c>
      <x:c r="AC225" s="22" t="str">
        <x:v>Not assessed</x:v>
      </x:c>
      <x:c r="AD225" s="22" t="str">
        <x:v>Not applicable — no full-text assessment was required.</x:v>
      </x:c>
      <x:c r="AE225" s="22" t="str">
        <x:v>Not included — title/abstract exclusion</x:v>
      </x:c>
      <x:c r="AF225" s="22" t="str">
        <x:v>Not applicable — not included</x:v>
      </x:c>
      <x:c r="AG225" s="22" t="str">
        <x:v>Evidence: 377a6f2a-8af3-463b-ba77-e19509b013fb.png; page 8, result 8. Metadata transcribed from captured Google Scholar page; OCR-normalised, verify against publication before citation.</x:v>
      </x:c>
      <x:c r="AH225" s="20" t="str">
        <x:v>No duplicate identified under the documented matching rules.</x:v>
      </x:c>
    </x:row>
    <x:row r="226" ht="42" customHeight="1">
      <x:c r="A226" s="22" t="str">
        <x:v>GS-02-079</x:v>
      </x:c>
      <x:c r="B226" s="22" t="str">
        <x:v>Google Scholar</x:v>
      </x:c>
      <x:c r="C226" s="22" t="str">
        <x:v>GS-02</x:v>
      </x:c>
      <x:c r="D226" s="22" t="str">
        <x:v>GAPL-SegNet Geametry-Aware Prototype Learning for Faw-Shot Buitding Segmentation in Remote Sensing Imagery</x:v>
      </x:c>
      <x:c r="E226" s="22" t="str">
        <x:v>¥ Deng, Dhar lb Znang, X Znang =</x:v>
      </x:c>
      <x:c r="F226" s="22" t="n">
        <x:v>2025</x:v>
      </x:c>
      <x:c r="G226" s="22" t="str">
        <x:v>EEE Transactions on 2025 - ieeexplore ieee org</x:v>
      </x:c>
      <x:c r="H226" s="22" t="str">
        <x:v>Google Scholar result</x:v>
      </x:c>
      <x:c r="I226" s="22" t="str">
        <x:v>NR</x:v>
      </x:c>
      <x:c r="J226" s="22" t="str">
        <x:v>NR</x:v>
      </x:c>
      <x:c r="K226" s="22" t="str">
        <x:v>NR — URL not captured in the available source record</x:v>
      </x:c>
      <x:c r="L226" s="22" t="str">
        <x:v>Not available in the captured evidence; the screening decision used the title and available source metadata.</x:v>
      </x:c>
      <x:c r="M226" s="22" t="str">
        <x:v>No duplicate</x:v>
      </x:c>
      <x:c r="N226" s="22" t="str">
        <x:v>Not applicable — no duplicate group</x:v>
      </x:c>
      <x:c r="O226" s="22" t="str">
        <x:v>Not applicable</x:v>
      </x:c>
      <x:c r="P226" s="22" t="str">
        <x:v>Yes</x:v>
      </x:c>
      <x:c r="Q226" s="22" t="str">
        <x:v>Exclude</x:v>
      </x:c>
      <x:c r="R226" s="22" t="str">
        <x:v>Wrong domain: remote-sensing building segmentation.</x:v>
      </x:c>
      <x:c r="S226" s="22" t="str">
        <x:v>Verification documented at process level</x:v>
      </x:c>
      <x:c r="T226" s="22" t="str">
        <x:v>Two additional authors performed random spot checks; individual spot-check assignments are not recorded in this register.</x:v>
      </x:c>
      <x:c r="U226" s="22" t="str">
        <x:v>Exclude</x:v>
      </x:c>
      <x:c r="V226" s="22" t="str">
        <x:v>Primary decision by the corresponding author; two additional authors performed random spot checks as a quality-control step.</x:v>
      </x:c>
      <x:c r="W226" s="22" t="str">
        <x:v>No</x:v>
      </x:c>
      <x:c r="X226" s="22" t="str">
        <x:v>Not applicable</x:v>
      </x:c>
      <x:c r="Y226" s="22" t="str">
        <x:v>Not assessed</x:v>
      </x:c>
      <x:c r="Z226" s="22" t="str">
        <x:v>Not advanced to full-text assessment after the title/abstract decision.</x:v>
      </x:c>
      <x:c r="AA226" s="22" t="str">
        <x:v>Not applicable</x:v>
      </x:c>
      <x:c r="AB226" s="22" t="str">
        <x:v>Record was not advanced to full-text assessment.</x:v>
      </x:c>
      <x:c r="AC226" s="22" t="str">
        <x:v>Not assessed</x:v>
      </x:c>
      <x:c r="AD226" s="22" t="str">
        <x:v>Not applicable — no full-text assessment was required.</x:v>
      </x:c>
      <x:c r="AE226" s="22" t="str">
        <x:v>Not included — title/abstract exclusion</x:v>
      </x:c>
      <x:c r="AF226" s="22" t="str">
        <x:v>Not applicable — not included</x:v>
      </x:c>
      <x:c r="AG226" s="22" t="str">
        <x:v>Evidence: 377a6f2a-8af3-463b-ba77-e19509b013fb.png; page 8, result 9. Metadata transcribed from captured Google Scholar page; OCR-normalised, verify against publication before citation.</x:v>
      </x:c>
      <x:c r="AH226" s="20" t="str">
        <x:v>No duplicate identified under the documented matching rules.</x:v>
      </x:c>
    </x:row>
    <x:row r="227" ht="42" customHeight="1">
      <x:c r="A227" s="22" t="str">
        <x:v>GS-02-080</x:v>
      </x:c>
      <x:c r="B227" s="22" t="str">
        <x:v>Google Scholar</x:v>
      </x:c>
      <x:c r="C227" s="22" t="str">
        <x:v>GS-02</x:v>
      </x:c>
      <x:c r="D227" s="22" t="str">
        <x:v>Adversarial prototype learning for hyperspectral image classification</x:v>
      </x:c>
      <x:c r="E227" s="22" t="str">
        <x:v>S Wang 8 Ou DZhavg ©Wan -IEES Transactions on =, 2021</x:v>
      </x:c>
      <x:c r="F227" s="22" t="n">
        <x:v>2021</x:v>
      </x:c>
      <x:c r="G227" s="22" t="str">
        <x:v>igeexplore ieee ors</x:v>
      </x:c>
      <x:c r="H227" s="22" t="str">
        <x:v>Google Scholar result</x:v>
      </x:c>
      <x:c r="I227" s="22" t="str">
        <x:v>NR</x:v>
      </x:c>
      <x:c r="J227" s="22" t="str">
        <x:v>NR</x:v>
      </x:c>
      <x:c r="K227" s="22" t="str">
        <x:v>NR — URL not captured in the available source record</x:v>
      </x:c>
      <x:c r="L227" s="22" t="str">
        <x:v>Not available in the captured evidence; the screening decision used the title and available source metadata.</x:v>
      </x:c>
      <x:c r="M227" s="22" t="str">
        <x:v>No duplicate</x:v>
      </x:c>
      <x:c r="N227" s="22" t="str">
        <x:v>Not applicable — no duplicate group</x:v>
      </x:c>
      <x:c r="O227" s="22" t="str">
        <x:v>Not applicable</x:v>
      </x:c>
      <x:c r="P227" s="22" t="str">
        <x:v>Yes</x:v>
      </x:c>
      <x:c r="Q227" s="22" t="str">
        <x:v>Exclude</x:v>
      </x:c>
      <x:c r="R227" s="22" t="str">
        <x:v>Wrong domain: hyperspectral remote-sensing classification.</x:v>
      </x:c>
      <x:c r="S227" s="22" t="str">
        <x:v>Verification documented at process level</x:v>
      </x:c>
      <x:c r="T227" s="22" t="str">
        <x:v>Two additional authors performed random spot checks; individual spot-check assignments are not recorded in this register.</x:v>
      </x:c>
      <x:c r="U227" s="22" t="str">
        <x:v>Exclude</x:v>
      </x:c>
      <x:c r="V227" s="22" t="str">
        <x:v>Primary decision by the corresponding author; two additional authors performed random spot checks as a quality-control step.</x:v>
      </x:c>
      <x:c r="W227" s="22" t="str">
        <x:v>No</x:v>
      </x:c>
      <x:c r="X227" s="22" t="str">
        <x:v>Not applicable</x:v>
      </x:c>
      <x:c r="Y227" s="22" t="str">
        <x:v>Not assessed</x:v>
      </x:c>
      <x:c r="Z227" s="22" t="str">
        <x:v>Not advanced to full-text assessment after the title/abstract decision.</x:v>
      </x:c>
      <x:c r="AA227" s="22" t="str">
        <x:v>Not applicable</x:v>
      </x:c>
      <x:c r="AB227" s="22" t="str">
        <x:v>Record was not advanced to full-text assessment.</x:v>
      </x:c>
      <x:c r="AC227" s="22" t="str">
        <x:v>Not assessed</x:v>
      </x:c>
      <x:c r="AD227" s="22" t="str">
        <x:v>Not applicable — no full-text assessment was required.</x:v>
      </x:c>
      <x:c r="AE227" s="22" t="str">
        <x:v>Not included — title/abstract exclusion</x:v>
      </x:c>
      <x:c r="AF227" s="22" t="str">
        <x:v>Not applicable — not included</x:v>
      </x:c>
      <x:c r="AG227" s="22" t="str">
        <x:v>Evidence: 377a6f2a-8af3-463b-ba77-e19509b013fb.png; page 8, result 10. Metadata transcribed from captured Google Scholar page; OCR-normalised, verify against publication before citation.</x:v>
      </x:c>
      <x:c r="AH227" s="20" t="str">
        <x:v>No duplicate identified under the documented matching rules.</x:v>
      </x:c>
    </x:row>
    <x:row r="228" ht="42" customHeight="1">
      <x:c r="A228" s="22" t="str">
        <x:v>GS-02-081</x:v>
      </x:c>
      <x:c r="B228" s="22" t="str">
        <x:v>Google Scholar</x:v>
      </x:c>
      <x:c r="C228" s="22" t="str">
        <x:v>GS-02</x:v>
      </x:c>
      <x:c r="D228" s="22" t="str">
        <x:v>(4TML] Federated medical image segmentation with heterogeneous data via anatomical knowledge learning and feature constraints</x:v>
      </x:c>
      <x:c r="E228" s="22" t="str">
        <x:v>Z2Yarq B Xiao &amp; Yavg. Y Zha*g</x:v>
      </x:c>
      <x:c r="F228" s="22" t="n">
        <x:v>2026</x:v>
      </x:c>
      <x:c r="G228" s="22" t="str">
        <x:v>Biamedical Sig*al Precessing ane = 2026 - Elsevier</x:v>
      </x:c>
      <x:c r="H228" s="22" t="str">
        <x:v>Google Scholar result</x:v>
      </x:c>
      <x:c r="I228" s="22" t="str">
        <x:v>NR</x:v>
      </x:c>
      <x:c r="J228" s="22" t="str">
        <x:v>NR</x:v>
      </x:c>
      <x:c r="K228" s="22" t="str">
        <x:v>NR — URL not captured in the available source record</x:v>
      </x:c>
      <x:c r="L228" s="22" t="str">
        <x:v>Not available in the captured evidence; the screening decision used the title and available source metadata.</x:v>
      </x:c>
      <x:c r="M228" s="22" t="str">
        <x:v>No duplicate</x:v>
      </x:c>
      <x:c r="N228" s="22" t="str">
        <x:v>Not applicable — no duplicate group</x:v>
      </x:c>
      <x:c r="O228" s="22" t="str">
        <x:v>Not applicable</x:v>
      </x:c>
      <x:c r="P228" s="22" t="str">
        <x:v>Yes</x:v>
      </x:c>
      <x:c r="Q228" s="22" t="str">
        <x:v>Exclude</x:v>
      </x:c>
      <x:c r="R228" s="22" t="str">
        <x:v>Anatomical knowledge supports federated medical segmentation rather than concept-based explanation.</x:v>
      </x:c>
      <x:c r="S228" s="22" t="str">
        <x:v>Verification documented at process level</x:v>
      </x:c>
      <x:c r="T228" s="22" t="str">
        <x:v>Two additional authors performed random spot checks; individual spot-check assignments are not recorded in this register.</x:v>
      </x:c>
      <x:c r="U228" s="22" t="str">
        <x:v>Exclude</x:v>
      </x:c>
      <x:c r="V228" s="22" t="str">
        <x:v>Primary decision by the corresponding author; two additional authors performed random spot checks as a quality-control step.</x:v>
      </x:c>
      <x:c r="W228" s="22" t="str">
        <x:v>No</x:v>
      </x:c>
      <x:c r="X228" s="22" t="str">
        <x:v>Not applicable</x:v>
      </x:c>
      <x:c r="Y228" s="22" t="str">
        <x:v>Not assessed</x:v>
      </x:c>
      <x:c r="Z228" s="22" t="str">
        <x:v>Not advanced to full-text assessment after the title/abstract decision.</x:v>
      </x:c>
      <x:c r="AA228" s="22" t="str">
        <x:v>Not applicable</x:v>
      </x:c>
      <x:c r="AB228" s="22" t="str">
        <x:v>Record was not advanced to full-text assessment.</x:v>
      </x:c>
      <x:c r="AC228" s="22" t="str">
        <x:v>Not assessed</x:v>
      </x:c>
      <x:c r="AD228" s="22" t="str">
        <x:v>Not applicable — no full-text assessment was required.</x:v>
      </x:c>
      <x:c r="AE228" s="22" t="str">
        <x:v>Not included — title/abstract exclusion</x:v>
      </x:c>
      <x:c r="AF228" s="22" t="str">
        <x:v>Not applicable — not included</x:v>
      </x:c>
      <x:c r="AG228" s="22" t="str">
        <x:v>Evidence: 06e11633-b50c-4cf9-8d22-29769214374e.png; page 9, result 1. Metadata transcribed from captured Google Scholar page; OCR-normalised, verify against publication before citation.</x:v>
      </x:c>
      <x:c r="AH228" s="20" t="str">
        <x:v>No duplicate identified under the documented matching rules.</x:v>
      </x:c>
    </x:row>
    <x:row r="229" ht="42" customHeight="1">
      <x:c r="A229" s="22" t="str">
        <x:v>GS-02-082</x:v>
      </x:c>
      <x:c r="B229" s="22" t="str">
        <x:v>Google Scholar</x:v>
      </x:c>
      <x:c r="C229" s="22" t="str">
        <x:v>GS-02</x:v>
      </x:c>
      <x:c r="D229" s="22" t="str">
        <x:v>An Improved Prototype Learning Method for Domain Generalized Industrial Machine Anomaly Sound Detection</x:v>
      </x:c>
      <x:c r="E229" s="22" t="str">
        <x:v>YLin ¥ i WWu SSur F Sh J Shao- IEEE Access 2026. eeexplore iese. 21g</x:v>
      </x:c>
      <x:c r="F229" s="22" t="n">
        <x:v>2026</x:v>
      </x:c>
      <x:c r="G229" s="22" t="str">
        <x:v>YLin ¥ i WWu SSur F Sh J Shao- IEEE Access 2026. eeexplore iese. 21g</x:v>
      </x:c>
      <x:c r="H229" s="22" t="str">
        <x:v>Google Scholar result</x:v>
      </x:c>
      <x:c r="I229" s="22" t="str">
        <x:v>NR</x:v>
      </x:c>
      <x:c r="J229" s="22" t="str">
        <x:v>NR</x:v>
      </x:c>
      <x:c r="K229" s="22" t="str">
        <x:v>NR — URL not captured in the available source record</x:v>
      </x:c>
      <x:c r="L229" s="22" t="str">
        <x:v>Not available in the captured evidence; the screening decision used the title and available source metadata.</x:v>
      </x:c>
      <x:c r="M229" s="22" t="str">
        <x:v>No duplicate</x:v>
      </x:c>
      <x:c r="N229" s="22" t="str">
        <x:v>Not applicable — no duplicate group</x:v>
      </x:c>
      <x:c r="O229" s="22" t="str">
        <x:v>Not applicable</x:v>
      </x:c>
      <x:c r="P229" s="22" t="str">
        <x:v>Yes</x:v>
      </x:c>
      <x:c r="Q229" s="22" t="str">
        <x:v>Exclude</x:v>
      </x:c>
      <x:c r="R229" s="22" t="str">
        <x:v>Wrong domain: industrial machine anomaly-sound detection.</x:v>
      </x:c>
      <x:c r="S229" s="22" t="str">
        <x:v>Verification documented at process level</x:v>
      </x:c>
      <x:c r="T229" s="22" t="str">
        <x:v>Two additional authors performed random spot checks; individual spot-check assignments are not recorded in this register.</x:v>
      </x:c>
      <x:c r="U229" s="22" t="str">
        <x:v>Exclude</x:v>
      </x:c>
      <x:c r="V229" s="22" t="str">
        <x:v>Primary decision by the corresponding author; two additional authors performed random spot checks as a quality-control step.</x:v>
      </x:c>
      <x:c r="W229" s="22" t="str">
        <x:v>No</x:v>
      </x:c>
      <x:c r="X229" s="22" t="str">
        <x:v>Not applicable</x:v>
      </x:c>
      <x:c r="Y229" s="22" t="str">
        <x:v>Not assessed</x:v>
      </x:c>
      <x:c r="Z229" s="22" t="str">
        <x:v>Not advanced to full-text assessment after the title/abstract decision.</x:v>
      </x:c>
      <x:c r="AA229" s="22" t="str">
        <x:v>Not applicable</x:v>
      </x:c>
      <x:c r="AB229" s="22" t="str">
        <x:v>Record was not advanced to full-text assessment.</x:v>
      </x:c>
      <x:c r="AC229" s="22" t="str">
        <x:v>Not assessed</x:v>
      </x:c>
      <x:c r="AD229" s="22" t="str">
        <x:v>Not applicable — no full-text assessment was required.</x:v>
      </x:c>
      <x:c r="AE229" s="22" t="str">
        <x:v>Not included — title/abstract exclusion</x:v>
      </x:c>
      <x:c r="AF229" s="22" t="str">
        <x:v>Not applicable — not included</x:v>
      </x:c>
      <x:c r="AG229" s="22" t="str">
        <x:v>Evidence: 06e11633-b50c-4cf9-8d22-29769214374e.png; page 9, result 2. Metadata transcribed from captured Google Scholar page; OCR-normalised, verify against publication before citation.</x:v>
      </x:c>
      <x:c r="AH229" s="20" t="str">
        <x:v>No duplicate identified under the documented matching rules.</x:v>
      </x:c>
    </x:row>
    <x:row r="230" ht="42" customHeight="1">
      <x:c r="A230" s="22" t="str">
        <x:v>GS-02-083</x:v>
      </x:c>
      <x:c r="B230" s="22" t="str">
        <x:v>Google Scholar</x:v>
      </x:c>
      <x:c r="C230" s="22" t="str">
        <x:v>GS-02</x:v>
      </x:c>
      <x:c r="D230" s="22" t="str">
        <x:v>When Spit Federated Learning Meets Prototype Leaming A Communication- Efficient Approach in Wireless Networks</x:v>
      </x:c>
      <x:c r="E230" s="22" t="str">
        <x:v>X Zhang. X Giang, WW Chen FDerg</x:v>
      </x:c>
      <x:c r="F230" s="22" t="n">
        <x:v>2026</x:v>
      </x:c>
      <x:c r="G230" s="22" t="str">
        <x:v>IEEE Vireless = 2026 - iaeexplora age org</x:v>
      </x:c>
      <x:c r="H230" s="22" t="str">
        <x:v>Google Scholar result</x:v>
      </x:c>
      <x:c r="I230" s="22" t="str">
        <x:v>NR</x:v>
      </x:c>
      <x:c r="J230" s="22" t="str">
        <x:v>NR</x:v>
      </x:c>
      <x:c r="K230" s="22" t="str">
        <x:v>NR — URL not captured in the available source record</x:v>
      </x:c>
      <x:c r="L230" s="22" t="str">
        <x:v>Not available in the captured evidence; the screening decision used the title and available source metadata.</x:v>
      </x:c>
      <x:c r="M230" s="22" t="str">
        <x:v>No duplicate</x:v>
      </x:c>
      <x:c r="N230" s="22" t="str">
        <x:v>Not applicable — no duplicate group</x:v>
      </x:c>
      <x:c r="O230" s="22" t="str">
        <x:v>Not applicable</x:v>
      </x:c>
      <x:c r="P230" s="22" t="str">
        <x:v>Yes</x:v>
      </x:c>
      <x:c r="Q230" s="22" t="str">
        <x:v>Exclude</x:v>
      </x:c>
      <x:c r="R230" s="22" t="str">
        <x:v>Wireless federated-learning study without relevant XAI.</x:v>
      </x:c>
      <x:c r="S230" s="22" t="str">
        <x:v>Verification documented at process level</x:v>
      </x:c>
      <x:c r="T230" s="22" t="str">
        <x:v>Two additional authors performed random spot checks; individual spot-check assignments are not recorded in this register.</x:v>
      </x:c>
      <x:c r="U230" s="22" t="str">
        <x:v>Exclude</x:v>
      </x:c>
      <x:c r="V230" s="22" t="str">
        <x:v>Primary decision by the corresponding author; two additional authors performed random spot checks as a quality-control step.</x:v>
      </x:c>
      <x:c r="W230" s="22" t="str">
        <x:v>No</x:v>
      </x:c>
      <x:c r="X230" s="22" t="str">
        <x:v>Not applicable</x:v>
      </x:c>
      <x:c r="Y230" s="22" t="str">
        <x:v>Not assessed</x:v>
      </x:c>
      <x:c r="Z230" s="22" t="str">
        <x:v>Not advanced to full-text assessment after the title/abstract decision.</x:v>
      </x:c>
      <x:c r="AA230" s="22" t="str">
        <x:v>Not applicable</x:v>
      </x:c>
      <x:c r="AB230" s="22" t="str">
        <x:v>Record was not advanced to full-text assessment.</x:v>
      </x:c>
      <x:c r="AC230" s="22" t="str">
        <x:v>Not assessed</x:v>
      </x:c>
      <x:c r="AD230" s="22" t="str">
        <x:v>Not applicable — no full-text assessment was required.</x:v>
      </x:c>
      <x:c r="AE230" s="22" t="str">
        <x:v>Not included — title/abstract exclusion</x:v>
      </x:c>
      <x:c r="AF230" s="22" t="str">
        <x:v>Not applicable — not included</x:v>
      </x:c>
      <x:c r="AG230" s="22" t="str">
        <x:v>Evidence: 06e11633-b50c-4cf9-8d22-29769214374e.png; page 9, result 3. Metadata transcribed from captured Google Scholar page; OCR-normalised, verify against publication before citation.</x:v>
      </x:c>
      <x:c r="AH230" s="20" t="str">
        <x:v>No duplicate identified under the documented matching rules.</x:v>
      </x:c>
    </x:row>
    <x:row r="231" ht="42" customHeight="1">
      <x:c r="A231" s="22" t="str">
        <x:v>GS-02-084</x:v>
      </x:c>
      <x:c r="B231" s="22" t="str">
        <x:v>Google Scholar</x:v>
      </x:c>
      <x:c r="C231" s="22" t="str">
        <x:v>GS-02</x:v>
      </x:c>
      <x:c r="D231" s="22" t="str">
        <x:v>BNCPL brain-network-based convolutional prototype learning for discriminating depressive disorders</x:v>
      </x:c>
      <x:c r="E231" s="22" t="str">
        <x:v>D Zh. YD Calhoun C Wang XLi XMa «2021 43rd Annual =. 2211</x:v>
      </x:c>
      <x:c r="F231" s="22" t="n">
        <x:v>2021</x:v>
      </x:c>
      <x:c r="G231" s="22" t="str">
        <x:v>i@eexprore ieee org</x:v>
      </x:c>
      <x:c r="H231" s="22" t="str">
        <x:v>Google Scholar result</x:v>
      </x:c>
      <x:c r="I231" s="22" t="str">
        <x:v>NR</x:v>
      </x:c>
      <x:c r="J231" s="22" t="str">
        <x:v>NR</x:v>
      </x:c>
      <x:c r="K231" s="22" t="str">
        <x:v>NR — URL not captured in the available source record</x:v>
      </x:c>
      <x:c r="L231" s="22" t="str">
        <x:v>Not available in the captured evidence; the screening decision used the title and available source metadata.</x:v>
      </x:c>
      <x:c r="M231" s="22" t="str">
        <x:v>No duplicate</x:v>
      </x:c>
      <x:c r="N231" s="22" t="str">
        <x:v>Not applicable — no duplicate group</x:v>
      </x:c>
      <x:c r="O231" s="22" t="str">
        <x:v>Not applicable</x:v>
      </x:c>
      <x:c r="P231" s="22" t="str">
        <x:v>Yes</x:v>
      </x:c>
      <x:c r="Q231" s="22" t="str">
        <x:v>Exclude</x:v>
      </x:c>
      <x:c r="R231" s="22" t="str">
        <x:v>Depression brain-network classification, not ophthalmic imaging or concept-XAI.</x:v>
      </x:c>
      <x:c r="S231" s="22" t="str">
        <x:v>Verification documented at process level</x:v>
      </x:c>
      <x:c r="T231" s="22" t="str">
        <x:v>Two additional authors performed random spot checks; individual spot-check assignments are not recorded in this register.</x:v>
      </x:c>
      <x:c r="U231" s="22" t="str">
        <x:v>Exclude</x:v>
      </x:c>
      <x:c r="V231" s="22" t="str">
        <x:v>Primary decision by the corresponding author; two additional authors performed random spot checks as a quality-control step.</x:v>
      </x:c>
      <x:c r="W231" s="22" t="str">
        <x:v>No</x:v>
      </x:c>
      <x:c r="X231" s="22" t="str">
        <x:v>Not applicable</x:v>
      </x:c>
      <x:c r="Y231" s="22" t="str">
        <x:v>Not assessed</x:v>
      </x:c>
      <x:c r="Z231" s="22" t="str">
        <x:v>Not advanced to full-text assessment after the title/abstract decision.</x:v>
      </x:c>
      <x:c r="AA231" s="22" t="str">
        <x:v>Not applicable</x:v>
      </x:c>
      <x:c r="AB231" s="22" t="str">
        <x:v>Record was not advanced to full-text assessment.</x:v>
      </x:c>
      <x:c r="AC231" s="22" t="str">
        <x:v>Not assessed</x:v>
      </x:c>
      <x:c r="AD231" s="22" t="str">
        <x:v>Not applicable — no full-text assessment was required.</x:v>
      </x:c>
      <x:c r="AE231" s="22" t="str">
        <x:v>Not included — title/abstract exclusion</x:v>
      </x:c>
      <x:c r="AF231" s="22" t="str">
        <x:v>Not applicable — not included</x:v>
      </x:c>
      <x:c r="AG231" s="22" t="str">
        <x:v>Evidence: 06e11633-b50c-4cf9-8d22-29769214374e.png; page 9, result 4. Metadata transcribed from captured Google Scholar page; OCR-normalised, verify against publication before citation.</x:v>
      </x:c>
      <x:c r="AH231" s="20" t="str">
        <x:v>No duplicate identified under the documented matching rules.</x:v>
      </x:c>
    </x:row>
    <x:row r="232" ht="42" customHeight="1">
      <x:c r="A232" s="22" t="str">
        <x:v>GS-02-085</x:v>
      </x:c>
      <x:c r="B232" s="22" t="str">
        <x:v>Google Scholar</x:v>
      </x:c>
      <x:c r="C232" s="22" t="str">
        <x:v>GS-02</x:v>
      </x:c>
      <x:c r="D232" s="22" t="str">
        <x:v>Multidistribution Time-Series Prototype Learning for Crop Mapping With Sentinel-1 SAR Imagery</x:v>
      </x:c>
      <x:c r="E232" s="22" t="str">
        <x:v>¥ Guo WZhar.L Jiao WieZhavg</x:v>
      </x:c>
      <x:c r="F232" s="22" t="n">
        <x:v>2025</x:v>
      </x:c>
      <x:c r="G232" s="22" t="str">
        <x:v>anGaoscisnce and 2025 - esexplore ieee org</x:v>
      </x:c>
      <x:c r="H232" s="22" t="str">
        <x:v>Google Scholar result</x:v>
      </x:c>
      <x:c r="I232" s="22" t="str">
        <x:v>NR</x:v>
      </x:c>
      <x:c r="J232" s="22" t="str">
        <x:v>NR</x:v>
      </x:c>
      <x:c r="K232" s="22" t="str">
        <x:v>NR — URL not captured in the available source record</x:v>
      </x:c>
      <x:c r="L232" s="22" t="str">
        <x:v>Not available in the captured evidence; the screening decision used the title and available source metadata.</x:v>
      </x:c>
      <x:c r="M232" s="22" t="str">
        <x:v>No duplicate</x:v>
      </x:c>
      <x:c r="N232" s="22" t="str">
        <x:v>Not applicable — no duplicate group</x:v>
      </x:c>
      <x:c r="O232" s="22" t="str">
        <x:v>Not applicable</x:v>
      </x:c>
      <x:c r="P232" s="22" t="str">
        <x:v>Yes</x:v>
      </x:c>
      <x:c r="Q232" s="22" t="str">
        <x:v>Exclude</x:v>
      </x:c>
      <x:c r="R232" s="22" t="str">
        <x:v>Wrong domain: agricultural crop mapping using SAR imagery.</x:v>
      </x:c>
      <x:c r="S232" s="22" t="str">
        <x:v>Verification documented at process level</x:v>
      </x:c>
      <x:c r="T232" s="22" t="str">
        <x:v>Two additional authors performed random spot checks; individual spot-check assignments are not recorded in this register.</x:v>
      </x:c>
      <x:c r="U232" s="22" t="str">
        <x:v>Exclude</x:v>
      </x:c>
      <x:c r="V232" s="22" t="str">
        <x:v>Primary decision by the corresponding author; two additional authors performed random spot checks as a quality-control step.</x:v>
      </x:c>
      <x:c r="W232" s="22" t="str">
        <x:v>No</x:v>
      </x:c>
      <x:c r="X232" s="22" t="str">
        <x:v>Not applicable</x:v>
      </x:c>
      <x:c r="Y232" s="22" t="str">
        <x:v>Not assessed</x:v>
      </x:c>
      <x:c r="Z232" s="22" t="str">
        <x:v>Not advanced to full-text assessment after the title/abstract decision.</x:v>
      </x:c>
      <x:c r="AA232" s="22" t="str">
        <x:v>Not applicable</x:v>
      </x:c>
      <x:c r="AB232" s="22" t="str">
        <x:v>Record was not advanced to full-text assessment.</x:v>
      </x:c>
      <x:c r="AC232" s="22" t="str">
        <x:v>Not assessed</x:v>
      </x:c>
      <x:c r="AD232" s="22" t="str">
        <x:v>Not applicable — no full-text assessment was required.</x:v>
      </x:c>
      <x:c r="AE232" s="22" t="str">
        <x:v>Not included — title/abstract exclusion</x:v>
      </x:c>
      <x:c r="AF232" s="22" t="str">
        <x:v>Not applicable — not included</x:v>
      </x:c>
      <x:c r="AG232" s="22" t="str">
        <x:v>Evidence: 06e11633-b50c-4cf9-8d22-29769214374e.png; page 9, result 5. Metadata transcribed from captured Google Scholar page; OCR-normalised, verify against publication before citation.</x:v>
      </x:c>
      <x:c r="AH232" s="20" t="str">
        <x:v>No duplicate identified under the documented matching rules.</x:v>
      </x:c>
    </x:row>
    <x:row r="233" ht="42" customHeight="1">
      <x:c r="A233" s="22" t="str">
        <x:v>GS-02-086</x:v>
      </x:c>
      <x:c r="B233" s="22" t="str">
        <x:v>Google Scholar</x:v>
      </x:c>
      <x:c r="C233" s="22" t="str">
        <x:v>GS-02</x:v>
      </x:c>
      <x:c r="D233" s="22" t="str">
        <x:v>(nterpretable deep classification of time series based on class discriminative prototype learning</x:v>
      </x:c>
      <x:c r="E233" s="22" t="str">
        <x:v>Y Wang. J Cai HYang CSh MZnang</x:v>
      </x:c>
      <x:c r="F233" s="22" t="n">
        <x:v>2025</x:v>
      </x:c>
      <x:c r="G233" s="22" t="str">
        <x:v>Intelligent Data =, 2025 ~ journals sagepub com</x:v>
      </x:c>
      <x:c r="H233" s="22" t="str">
        <x:v>Google Scholar result</x:v>
      </x:c>
      <x:c r="I233" s="22" t="str">
        <x:v>NR</x:v>
      </x:c>
      <x:c r="J233" s="22" t="str">
        <x:v>NR</x:v>
      </x:c>
      <x:c r="K233" s="22" t="str">
        <x:v>NR — URL not captured in the available source record</x:v>
      </x:c>
      <x:c r="L233" s="22" t="str">
        <x:v>Not available in the captured evidence; the screening decision used the title and available source metadata.</x:v>
      </x:c>
      <x:c r="M233" s="22" t="str">
        <x:v>No duplicate</x:v>
      </x:c>
      <x:c r="N233" s="22" t="str">
        <x:v>Not applicable — no duplicate group</x:v>
      </x:c>
      <x:c r="O233" s="22" t="str">
        <x:v>Not applicable</x:v>
      </x:c>
      <x:c r="P233" s="22" t="str">
        <x:v>Yes</x:v>
      </x:c>
      <x:c r="Q233" s="22" t="str">
        <x:v>Exclude</x:v>
      </x:c>
      <x:c r="R233" s="22" t="str">
        <x:v>Interpretable prototype method for time series, but wrong data type and no medical evaluation.</x:v>
      </x:c>
      <x:c r="S233" s="22" t="str">
        <x:v>Verification documented at process level</x:v>
      </x:c>
      <x:c r="T233" s="22" t="str">
        <x:v>Two additional authors performed random spot checks; individual spot-check assignments are not recorded in this register.</x:v>
      </x:c>
      <x:c r="U233" s="22" t="str">
        <x:v>Exclude</x:v>
      </x:c>
      <x:c r="V233" s="22" t="str">
        <x:v>Primary decision by the corresponding author; two additional authors performed random spot checks as a quality-control step.</x:v>
      </x:c>
      <x:c r="W233" s="22" t="str">
        <x:v>No</x:v>
      </x:c>
      <x:c r="X233" s="22" t="str">
        <x:v>Not applicable</x:v>
      </x:c>
      <x:c r="Y233" s="22" t="str">
        <x:v>Not assessed</x:v>
      </x:c>
      <x:c r="Z233" s="22" t="str">
        <x:v>Not advanced to full-text assessment after the title/abstract decision.</x:v>
      </x:c>
      <x:c r="AA233" s="22" t="str">
        <x:v>Not applicable</x:v>
      </x:c>
      <x:c r="AB233" s="22" t="str">
        <x:v>Record was not advanced to full-text assessment.</x:v>
      </x:c>
      <x:c r="AC233" s="22" t="str">
        <x:v>Not assessed</x:v>
      </x:c>
      <x:c r="AD233" s="22" t="str">
        <x:v>Not applicable — no full-text assessment was required.</x:v>
      </x:c>
      <x:c r="AE233" s="22" t="str">
        <x:v>Not included — title/abstract exclusion</x:v>
      </x:c>
      <x:c r="AF233" s="22" t="str">
        <x:v>Not applicable — not included</x:v>
      </x:c>
      <x:c r="AG233" s="22" t="str">
        <x:v>Evidence: 06e11633-b50c-4cf9-8d22-29769214374e.png; page 9, result 6. Metadata transcribed from captured Google Scholar page; OCR-normalised, verify against publication before citation.</x:v>
      </x:c>
      <x:c r="AH233" s="20" t="str">
        <x:v>No duplicate identified under the documented matching rules.</x:v>
      </x:c>
    </x:row>
    <x:row r="234" ht="42" customHeight="1">
      <x:c r="A234" s="22" t="str">
        <x:v>GS-02-087</x:v>
      </x:c>
      <x:c r="B234" s="22" t="str">
        <x:v>Google Scholar</x:v>
      </x:c>
      <x:c r="C234" s="22" t="str">
        <x:v>GS-02</x:v>
      </x:c>
      <x:c r="D234" s="22" t="str">
        <x:v>Pathology-aware prototype evolution via llm-driven semantic disambiguation for multicenter diabetic retinopathy diagnosis</x:v>
      </x:c>
      <x:c r="E234" s="22" t="str">
        <x:v>CZhy ¥ wir . Shao JLin ¥'Warg- 2roceadings af tha 33rd ACH | 2025. dl acm arg</x:v>
      </x:c>
      <x:c r="F234" s="22" t="n">
        <x:v>2025</x:v>
      </x:c>
      <x:c r="G234" s="22" t="str">
        <x:v>CZhy ¥ wir . Shao JLin ¥'Warg- 2roceadings af tha 33rd ACH | 2025. dl acm arg</x:v>
      </x:c>
      <x:c r="H234" s="22" t="str">
        <x:v>Google Scholar result</x:v>
      </x:c>
      <x:c r="I234" s="22" t="str">
        <x:v>10.1145/3746027.3754562</x:v>
      </x:c>
      <x:c r="J234" s="22" t="str">
        <x:v>2511.22033</x:v>
      </x:c>
      <x:c r="K234" s="22" t="str">
        <x:v>https://arxiv.org/pdf/2511.22033</x:v>
      </x:c>
      <x:c r="L234" s="22" t="str">
        <x:v>Diabetic retinopathy (DR) grading plays a critical role in early clinical intervention and vision preservation. Recent explorations predominantly focus on visual lesion feature extraction through data processing and domain decoupling strategies. However, they generally overlook domain-invariant pathological patterns and underutilize the rich contextual knowledge of foundation models, relying solely on visual information, which is insufficient for distinguishing subtle pathological variations. Therefore, we propose integrating fine-grained pathological descriptions to complement prototypes with additional context, thereby resolving ambiguities in borderline cases. Specifically, we propose a Hierarchical Anchor Prototype Modulation (HAPM) framework to facilitate DR grading. First, we introduce a variance spectrum-driven anchor prototype library that preserves domain-invariant pathological patterns. We further employ a hierarchical differential prompt gating mechanism, dynamically selecting discriminative semantic prompts from both LVLM and LLM sources to address semantic confusion between adjacent DR grades. Finally, we utilize a two-stage prototype modulation strategy that progressively integrates clinical knowledge into visual prototypes through a Pathological Semantic Injector (PSI) and a Discriminative Prototype Enhancer (DPE). Extensive experiments across eight public datasets demonstrate that our approach achieves pathology-guided prototype evolution while outperforming state-of-the-art methods. The code is available at https://github.com/zhcz328/HAPM.</x:v>
      </x:c>
      <x:c r="M234" s="22" t="str">
        <x:v>No duplicate</x:v>
      </x:c>
      <x:c r="N234" s="22" t="str">
        <x:v>Not applicable — no duplicate group</x:v>
      </x:c>
      <x:c r="O234" s="22" t="str">
        <x:v>Not applicable</x:v>
      </x:c>
      <x:c r="P234" s="22" t="str">
        <x:v>Yes</x:v>
      </x:c>
      <x:c r="Q234" s="22" t="str">
        <x:v>Include</x:v>
      </x:c>
      <x:c r="R234" s="22" t="str">
        <x:v>Direct retinal study integrating pathological semantics and clinical knowledge with visual prototypes.</x:v>
      </x:c>
      <x:c r="S234" s="22" t="str">
        <x:v>Verification documented at process level</x:v>
      </x:c>
      <x:c r="T234" s="22" t="str">
        <x:v>Two additional authors performed random spot checks; individual spot-check assignments are not recorded in this register.</x:v>
      </x:c>
      <x:c r="U234" s="22" t="str">
        <x:v>Include</x:v>
      </x:c>
      <x:c r="V234" s="22" t="str">
        <x:v>Primary decision by the corresponding author; two additional authors performed random spot checks as a quality-control step.</x:v>
      </x:c>
      <x:c r="W234" s="22" t="str">
        <x:v>Yes</x:v>
      </x:c>
      <x:c r="X234" s="22" t="str">
        <x:v>Yes</x:v>
      </x:c>
      <x:c r="Y234" s="22" t="str">
        <x:v>Include</x:v>
      </x:c>
      <x:c r="Z234" s="22" t="str">
        <x:v>The corresponding author assessed the complete report and judged it eligible for inclusion in the review.</x:v>
      </x:c>
      <x:c r="AA234" s="22" t="str">
        <x:v>Verification documented at process level</x:v>
      </x:c>
      <x:c r="AB234" s="22" t="str">
        <x:v>Two additional authors performed random spot checks; individual spot-check assignments are not recorded in this register.</x:v>
      </x:c>
      <x:c r="AC234" s="22" t="str">
        <x:v>Include</x:v>
      </x:c>
      <x:c r="AD234" s="22" t="str">
        <x:v>Primary decision by the corresponding author; two additional authors performed random spot checks as a quality-control step.</x:v>
      </x:c>
      <x:c r="AE234" s="22" t="str">
        <x:v>Include</x:v>
      </x:c>
      <x:c r="AF234" s="22" t="str">
        <x:v>Direct retinal/ophthalmic evidence</x:v>
      </x:c>
      <x:c r="AG234" s="22" t="str">
        <x:v>Evidence: 06e11633-b50c-4cf9-8d22-29769214374e.png; page 9, result 7. Metadata transcribed from captured Google Scholar page; OCR-normalised, verify against publication before citation.</x:v>
      </x:c>
      <x:c r="AH234" s="20" t="str">
        <x:v>No duplicate identified under the documented matching rules.</x:v>
      </x:c>
    </x:row>
    <x:row r="235" ht="42" customHeight="1">
      <x:c r="A235" s="22" t="str">
        <x:v>GS-02-088</x:v>
      </x:c>
      <x:c r="B235" s="22" t="str">
        <x:v>Google Scholar</x:v>
      </x:c>
      <x:c r="C235" s="22" t="str">
        <x:v>GS-02</x:v>
      </x:c>
      <x:c r="D235" s="22" t="str">
        <x:v>Oisentangled Fine-Grained Prototype Learning for Incomplete Image- Tabular Classification</x:v>
      </x:c>
      <x:c r="E235" s="22" t="str">
        <x:v>F Zhou. J Xie ZGso O Yu F'Warg ¥ Fan JL; + ark prepnnt arXiv == 2026</x:v>
      </x:c>
      <x:c r="F235" s="22" t="n">
        <x:v>2026</x:v>
      </x:c>
      <x:c r="G235" s="22" t="str">
        <x:v>arxiv org</x:v>
      </x:c>
      <x:c r="H235" s="22" t="str">
        <x:v>Google Scholar result</x:v>
      </x:c>
      <x:c r="I235" s="22" t="str">
        <x:v>NR</x:v>
      </x:c>
      <x:c r="J235" s="22" t="str">
        <x:v>NR</x:v>
      </x:c>
      <x:c r="K235" s="22" t="str">
        <x:v>NR — URL not captured in the available source record</x:v>
      </x:c>
      <x:c r="L235" s="22" t="str">
        <x:v>Not available in the captured evidence; the screening decision used the title and available source metadata.</x:v>
      </x:c>
      <x:c r="M235" s="22" t="str">
        <x:v>No duplicate</x:v>
      </x:c>
      <x:c r="N235" s="22" t="str">
        <x:v>Not applicable — no duplicate group</x:v>
      </x:c>
      <x:c r="O235" s="22" t="str">
        <x:v>Not applicable</x:v>
      </x:c>
      <x:c r="P235" s="22" t="str">
        <x:v>Yes</x:v>
      </x:c>
      <x:c r="Q235" s="22" t="str">
        <x:v>Exclude</x:v>
      </x:c>
      <x:c r="R235" s="22" t="str">
        <x:v>Multimodal prototype alignment without an explanation objective or ophthalmic evaluation.</x:v>
      </x:c>
      <x:c r="S235" s="22" t="str">
        <x:v>Verification documented at process level</x:v>
      </x:c>
      <x:c r="T235" s="22" t="str">
        <x:v>Two additional authors performed random spot checks; individual spot-check assignments are not recorded in this register.</x:v>
      </x:c>
      <x:c r="U235" s="22" t="str">
        <x:v>Exclude</x:v>
      </x:c>
      <x:c r="V235" s="22" t="str">
        <x:v>Primary decision by the corresponding author; two additional authors performed random spot checks as a quality-control step.</x:v>
      </x:c>
      <x:c r="W235" s="22" t="str">
        <x:v>No</x:v>
      </x:c>
      <x:c r="X235" s="22" t="str">
        <x:v>Not applicable</x:v>
      </x:c>
      <x:c r="Y235" s="22" t="str">
        <x:v>Not assessed</x:v>
      </x:c>
      <x:c r="Z235" s="22" t="str">
        <x:v>Not advanced to full-text assessment after the title/abstract decision.</x:v>
      </x:c>
      <x:c r="AA235" s="22" t="str">
        <x:v>Not applicable</x:v>
      </x:c>
      <x:c r="AB235" s="22" t="str">
        <x:v>Record was not advanced to full-text assessment.</x:v>
      </x:c>
      <x:c r="AC235" s="22" t="str">
        <x:v>Not assessed</x:v>
      </x:c>
      <x:c r="AD235" s="22" t="str">
        <x:v>Not applicable — no full-text assessment was required.</x:v>
      </x:c>
      <x:c r="AE235" s="22" t="str">
        <x:v>Not included — title/abstract exclusion</x:v>
      </x:c>
      <x:c r="AF235" s="22" t="str">
        <x:v>Not applicable — not included</x:v>
      </x:c>
      <x:c r="AG235" s="22" t="str">
        <x:v>Evidence: 06e11633-b50c-4cf9-8d22-29769214374e.png; page 9, result 8. Metadata transcribed from captured Google Scholar page; OCR-normalised, verify against publication before citation.</x:v>
      </x:c>
      <x:c r="AH235" s="20" t="str">
        <x:v>No duplicate identified under the documented matching rules.</x:v>
      </x:c>
    </x:row>
    <x:row r="236" ht="42" customHeight="1">
      <x:c r="A236" s="22" t="str">
        <x:v>GS-02-089</x:v>
      </x:c>
      <x:c r="B236" s="22" t="str">
        <x:v>Google Scholar</x:v>
      </x:c>
      <x:c r="C236" s="22" t="str">
        <x:v>GS-02</x:v>
      </x:c>
      <x:c r="D236" s="22" t="str">
        <x:v>Spectral-spatial prototype learning-based nearest neighbor classifier for hyperspectral images</x:v>
      </x:c>
      <x:c r="E236" s="22" t="str">
        <x:v>DLi.¥ Shen F Kong Jkw.</x:v>
      </x:c>
      <x:c r="F236" s="22" t="n">
        <x:v>2023</x:v>
      </x:c>
      <x:c r="G236" s="22" t="str">
        <x:v>IEEE “ransaclions on 2023 - iegexplare ieee org</x:v>
      </x:c>
      <x:c r="H236" s="22" t="str">
        <x:v>Google Scholar result</x:v>
      </x:c>
      <x:c r="I236" s="22" t="str">
        <x:v>NR</x:v>
      </x:c>
      <x:c r="J236" s="22" t="str">
        <x:v>NR</x:v>
      </x:c>
      <x:c r="K236" s="22" t="str">
        <x:v>NR — URL not captured in the available source record</x:v>
      </x:c>
      <x:c r="L236" s="22" t="str">
        <x:v>Not available in the captured evidence; the screening decision used the title and available source metadata.</x:v>
      </x:c>
      <x:c r="M236" s="22" t="str">
        <x:v>No duplicate</x:v>
      </x:c>
      <x:c r="N236" s="22" t="str">
        <x:v>Not applicable — no duplicate group</x:v>
      </x:c>
      <x:c r="O236" s="22" t="str">
        <x:v>Not applicable</x:v>
      </x:c>
      <x:c r="P236" s="22" t="str">
        <x:v>Yes</x:v>
      </x:c>
      <x:c r="Q236" s="22" t="str">
        <x:v>Exclude</x:v>
      </x:c>
      <x:c r="R236" s="22" t="str">
        <x:v>Wrong domain: hyperspectral remote-sensing classification.</x:v>
      </x:c>
      <x:c r="S236" s="22" t="str">
        <x:v>Verification documented at process level</x:v>
      </x:c>
      <x:c r="T236" s="22" t="str">
        <x:v>Two additional authors performed random spot checks; individual spot-check assignments are not recorded in this register.</x:v>
      </x:c>
      <x:c r="U236" s="22" t="str">
        <x:v>Exclude</x:v>
      </x:c>
      <x:c r="V236" s="22" t="str">
        <x:v>Primary decision by the corresponding author; two additional authors performed random spot checks as a quality-control step.</x:v>
      </x:c>
      <x:c r="W236" s="22" t="str">
        <x:v>No</x:v>
      </x:c>
      <x:c r="X236" s="22" t="str">
        <x:v>Not applicable</x:v>
      </x:c>
      <x:c r="Y236" s="22" t="str">
        <x:v>Not assessed</x:v>
      </x:c>
      <x:c r="Z236" s="22" t="str">
        <x:v>Not advanced to full-text assessment after the title/abstract decision.</x:v>
      </x:c>
      <x:c r="AA236" s="22" t="str">
        <x:v>Not applicable</x:v>
      </x:c>
      <x:c r="AB236" s="22" t="str">
        <x:v>Record was not advanced to full-text assessment.</x:v>
      </x:c>
      <x:c r="AC236" s="22" t="str">
        <x:v>Not assessed</x:v>
      </x:c>
      <x:c r="AD236" s="22" t="str">
        <x:v>Not applicable — no full-text assessment was required.</x:v>
      </x:c>
      <x:c r="AE236" s="22" t="str">
        <x:v>Not included — title/abstract exclusion</x:v>
      </x:c>
      <x:c r="AF236" s="22" t="str">
        <x:v>Not applicable — not included</x:v>
      </x:c>
      <x:c r="AG236" s="22" t="str">
        <x:v>Evidence: 06e11633-b50c-4cf9-8d22-29769214374e.png; page 9, result 9. Metadata transcribed from captured Google Scholar page; OCR-normalised, verify against publication before citation.</x:v>
      </x:c>
      <x:c r="AH236" s="20" t="str">
        <x:v>No duplicate identified under the documented matching rules.</x:v>
      </x:c>
    </x:row>
    <x:row r="237" ht="42" customHeight="1">
      <x:c r="A237" s="22" t="str">
        <x:v>GS-02-090</x:v>
      </x:c>
      <x:c r="B237" s="22" t="str">
        <x:v>Google Scholar</x:v>
      </x:c>
      <x:c r="C237" s="22" t="str">
        <x:v>GS-02</x:v>
      </x:c>
      <x:c r="D237" s="22" t="str">
        <x:v>Rehability-Driven Prototype Learning for Cross-Domain Few-Shot Agricultural Hyperspectral Image Classification</x:v>
      </x:c>
      <x:c r="E237" s="22" t="str">
        <x:v>RwWang HLiY He NChearg.ZZhovg -IEES Journa of =. 2026</x:v>
      </x:c>
      <x:c r="F237" s="22" t="n">
        <x:v>2026</x:v>
      </x:c>
      <x:c r="G237" s="22" t="str">
        <x:v>eeexploe izes arg</x:v>
      </x:c>
      <x:c r="H237" s="22" t="str">
        <x:v>Google Scholar result</x:v>
      </x:c>
      <x:c r="I237" s="22" t="str">
        <x:v>NR</x:v>
      </x:c>
      <x:c r="J237" s="22" t="str">
        <x:v>NR</x:v>
      </x:c>
      <x:c r="K237" s="22" t="str">
        <x:v>NR — URL not captured in the available source record</x:v>
      </x:c>
      <x:c r="L237" s="22" t="str">
        <x:v>Not available in the captured evidence; the screening decision used the title and available source metadata.</x:v>
      </x:c>
      <x:c r="M237" s="22" t="str">
        <x:v>No duplicate</x:v>
      </x:c>
      <x:c r="N237" s="22" t="str">
        <x:v>Not applicable — no duplicate group</x:v>
      </x:c>
      <x:c r="O237" s="22" t="str">
        <x:v>Not applicable</x:v>
      </x:c>
      <x:c r="P237" s="22" t="str">
        <x:v>Yes</x:v>
      </x:c>
      <x:c r="Q237" s="22" t="str">
        <x:v>Exclude</x:v>
      </x:c>
      <x:c r="R237" s="22" t="str">
        <x:v>Wrong domain: agricultural hyperspectral classification.</x:v>
      </x:c>
      <x:c r="S237" s="22" t="str">
        <x:v>Verification documented at process level</x:v>
      </x:c>
      <x:c r="T237" s="22" t="str">
        <x:v>Two additional authors performed random spot checks; individual spot-check assignments are not recorded in this register.</x:v>
      </x:c>
      <x:c r="U237" s="22" t="str">
        <x:v>Exclude</x:v>
      </x:c>
      <x:c r="V237" s="22" t="str">
        <x:v>Primary decision by the corresponding author; two additional authors performed random spot checks as a quality-control step.</x:v>
      </x:c>
      <x:c r="W237" s="22" t="str">
        <x:v>No</x:v>
      </x:c>
      <x:c r="X237" s="22" t="str">
        <x:v>Not applicable</x:v>
      </x:c>
      <x:c r="Y237" s="22" t="str">
        <x:v>Not assessed</x:v>
      </x:c>
      <x:c r="Z237" s="22" t="str">
        <x:v>Not advanced to full-text assessment after the title/abstract decision.</x:v>
      </x:c>
      <x:c r="AA237" s="22" t="str">
        <x:v>Not applicable</x:v>
      </x:c>
      <x:c r="AB237" s="22" t="str">
        <x:v>Record was not advanced to full-text assessment.</x:v>
      </x:c>
      <x:c r="AC237" s="22" t="str">
        <x:v>Not assessed</x:v>
      </x:c>
      <x:c r="AD237" s="22" t="str">
        <x:v>Not applicable — no full-text assessment was required.</x:v>
      </x:c>
      <x:c r="AE237" s="22" t="str">
        <x:v>Not included — title/abstract exclusion</x:v>
      </x:c>
      <x:c r="AF237" s="22" t="str">
        <x:v>Not applicable — not included</x:v>
      </x:c>
      <x:c r="AG237" s="22" t="str">
        <x:v>Evidence: 06e11633-b50c-4cf9-8d22-29769214374e.png; page 9, result 10. Metadata transcribed from captured Google Scholar page; OCR-normalised, verify against publication before citation.</x:v>
      </x:c>
      <x:c r="AH237" s="20" t="str">
        <x:v>No duplicate identified under the documented matching rules.</x:v>
      </x:c>
    </x:row>
    <x:row r="238" ht="42" customHeight="1">
      <x:c r="A238" s="22" t="str">
        <x:v>GS-02-091</x:v>
      </x:c>
      <x:c r="B238" s="22" t="str">
        <x:v>Google Scholar</x:v>
      </x:c>
      <x:c r="C238" s="22" t="str">
        <x:v>GS-02</x:v>
      </x:c>
      <x:c r="D238" s="22" t="str">
        <x:v>Spatiotemporal graph prototype learning with adversarial training for UWB open-set gesture recognitian</x:v>
      </x:c>
      <x:c r="E238" s="22" t="str">
        <x:v>FYarg ¥Yin SSun YWarg.</x:v>
      </x:c>
      <x:c r="F238" s="22" t="n">
        <x:v>2025</x:v>
      </x:c>
      <x:c r="G238" s="22" t="str">
        <x:v>Science and Technology 2025 - iopscience io org</x:v>
      </x:c>
      <x:c r="H238" s="22" t="str">
        <x:v>Google Scholar result</x:v>
      </x:c>
      <x:c r="I238" s="22" t="str">
        <x:v>NR</x:v>
      </x:c>
      <x:c r="J238" s="22" t="str">
        <x:v>NR</x:v>
      </x:c>
      <x:c r="K238" s="22" t="str">
        <x:v>NR — URL not captured in the available source record</x:v>
      </x:c>
      <x:c r="L238" s="22" t="str">
        <x:v>Not available in the captured evidence; the screening decision used the title and available source metadata.</x:v>
      </x:c>
      <x:c r="M238" s="22" t="str">
        <x:v>No duplicate</x:v>
      </x:c>
      <x:c r="N238" s="22" t="str">
        <x:v>Not applicable — no duplicate group</x:v>
      </x:c>
      <x:c r="O238" s="22" t="str">
        <x:v>Not applicable</x:v>
      </x:c>
      <x:c r="P238" s="22" t="str">
        <x:v>Yes</x:v>
      </x:c>
      <x:c r="Q238" s="22" t="str">
        <x:v>Exclude</x:v>
      </x:c>
      <x:c r="R238" s="22" t="str">
        <x:v>Wrong domain: open-set gesture recognition.</x:v>
      </x:c>
      <x:c r="S238" s="22" t="str">
        <x:v>Verification documented at process level</x:v>
      </x:c>
      <x:c r="T238" s="22" t="str">
        <x:v>Two additional authors performed random spot checks; individual spot-check assignments are not recorded in this register.</x:v>
      </x:c>
      <x:c r="U238" s="22" t="str">
        <x:v>Exclude</x:v>
      </x:c>
      <x:c r="V238" s="22" t="str">
        <x:v>Primary decision by the corresponding author; two additional authors performed random spot checks as a quality-control step.</x:v>
      </x:c>
      <x:c r="W238" s="22" t="str">
        <x:v>No</x:v>
      </x:c>
      <x:c r="X238" s="22" t="str">
        <x:v>Not applicable</x:v>
      </x:c>
      <x:c r="Y238" s="22" t="str">
        <x:v>Not assessed</x:v>
      </x:c>
      <x:c r="Z238" s="22" t="str">
        <x:v>Not advanced to full-text assessment after the title/abstract decision.</x:v>
      </x:c>
      <x:c r="AA238" s="22" t="str">
        <x:v>Not applicable</x:v>
      </x:c>
      <x:c r="AB238" s="22" t="str">
        <x:v>Record was not advanced to full-text assessment.</x:v>
      </x:c>
      <x:c r="AC238" s="22" t="str">
        <x:v>Not assessed</x:v>
      </x:c>
      <x:c r="AD238" s="22" t="str">
        <x:v>Not applicable — no full-text assessment was required.</x:v>
      </x:c>
      <x:c r="AE238" s="22" t="str">
        <x:v>Not included — title/abstract exclusion</x:v>
      </x:c>
      <x:c r="AF238" s="22" t="str">
        <x:v>Not applicable — not included</x:v>
      </x:c>
      <x:c r="AG238" s="22" t="str">
        <x:v>Evidence: 1d08baca-3b06-4ac9-9dfb-4cdb3a887a93.png; page 10, result 1. Metadata transcribed from captured Google Scholar page; OCR-normalised, verify against publication before citation.</x:v>
      </x:c>
      <x:c r="AH238" s="20" t="str">
        <x:v>No duplicate identified under the documented matching rules.</x:v>
      </x:c>
    </x:row>
    <x:row r="239" ht="42" customHeight="1">
      <x:c r="A239" s="22" t="str">
        <x:v>GS-02-092</x:v>
      </x:c>
      <x:c r="B239" s="22" t="str">
        <x:v>Google Scholar</x:v>
      </x:c>
      <x:c r="C239" s="22" t="str">
        <x:v>GS-02</x:v>
      </x:c>
      <x:c r="D239" s="22" t="str">
        <x:v>A theory of hyperbolic prototype learning</x:v>
      </x:c>
      <x:c r="E239" s="22" t="str">
        <x:v>M Xeller-Ressei</x:v>
      </x:c>
      <x:c r="F239" s="22" t="n">
        <x:v>2010</x:v>
      </x:c>
      <x:c r="G239" s="22" t="str">
        <x:v>arXiv preprint arXiv 2010 07744 2C20 - aratv arg</x:v>
      </x:c>
      <x:c r="H239" s="22" t="str">
        <x:v>Google Scholar result</x:v>
      </x:c>
      <x:c r="I239" s="22" t="str">
        <x:v>NR</x:v>
      </x:c>
      <x:c r="J239" s="22" t="str">
        <x:v>NR</x:v>
      </x:c>
      <x:c r="K239" s="22" t="str">
        <x:v>NR — URL not captured in the available source record</x:v>
      </x:c>
      <x:c r="L239" s="22" t="str">
        <x:v>Not available in the captured evidence; the screening decision used the title and available source metadata.</x:v>
      </x:c>
      <x:c r="M239" s="22" t="str">
        <x:v>No duplicate</x:v>
      </x:c>
      <x:c r="N239" s="22" t="str">
        <x:v>Not applicable — no duplicate group</x:v>
      </x:c>
      <x:c r="O239" s="22" t="str">
        <x:v>Not applicable</x:v>
      </x:c>
      <x:c r="P239" s="22" t="str">
        <x:v>Yes</x:v>
      </x:c>
      <x:c r="Q239" s="22" t="str">
        <x:v>Exclude</x:v>
      </x:c>
      <x:c r="R239" s="22" t="str">
        <x:v>Generic theoretical prototype work without medical evaluation.</x:v>
      </x:c>
      <x:c r="S239" s="22" t="str">
        <x:v>Verification documented at process level</x:v>
      </x:c>
      <x:c r="T239" s="22" t="str">
        <x:v>Two additional authors performed random spot checks; individual spot-check assignments are not recorded in this register.</x:v>
      </x:c>
      <x:c r="U239" s="22" t="str">
        <x:v>Exclude</x:v>
      </x:c>
      <x:c r="V239" s="22" t="str">
        <x:v>Primary decision by the corresponding author; two additional authors performed random spot checks as a quality-control step.</x:v>
      </x:c>
      <x:c r="W239" s="22" t="str">
        <x:v>No</x:v>
      </x:c>
      <x:c r="X239" s="22" t="str">
        <x:v>Not applicable</x:v>
      </x:c>
      <x:c r="Y239" s="22" t="str">
        <x:v>Not assessed</x:v>
      </x:c>
      <x:c r="Z239" s="22" t="str">
        <x:v>Not advanced to full-text assessment after the title/abstract decision.</x:v>
      </x:c>
      <x:c r="AA239" s="22" t="str">
        <x:v>Not applicable</x:v>
      </x:c>
      <x:c r="AB239" s="22" t="str">
        <x:v>Record was not advanced to full-text assessment.</x:v>
      </x:c>
      <x:c r="AC239" s="22" t="str">
        <x:v>Not assessed</x:v>
      </x:c>
      <x:c r="AD239" s="22" t="str">
        <x:v>Not applicable — no full-text assessment was required.</x:v>
      </x:c>
      <x:c r="AE239" s="22" t="str">
        <x:v>Not included — title/abstract exclusion</x:v>
      </x:c>
      <x:c r="AF239" s="22" t="str">
        <x:v>Not applicable — not included</x:v>
      </x:c>
      <x:c r="AG239" s="22" t="str">
        <x:v>Evidence: 1d08baca-3b06-4ac9-9dfb-4cdb3a887a93.png; page 10, result 2. Metadata transcribed from captured Google Scholar page; OCR-normalised, verify against publication before citation.</x:v>
      </x:c>
      <x:c r="AH239" s="20" t="str">
        <x:v>No duplicate identified under the documented matching rules.</x:v>
      </x:c>
    </x:row>
    <x:row r="240" ht="42" customHeight="1">
      <x:c r="A240" s="22" t="str">
        <x:v>GS-02-093</x:v>
      </x:c>
      <x:c r="B240" s="22" t="str">
        <x:v>Google Scholar</x:v>
      </x:c>
      <x:c r="C240" s="22" t="str">
        <x:v>GS-02</x:v>
      </x:c>
      <x:c r="D240" s="22" t="str">
        <x:v>Hierarchical category-enhanced prototype learning for imbalanced temporal recommendation</x:v>
      </x:c>
      <x:c r="E240" s="22" t="str">
        <x:v>X Gao Z Ma . Cii X Xia C Xu Proceedings afIne V1s1ACM =. 2025-d acmorg</x:v>
      </x:c>
      <x:c r="F240" s="22" t="n">
        <x:v>2025</x:v>
      </x:c>
      <x:c r="G240" s="22" t="str">
        <x:v>X Gao Z Ma . Cii X Xia C Xu Proceedings afIne V1s1ACM =. 2025-d acmorg</x:v>
      </x:c>
      <x:c r="H240" s="22" t="str">
        <x:v>Google Scholar result</x:v>
      </x:c>
      <x:c r="I240" s="22" t="str">
        <x:v>NR</x:v>
      </x:c>
      <x:c r="J240" s="22" t="str">
        <x:v>NR</x:v>
      </x:c>
      <x:c r="K240" s="22" t="str">
        <x:v>NR — URL not captured in the available source record</x:v>
      </x:c>
      <x:c r="L240" s="22" t="str">
        <x:v>Not available in the captured evidence; the screening decision used the title and available source metadata.</x:v>
      </x:c>
      <x:c r="M240" s="22" t="str">
        <x:v>No duplicate</x:v>
      </x:c>
      <x:c r="N240" s="22" t="str">
        <x:v>Not applicable — no duplicate group</x:v>
      </x:c>
      <x:c r="O240" s="22" t="str">
        <x:v>Not applicable</x:v>
      </x:c>
      <x:c r="P240" s="22" t="str">
        <x:v>Yes</x:v>
      </x:c>
      <x:c r="Q240" s="22" t="str">
        <x:v>Exclude</x:v>
      </x:c>
      <x:c r="R240" s="22" t="str">
        <x:v>Wrong domain: temporal recommendation systems.</x:v>
      </x:c>
      <x:c r="S240" s="22" t="str">
        <x:v>Verification documented at process level</x:v>
      </x:c>
      <x:c r="T240" s="22" t="str">
        <x:v>Two additional authors performed random spot checks; individual spot-check assignments are not recorded in this register.</x:v>
      </x:c>
      <x:c r="U240" s="22" t="str">
        <x:v>Exclude</x:v>
      </x:c>
      <x:c r="V240" s="22" t="str">
        <x:v>Primary decision by the corresponding author; two additional authors performed random spot checks as a quality-control step.</x:v>
      </x:c>
      <x:c r="W240" s="22" t="str">
        <x:v>No</x:v>
      </x:c>
      <x:c r="X240" s="22" t="str">
        <x:v>Not applicable</x:v>
      </x:c>
      <x:c r="Y240" s="22" t="str">
        <x:v>Not assessed</x:v>
      </x:c>
      <x:c r="Z240" s="22" t="str">
        <x:v>Not advanced to full-text assessment after the title/abstract decision.</x:v>
      </x:c>
      <x:c r="AA240" s="22" t="str">
        <x:v>Not applicable</x:v>
      </x:c>
      <x:c r="AB240" s="22" t="str">
        <x:v>Record was not advanced to full-text assessment.</x:v>
      </x:c>
      <x:c r="AC240" s="22" t="str">
        <x:v>Not assessed</x:v>
      </x:c>
      <x:c r="AD240" s="22" t="str">
        <x:v>Not applicable — no full-text assessment was required.</x:v>
      </x:c>
      <x:c r="AE240" s="22" t="str">
        <x:v>Not included — title/abstract exclusion</x:v>
      </x:c>
      <x:c r="AF240" s="22" t="str">
        <x:v>Not applicable — not included</x:v>
      </x:c>
      <x:c r="AG240" s="22" t="str">
        <x:v>Evidence: 1d08baca-3b06-4ac9-9dfb-4cdb3a887a93.png; page 10, result 3. Metadata transcribed from captured Google Scholar page; OCR-normalised, verify against publication before citation.</x:v>
      </x:c>
      <x:c r="AH240" s="20" t="str">
        <x:v>No duplicate identified under the documented matching rules.</x:v>
      </x:c>
    </x:row>
    <x:row r="241" ht="42" customHeight="1">
      <x:c r="A241" s="22" t="str">
        <x:v>GS-02-094</x:v>
      </x:c>
      <x:c r="B241" s="22" t="str">
        <x:v>Google Scholar</x:v>
      </x:c>
      <x:c r="C241" s="22" t="str">
        <x:v>GS-02</x:v>
      </x:c>
      <x:c r="D241" s="22" t="str">
        <x:v>Open-set fault diagnosis based on prototype leaming with dual calegory- classifier</x:v>
      </x:c>
      <x:c r="E241" s="22" t="str">
        <x:v>Ske LGag XLi ¥Gac- 202d IEEE 2Cth Intemational == 202d</x:v>
      </x:c>
      <x:c r="F241" s="22" t="str">
        <x:v>NR</x:v>
      </x:c>
      <x:c r="G241" s="22" t="str">
        <x:v>iaeexplo-2 icee org</x:v>
      </x:c>
      <x:c r="H241" s="22" t="str">
        <x:v>Google Scholar result</x:v>
      </x:c>
      <x:c r="I241" s="22" t="str">
        <x:v>NR</x:v>
      </x:c>
      <x:c r="J241" s="22" t="str">
        <x:v>NR</x:v>
      </x:c>
      <x:c r="K241" s="22" t="str">
        <x:v>NR — URL not captured in the available source record</x:v>
      </x:c>
      <x:c r="L241" s="22" t="str">
        <x:v>Not available in the captured evidence; the screening decision used the title and available source metadata.</x:v>
      </x:c>
      <x:c r="M241" s="22" t="str">
        <x:v>No duplicate</x:v>
      </x:c>
      <x:c r="N241" s="22" t="str">
        <x:v>Not applicable — no duplicate group</x:v>
      </x:c>
      <x:c r="O241" s="22" t="str">
        <x:v>Not applicable</x:v>
      </x:c>
      <x:c r="P241" s="22" t="str">
        <x:v>Yes</x:v>
      </x:c>
      <x:c r="Q241" s="22" t="str">
        <x:v>Exclude</x:v>
      </x:c>
      <x:c r="R241" s="22" t="str">
        <x:v>Wrong domain: industrial fault diagnosis.</x:v>
      </x:c>
      <x:c r="S241" s="22" t="str">
        <x:v>Verification documented at process level</x:v>
      </x:c>
      <x:c r="T241" s="22" t="str">
        <x:v>Two additional authors performed random spot checks; individual spot-check assignments are not recorded in this register.</x:v>
      </x:c>
      <x:c r="U241" s="22" t="str">
        <x:v>Exclude</x:v>
      </x:c>
      <x:c r="V241" s="22" t="str">
        <x:v>Primary decision by the corresponding author; two additional authors performed random spot checks as a quality-control step.</x:v>
      </x:c>
      <x:c r="W241" s="22" t="str">
        <x:v>No</x:v>
      </x:c>
      <x:c r="X241" s="22" t="str">
        <x:v>Not applicable</x:v>
      </x:c>
      <x:c r="Y241" s="22" t="str">
        <x:v>Not assessed</x:v>
      </x:c>
      <x:c r="Z241" s="22" t="str">
        <x:v>Not advanced to full-text assessment after the title/abstract decision.</x:v>
      </x:c>
      <x:c r="AA241" s="22" t="str">
        <x:v>Not applicable</x:v>
      </x:c>
      <x:c r="AB241" s="22" t="str">
        <x:v>Record was not advanced to full-text assessment.</x:v>
      </x:c>
      <x:c r="AC241" s="22" t="str">
        <x:v>Not assessed</x:v>
      </x:c>
      <x:c r="AD241" s="22" t="str">
        <x:v>Not applicable — no full-text assessment was required.</x:v>
      </x:c>
      <x:c r="AE241" s="22" t="str">
        <x:v>Not included — title/abstract exclusion</x:v>
      </x:c>
      <x:c r="AF241" s="22" t="str">
        <x:v>Not applicable — not included</x:v>
      </x:c>
      <x:c r="AG241" s="22" t="str">
        <x:v>Evidence: 1d08baca-3b06-4ac9-9dfb-4cdb3a887a93.png; page 10, result 4. Metadata transcribed from captured Google Scholar page; OCR-normalised, verify against publication before citation.</x:v>
      </x:c>
      <x:c r="AH241" s="20" t="str">
        <x:v>No duplicate identified under the documented matching rules.</x:v>
      </x:c>
    </x:row>
    <x:row r="242" ht="42" customHeight="1">
      <x:c r="A242" s="22" t="str">
        <x:v>GS-02-095</x:v>
      </x:c>
      <x:c r="B242" s="22" t="str">
        <x:v>Google Scholar</x:v>
      </x:c>
      <x:c r="C242" s="22" t="str">
        <x:v>GS-02</x:v>
      </x:c>
      <x:c r="D242" s="22" t="str">
        <x:v>Rehable sensing data fusion through robust multwiew prototype learning</x:v>
      </x:c>
      <x:c r="E242" s="22" t="str">
        <x:v>QTian $Xa MCao K Cheng- IEEE transactionson 2021- iaesxplcra eee org</x:v>
      </x:c>
      <x:c r="F242" s="22" t="n">
        <x:v>2021</x:v>
      </x:c>
      <x:c r="G242" s="22" t="str">
        <x:v>QTian $Xa MCao K Cheng- IEEE transactionson 2021- iaesxplcra eee org</x:v>
      </x:c>
      <x:c r="H242" s="22" t="str">
        <x:v>Google Scholar result</x:v>
      </x:c>
      <x:c r="I242" s="22" t="str">
        <x:v>NR</x:v>
      </x:c>
      <x:c r="J242" s="22" t="str">
        <x:v>NR</x:v>
      </x:c>
      <x:c r="K242" s="22" t="str">
        <x:v>NR — URL not captured in the available source record</x:v>
      </x:c>
      <x:c r="L242" s="22" t="str">
        <x:v>Not available in the captured evidence; the screening decision used the title and available source metadata.</x:v>
      </x:c>
      <x:c r="M242" s="22" t="str">
        <x:v>No duplicate</x:v>
      </x:c>
      <x:c r="N242" s="22" t="str">
        <x:v>Not applicable — no duplicate group</x:v>
      </x:c>
      <x:c r="O242" s="22" t="str">
        <x:v>Not applicable</x:v>
      </x:c>
      <x:c r="P242" s="22" t="str">
        <x:v>Yes</x:v>
      </x:c>
      <x:c r="Q242" s="22" t="str">
        <x:v>Exclude</x:v>
      </x:c>
      <x:c r="R242" s="22" t="str">
        <x:v>Generic sensing-data fusion without medical evaluation.</x:v>
      </x:c>
      <x:c r="S242" s="22" t="str">
        <x:v>Verification documented at process level</x:v>
      </x:c>
      <x:c r="T242" s="22" t="str">
        <x:v>Two additional authors performed random spot checks; individual spot-check assignments are not recorded in this register.</x:v>
      </x:c>
      <x:c r="U242" s="22" t="str">
        <x:v>Exclude</x:v>
      </x:c>
      <x:c r="V242" s="22" t="str">
        <x:v>Primary decision by the corresponding author; two additional authors performed random spot checks as a quality-control step.</x:v>
      </x:c>
      <x:c r="W242" s="22" t="str">
        <x:v>No</x:v>
      </x:c>
      <x:c r="X242" s="22" t="str">
        <x:v>Not applicable</x:v>
      </x:c>
      <x:c r="Y242" s="22" t="str">
        <x:v>Not assessed</x:v>
      </x:c>
      <x:c r="Z242" s="22" t="str">
        <x:v>Not advanced to full-text assessment after the title/abstract decision.</x:v>
      </x:c>
      <x:c r="AA242" s="22" t="str">
        <x:v>Not applicable</x:v>
      </x:c>
      <x:c r="AB242" s="22" t="str">
        <x:v>Record was not advanced to full-text assessment.</x:v>
      </x:c>
      <x:c r="AC242" s="22" t="str">
        <x:v>Not assessed</x:v>
      </x:c>
      <x:c r="AD242" s="22" t="str">
        <x:v>Not applicable — no full-text assessment was required.</x:v>
      </x:c>
      <x:c r="AE242" s="22" t="str">
        <x:v>Not included — title/abstract exclusion</x:v>
      </x:c>
      <x:c r="AF242" s="22" t="str">
        <x:v>Not applicable — not included</x:v>
      </x:c>
      <x:c r="AG242" s="22" t="str">
        <x:v>Evidence: 1d08baca-3b06-4ac9-9dfb-4cdb3a887a93.png; page 10, result 5. Metadata transcribed from captured Google Scholar page; OCR-normalised, verify against publication before citation.</x:v>
      </x:c>
      <x:c r="AH242" s="20" t="str">
        <x:v>No duplicate identified under the documented matching rules.</x:v>
      </x:c>
    </x:row>
    <x:row r="243" ht="42" customHeight="1">
      <x:c r="A243" s="22" t="str">
        <x:v>GS-02-096</x:v>
      </x:c>
      <x:c r="B243" s="22" t="str">
        <x:v>Google Scholar</x:v>
      </x:c>
      <x:c r="C243" s="22" t="str">
        <x:v>GS-02</x:v>
      </x:c>
      <x:c r="D243" s="22" t="str">
        <x:v>QualProtoSeg Simple and Efficient Design with Text-and Image-Guided Prototype Learning for Weakly Supervised Histopathology Image Segmentation</x:v>
      </x:c>
      <x:c r="E243" s="22" t="str">
        <x:v>AM Vu KP .e. "TK Vo. b Thach HH Nguyen =</x:v>
      </x:c>
      <x:c r="F243" s="22" t="n">
        <x:v>2025</x:v>
      </x:c>
      <x:c r="G243" s="22" t="str">
        <x:v>arXiv preprint arXiv =. 2025 - arxiv org</x:v>
      </x:c>
      <x:c r="H243" s="22" t="str">
        <x:v>Google Scholar result</x:v>
      </x:c>
      <x:c r="I243" s="22" t="str">
        <x:v>NR</x:v>
      </x:c>
      <x:c r="J243" s="22" t="str">
        <x:v>NR</x:v>
      </x:c>
      <x:c r="K243" s="22" t="str">
        <x:v>NR — URL not captured in the available source record</x:v>
      </x:c>
      <x:c r="L243" s="22" t="str">
        <x:v>Not available in the captured evidence; the screening decision used the title and available source metadata.</x:v>
      </x:c>
      <x:c r="M243" s="22" t="str">
        <x:v>No duplicate</x:v>
      </x:c>
      <x:c r="N243" s="22" t="str">
        <x:v>Not applicable — no duplicate group</x:v>
      </x:c>
      <x:c r="O243" s="22" t="str">
        <x:v>Not applicable</x:v>
      </x:c>
      <x:c r="P243" s="22" t="str">
        <x:v>Yes</x:v>
      </x:c>
      <x:c r="Q243" s="22" t="str">
        <x:v>Exclude</x:v>
      </x:c>
      <x:c r="R243" s="22" t="str">
        <x:v>Prototypes support weakly supervised histopathology segmentation rather than explanation.</x:v>
      </x:c>
      <x:c r="S243" s="22" t="str">
        <x:v>Verification documented at process level</x:v>
      </x:c>
      <x:c r="T243" s="22" t="str">
        <x:v>Two additional authors performed random spot checks; individual spot-check assignments are not recorded in this register.</x:v>
      </x:c>
      <x:c r="U243" s="22" t="str">
        <x:v>Exclude</x:v>
      </x:c>
      <x:c r="V243" s="22" t="str">
        <x:v>Primary decision by the corresponding author; two additional authors performed random spot checks as a quality-control step.</x:v>
      </x:c>
      <x:c r="W243" s="22" t="str">
        <x:v>No</x:v>
      </x:c>
      <x:c r="X243" s="22" t="str">
        <x:v>Not applicable</x:v>
      </x:c>
      <x:c r="Y243" s="22" t="str">
        <x:v>Not assessed</x:v>
      </x:c>
      <x:c r="Z243" s="22" t="str">
        <x:v>Not advanced to full-text assessment after the title/abstract decision.</x:v>
      </x:c>
      <x:c r="AA243" s="22" t="str">
        <x:v>Not applicable</x:v>
      </x:c>
      <x:c r="AB243" s="22" t="str">
        <x:v>Record was not advanced to full-text assessment.</x:v>
      </x:c>
      <x:c r="AC243" s="22" t="str">
        <x:v>Not assessed</x:v>
      </x:c>
      <x:c r="AD243" s="22" t="str">
        <x:v>Not applicable — no full-text assessment was required.</x:v>
      </x:c>
      <x:c r="AE243" s="22" t="str">
        <x:v>Not included — title/abstract exclusion</x:v>
      </x:c>
      <x:c r="AF243" s="22" t="str">
        <x:v>Not applicable — not included</x:v>
      </x:c>
      <x:c r="AG243" s="22" t="str">
        <x:v>Evidence: 1d08baca-3b06-4ac9-9dfb-4cdb3a887a93.png; page 10, result 6. Metadata transcribed from captured Google Scholar page; OCR-normalised, verify against publication before citation.</x:v>
      </x:c>
      <x:c r="AH243" s="20" t="str">
        <x:v>No duplicate identified under the documented matching rules.</x:v>
      </x:c>
    </x:row>
    <x:row r="244" ht="42" customHeight="1">
      <x:c r="A244" s="22" t="str">
        <x:v>GS-02-097</x:v>
      </x:c>
      <x:c r="B244" s="22" t="str">
        <x:v>Google Scholar</x:v>
      </x:c>
      <x:c r="C244" s="22" t="str">
        <x:v>GS-02</x:v>
      </x:c>
      <x:c r="D244" s="22" t="str">
        <x:v>VD-GAN: A unified framework for joint protatype and representation leaming fram contaminated single sample per person</x:v>
      </x:c>
      <x:c r="E244" s="22" t="str">
        <x:v>M Pag, Bivang Y Cheung YChen -lIEEE “ransaclions on. 2021</x:v>
      </x:c>
      <x:c r="F244" s="22" t="n">
        <x:v>2021</x:v>
      </x:c>
      <x:c r="G244" s="22" t="str">
        <x:v>iezexplore ieee org</x:v>
      </x:c>
      <x:c r="H244" s="22" t="str">
        <x:v>Google Scholar result</x:v>
      </x:c>
      <x:c r="I244" s="22" t="str">
        <x:v>NR</x:v>
      </x:c>
      <x:c r="J244" s="22" t="str">
        <x:v>NR</x:v>
      </x:c>
      <x:c r="K244" s="22" t="str">
        <x:v>NR — URL not captured in the available source record</x:v>
      </x:c>
      <x:c r="L244" s="22" t="str">
        <x:v>Not available in the captured evidence; the screening decision used the title and available source metadata.</x:v>
      </x:c>
      <x:c r="M244" s="22" t="str">
        <x:v>No duplicate</x:v>
      </x:c>
      <x:c r="N244" s="22" t="str">
        <x:v>Not applicable — no duplicate group</x:v>
      </x:c>
      <x:c r="O244" s="22" t="str">
        <x:v>Not applicable</x:v>
      </x:c>
      <x:c r="P244" s="22" t="str">
        <x:v>Yes</x:v>
      </x:c>
      <x:c r="Q244" s="22" t="str">
        <x:v>Exclude</x:v>
      </x:c>
      <x:c r="R244" s="22" t="str">
        <x:v>Wrong domain: face recognition.</x:v>
      </x:c>
      <x:c r="S244" s="22" t="str">
        <x:v>Verification documented at process level</x:v>
      </x:c>
      <x:c r="T244" s="22" t="str">
        <x:v>Two additional authors performed random spot checks; individual spot-check assignments are not recorded in this register.</x:v>
      </x:c>
      <x:c r="U244" s="22" t="str">
        <x:v>Exclude</x:v>
      </x:c>
      <x:c r="V244" s="22" t="str">
        <x:v>Primary decision by the corresponding author; two additional authors performed random spot checks as a quality-control step.</x:v>
      </x:c>
      <x:c r="W244" s="22" t="str">
        <x:v>No</x:v>
      </x:c>
      <x:c r="X244" s="22" t="str">
        <x:v>Not applicable</x:v>
      </x:c>
      <x:c r="Y244" s="22" t="str">
        <x:v>Not assessed</x:v>
      </x:c>
      <x:c r="Z244" s="22" t="str">
        <x:v>Not advanced to full-text assessment after the title/abstract decision.</x:v>
      </x:c>
      <x:c r="AA244" s="22" t="str">
        <x:v>Not applicable</x:v>
      </x:c>
      <x:c r="AB244" s="22" t="str">
        <x:v>Record was not advanced to full-text assessment.</x:v>
      </x:c>
      <x:c r="AC244" s="22" t="str">
        <x:v>Not assessed</x:v>
      </x:c>
      <x:c r="AD244" s="22" t="str">
        <x:v>Not applicable — no full-text assessment was required.</x:v>
      </x:c>
      <x:c r="AE244" s="22" t="str">
        <x:v>Not included — title/abstract exclusion</x:v>
      </x:c>
      <x:c r="AF244" s="22" t="str">
        <x:v>Not applicable — not included</x:v>
      </x:c>
      <x:c r="AG244" s="22" t="str">
        <x:v>Evidence: 1d08baca-3b06-4ac9-9dfb-4cdb3a887a93.png; page 10, result 7. Metadata transcribed from captured Google Scholar page; OCR-normalised, verify against publication before citation.</x:v>
      </x:c>
      <x:c r="AH244" s="20" t="str">
        <x:v>No duplicate identified under the documented matching rules.</x:v>
      </x:c>
    </x:row>
    <x:row r="245" ht="42" customHeight="1">
      <x:c r="A245" s="22" t="str">
        <x:v>GS-02-098</x:v>
      </x:c>
      <x:c r="B245" s="22" t="str">
        <x:v>Google Scholar</x:v>
      </x:c>
      <x:c r="C245" s="22" t="str">
        <x:v>GS-02</x:v>
      </x:c>
      <x:c r="D245" s="22" t="str">
        <x:v>A Diffusion and Spatial Prototype Learning Method for Semi-Supervised Medical Image Segmentatian</x:v>
      </x:c>
      <x:c r="E245" s="22" t="str">
        <x:v>Lu, X Guc X Zhao HLi- 2025 IEEE Inter-atienal 2925</x:v>
      </x:c>
      <x:c r="F245" s="22" t="n">
        <x:v>2025</x:v>
      </x:c>
      <x:c r="G245" s="22" t="str">
        <x:v>ieeexp-ere iege org</x:v>
      </x:c>
      <x:c r="H245" s="22" t="str">
        <x:v>Google Scholar result</x:v>
      </x:c>
      <x:c r="I245" s="22" t="str">
        <x:v>NR</x:v>
      </x:c>
      <x:c r="J245" s="22" t="str">
        <x:v>NR</x:v>
      </x:c>
      <x:c r="K245" s="22" t="str">
        <x:v>NR — URL not captured in the available source record</x:v>
      </x:c>
      <x:c r="L245" s="22" t="str">
        <x:v>Not available in the captured evidence; the screening decision used the title and available source metadata.</x:v>
      </x:c>
      <x:c r="M245" s="22" t="str">
        <x:v>No duplicate</x:v>
      </x:c>
      <x:c r="N245" s="22" t="str">
        <x:v>Not applicable — no duplicate group</x:v>
      </x:c>
      <x:c r="O245" s="22" t="str">
        <x:v>Not applicable</x:v>
      </x:c>
      <x:c r="P245" s="22" t="str">
        <x:v>Yes</x:v>
      </x:c>
      <x:c r="Q245" s="22" t="str">
        <x:v>Exclude</x:v>
      </x:c>
      <x:c r="R245" s="22" t="str">
        <x:v>Prototypes improve semi-supervised medical-image segmentation rather than explainability.</x:v>
      </x:c>
      <x:c r="S245" s="22" t="str">
        <x:v>Verification documented at process level</x:v>
      </x:c>
      <x:c r="T245" s="22" t="str">
        <x:v>Two additional authors performed random spot checks; individual spot-check assignments are not recorded in this register.</x:v>
      </x:c>
      <x:c r="U245" s="22" t="str">
        <x:v>Exclude</x:v>
      </x:c>
      <x:c r="V245" s="22" t="str">
        <x:v>Primary decision by the corresponding author; two additional authors performed random spot checks as a quality-control step.</x:v>
      </x:c>
      <x:c r="W245" s="22" t="str">
        <x:v>No</x:v>
      </x:c>
      <x:c r="X245" s="22" t="str">
        <x:v>Not applicable</x:v>
      </x:c>
      <x:c r="Y245" s="22" t="str">
        <x:v>Not assessed</x:v>
      </x:c>
      <x:c r="Z245" s="22" t="str">
        <x:v>Not advanced to full-text assessment after the title/abstract decision.</x:v>
      </x:c>
      <x:c r="AA245" s="22" t="str">
        <x:v>Not applicable</x:v>
      </x:c>
      <x:c r="AB245" s="22" t="str">
        <x:v>Record was not advanced to full-text assessment.</x:v>
      </x:c>
      <x:c r="AC245" s="22" t="str">
        <x:v>Not assessed</x:v>
      </x:c>
      <x:c r="AD245" s="22" t="str">
        <x:v>Not applicable — no full-text assessment was required.</x:v>
      </x:c>
      <x:c r="AE245" s="22" t="str">
        <x:v>Not included — title/abstract exclusion</x:v>
      </x:c>
      <x:c r="AF245" s="22" t="str">
        <x:v>Not applicable — not included</x:v>
      </x:c>
      <x:c r="AG245" s="22" t="str">
        <x:v>Evidence: 1d08baca-3b06-4ac9-9dfb-4cdb3a887a93.png; page 10, result 8. Metadata transcribed from captured Google Scholar page; OCR-normalised, verify against publication before citation.</x:v>
      </x:c>
      <x:c r="AH245" s="20" t="str">
        <x:v>No duplicate identified under the documented matching rules.</x:v>
      </x:c>
    </x:row>
    <x:row r="246" ht="42" customHeight="1">
      <x:c r="A246" s="22" t="str">
        <x:v>GS-02-099</x:v>
      </x:c>
      <x:c r="B246" s="22" t="str">
        <x:v>Google Scholar</x:v>
      </x:c>
      <x:c r="C246" s="22" t="str">
        <x:v>GS-02</x:v>
      </x:c>
      <x:c r="D246" s="22" t="str">
        <x:v>A mult-orthogonal protatype contrastve learning framework with feature compressian for imbalanced skin lesion classification</x:v>
      </x:c>
      <x:c r="E246" s="22" t="str">
        <x:v>¥ Zhaig, Ki, J Sri H Zhang</x:v>
      </x:c>
      <x:c r="F246" s="22" t="n">
        <x:v>2025</x:v>
      </x:c>
      <x:c r="G246" s="22" t="str">
        <x:v>Apetied Saft Compuling, 2025 - Elsevier</x:v>
      </x:c>
      <x:c r="H246" s="22" t="str">
        <x:v>Google Scholar result</x:v>
      </x:c>
      <x:c r="I246" s="22" t="str">
        <x:v>NR</x:v>
      </x:c>
      <x:c r="J246" s="22" t="str">
        <x:v>NR</x:v>
      </x:c>
      <x:c r="K246" s="22" t="str">
        <x:v>NR — URL not captured in the available source record</x:v>
      </x:c>
      <x:c r="L246" s="22" t="str">
        <x:v>Not available in the captured evidence; the screening decision used the title and available source metadata.</x:v>
      </x:c>
      <x:c r="M246" s="22" t="str">
        <x:v>No duplicate</x:v>
      </x:c>
      <x:c r="N246" s="22" t="str">
        <x:v>Not applicable — no duplicate group</x:v>
      </x:c>
      <x:c r="O246" s="22" t="str">
        <x:v>Not applicable</x:v>
      </x:c>
      <x:c r="P246" s="22" t="str">
        <x:v>Yes</x:v>
      </x:c>
      <x:c r="Q246" s="22" t="str">
        <x:v>Exclude</x:v>
      </x:c>
      <x:c r="R246" s="22" t="str">
        <x:v>Medical classification, but contrastive prototypes are not used for explanation.</x:v>
      </x:c>
      <x:c r="S246" s="22" t="str">
        <x:v>Verification documented at process level</x:v>
      </x:c>
      <x:c r="T246" s="22" t="str">
        <x:v>Two additional authors performed random spot checks; individual spot-check assignments are not recorded in this register.</x:v>
      </x:c>
      <x:c r="U246" s="22" t="str">
        <x:v>Exclude</x:v>
      </x:c>
      <x:c r="V246" s="22" t="str">
        <x:v>Primary decision by the corresponding author; two additional authors performed random spot checks as a quality-control step.</x:v>
      </x:c>
      <x:c r="W246" s="22" t="str">
        <x:v>No</x:v>
      </x:c>
      <x:c r="X246" s="22" t="str">
        <x:v>Not applicable</x:v>
      </x:c>
      <x:c r="Y246" s="22" t="str">
        <x:v>Not assessed</x:v>
      </x:c>
      <x:c r="Z246" s="22" t="str">
        <x:v>Not advanced to full-text assessment after the title/abstract decision.</x:v>
      </x:c>
      <x:c r="AA246" s="22" t="str">
        <x:v>Not applicable</x:v>
      </x:c>
      <x:c r="AB246" s="22" t="str">
        <x:v>Record was not advanced to full-text assessment.</x:v>
      </x:c>
      <x:c r="AC246" s="22" t="str">
        <x:v>Not assessed</x:v>
      </x:c>
      <x:c r="AD246" s="22" t="str">
        <x:v>Not applicable — no full-text assessment was required.</x:v>
      </x:c>
      <x:c r="AE246" s="22" t="str">
        <x:v>Not included — title/abstract exclusion</x:v>
      </x:c>
      <x:c r="AF246" s="22" t="str">
        <x:v>Not applicable — not included</x:v>
      </x:c>
      <x:c r="AG246" s="22" t="str">
        <x:v>Evidence: 1d08baca-3b06-4ac9-9dfb-4cdb3a887a93.png; page 10, result 9. Metadata transcribed from captured Google Scholar page; OCR-normalised, verify against publication before citation.</x:v>
      </x:c>
      <x:c r="AH246" s="20" t="str">
        <x:v>No duplicate identified under the documented matching rules.</x:v>
      </x:c>
    </x:row>
    <x:row r="247" ht="42" customHeight="1">
      <x:c r="A247" s="22" t="str">
        <x:v>GS-02-100</x:v>
      </x:c>
      <x:c r="B247" s="22" t="str">
        <x:v>Google Scholar</x:v>
      </x:c>
      <x:c r="C247" s="22" t="str">
        <x:v>GS-02</x:v>
      </x:c>
      <x:c r="D247" s="22" t="str">
        <x:v>Qpen-Set Human Activity Recognition With Micro-Dappler Signatures and Virtual Prototype Learning</x:v>
      </x:c>
      <x:c r="E247" s="22" t="str">
        <x:v>K Chen, © Liv. ¥ Song L Zhu</x:v>
      </x:c>
      <x:c r="F247" s="22" t="n">
        <x:v>2024</x:v>
      </x:c>
      <x:c r="G247" s="22" t="str">
        <x:v>IEEE Transactions gn Radar =. 2024 - iegexplore ieee org</x:v>
      </x:c>
      <x:c r="H247" s="22" t="str">
        <x:v>Google Scholar result</x:v>
      </x:c>
      <x:c r="I247" s="22" t="str">
        <x:v>NR</x:v>
      </x:c>
      <x:c r="J247" s="22" t="str">
        <x:v>NR</x:v>
      </x:c>
      <x:c r="K247" s="22" t="str">
        <x:v>NR — URL not captured in the available source record</x:v>
      </x:c>
      <x:c r="L247" s="22" t="str">
        <x:v>Not available in the captured evidence; the screening decision used the title and available source metadata.</x:v>
      </x:c>
      <x:c r="M247" s="22" t="str">
        <x:v>No duplicate</x:v>
      </x:c>
      <x:c r="N247" s="22" t="str">
        <x:v>Not applicable — no duplicate group</x:v>
      </x:c>
      <x:c r="O247" s="22" t="str">
        <x:v>Not applicable</x:v>
      </x:c>
      <x:c r="P247" s="22" t="str">
        <x:v>Yes</x:v>
      </x:c>
      <x:c r="Q247" s="22" t="str">
        <x:v>Exclude</x:v>
      </x:c>
      <x:c r="R247" s="22" t="str">
        <x:v>Wrong domain: radar-based human-activity recognition.</x:v>
      </x:c>
      <x:c r="S247" s="22" t="str">
        <x:v>Verification documented at process level</x:v>
      </x:c>
      <x:c r="T247" s="22" t="str">
        <x:v>Two additional authors performed random spot checks; individual spot-check assignments are not recorded in this register.</x:v>
      </x:c>
      <x:c r="U247" s="22" t="str">
        <x:v>Exclude</x:v>
      </x:c>
      <x:c r="V247" s="22" t="str">
        <x:v>Primary decision by the corresponding author; two additional authors performed random spot checks as a quality-control step.</x:v>
      </x:c>
      <x:c r="W247" s="22" t="str">
        <x:v>No</x:v>
      </x:c>
      <x:c r="X247" s="22" t="str">
        <x:v>Not applicable</x:v>
      </x:c>
      <x:c r="Y247" s="22" t="str">
        <x:v>Not assessed</x:v>
      </x:c>
      <x:c r="Z247" s="22" t="str">
        <x:v>Not advanced to full-text assessment after the title/abstract decision.</x:v>
      </x:c>
      <x:c r="AA247" s="22" t="str">
        <x:v>Not applicable</x:v>
      </x:c>
      <x:c r="AB247" s="22" t="str">
        <x:v>Record was not advanced to full-text assessment.</x:v>
      </x:c>
      <x:c r="AC247" s="22" t="str">
        <x:v>Not assessed</x:v>
      </x:c>
      <x:c r="AD247" s="22" t="str">
        <x:v>Not applicable — no full-text assessment was required.</x:v>
      </x:c>
      <x:c r="AE247" s="22" t="str">
        <x:v>Not included — title/abstract exclusion</x:v>
      </x:c>
      <x:c r="AF247" s="22" t="str">
        <x:v>Not applicable — not included</x:v>
      </x:c>
      <x:c r="AG247" s="22" t="str">
        <x:v>Evidence: 1d08baca-3b06-4ac9-9dfb-4cdb3a887a93.png; page 10, result 10. Metadata transcribed from captured Google Scholar page; OCR-normalised, verify against publication before citation.</x:v>
      </x:c>
      <x:c r="AH247" s="20" t="str">
        <x:v>No duplicate identified under the documented matching rules.</x:v>
      </x:c>
    </x:row>
    <x:row r="248" ht="42" customHeight="1">
      <x:c r="A248" s="22" t="str">
        <x:v>GS-03-001</x:v>
      </x:c>
      <x:c r="B248" s="22" t="str">
        <x:v>Google Scholar</x:v>
      </x:c>
      <x:c r="C248" s="22" t="str">
        <x:v>GS-03</x:v>
      </x:c>
      <x:c r="D248" s="22" t="str">
        <x:v>Case-based expert system for early detectian of diabetic retinopathy</x:v>
      </x:c>
      <x:c r="E248" s="22" t="str">
        <x:v>R Barman SK Biswas D Das, 3 Furkayastha -Inleltgent Ccmputing 2021</x:v>
      </x:c>
      <x:c r="F248" s="22" t="n">
        <x:v>2021</x:v>
      </x:c>
      <x:c r="G248" s="22" t="str">
        <x:v>Springer</x:v>
      </x:c>
      <x:c r="H248" s="22" t="str">
        <x:v>Google Scholar result</x:v>
      </x:c>
      <x:c r="I248" s="22" t="str">
        <x:v>10.1007/978-981-16-1295-4_27</x:v>
      </x:c>
      <x:c r="J248" s="22" t="str">
        <x:v>NR</x:v>
      </x:c>
      <x:c r="K248" s="22" t="str">
        <x:v>https://link.springer.com/chapter/10.1007/978-981-16-1295-4_27</x:v>
      </x:c>
      <x:c r="L248" s="22" t="str">
        <x:v>Diabetic Retinopathy (DR) is a medical condition which damages the retina and can cause permanent blindness to the people who have been suffering from diabetes since the last 15 years or more. Early diagnosis of the disease can save the damage of retina and thus...</x:v>
      </x:c>
      <x:c r="M248" s="22" t="str">
        <x:v>No duplicate</x:v>
      </x:c>
      <x:c r="N248" s="22" t="str">
        <x:v>Not applicable — no duplicate group</x:v>
      </x:c>
      <x:c r="O248" s="22" t="str">
        <x:v>Not applicable</x:v>
      </x:c>
      <x:c r="P248" s="22" t="str">
        <x:v>Yes</x:v>
      </x:c>
      <x:c r="Q248" s="22" t="str">
        <x:v>Include</x:v>
      </x:c>
      <x:c r="R248" s="22" t="str">
        <x:v>Direct retinal-fundus case-based reasoning system retrieving similar cases for diabetic-retinopathy grading.</x:v>
      </x:c>
      <x:c r="S248" s="22" t="str">
        <x:v>Verification documented at process level</x:v>
      </x:c>
      <x:c r="T248" s="22" t="str">
        <x:v>Two additional authors performed random spot checks; individual spot-check assignments are not recorded in this register.</x:v>
      </x:c>
      <x:c r="U248" s="22" t="str">
        <x:v>Include</x:v>
      </x:c>
      <x:c r="V248" s="22" t="str">
        <x:v>Primary decision by the corresponding author; two additional authors performed random spot checks as a quality-control step.</x:v>
      </x:c>
      <x:c r="W248" s="22" t="str">
        <x:v>Yes</x:v>
      </x:c>
      <x:c r="X248" s="22" t="str">
        <x:v>Yes</x:v>
      </x:c>
      <x:c r="Y248" s="22" t="str">
        <x:v>Include</x:v>
      </x:c>
      <x:c r="Z248" s="22" t="str">
        <x:v>The corresponding author confirmed full-text assessment. Abstract/official-record rationale (I2–I4): The abstract proposes a case-based expert system that processes retinal fundus images, retrieves similar prior cases and reuses them to classify diabetic retinopathy; it is direct case-based explainability evidence.</x:v>
      </x:c>
      <x:c r="AA248" s="22" t="str">
        <x:v>Verification documented at process level</x:v>
      </x:c>
      <x:c r="AB248" s="22" t="str">
        <x:v>Two additional authors performed random spot checks; individual spot-check assignments are not recorded in this register.</x:v>
      </x:c>
      <x:c r="AC248" s="22" t="str">
        <x:v>Include</x:v>
      </x:c>
      <x:c r="AD248" s="22" t="str">
        <x:v>Primary decision by the corresponding author; two additional authors performed random spot checks as a quality-control step.</x:v>
      </x:c>
      <x:c r="AE248" s="22" t="str">
        <x:v>Include</x:v>
      </x:c>
      <x:c r="AF248" s="22" t="str">
        <x:v>Direct retinal/ophthalmic evidence</x:v>
      </x:c>
      <x:c r="AG248" s="22" t="str">
        <x:v>Evidence: 1e37f4dc-925f-4874-b4f9-a83294d4f35e.png; page 1, result 1. Metadata transcribed from captured Google Scholar page; OCR-normalised, verify against publication before citation.</x:v>
      </x:c>
      <x:c r="AH248" s="20" t="str">
        <x:v>No duplicate identified under the documented matching rules.</x:v>
      </x:c>
    </x:row>
    <x:row r="249" ht="42" customHeight="1">
      <x:c r="A249" s="22" t="str">
        <x:v>GS-03-002</x:v>
      </x:c>
      <x:c r="B249" s="22" t="str">
        <x:v>Google Scholar</x:v>
      </x:c>
      <x:c r="C249" s="22" t="str">
        <x:v>GS-03</x:v>
      </x:c>
      <x:c r="D249" s="22" t="str">
        <x:v>Case Based reasoning in retina abnomnalities detection</x:v>
      </x:c>
      <x:c r="E249" s="22" t="str">
        <x:v>AR Chowdhury S Banerjee</x:v>
      </x:c>
      <x:c r="F249" s="22" t="str">
        <x:v>NR</x:v>
      </x:c>
      <x:c r="G249" s="22" t="str">
        <x:v>2619 4th Intemaliona 271%: ieeexplora iaee org</x:v>
      </x:c>
      <x:c r="H249" s="22" t="str">
        <x:v>Google Scholar result</x:v>
      </x:c>
      <x:c r="I249" s="22" t="str">
        <x:v>NR</x:v>
      </x:c>
      <x:c r="J249" s="22" t="str">
        <x:v>NR</x:v>
      </x:c>
      <x:c r="K249" s="22" t="str">
        <x:v>NR — URL not captured in the available source record</x:v>
      </x:c>
      <x:c r="L249" s="22" t="str">
        <x:v>Not available in the captured evidence; the screening decision used the title and available source metadata.</x:v>
      </x:c>
      <x:c r="M249" s="22" t="str">
        <x:v>Confirmed duplicate</x:v>
      </x:c>
      <x:c r="N249" s="22" t="str">
        <x:v>DG-079</x:v>
      </x:c>
      <x:c r="O249" s="22" t="str">
        <x:v>IEEE-001</x:v>
      </x:c>
      <x:c r="P249" s="22" t="str">
        <x:v>No</x:v>
      </x:c>
      <x:c r="Q249" s="22" t="str">
        <x:v>Not screened</x:v>
      </x:c>
      <x:c r="R249" s="22" t="str">
        <x:v>Removed before title/abstract screening as a confirmed duplicate.</x:v>
      </x:c>
      <x:c r="S249" s="22" t="str">
        <x:v>Not applicable — removed before screening</x:v>
      </x:c>
      <x:c r="T249" s="22" t="str">
        <x:v>Record was outside the active screening set.</x:v>
      </x:c>
      <x:c r="U249" s="22" t="str">
        <x:v>Removed before screening</x:v>
      </x:c>
      <x:c r="V249" s="22" t="str">
        <x:v>Confirmed duplicate removed during deduplication.</x:v>
      </x:c>
      <x:c r="W249" s="22" t="str">
        <x:v>No</x:v>
      </x:c>
      <x:c r="X249" s="22" t="str">
        <x:v>Not applicable</x:v>
      </x:c>
      <x:c r="Y249" s="22" t="str">
        <x:v>Not assessed</x:v>
      </x:c>
      <x:c r="Z249" s="22" t="str">
        <x:v>Not applicable — record removed before screening.</x:v>
      </x:c>
      <x:c r="AA249" s="22" t="str">
        <x:v>Not applicable</x:v>
      </x:c>
      <x:c r="AB249" s="22" t="str">
        <x:v>Record was not advanced to full-text assessment.</x:v>
      </x:c>
      <x:c r="AC249" s="22" t="str">
        <x:v>Not assessed</x:v>
      </x:c>
      <x:c r="AD249" s="22" t="str">
        <x:v>Not applicable — no full-text assessment was required.</x:v>
      </x:c>
      <x:c r="AE249" s="22" t="str">
        <x:v>Removed before screening</x:v>
      </x:c>
      <x:c r="AF249" s="22" t="str">
        <x:v>Not applicable — not included</x:v>
      </x:c>
      <x:c r="AG249" s="22" t="str">
        <x:v>Evidence: 1e37f4dc-925f-4874-b4f9-a83294d4f35e.png; page 1, result 2. Metadata transcribed from captured Google Scholar page; OCR-normalised, verify against publication before citation.</x:v>
      </x:c>
      <x:c r="AH249" s="20" t="str">
        <x:v>No duplicate identified under the documented matching rules.</x:v>
      </x:c>
    </x:row>
    <x:row r="250" ht="42" customHeight="1">
      <x:c r="A250" s="22" t="str">
        <x:v>GS-03-003</x:v>
      </x:c>
      <x:c r="B250" s="22" t="str">
        <x:v>Google Scholar</x:v>
      </x:c>
      <x:c r="C250" s="22" t="str">
        <x:v>GS-03</x:v>
      </x:c>
      <x:c r="D250" s="22" t="str">
        <x:v>A cybernetic systems approach to abnormality detection in retina images using case based reasoning AR Chowdhury et al</x:v>
      </x:c>
      <x:c r="E250" s="22" t="str">
        <x:v>ARoy Chowdhury $ Barerjze. T Chatterjee «SN Appiad Sciences 2020</x:v>
      </x:c>
      <x:c r="F250" s="22" t="n">
        <x:v>2020</x:v>
      </x:c>
      <x:c r="G250" s="22" t="str">
        <x:v>Springer</x:v>
      </x:c>
      <x:c r="H250" s="22" t="str">
        <x:v>Google Scholar result</x:v>
      </x:c>
      <x:c r="I250" s="22" t="str">
        <x:v>10.1007/s42452-020-3187-0</x:v>
      </x:c>
      <x:c r="J250" s="22" t="str">
        <x:v>NR</x:v>
      </x:c>
      <x:c r="K250" s="22" t="str">
        <x:v>https://link.springer.com/article/10.1007/s42452-020-3187-0</x:v>
      </x:c>
      <x:c r="L250" s="22" t="str">
        <x:v>In this paper, we present a retina abnormality classification framework for diabetic retinopathy and age related macular degeneration using content based image retrieval. This is performed in two phases, namely, feature extraction and pattern recognition. In the first phase, image pre-processing and Otsu multi-level thresholding is applied to retina fundus images to extract eleven low level spatial and statistical features. The second phase consists of machine learning based classification with these features using four machine learning classifiers, namely, Naive Bayes classifier, support vector machine, K-nearest neighbour classifier and random forest classifier. It is found that random forest classifier outperforms all the other classifiers for the detection of both bright and dark lesion classes and achieves 94.8% and 95.1% accuracy, respectively with ROC area 0.977 and 0.98, respectively.</x:v>
      </x:c>
      <x:c r="M250" s="22" t="str">
        <x:v>No duplicate</x:v>
      </x:c>
      <x:c r="N250" s="22" t="str">
        <x:v>Not applicable — no duplicate group</x:v>
      </x:c>
      <x:c r="O250" s="22" t="str">
        <x:v>Not applicable</x:v>
      </x:c>
      <x:c r="P250" s="22" t="str">
        <x:v>Yes</x:v>
      </x:c>
      <x:c r="Q250" s="22" t="str">
        <x:v>Include</x:v>
      </x:c>
      <x:c r="R250" s="22" t="str">
        <x:v>Original retinal-image retrieval and classification study for diabetic retinopathy and AMD.</x:v>
      </x:c>
      <x:c r="S250" s="22" t="str">
        <x:v>Verification documented at process level</x:v>
      </x:c>
      <x:c r="T250" s="22" t="str">
        <x:v>Two additional authors performed random spot checks; individual spot-check assignments are not recorded in this register.</x:v>
      </x:c>
      <x:c r="U250" s="22" t="str">
        <x:v>Include</x:v>
      </x:c>
      <x:c r="V250" s="22" t="str">
        <x:v>Primary decision by the corresponding author; two additional authors performed random spot checks as a quality-control step.</x:v>
      </x:c>
      <x:c r="W250" s="22" t="str">
        <x:v>Yes</x:v>
      </x:c>
      <x:c r="X250" s="22" t="str">
        <x:v>Yes</x:v>
      </x:c>
      <x:c r="Y250" s="22" t="str">
        <x:v>Include</x:v>
      </x:c>
      <x:c r="Z250" s="22" t="str">
        <x:v>The corresponding author confirmed full-text assessment. Abstract/official-record rationale (I2–I4): The abstract applies case-based reasoning to retinal images for abnormality detection and supports decisions through retrieval of comparable prior cases; it is direct retinal structured-reasoning evidence.</x:v>
      </x:c>
      <x:c r="AA250" s="22" t="str">
        <x:v>Verification documented at process level</x:v>
      </x:c>
      <x:c r="AB250" s="22" t="str">
        <x:v>Two additional authors performed random spot checks; individual spot-check assignments are not recorded in this register.</x:v>
      </x:c>
      <x:c r="AC250" s="22" t="str">
        <x:v>Include</x:v>
      </x:c>
      <x:c r="AD250" s="22" t="str">
        <x:v>Primary decision by the corresponding author; two additional authors performed random spot checks as a quality-control step.</x:v>
      </x:c>
      <x:c r="AE250" s="22" t="str">
        <x:v>Include</x:v>
      </x:c>
      <x:c r="AF250" s="22" t="str">
        <x:v>Direct retinal/ophthalmic evidence</x:v>
      </x:c>
      <x:c r="AG250" s="22" t="str">
        <x:v>Evidence: 1e37f4dc-925f-4874-b4f9-a83294d4f35e.png; page 1, result 3. Metadata transcribed from captured Google Scholar page; OCR-normalised, verify against publication before citation.</x:v>
      </x:c>
      <x:c r="AH250" s="20" t="str">
        <x:v>No duplicate identified under the documented matching rules.</x:v>
      </x:c>
    </x:row>
    <x:row r="251" ht="42" customHeight="1">
      <x:c r="A251" s="22" t="str">
        <x:v>GS-03-004</x:v>
      </x:c>
      <x:c r="B251" s="22" t="str">
        <x:v>Google Scholar</x:v>
      </x:c>
      <x:c r="C251" s="22" t="str">
        <x:v>GS-03</x:v>
      </x:c>
      <x:c r="D251" s="22" t="str">
        <x:v>Retneval of similar cases to improve the diagnosis of diabetic retinopathy</x:v>
      </x:c>
      <x:c r="E251" s="22" t="str">
        <x:v>ASacz-Rarros LAriza-.dpez</x:v>
      </x:c>
      <x:c r="F251" s="22" t="n">
        <x:v>2023</x:v>
      </x:c>
      <x:c r="G251" s="22" t="str">
        <x:v>Cose-Basad Reasoning, 2023 - Sprirger</x:v>
      </x:c>
      <x:c r="H251" s="22" t="str">
        <x:v>Google Scholar result</x:v>
      </x:c>
      <x:c r="I251" s="22" t="str">
        <x:v>10.1007/978-3-031-40177-0_26</x:v>
      </x:c>
      <x:c r="J251" s="22" t="str">
        <x:v>NR</x:v>
      </x:c>
      <x:c r="K251" s="22" t="str">
        <x:v>https://link.springer.com/chapter/10.1007/978-3-031-40177-0_26</x:v>
      </x:c>
      <x:c r="L251" s="22" t="str">
        <x:v>Diabetic retinopathy is the leading cause of new cases of blindness in adults and its early detection is fundamental. In this work we propose a technique to retrieve similar fundus images of already diagnosed eyes to support the physicians when they must diagnose a...</x:v>
      </x:c>
      <x:c r="M251" s="22" t="str">
        <x:v>No duplicate</x:v>
      </x:c>
      <x:c r="N251" s="22" t="str">
        <x:v>Not applicable — no duplicate group</x:v>
      </x:c>
      <x:c r="O251" s="22" t="str">
        <x:v>Not applicable</x:v>
      </x:c>
      <x:c r="P251" s="22" t="str">
        <x:v>Yes</x:v>
      </x:c>
      <x:c r="Q251" s="22" t="str">
        <x:v>Include</x:v>
      </x:c>
      <x:c r="R251" s="22" t="str">
        <x:v>Direct fundus-image retrieval study whose similarity aligns with specialist concepts.</x:v>
      </x:c>
      <x:c r="S251" s="22" t="str">
        <x:v>Verification documented at process level</x:v>
      </x:c>
      <x:c r="T251" s="22" t="str">
        <x:v>Two additional authors performed random spot checks; individual spot-check assignments are not recorded in this register.</x:v>
      </x:c>
      <x:c r="U251" s="22" t="str">
        <x:v>Include</x:v>
      </x:c>
      <x:c r="V251" s="22" t="str">
        <x:v>Primary decision by the corresponding author; two additional authors performed random spot checks as a quality-control step.</x:v>
      </x:c>
      <x:c r="W251" s="22" t="str">
        <x:v>Yes</x:v>
      </x:c>
      <x:c r="X251" s="22" t="str">
        <x:v>Yes</x:v>
      </x:c>
      <x:c r="Y251" s="22" t="str">
        <x:v>Include</x:v>
      </x:c>
      <x:c r="Z251" s="22" t="str">
        <x:v>The corresponding author confirmed full-text assessment. Abstract/official-record rationale (I2–I4): The abstract retrieves previously diagnosed fundus images similar to a new case to support diabetic-retinopathy diagnosis, providing direct case-level and similarity-based explanation.</x:v>
      </x:c>
      <x:c r="AA251" s="22" t="str">
        <x:v>Verification documented at process level</x:v>
      </x:c>
      <x:c r="AB251" s="22" t="str">
        <x:v>Two additional authors performed random spot checks; individual spot-check assignments are not recorded in this register.</x:v>
      </x:c>
      <x:c r="AC251" s="22" t="str">
        <x:v>Include</x:v>
      </x:c>
      <x:c r="AD251" s="22" t="str">
        <x:v>Primary decision by the corresponding author; two additional authors performed random spot checks as a quality-control step.</x:v>
      </x:c>
      <x:c r="AE251" s="22" t="str">
        <x:v>Include</x:v>
      </x:c>
      <x:c r="AF251" s="22" t="str">
        <x:v>Direct retinal/ophthalmic evidence</x:v>
      </x:c>
      <x:c r="AG251" s="22" t="str">
        <x:v>Evidence: 1e37f4dc-925f-4874-b4f9-a83294d4f35e.png; page 1, result 4. Metadata transcribed from captured Google Scholar page; OCR-normalised, verify against publication before citation.</x:v>
      </x:c>
      <x:c r="AH251" s="20" t="str">
        <x:v>No duplicate identified under the documented matching rules.</x:v>
      </x:c>
    </x:row>
    <x:row r="252" ht="42" customHeight="1">
      <x:c r="A252" s="22" t="str">
        <x:v>GS-03-005</x:v>
      </x:c>
      <x:c r="B252" s="22" t="str">
        <x:v>Google Scholar</x:v>
      </x:c>
      <x:c r="C252" s="22" t="str">
        <x:v>GS-03</x:v>
      </x:c>
      <x:c r="D252" s="22" t="str">
        <x:v>Case-Based Reasoning for Elderly Eye Disease Diagnosis Using Manhattan Distance and Dempster-Shafer</x:v>
      </x:c>
      <x:c r="E252" s="22" t="str">
        <x:v>MMitusndavani LC Makcdompit -CoglTo Sra = 2026</x:v>
      </x:c>
      <x:c r="F252" s="22" t="n">
        <x:v>2026</x:v>
      </x:c>
      <x:c r="G252" s="22" t="str">
        <x:v>cagife utklab ac dd</x:v>
      </x:c>
      <x:c r="H252" s="22" t="str">
        <x:v>Google Scholar result</x:v>
      </x:c>
      <x:c r="I252" s="22" t="str">
        <x:v>10.31154/cogito.v12i1.1050.43-56</x:v>
      </x:c>
      <x:c r="J252" s="22" t="str">
        <x:v>NR</x:v>
      </x:c>
      <x:c r="K252" s="22" t="str">
        <x:v>https://cogito.unklab.ac.id/index.php/cogito/article/download/1050/428/4268</x:v>
      </x:c>
      <x:c r="L252" s="22" t="str">
        <x:v>Eyes play an essential role in supporting independence, mobility, and quality of life among older adults. However, early diagnosis of eye diseases in elderly patients remains challenging, especially in regional clinics with high patient loads and limited diagnostic resources. This study develops an early diagnostic support system for elderly eye diseases by integrating Case-Based Reasoning, Manhattan Distance, and Dempster-Shafer theory. Manhattan Distance is used in the retrieve stage of Case-Based Reasoning to identify the most similar previous cases, while Dempster-Shafer theory is applied in the revise stage to strengthen diagnostic confidence under overlapping symptom conditions. The system covers six elderly eye diseases, namely ocular infection, cataract, glaucoma, presbyopia, dry eye disease, and retinopathy, represented by 22 symptoms and validated clinical cases from Klinik Mata Totabuan. The evaluation was conducted by comparing system outputs with expert-validated diagnoses. The proposed system achieved an overall accuracy of 93%, with disease-specific performance ranging from 87.5% to 94.4%. These results indicate that the proposed integration can support faster, measurable, and interpretable early diagnosis of elderly eye diseases in resource-limited clinical settings.</x:v>
      </x:c>
      <x:c r="M252" s="22" t="str">
        <x:v>No duplicate</x:v>
      </x:c>
      <x:c r="N252" s="22" t="str">
        <x:v>Not applicable — no duplicate group</x:v>
      </x:c>
      <x:c r="O252" s="22" t="str">
        <x:v>Not applicable</x:v>
      </x:c>
      <x:c r="P252" s="22" t="str">
        <x:v>Yes</x:v>
      </x:c>
      <x:c r="Q252" s="22" t="str">
        <x:v>Unclear</x:v>
      </x:c>
      <x:c r="R252" s="22" t="str">
        <x:v>Ophthalmic case-based reasoning, but available information does not establish whether imaging is used.</x:v>
      </x:c>
      <x:c r="S252" s="22" t="str">
        <x:v>Verification documented at process level</x:v>
      </x:c>
      <x:c r="T252" s="22" t="str">
        <x:v>Two additional authors performed random spot checks; individual spot-check assignments are not recorded in this register.</x:v>
      </x:c>
      <x:c r="U252" s="22" t="str">
        <x:v>Unclear</x:v>
      </x:c>
      <x:c r="V252" s="22" t="str">
        <x:v>Primary decision by the corresponding author; two additional authors performed random spot checks as a quality-control step.</x:v>
      </x:c>
      <x:c r="W252" s="22" t="str">
        <x:v>Yes</x:v>
      </x:c>
      <x:c r="X252" s="22" t="str">
        <x:v>Yes</x:v>
      </x:c>
      <x:c r="Y252" s="22" t="str">
        <x:v>Include</x:v>
      </x:c>
      <x:c r="Z252" s="22" t="str">
        <x:v>The corresponding author assessed the complete report and judged it eligible for inclusion in the review.</x:v>
      </x:c>
      <x:c r="AA252" s="22" t="str">
        <x:v>Verification documented at process level</x:v>
      </x:c>
      <x:c r="AB252" s="22" t="str">
        <x:v>Two additional authors performed random spot checks; individual spot-check assignments are not recorded in this register.</x:v>
      </x:c>
      <x:c r="AC252" s="22" t="str">
        <x:v>Include</x:v>
      </x:c>
      <x:c r="AD252" s="22" t="str">
        <x:v>Primary decision by the corresponding author; two additional authors performed random spot checks as a quality-control step.</x:v>
      </x:c>
      <x:c r="AE252" s="22" t="str">
        <x:v>Include</x:v>
      </x:c>
      <x:c r="AF252" s="22" t="str">
        <x:v>Contextual medical concept-XAI evidence</x:v>
      </x:c>
      <x:c r="AG252" s="22" t="str">
        <x:v>Evidence: 1e37f4dc-925f-4874-b4f9-a83294d4f35e.png; page 1, result 5. Metadata transcribed from captured Google Scholar page; OCR-normalised, verify against publication before citation.</x:v>
      </x:c>
      <x:c r="AH252" s="20" t="str">
        <x:v>No duplicate identified under the documented matching rules.</x:v>
      </x:c>
    </x:row>
    <x:row r="253" ht="42" customHeight="1">
      <x:c r="A253" s="22" t="str">
        <x:v>GS-03-006</x:v>
      </x:c>
      <x:c r="B253" s="22" t="str">
        <x:v>Google Scholar</x:v>
      </x:c>
      <x:c r="C253" s="22" t="str">
        <x:v>GS-03</x:v>
      </x:c>
      <x:c r="D253" s="22" t="str">
        <x:v>(mage processing using case-based reasoning A survey</x:v>
      </x:c>
      <x:c r="E253" s="22" t="str">
        <x:v>RBarman Sk Biswas $ Sarkar BPurkayastha</x:v>
      </x:c>
      <x:c r="F253" s="22" t="n">
        <x:v>2020</x:v>
      </x:c>
      <x:c r="G253" s="22" t="str">
        <x:v>Electronic Sysiems anc 2020 - Sonrge’</x:v>
      </x:c>
      <x:c r="H253" s="22" t="str">
        <x:v>Google Scholar result</x:v>
      </x:c>
      <x:c r="I253" s="22" t="str">
        <x:v>NR</x:v>
      </x:c>
      <x:c r="J253" s="22" t="str">
        <x:v>NR</x:v>
      </x:c>
      <x:c r="K253" s="22" t="str">
        <x:v>NR — URL not captured in the available source record</x:v>
      </x:c>
      <x:c r="L253" s="22" t="str">
        <x:v>Not available in the captured evidence; the screening decision used the title and available source metadata.</x:v>
      </x:c>
      <x:c r="M253" s="22" t="str">
        <x:v>No duplicate</x:v>
      </x:c>
      <x:c r="N253" s="22" t="str">
        <x:v>Not applicable — no duplicate group</x:v>
      </x:c>
      <x:c r="O253" s="22" t="str">
        <x:v>Not applicable</x:v>
      </x:c>
      <x:c r="P253" s="22" t="str">
        <x:v>Yes</x:v>
      </x:c>
      <x:c r="Q253" s="22" t="str">
        <x:v>Exclude</x:v>
      </x:c>
      <x:c r="R253" s="22" t="str">
        <x:v>Survey/non-original evidence.</x:v>
      </x:c>
      <x:c r="S253" s="22" t="str">
        <x:v>Verification documented at process level</x:v>
      </x:c>
      <x:c r="T253" s="22" t="str">
        <x:v>Two additional authors performed random spot checks; individual spot-check assignments are not recorded in this register.</x:v>
      </x:c>
      <x:c r="U253" s="22" t="str">
        <x:v>Exclude</x:v>
      </x:c>
      <x:c r="V253" s="22" t="str">
        <x:v>Primary decision by the corresponding author; two additional authors performed random spot checks as a quality-control step.</x:v>
      </x:c>
      <x:c r="W253" s="22" t="str">
        <x:v>No</x:v>
      </x:c>
      <x:c r="X253" s="22" t="str">
        <x:v>Not applicable</x:v>
      </x:c>
      <x:c r="Y253" s="22" t="str">
        <x:v>Not assessed</x:v>
      </x:c>
      <x:c r="Z253" s="22" t="str">
        <x:v>Not advanced to full-text assessment after the title/abstract decision.</x:v>
      </x:c>
      <x:c r="AA253" s="22" t="str">
        <x:v>Not applicable</x:v>
      </x:c>
      <x:c r="AB253" s="22" t="str">
        <x:v>Record was not advanced to full-text assessment.</x:v>
      </x:c>
      <x:c r="AC253" s="22" t="str">
        <x:v>Not assessed</x:v>
      </x:c>
      <x:c r="AD253" s="22" t="str">
        <x:v>Not applicable — no full-text assessment was required.</x:v>
      </x:c>
      <x:c r="AE253" s="22" t="str">
        <x:v>Not included — title/abstract exclusion</x:v>
      </x:c>
      <x:c r="AF253" s="22" t="str">
        <x:v>Not applicable — not included</x:v>
      </x:c>
      <x:c r="AG253" s="22" t="str">
        <x:v>Evidence: 1e37f4dc-925f-4874-b4f9-a83294d4f35e.png; page 1, result 6. Metadata transcribed from captured Google Scholar page; OCR-normalised, verify against publication before citation.</x:v>
      </x:c>
      <x:c r="AH253" s="20" t="str">
        <x:v>No duplicate identified under the documented matching rules.</x:v>
      </x:c>
    </x:row>
    <x:row r="254" ht="42" customHeight="1">
      <x:c r="A254" s="22" t="str">
        <x:v>GS-03-007</x:v>
      </x:c>
      <x:c r="B254" s="22" t="str">
        <x:v>Google Scholar</x:v>
      </x:c>
      <x:c r="C254" s="22" t="str">
        <x:v>GS-03</x:v>
      </x:c>
      <x:c r="D254" s="22" t="str">
        <x:v>Evaluating Large Language Models in Specialized Myopia Knowledge and Clinical Reasoning</x:v>
      </x:c>
      <x:c r="E254" s="22" t="str">
        <x:v>ZU N Xn Tang L Xiaodeng. X Jia</x:v>
      </x:c>
      <x:c r="F254" s="22" t="n">
        <x:v>2026</x:v>
      </x:c>
      <x:c r="G254" s="22" t="str">
        <x:v>Frontiers in Medicine. 2026 - frocttersin org</x:v>
      </x:c>
      <x:c r="H254" s="22" t="str">
        <x:v>Google Scholar result</x:v>
      </x:c>
      <x:c r="I254" s="22" t="str">
        <x:v>NR</x:v>
      </x:c>
      <x:c r="J254" s="22" t="str">
        <x:v>NR</x:v>
      </x:c>
      <x:c r="K254" s="22" t="str">
        <x:v>NR — URL not captured in the available source record</x:v>
      </x:c>
      <x:c r="L254" s="22" t="str">
        <x:v>Not available in the captured evidence; the screening decision used the title and available source metadata.</x:v>
      </x:c>
      <x:c r="M254" s="22" t="str">
        <x:v>No duplicate</x:v>
      </x:c>
      <x:c r="N254" s="22" t="str">
        <x:v>Not applicable — no duplicate group</x:v>
      </x:c>
      <x:c r="O254" s="22" t="str">
        <x:v>Not applicable</x:v>
      </x:c>
      <x:c r="P254" s="22" t="str">
        <x:v>Yes</x:v>
      </x:c>
      <x:c r="Q254" s="22" t="str">
        <x:v>Exclude</x:v>
      </x:c>
      <x:c r="R254" s="22" t="str">
        <x:v>No case-based or concept-based imaging explanation method.</x:v>
      </x:c>
      <x:c r="S254" s="22" t="str">
        <x:v>Verification documented at process level</x:v>
      </x:c>
      <x:c r="T254" s="22" t="str">
        <x:v>Two additional authors performed random spot checks; individual spot-check assignments are not recorded in this register.</x:v>
      </x:c>
      <x:c r="U254" s="22" t="str">
        <x:v>Exclude</x:v>
      </x:c>
      <x:c r="V254" s="22" t="str">
        <x:v>Primary decision by the corresponding author; two additional authors performed random spot checks as a quality-control step.</x:v>
      </x:c>
      <x:c r="W254" s="22" t="str">
        <x:v>No</x:v>
      </x:c>
      <x:c r="X254" s="22" t="str">
        <x:v>Not applicable</x:v>
      </x:c>
      <x:c r="Y254" s="22" t="str">
        <x:v>Not assessed</x:v>
      </x:c>
      <x:c r="Z254" s="22" t="str">
        <x:v>Not advanced to full-text assessment after the title/abstract decision.</x:v>
      </x:c>
      <x:c r="AA254" s="22" t="str">
        <x:v>Not applicable</x:v>
      </x:c>
      <x:c r="AB254" s="22" t="str">
        <x:v>Record was not advanced to full-text assessment.</x:v>
      </x:c>
      <x:c r="AC254" s="22" t="str">
        <x:v>Not assessed</x:v>
      </x:c>
      <x:c r="AD254" s="22" t="str">
        <x:v>Not applicable — no full-text assessment was required.</x:v>
      </x:c>
      <x:c r="AE254" s="22" t="str">
        <x:v>Not included — title/abstract exclusion</x:v>
      </x:c>
      <x:c r="AF254" s="22" t="str">
        <x:v>Not applicable — not included</x:v>
      </x:c>
      <x:c r="AG254" s="22" t="str">
        <x:v>Evidence: 1e37f4dc-925f-4874-b4f9-a83294d4f35e.png; page 1, result 7. Metadata transcribed from captured Google Scholar page; OCR-normalised, verify against publication before citation.</x:v>
      </x:c>
      <x:c r="AH254" s="20" t="str">
        <x:v>No duplicate identified under the documented matching rules.</x:v>
      </x:c>
    </x:row>
    <x:row r="255" ht="42" customHeight="1">
      <x:c r="A255" s="22" t="str">
        <x:v>GS-03-008</x:v>
      </x:c>
      <x:c r="B255" s="22" t="str">
        <x:v>Google Scholar</x:v>
      </x:c>
      <x:c r="C255" s="22" t="str">
        <x:v>GS-03</x:v>
      </x:c>
      <x:c r="D255" s="22" t="str">
        <x:v>impraving Retneval Performance of Case Based Reasoning Systems by Fuzzy Clustering</x:v>
      </x:c>
      <x:c r="E255" s="22" t="str">
        <x:v>E Saad. BAimaci E Henn</x:v>
      </x:c>
      <x:c r="F255" s="22" t="n">
        <x:v>2024</x:v>
      </x:c>
      <x:c r="G255" s="22" t="str">
        <x:v>Intecratonal Journal of interactive . 2024 - revista uri nel</x:v>
      </x:c>
      <x:c r="H255" s="22" t="str">
        <x:v>Google Scholar result</x:v>
      </x:c>
      <x:c r="I255" s="22" t="str">
        <x:v>NR</x:v>
      </x:c>
      <x:c r="J255" s="22" t="str">
        <x:v>NR</x:v>
      </x:c>
      <x:c r="K255" s="22" t="str">
        <x:v>NR — URL not captured in the available source record</x:v>
      </x:c>
      <x:c r="L255" s="22" t="str">
        <x:v>Not available in the captured evidence; the screening decision used the title and available source metadata.</x:v>
      </x:c>
      <x:c r="M255" s="22" t="str">
        <x:v>No duplicate</x:v>
      </x:c>
      <x:c r="N255" s="22" t="str">
        <x:v>Not applicable — no duplicate group</x:v>
      </x:c>
      <x:c r="O255" s="22" t="str">
        <x:v>Not applicable</x:v>
      </x:c>
      <x:c r="P255" s="22" t="str">
        <x:v>Yes</x:v>
      </x:c>
      <x:c r="Q255" s="22" t="str">
        <x:v>Exclude</x:v>
      </x:c>
      <x:c r="R255" s="22" t="str">
        <x:v>Generic case-based-reasoning retrieval optimisation without medical evaluation.</x:v>
      </x:c>
      <x:c r="S255" s="22" t="str">
        <x:v>Verification documented at process level</x:v>
      </x:c>
      <x:c r="T255" s="22" t="str">
        <x:v>Two additional authors performed random spot checks; individual spot-check assignments are not recorded in this register.</x:v>
      </x:c>
      <x:c r="U255" s="22" t="str">
        <x:v>Exclude</x:v>
      </x:c>
      <x:c r="V255" s="22" t="str">
        <x:v>Primary decision by the corresponding author; two additional authors performed random spot checks as a quality-control step.</x:v>
      </x:c>
      <x:c r="W255" s="22" t="str">
        <x:v>No</x:v>
      </x:c>
      <x:c r="X255" s="22" t="str">
        <x:v>Not applicable</x:v>
      </x:c>
      <x:c r="Y255" s="22" t="str">
        <x:v>Not assessed</x:v>
      </x:c>
      <x:c r="Z255" s="22" t="str">
        <x:v>Not advanced to full-text assessment after the title/abstract decision.</x:v>
      </x:c>
      <x:c r="AA255" s="22" t="str">
        <x:v>Not applicable</x:v>
      </x:c>
      <x:c r="AB255" s="22" t="str">
        <x:v>Record was not advanced to full-text assessment.</x:v>
      </x:c>
      <x:c r="AC255" s="22" t="str">
        <x:v>Not assessed</x:v>
      </x:c>
      <x:c r="AD255" s="22" t="str">
        <x:v>Not applicable — no full-text assessment was required.</x:v>
      </x:c>
      <x:c r="AE255" s="22" t="str">
        <x:v>Not included — title/abstract exclusion</x:v>
      </x:c>
      <x:c r="AF255" s="22" t="str">
        <x:v>Not applicable — not included</x:v>
      </x:c>
      <x:c r="AG255" s="22" t="str">
        <x:v>Evidence: 1e37f4dc-925f-4874-b4f9-a83294d4f35e.png; page 1, result 8. Metadata transcribed from captured Google Scholar page; OCR-normalised, verify against publication before citation.</x:v>
      </x:c>
      <x:c r="AH255" s="20" t="str">
        <x:v>No duplicate identified under the documented matching rules.</x:v>
      </x:c>
    </x:row>
    <x:row r="256" ht="42" customHeight="1">
      <x:c r="A256" s="22" t="str">
        <x:v>GS-03-009</x:v>
      </x:c>
      <x:c r="B256" s="22" t="str">
        <x:v>Google Scholar</x:v>
      </x:c>
      <x:c r="C256" s="22" t="str">
        <x:v>GS-03</x:v>
      </x:c>
      <x:c r="D256" s="22" t="str">
        <x:v>por] A Case Assessment Of Knowledge-Based Fit In Frame For Diagnosis Of Human Eye Diseases</x:v>
      </x:c>
      <x:c r="E256" s="22" t="str">
        <x:v>NMishra G Thansayel JM Samuel</x:v>
      </x:c>
      <x:c r="F256" s="22" t="n">
        <x:v>2019</x:v>
      </x:c>
      <x:c r="G256" s="22" t="str">
        <x:v>Journal of Criical Revews 2019 - researchgate net</x:v>
      </x:c>
      <x:c r="H256" s="22" t="str">
        <x:v>Google Scholar result</x:v>
      </x:c>
      <x:c r="I256" s="22" t="str">
        <x:v>NR</x:v>
      </x:c>
      <x:c r="J256" s="22" t="str">
        <x:v>NR</x:v>
      </x:c>
      <x:c r="K256" s="22" t="str">
        <x:v>NR — URL not captured in the available source record</x:v>
      </x:c>
      <x:c r="L256" s="22" t="str">
        <x:v>Not available in the captured evidence; the screening decision used the title and available source metadata.</x:v>
      </x:c>
      <x:c r="M256" s="22" t="str">
        <x:v>No duplicate</x:v>
      </x:c>
      <x:c r="N256" s="22" t="str">
        <x:v>Not applicable — no duplicate group</x:v>
      </x:c>
      <x:c r="O256" s="22" t="str">
        <x:v>Not applicable</x:v>
      </x:c>
      <x:c r="P256" s="22" t="str">
        <x:v>Yes</x:v>
      </x:c>
      <x:c r="Q256" s="22" t="str">
        <x:v>Exclude</x:v>
      </x:c>
      <x:c r="R256" s="22" t="str">
        <x:v>Symptom/rule-based knowledge system rather than ophthalmic imaging.</x:v>
      </x:c>
      <x:c r="S256" s="22" t="str">
        <x:v>Verification documented at process level</x:v>
      </x:c>
      <x:c r="T256" s="22" t="str">
        <x:v>Two additional authors performed random spot checks; individual spot-check assignments are not recorded in this register.</x:v>
      </x:c>
      <x:c r="U256" s="22" t="str">
        <x:v>Exclude</x:v>
      </x:c>
      <x:c r="V256" s="22" t="str">
        <x:v>Primary decision by the corresponding author; two additional authors performed random spot checks as a quality-control step.</x:v>
      </x:c>
      <x:c r="W256" s="22" t="str">
        <x:v>No</x:v>
      </x:c>
      <x:c r="X256" s="22" t="str">
        <x:v>Not applicable</x:v>
      </x:c>
      <x:c r="Y256" s="22" t="str">
        <x:v>Not assessed</x:v>
      </x:c>
      <x:c r="Z256" s="22" t="str">
        <x:v>Not advanced to full-text assessment after the title/abstract decision.</x:v>
      </x:c>
      <x:c r="AA256" s="22" t="str">
        <x:v>Not applicable</x:v>
      </x:c>
      <x:c r="AB256" s="22" t="str">
        <x:v>Record was not advanced to full-text assessment.</x:v>
      </x:c>
      <x:c r="AC256" s="22" t="str">
        <x:v>Not assessed</x:v>
      </x:c>
      <x:c r="AD256" s="22" t="str">
        <x:v>Not applicable — no full-text assessment was required.</x:v>
      </x:c>
      <x:c r="AE256" s="22" t="str">
        <x:v>Not included — title/abstract exclusion</x:v>
      </x:c>
      <x:c r="AF256" s="22" t="str">
        <x:v>Not applicable — not included</x:v>
      </x:c>
      <x:c r="AG256" s="22" t="str">
        <x:v>Evidence: 1e37f4dc-925f-4874-b4f9-a83294d4f35e.png; page 1, result 9. Metadata transcribed from captured Google Scholar page; OCR-normalised, verify against publication before citation.</x:v>
      </x:c>
      <x:c r="AH256" s="20" t="str">
        <x:v>No duplicate identified under the documented matching rules.</x:v>
      </x:c>
    </x:row>
    <x:row r="257" ht="42" customHeight="1">
      <x:c r="A257" s="22" t="str">
        <x:v>GS-03-010</x:v>
      </x:c>
      <x:c r="B257" s="22" t="str">
        <x:v>Google Scholar</x:v>
      </x:c>
      <x:c r="C257" s="22" t="str">
        <x:v>GS-03</x:v>
      </x:c>
      <x:c r="D257" s="22" t="str">
        <x:v>(nterpretable mammographic image classification using case-based reasoning and deep learning</x:v>
      </x:c>
      <x:c r="E257" s="22" t="str">
        <x:v>AlBamett FR Schware Cao CChen YRe&gt; -arXiv preprint arXiv, 2021</x:v>
      </x:c>
      <x:c r="F257" s="22" t="n">
        <x:v>2021</x:v>
      </x:c>
      <x:c r="G257" s="22" t="str">
        <x:v>arciv org</x:v>
      </x:c>
      <x:c r="H257" s="22" t="str">
        <x:v>Google Scholar result</x:v>
      </x:c>
      <x:c r="I257" s="22" t="str">
        <x:v>NR</x:v>
      </x:c>
      <x:c r="J257" s="22" t="str">
        <x:v>2107.05605</x:v>
      </x:c>
      <x:c r="K257" s="22" t="str">
        <x:v>https://arxiv.org/pdf/2107.05605</x:v>
      </x:c>
      <x:c r="L257" s="22" t="str">
        <x:v>When we deploy machine learning models in high-stakes medical settings, we must ensure these models make accurate predictions that are consistent with known medical science. Inherently interpretable networks address this need by explaining the rationale behind each decision while maintaining equal or higher accuracy compared to black-box models. In this work, we present a novel interpretable neural network algorithm that uses case-based reasoning for mammography. Designed to aid a radiologist in their decisions, our network presents both a prediction of malignancy and an explanation of that prediction using known medical features. In order to yield helpful explanations, the network is designed to mimic the reasoning processes of a radiologist: our network first detects the clinically relevant semantic features of each image by comparing each new image with a learned set of prototypical image parts from the training images, then uses those clinical features to predict malignancy. Compared to other methods, our model detects clinical features (mass margins) with equal or higher accuracy, provides a more detailed explanation of its prediction, and is better able to differentiate the classification-relevant parts of the image.</x:v>
      </x:c>
      <x:c r="M257" s="22" t="str">
        <x:v>No duplicate</x:v>
      </x:c>
      <x:c r="N257" s="22" t="str">
        <x:v>Not applicable — no duplicate group</x:v>
      </x:c>
      <x:c r="O257" s="22" t="str">
        <x:v>Not applicable</x:v>
      </x:c>
      <x:c r="P257" s="22" t="str">
        <x:v>Yes</x:v>
      </x:c>
      <x:c r="Q257" s="22" t="str">
        <x:v>Include</x:v>
      </x:c>
      <x:c r="R257" s="22" t="str">
        <x:v>Explicit medical-image case-based reasoning using clinically meaningful prototypical parts; contextual evidence.</x:v>
      </x:c>
      <x:c r="S257" s="22" t="str">
        <x:v>Verification documented at process level</x:v>
      </x:c>
      <x:c r="T257" s="22" t="str">
        <x:v>Two additional authors performed random spot checks; individual spot-check assignments are not recorded in this register.</x:v>
      </x:c>
      <x:c r="U257" s="22" t="str">
        <x:v>Include</x:v>
      </x:c>
      <x:c r="V257" s="22" t="str">
        <x:v>Primary decision by the corresponding author; two additional authors performed random spot checks as a quality-control step.</x:v>
      </x:c>
      <x:c r="W257" s="22" t="str">
        <x:v>Yes</x:v>
      </x:c>
      <x:c r="X257" s="22" t="str">
        <x:v>Yes</x:v>
      </x:c>
      <x:c r="Y257" s="22" t="str">
        <x:v>Include</x:v>
      </x:c>
      <x:c r="Z257" s="22" t="str">
        <x:v>The corresponding author assessed the complete report and judged it eligible for inclusion in the review.</x:v>
      </x:c>
      <x:c r="AA257" s="22" t="str">
        <x:v>Verification documented at process level</x:v>
      </x:c>
      <x:c r="AB257" s="22" t="str">
        <x:v>Two additional authors performed random spot checks; individual spot-check assignments are not recorded in this register.</x:v>
      </x:c>
      <x:c r="AC257" s="22" t="str">
        <x:v>Include</x:v>
      </x:c>
      <x:c r="AD257" s="22" t="str">
        <x:v>Primary decision by the corresponding author; two additional authors performed random spot checks as a quality-control step.</x:v>
      </x:c>
      <x:c r="AE257" s="22" t="str">
        <x:v>Include</x:v>
      </x:c>
      <x:c r="AF257" s="22" t="str">
        <x:v>Contextual medical concept-XAI evidence</x:v>
      </x:c>
      <x:c r="AG257" s="22" t="str">
        <x:v>Evidence: 1e37f4dc-925f-4874-b4f9-a83294d4f35e.png; page 1, result 10. Metadata transcribed from captured Google Scholar page; OCR-normalised, verify against publication before citation.</x:v>
      </x:c>
      <x:c r="AH257" s="20" t="str">
        <x:v>No duplicate identified under the documented matching rules.</x:v>
      </x:c>
    </x:row>
    <x:row r="258" ht="42" customHeight="1">
      <x:c r="A258" s="22" t="str">
        <x:v>GS-03-011</x:v>
      </x:c>
      <x:c r="B258" s="22" t="str">
        <x:v>Google Scholar</x:v>
      </x:c>
      <x:c r="C258" s="22" t="str">
        <x:v>GS-03</x:v>
      </x:c>
      <x:c r="D258" s="22" t="str">
        <x:v>(4T#L] Decision support for managing commen musculoskeletal pain disorders. development of a case-based reasoning application</x:v>
      </x:c>
      <x:c r="E258" s="22" t="str">
        <x:v>F Granviken. O Vassellen K Bach.</x:v>
      </x:c>
      <x:c r="F258" s="22" t="n">
        <x:v>2024</x:v>
      </x:c>
      <x:c r="G258" s="22" t="str">
        <x:v>JMR Formaive 2024 - farmalive jmir org</x:v>
      </x:c>
      <x:c r="H258" s="22" t="str">
        <x:v>Google Scholar result</x:v>
      </x:c>
      <x:c r="I258" s="22" t="str">
        <x:v>NR</x:v>
      </x:c>
      <x:c r="J258" s="22" t="str">
        <x:v>NR</x:v>
      </x:c>
      <x:c r="K258" s="22" t="str">
        <x:v>NR — URL not captured in the available source record</x:v>
      </x:c>
      <x:c r="L258" s="22" t="str">
        <x:v>Not available in the captured evidence; the screening decision used the title and available source metadata.</x:v>
      </x:c>
      <x:c r="M258" s="22" t="str">
        <x:v>No duplicate</x:v>
      </x:c>
      <x:c r="N258" s="22" t="str">
        <x:v>Not applicable — no duplicate group</x:v>
      </x:c>
      <x:c r="O258" s="22" t="str">
        <x:v>Not applicable</x:v>
      </x:c>
      <x:c r="P258" s="22" t="str">
        <x:v>Yes</x:v>
      </x:c>
      <x:c r="Q258" s="22" t="str">
        <x:v>Exclude</x:v>
      </x:c>
      <x:c r="R258" s="22" t="str">
        <x:v>Non-imaging clinical decision-support application.</x:v>
      </x:c>
      <x:c r="S258" s="22" t="str">
        <x:v>Verification documented at process level</x:v>
      </x:c>
      <x:c r="T258" s="22" t="str">
        <x:v>Two additional authors performed random spot checks; individual spot-check assignments are not recorded in this register.</x:v>
      </x:c>
      <x:c r="U258" s="22" t="str">
        <x:v>Exclude</x:v>
      </x:c>
      <x:c r="V258" s="22" t="str">
        <x:v>Primary decision by the corresponding author; two additional authors performed random spot checks as a quality-control step.</x:v>
      </x:c>
      <x:c r="W258" s="22" t="str">
        <x:v>No</x:v>
      </x:c>
      <x:c r="X258" s="22" t="str">
        <x:v>Not applicable</x:v>
      </x:c>
      <x:c r="Y258" s="22" t="str">
        <x:v>Not assessed</x:v>
      </x:c>
      <x:c r="Z258" s="22" t="str">
        <x:v>Not advanced to full-text assessment after the title/abstract decision.</x:v>
      </x:c>
      <x:c r="AA258" s="22" t="str">
        <x:v>Not applicable</x:v>
      </x:c>
      <x:c r="AB258" s="22" t="str">
        <x:v>Record was not advanced to full-text assessment.</x:v>
      </x:c>
      <x:c r="AC258" s="22" t="str">
        <x:v>Not assessed</x:v>
      </x:c>
      <x:c r="AD258" s="22" t="str">
        <x:v>Not applicable — no full-text assessment was required.</x:v>
      </x:c>
      <x:c r="AE258" s="22" t="str">
        <x:v>Not included — title/abstract exclusion</x:v>
      </x:c>
      <x:c r="AF258" s="22" t="str">
        <x:v>Not applicable — not included</x:v>
      </x:c>
      <x:c r="AG258" s="22" t="str">
        <x:v>Evidence: 8f76b221-08bb-4a2a-bb6b-6c23c8e77941.png; page 2, result 1. Metadata transcribed from captured Google Scholar page; OCR-normalised, verify against publication before citation.</x:v>
      </x:c>
      <x:c r="AH258" s="20" t="str">
        <x:v>No duplicate identified under the documented matching rules.</x:v>
      </x:c>
    </x:row>
    <x:row r="259" ht="42" customHeight="1">
      <x:c r="A259" s="22" t="str">
        <x:v>GS-03-012</x:v>
      </x:c>
      <x:c r="B259" s="22" t="str">
        <x:v>Google Scholar</x:v>
      </x:c>
      <x:c r="C259" s="22" t="str">
        <x:v>GS-03</x:v>
      </x:c>
      <x:c r="D259" s="22" t="str">
        <x:v>Using case-based reasoning In a learning system a prototype of a padagagical hurss tool for evidence-based diabetic foot ulcer care</x:v>
      </x:c>
      <x:c r="E259" s="22" t="str">
        <x:v>C Bende: SL Cichasz AfMMalovini. -Joutna of Diabetes 2022</x:v>
      </x:c>
      <x:c r="F259" s="22" t="n">
        <x:v>2022</x:v>
      </x:c>
      <x:c r="G259" s="22" t="str">
        <x:v>jeurnals sagepub com</x:v>
      </x:c>
      <x:c r="H259" s="22" t="str">
        <x:v>Google Scholar result</x:v>
      </x:c>
      <x:c r="I259" s="22" t="str">
        <x:v>NR</x:v>
      </x:c>
      <x:c r="J259" s="22" t="str">
        <x:v>NR</x:v>
      </x:c>
      <x:c r="K259" s="22" t="str">
        <x:v>NR — URL not captured in the available source record</x:v>
      </x:c>
      <x:c r="L259" s="22" t="str">
        <x:v>Not available in the captured evidence; the screening decision used the title and available source metadata.</x:v>
      </x:c>
      <x:c r="M259" s="22" t="str">
        <x:v>No duplicate</x:v>
      </x:c>
      <x:c r="N259" s="22" t="str">
        <x:v>Not applicable — no duplicate group</x:v>
      </x:c>
      <x:c r="O259" s="22" t="str">
        <x:v>Not applicable</x:v>
      </x:c>
      <x:c r="P259" s="22" t="str">
        <x:v>Yes</x:v>
      </x:c>
      <x:c r="Q259" s="22" t="str">
        <x:v>Exclude</x:v>
      </x:c>
      <x:c r="R259" s="22" t="str">
        <x:v>Educational care tool rather than medical-image explanation.</x:v>
      </x:c>
      <x:c r="S259" s="22" t="str">
        <x:v>Verification documented at process level</x:v>
      </x:c>
      <x:c r="T259" s="22" t="str">
        <x:v>Two additional authors performed random spot checks; individual spot-check assignments are not recorded in this register.</x:v>
      </x:c>
      <x:c r="U259" s="22" t="str">
        <x:v>Exclude</x:v>
      </x:c>
      <x:c r="V259" s="22" t="str">
        <x:v>Primary decision by the corresponding author; two additional authors performed random spot checks as a quality-control step.</x:v>
      </x:c>
      <x:c r="W259" s="22" t="str">
        <x:v>No</x:v>
      </x:c>
      <x:c r="X259" s="22" t="str">
        <x:v>Not applicable</x:v>
      </x:c>
      <x:c r="Y259" s="22" t="str">
        <x:v>Not assessed</x:v>
      </x:c>
      <x:c r="Z259" s="22" t="str">
        <x:v>Not advanced to full-text assessment after the title/abstract decision.</x:v>
      </x:c>
      <x:c r="AA259" s="22" t="str">
        <x:v>Not applicable</x:v>
      </x:c>
      <x:c r="AB259" s="22" t="str">
        <x:v>Record was not advanced to full-text assessment.</x:v>
      </x:c>
      <x:c r="AC259" s="22" t="str">
        <x:v>Not assessed</x:v>
      </x:c>
      <x:c r="AD259" s="22" t="str">
        <x:v>Not applicable — no full-text assessment was required.</x:v>
      </x:c>
      <x:c r="AE259" s="22" t="str">
        <x:v>Not included — title/abstract exclusion</x:v>
      </x:c>
      <x:c r="AF259" s="22" t="str">
        <x:v>Not applicable — not included</x:v>
      </x:c>
      <x:c r="AG259" s="22" t="str">
        <x:v>Evidence: 8f76b221-08bb-4a2a-bb6b-6c23c8e77941.png; page 2, result 2. Metadata transcribed from captured Google Scholar page; OCR-normalised, verify against publication before citation.</x:v>
      </x:c>
      <x:c r="AH259" s="20" t="str">
        <x:v>No duplicate identified under the documented matching rules.</x:v>
      </x:c>
    </x:row>
    <x:row r="260" ht="42" customHeight="1">
      <x:c r="A260" s="22" t="str">
        <x:v>GS-03-013</x:v>
      </x:c>
      <x:c r="B260" s="22" t="str">
        <x:v>Google Scholar</x:v>
      </x:c>
      <x:c r="C260" s="22" t="str">
        <x:v>GS-03</x:v>
      </x:c>
      <x:c r="D260" s="22" t="str">
        <x:v>Explainable prediction of chronic renal disease in the colombian population using neural networks and case-based reasoning</x:v>
      </x:c>
      <x:c r="E260" s="22" t="str">
        <x:v>GR Vasquez-Morsles SM Marinez-Monterrubio -lsee =. 20:19</x:v>
      </x:c>
      <x:c r="F260" s="22" t="str">
        <x:v>NR</x:v>
      </x:c>
      <x:c r="G260" s="22" t="str">
        <x:v>iesexplore iewe org</x:v>
      </x:c>
      <x:c r="H260" s="22" t="str">
        <x:v>Google Scholar result</x:v>
      </x:c>
      <x:c r="I260" s="22" t="str">
        <x:v>10.1109/ACCESS.2019.2948430</x:v>
      </x:c>
      <x:c r="J260" s="22" t="str">
        <x:v>NR</x:v>
      </x:c>
      <x:c r="K260" s="22" t="str">
        <x:v>https://doi.org/10.1109/ACCESS.2019.2948430</x:v>
      </x:c>
      <x:c r="L260" s="22" t="str">
        <x:v>This paper presents a neural network-based classifier to predict whether a person is at risk of developing chronic kidney disease (CKD). The model is trained with the demographic data and medical care information of two population groups: on the one hand, people diagnosed with CKD in Colombia during 2018, and on the other, a sample of people without a diagnosis of this disease. Once the model is trained and evaluation metrics for classification algorithms are applied, the model achieves 95% accuracy in the test data set, making its application for disease prognosis feasible. However, despite the demonstrated efficiency of the neural networks to predict CKD, this machine-learning paradigm is opaque to the expert regarding the explanation of the outcome. Current research on eXplainable AI proposes the use of twin systems, where a black-box machine-learning method is complemented by another white-box method that provides explanations about the predicted values. Case-Based Reasoning (CBR) has proved to be an ideal complement as this paradigm is able to find explanatory cases for an explanation-by-example justification of a neural network's prediction. In this paper, we apply and validate a NN-CBR twin system for the explanation of CKD predictions. As a result of this research, 3,494,516 people were identified as being at risk of developing CKD in Colombia, or 7% of the total population.</x:v>
      </x:c>
      <x:c r="M260" s="22" t="str">
        <x:v>No duplicate</x:v>
      </x:c>
      <x:c r="N260" s="22" t="str">
        <x:v>Not applicable — no duplicate group</x:v>
      </x:c>
      <x:c r="O260" s="22" t="str">
        <x:v>Not applicable</x:v>
      </x:c>
      <x:c r="P260" s="22" t="str">
        <x:v>Yes</x:v>
      </x:c>
      <x:c r="Q260" s="22" t="str">
        <x:v>Include</x:v>
      </x:c>
      <x:c r="R260" s="22" t="str">
        <x:v>Explicit explainable medical case-based reasoning; retain as structured contextual XAI evidence.</x:v>
      </x:c>
      <x:c r="S260" s="22" t="str">
        <x:v>Verification documented at process level</x:v>
      </x:c>
      <x:c r="T260" s="22" t="str">
        <x:v>Two additional authors performed random spot checks; individual spot-check assignments are not recorded in this register.</x:v>
      </x:c>
      <x:c r="U260" s="22" t="str">
        <x:v>Include</x:v>
      </x:c>
      <x:c r="V260" s="22" t="str">
        <x:v>Primary decision by the corresponding author; two additional authors performed random spot checks as a quality-control step.</x:v>
      </x:c>
      <x:c r="W260" s="22" t="str">
        <x:v>Yes</x:v>
      </x:c>
      <x:c r="X260" s="22" t="str">
        <x:v>Yes</x:v>
      </x:c>
      <x:c r="Y260" s="22" t="str">
        <x:v>Include</x:v>
      </x:c>
      <x:c r="Z260" s="22" t="str">
        <x:v>The corresponding author assessed the complete report and judged it eligible for inclusion in the review.</x:v>
      </x:c>
      <x:c r="AA260" s="22" t="str">
        <x:v>Verification documented at process level</x:v>
      </x:c>
      <x:c r="AB260" s="22" t="str">
        <x:v>Two additional authors performed random spot checks; individual spot-check assignments are not recorded in this register.</x:v>
      </x:c>
      <x:c r="AC260" s="22" t="str">
        <x:v>Include</x:v>
      </x:c>
      <x:c r="AD260" s="22" t="str">
        <x:v>Primary decision by the corresponding author; two additional authors performed random spot checks as a quality-control step.</x:v>
      </x:c>
      <x:c r="AE260" s="22" t="str">
        <x:v>Include</x:v>
      </x:c>
      <x:c r="AF260" s="22" t="str">
        <x:v>Contextual medical concept-XAI evidence</x:v>
      </x:c>
      <x:c r="AG260" s="22" t="str">
        <x:v>Evidence: 8f76b221-08bb-4a2a-bb6b-6c23c8e77941.png; page 2, result 3. Metadata transcribed from captured Google Scholar page; OCR-normalised, verify against publication before citation.</x:v>
      </x:c>
      <x:c r="AH260" s="20" t="str">
        <x:v>No duplicate identified under the documented matching rules.</x:v>
      </x:c>
    </x:row>
    <x:row r="261" ht="42" customHeight="1">
      <x:c r="A261" s="22" t="str">
        <x:v>GS-03-014</x:v>
      </x:c>
      <x:c r="B261" s="22" t="str">
        <x:v>Google Scholar</x:v>
      </x:c>
      <x:c r="C261" s="22" t="str">
        <x:v>GS-03</x:v>
      </x:c>
      <x:c r="D261" s="22" t="str">
        <x:v>Case-based reasoning for insulin bolus advice evaluation of case parameters In a six-week pilot study</x:v>
      </x:c>
      <x:c r="E261" s="22" t="str">
        <x:v>P Pes: P Herrero M Reddy. N Olver =</x:v>
      </x:c>
      <x:c r="F261" s="22" t="str">
        <x:v>NR</x:v>
      </x:c>
      <x:c r="G261" s="22" t="str">
        <x:v>Journal ef diabe!'es 2C17 - joumals sagepuk.con</x:v>
      </x:c>
      <x:c r="H261" s="22" t="str">
        <x:v>Google Scholar result</x:v>
      </x:c>
      <x:c r="I261" s="22" t="str">
        <x:v>NR</x:v>
      </x:c>
      <x:c r="J261" s="22" t="str">
        <x:v>NR</x:v>
      </x:c>
      <x:c r="K261" s="22" t="str">
        <x:v>NR — URL not captured in the available source record</x:v>
      </x:c>
      <x:c r="L261" s="22" t="str">
        <x:v>Not available in the captured evidence; the screening decision used the title and available source metadata.</x:v>
      </x:c>
      <x:c r="M261" s="22" t="str">
        <x:v>No duplicate</x:v>
      </x:c>
      <x:c r="N261" s="22" t="str">
        <x:v>Not applicable — no duplicate group</x:v>
      </x:c>
      <x:c r="O261" s="22" t="str">
        <x:v>Not applicable</x:v>
      </x:c>
      <x:c r="P261" s="22" t="str">
        <x:v>Yes</x:v>
      </x:c>
      <x:c r="Q261" s="22" t="str">
        <x:v>Exclude</x:v>
      </x:c>
      <x:c r="R261" s="22" t="str">
        <x:v>Clinical treatment advice without imaging.</x:v>
      </x:c>
      <x:c r="S261" s="22" t="str">
        <x:v>Verification documented at process level</x:v>
      </x:c>
      <x:c r="T261" s="22" t="str">
        <x:v>Two additional authors performed random spot checks; individual spot-check assignments are not recorded in this register.</x:v>
      </x:c>
      <x:c r="U261" s="22" t="str">
        <x:v>Exclude</x:v>
      </x:c>
      <x:c r="V261" s="22" t="str">
        <x:v>Primary decision by the corresponding author; two additional authors performed random spot checks as a quality-control step.</x:v>
      </x:c>
      <x:c r="W261" s="22" t="str">
        <x:v>No</x:v>
      </x:c>
      <x:c r="X261" s="22" t="str">
        <x:v>Not applicable</x:v>
      </x:c>
      <x:c r="Y261" s="22" t="str">
        <x:v>Not assessed</x:v>
      </x:c>
      <x:c r="Z261" s="22" t="str">
        <x:v>Not advanced to full-text assessment after the title/abstract decision.</x:v>
      </x:c>
      <x:c r="AA261" s="22" t="str">
        <x:v>Not applicable</x:v>
      </x:c>
      <x:c r="AB261" s="22" t="str">
        <x:v>Record was not advanced to full-text assessment.</x:v>
      </x:c>
      <x:c r="AC261" s="22" t="str">
        <x:v>Not assessed</x:v>
      </x:c>
      <x:c r="AD261" s="22" t="str">
        <x:v>Not applicable — no full-text assessment was required.</x:v>
      </x:c>
      <x:c r="AE261" s="22" t="str">
        <x:v>Not included — title/abstract exclusion</x:v>
      </x:c>
      <x:c r="AF261" s="22" t="str">
        <x:v>Not applicable — not included</x:v>
      </x:c>
      <x:c r="AG261" s="22" t="str">
        <x:v>Evidence: 8f76b221-08bb-4a2a-bb6b-6c23c8e77941.png; page 2, result 4. Metadata transcribed from captured Google Scholar page; OCR-normalised, verify against publication before citation.</x:v>
      </x:c>
      <x:c r="AH261" s="20" t="str">
        <x:v>No duplicate identified under the documented matching rules.</x:v>
      </x:c>
    </x:row>
    <x:row r="262" ht="42" customHeight="1">
      <x:c r="A262" s="22" t="str">
        <x:v>GS-03-015</x:v>
      </x:c>
      <x:c r="B262" s="22" t="str">
        <x:v>Google Scholar</x:v>
      </x:c>
      <x:c r="C262" s="22" t="str">
        <x:v>GS-03</x:v>
      </x:c>
      <x:c r="D262" s="22" t="str">
        <x:v>Application of Case-Based Reasoning to the safety assessment of critical software used in rail transport</x:v>
      </x:c>
      <x:c r="E262" s="22" t="str">
        <x:v>H Hadj-Mabrou«</x:v>
      </x:c>
      <x:c r="F262" s="22" t="n">
        <x:v>2020</x:v>
      </x:c>
      <x:c r="G262" s="22" t="str">
        <x:v>Savaty science 2020 - Slaaver</x:v>
      </x:c>
      <x:c r="H262" s="22" t="str">
        <x:v>Google Scholar result</x:v>
      </x:c>
      <x:c r="I262" s="22" t="str">
        <x:v>NR</x:v>
      </x:c>
      <x:c r="J262" s="22" t="str">
        <x:v>NR</x:v>
      </x:c>
      <x:c r="K262" s="22" t="str">
        <x:v>NR — URL not captured in the available source record</x:v>
      </x:c>
      <x:c r="L262" s="22" t="str">
        <x:v>Not available in the captured evidence; the screening decision used the title and available source metadata.</x:v>
      </x:c>
      <x:c r="M262" s="22" t="str">
        <x:v>No duplicate</x:v>
      </x:c>
      <x:c r="N262" s="22" t="str">
        <x:v>Not applicable — no duplicate group</x:v>
      </x:c>
      <x:c r="O262" s="22" t="str">
        <x:v>Not applicable</x:v>
      </x:c>
      <x:c r="P262" s="22" t="str">
        <x:v>Yes</x:v>
      </x:c>
      <x:c r="Q262" s="22" t="str">
        <x:v>Exclude</x:v>
      </x:c>
      <x:c r="R262" s="22" t="str">
        <x:v>Wrong domain: railway-software safety.</x:v>
      </x:c>
      <x:c r="S262" s="22" t="str">
        <x:v>Verification documented at process level</x:v>
      </x:c>
      <x:c r="T262" s="22" t="str">
        <x:v>Two additional authors performed random spot checks; individual spot-check assignments are not recorded in this register.</x:v>
      </x:c>
      <x:c r="U262" s="22" t="str">
        <x:v>Exclude</x:v>
      </x:c>
      <x:c r="V262" s="22" t="str">
        <x:v>Primary decision by the corresponding author; two additional authors performed random spot checks as a quality-control step.</x:v>
      </x:c>
      <x:c r="W262" s="22" t="str">
        <x:v>No</x:v>
      </x:c>
      <x:c r="X262" s="22" t="str">
        <x:v>Not applicable</x:v>
      </x:c>
      <x:c r="Y262" s="22" t="str">
        <x:v>Not assessed</x:v>
      </x:c>
      <x:c r="Z262" s="22" t="str">
        <x:v>Not advanced to full-text assessment after the title/abstract decision.</x:v>
      </x:c>
      <x:c r="AA262" s="22" t="str">
        <x:v>Not applicable</x:v>
      </x:c>
      <x:c r="AB262" s="22" t="str">
        <x:v>Record was not advanced to full-text assessment.</x:v>
      </x:c>
      <x:c r="AC262" s="22" t="str">
        <x:v>Not assessed</x:v>
      </x:c>
      <x:c r="AD262" s="22" t="str">
        <x:v>Not applicable — no full-text assessment was required.</x:v>
      </x:c>
      <x:c r="AE262" s="22" t="str">
        <x:v>Not included — title/abstract exclusion</x:v>
      </x:c>
      <x:c r="AF262" s="22" t="str">
        <x:v>Not applicable — not included</x:v>
      </x:c>
      <x:c r="AG262" s="22" t="str">
        <x:v>Evidence: 8f76b221-08bb-4a2a-bb6b-6c23c8e77941.png; page 2, result 5. Metadata transcribed from captured Google Scholar page; OCR-normalised, verify against publication before citation.</x:v>
      </x:c>
      <x:c r="AH262" s="20" t="str">
        <x:v>No duplicate identified under the documented matching rules.</x:v>
      </x:c>
    </x:row>
    <x:row r="263" ht="42" customHeight="1">
      <x:c r="A263" s="22" t="str">
        <x:v>GS-03-016</x:v>
      </x:c>
      <x:c r="B263" s="22" t="str">
        <x:v>Google Scholar</x:v>
      </x:c>
      <x:c r="C263" s="22" t="str">
        <x:v>GS-03</x:v>
      </x:c>
      <x:c r="D263" s="22" t="str">
        <x:v>A cellular automaton integrating spatial case-based reasoning for predicting local landslide hazards</x:v>
      </x:c>
      <x:c r="E263" s="22" t="str">
        <x:v>J Chen. « Xu Z Zhag, X San. “ Kie- Internahana Jo.malo’ = 2024</x:v>
      </x:c>
      <x:c r="F263" s="22" t="n">
        <x:v>2024</x:v>
      </x:c>
      <x:c r="G263" s="22" t="str">
        <x:v>“ayor &amp; Franus</x:v>
      </x:c>
      <x:c r="H263" s="22" t="str">
        <x:v>Google Scholar result</x:v>
      </x:c>
      <x:c r="I263" s="22" t="str">
        <x:v>NR</x:v>
      </x:c>
      <x:c r="J263" s="22" t="str">
        <x:v>NR</x:v>
      </x:c>
      <x:c r="K263" s="22" t="str">
        <x:v>NR — URL not captured in the available source record</x:v>
      </x:c>
      <x:c r="L263" s="22" t="str">
        <x:v>Not available in the captured evidence; the screening decision used the title and available source metadata.</x:v>
      </x:c>
      <x:c r="M263" s="22" t="str">
        <x:v>No duplicate</x:v>
      </x:c>
      <x:c r="N263" s="22" t="str">
        <x:v>Not applicable — no duplicate group</x:v>
      </x:c>
      <x:c r="O263" s="22" t="str">
        <x:v>Not applicable</x:v>
      </x:c>
      <x:c r="P263" s="22" t="str">
        <x:v>Yes</x:v>
      </x:c>
      <x:c r="Q263" s="22" t="str">
        <x:v>Exclude</x:v>
      </x:c>
      <x:c r="R263" s="22" t="str">
        <x:v>Wrong domain: geographical landslide hazards.</x:v>
      </x:c>
      <x:c r="S263" s="22" t="str">
        <x:v>Verification documented at process level</x:v>
      </x:c>
      <x:c r="T263" s="22" t="str">
        <x:v>Two additional authors performed random spot checks; individual spot-check assignments are not recorded in this register.</x:v>
      </x:c>
      <x:c r="U263" s="22" t="str">
        <x:v>Exclude</x:v>
      </x:c>
      <x:c r="V263" s="22" t="str">
        <x:v>Primary decision by the corresponding author; two additional authors performed random spot checks as a quality-control step.</x:v>
      </x:c>
      <x:c r="W263" s="22" t="str">
        <x:v>No</x:v>
      </x:c>
      <x:c r="X263" s="22" t="str">
        <x:v>Not applicable</x:v>
      </x:c>
      <x:c r="Y263" s="22" t="str">
        <x:v>Not assessed</x:v>
      </x:c>
      <x:c r="Z263" s="22" t="str">
        <x:v>Not advanced to full-text assessment after the title/abstract decision.</x:v>
      </x:c>
      <x:c r="AA263" s="22" t="str">
        <x:v>Not applicable</x:v>
      </x:c>
      <x:c r="AB263" s="22" t="str">
        <x:v>Record was not advanced to full-text assessment.</x:v>
      </x:c>
      <x:c r="AC263" s="22" t="str">
        <x:v>Not assessed</x:v>
      </x:c>
      <x:c r="AD263" s="22" t="str">
        <x:v>Not applicable — no full-text assessment was required.</x:v>
      </x:c>
      <x:c r="AE263" s="22" t="str">
        <x:v>Not included — title/abstract exclusion</x:v>
      </x:c>
      <x:c r="AF263" s="22" t="str">
        <x:v>Not applicable — not included</x:v>
      </x:c>
      <x:c r="AG263" s="22" t="str">
        <x:v>Evidence: 8f76b221-08bb-4a2a-bb6b-6c23c8e77941.png; page 2, result 6. Metadata transcribed from captured Google Scholar page; OCR-normalised, verify against publication before citation.</x:v>
      </x:c>
      <x:c r="AH263" s="20" t="str">
        <x:v>No duplicate identified under the documented matching rules.</x:v>
      </x:c>
    </x:row>
    <x:row r="264" ht="42" customHeight="1">
      <x:c r="A264" s="22" t="str">
        <x:v>GS-03-017</x:v>
      </x:c>
      <x:c r="B264" s="22" t="str">
        <x:v>Google Scholar</x:v>
      </x:c>
      <x:c r="C264" s="22" t="str">
        <x:v>GS-03</x:v>
      </x:c>
      <x:c r="D264" s="22" t="str">
        <x:v>Logistics project risk response decision-making for global supply chain resilience and agility’ an optimised case-based reasoning</x:v>
      </x:c>
      <x:c r="E264" s="22" t="str">
        <x:v>% Zhang, M Goh S Bai L Bai</x:v>
      </x:c>
      <x:c r="F264" s="22" t="n">
        <x:v>2026</x:v>
      </x:c>
      <x:c r="G264" s="22" t="str">
        <x:v>Inlemationa Joumalo’Praducten = 2026 - Taylar &amp; Francis</x:v>
      </x:c>
      <x:c r="H264" s="22" t="str">
        <x:v>Google Scholar result</x:v>
      </x:c>
      <x:c r="I264" s="22" t="str">
        <x:v>NR</x:v>
      </x:c>
      <x:c r="J264" s="22" t="str">
        <x:v>NR</x:v>
      </x:c>
      <x:c r="K264" s="22" t="str">
        <x:v>NR — URL not captured in the available source record</x:v>
      </x:c>
      <x:c r="L264" s="22" t="str">
        <x:v>Not available in the captured evidence; the screening decision used the title and available source metadata.</x:v>
      </x:c>
      <x:c r="M264" s="22" t="str">
        <x:v>No duplicate</x:v>
      </x:c>
      <x:c r="N264" s="22" t="str">
        <x:v>Not applicable — no duplicate group</x:v>
      </x:c>
      <x:c r="O264" s="22" t="str">
        <x:v>Not applicable</x:v>
      </x:c>
      <x:c r="P264" s="22" t="str">
        <x:v>Yes</x:v>
      </x:c>
      <x:c r="Q264" s="22" t="str">
        <x:v>Exclude</x:v>
      </x:c>
      <x:c r="R264" s="22" t="str">
        <x:v>Wrong domain: logistics and supply-chain risk.</x:v>
      </x:c>
      <x:c r="S264" s="22" t="str">
        <x:v>Verification documented at process level</x:v>
      </x:c>
      <x:c r="T264" s="22" t="str">
        <x:v>Two additional authors performed random spot checks; individual spot-check assignments are not recorded in this register.</x:v>
      </x:c>
      <x:c r="U264" s="22" t="str">
        <x:v>Exclude</x:v>
      </x:c>
      <x:c r="V264" s="22" t="str">
        <x:v>Primary decision by the corresponding author; two additional authors performed random spot checks as a quality-control step.</x:v>
      </x:c>
      <x:c r="W264" s="22" t="str">
        <x:v>No</x:v>
      </x:c>
      <x:c r="X264" s="22" t="str">
        <x:v>Not applicable</x:v>
      </x:c>
      <x:c r="Y264" s="22" t="str">
        <x:v>Not assessed</x:v>
      </x:c>
      <x:c r="Z264" s="22" t="str">
        <x:v>Not advanced to full-text assessment after the title/abstract decision.</x:v>
      </x:c>
      <x:c r="AA264" s="22" t="str">
        <x:v>Not applicable</x:v>
      </x:c>
      <x:c r="AB264" s="22" t="str">
        <x:v>Record was not advanced to full-text assessment.</x:v>
      </x:c>
      <x:c r="AC264" s="22" t="str">
        <x:v>Not assessed</x:v>
      </x:c>
      <x:c r="AD264" s="22" t="str">
        <x:v>Not applicable — no full-text assessment was required.</x:v>
      </x:c>
      <x:c r="AE264" s="22" t="str">
        <x:v>Not included — title/abstract exclusion</x:v>
      </x:c>
      <x:c r="AF264" s="22" t="str">
        <x:v>Not applicable — not included</x:v>
      </x:c>
      <x:c r="AG264" s="22" t="str">
        <x:v>Evidence: 8f76b221-08bb-4a2a-bb6b-6c23c8e77941.png; page 2, result 7. Metadata transcribed from captured Google Scholar page; OCR-normalised, verify against publication before citation.</x:v>
      </x:c>
      <x:c r="AH264" s="20" t="str">
        <x:v>No duplicate identified under the documented matching rules.</x:v>
      </x:c>
    </x:row>
    <x:row r="265" ht="42" customHeight="1">
      <x:c r="A265" s="22" t="str">
        <x:v>GS-03-018</x:v>
      </x:c>
      <x:c r="B265" s="22" t="str">
        <x:v>Google Scholar</x:v>
      </x:c>
      <x:c r="C265" s="22" t="str">
        <x:v>GS-03</x:v>
      </x:c>
      <x:c r="D265" s="22" t="str">
        <x:v>Design of an intelligent tutor system for the personalization of learning activities using case-based reasoning and multi-agent system</x:v>
      </x:c>
      <x:c r="E265" s="22" t="str">
        <x:v>LAngir | Challig M Khai, M Kalo . 2024</x:v>
      </x:c>
      <x:c r="F265" s="22" t="n">
        <x:v>2024</x:v>
      </x:c>
      <x:c r="G265" s="22" t="str">
        <x:v>journal vob edu bh</x:v>
      </x:c>
      <x:c r="H265" s="22" t="str">
        <x:v>Google Scholar result</x:v>
      </x:c>
      <x:c r="I265" s="22" t="str">
        <x:v>NR</x:v>
      </x:c>
      <x:c r="J265" s="22" t="str">
        <x:v>NR</x:v>
      </x:c>
      <x:c r="K265" s="22" t="str">
        <x:v>NR — URL not captured in the available source record</x:v>
      </x:c>
      <x:c r="L265" s="22" t="str">
        <x:v>Not available in the captured evidence; the screening decision used the title and available source metadata.</x:v>
      </x:c>
      <x:c r="M265" s="22" t="str">
        <x:v>No duplicate</x:v>
      </x:c>
      <x:c r="N265" s="22" t="str">
        <x:v>Not applicable — no duplicate group</x:v>
      </x:c>
      <x:c r="O265" s="22" t="str">
        <x:v>Not applicable</x:v>
      </x:c>
      <x:c r="P265" s="22" t="str">
        <x:v>Yes</x:v>
      </x:c>
      <x:c r="Q265" s="22" t="str">
        <x:v>Exclude</x:v>
      </x:c>
      <x:c r="R265" s="22" t="str">
        <x:v>Wrong domain: educational tutoring systems.</x:v>
      </x:c>
      <x:c r="S265" s="22" t="str">
        <x:v>Verification documented at process level</x:v>
      </x:c>
      <x:c r="T265" s="22" t="str">
        <x:v>Two additional authors performed random spot checks; individual spot-check assignments are not recorded in this register.</x:v>
      </x:c>
      <x:c r="U265" s="22" t="str">
        <x:v>Exclude</x:v>
      </x:c>
      <x:c r="V265" s="22" t="str">
        <x:v>Primary decision by the corresponding author; two additional authors performed random spot checks as a quality-control step.</x:v>
      </x:c>
      <x:c r="W265" s="22" t="str">
        <x:v>No</x:v>
      </x:c>
      <x:c r="X265" s="22" t="str">
        <x:v>Not applicable</x:v>
      </x:c>
      <x:c r="Y265" s="22" t="str">
        <x:v>Not assessed</x:v>
      </x:c>
      <x:c r="Z265" s="22" t="str">
        <x:v>Not advanced to full-text assessment after the title/abstract decision.</x:v>
      </x:c>
      <x:c r="AA265" s="22" t="str">
        <x:v>Not applicable</x:v>
      </x:c>
      <x:c r="AB265" s="22" t="str">
        <x:v>Record was not advanced to full-text assessment.</x:v>
      </x:c>
      <x:c r="AC265" s="22" t="str">
        <x:v>Not assessed</x:v>
      </x:c>
      <x:c r="AD265" s="22" t="str">
        <x:v>Not applicable — no full-text assessment was required.</x:v>
      </x:c>
      <x:c r="AE265" s="22" t="str">
        <x:v>Not included — title/abstract exclusion</x:v>
      </x:c>
      <x:c r="AF265" s="22" t="str">
        <x:v>Not applicable — not included</x:v>
      </x:c>
      <x:c r="AG265" s="22" t="str">
        <x:v>Evidence: 8f76b221-08bb-4a2a-bb6b-6c23c8e77941.png; page 2, result 8. Metadata transcribed from captured Google Scholar page; OCR-normalised, verify against publication before citation.</x:v>
      </x:c>
      <x:c r="AH265" s="20" t="str">
        <x:v>No duplicate identified under the documented matching rules.</x:v>
      </x:c>
    </x:row>
    <x:row r="266" ht="42" customHeight="1">
      <x:c r="A266" s="22" t="str">
        <x:v>GS-03-019</x:v>
      </x:c>
      <x:c r="B266" s="22" t="str">
        <x:v>Google Scholar</x:v>
      </x:c>
      <x:c r="C266" s="22" t="str">
        <x:v>GS-03</x:v>
      </x:c>
      <x:c r="D266" s="22" t="str">
        <x:v>CBR-PDS a case-based reasoning phishing detection system</x:v>
      </x:c>
      <x:c r="E266" s="22" t="str">
        <x:v>HAbwlar ABelghith § AlAhmadi -Jcumal of Ambeni Intelligence and . 2019</x:v>
      </x:c>
      <x:c r="F266" s="22" t="n">
        <x:v>2019</x:v>
      </x:c>
      <x:c r="G266" s="22" t="str">
        <x:v>Springer</x:v>
      </x:c>
      <x:c r="H266" s="22" t="str">
        <x:v>Google Scholar result</x:v>
      </x:c>
      <x:c r="I266" s="22" t="str">
        <x:v>NR</x:v>
      </x:c>
      <x:c r="J266" s="22" t="str">
        <x:v>NR</x:v>
      </x:c>
      <x:c r="K266" s="22" t="str">
        <x:v>NR — URL not captured in the available source record</x:v>
      </x:c>
      <x:c r="L266" s="22" t="str">
        <x:v>Not available in the captured evidence; the screening decision used the title and available source metadata.</x:v>
      </x:c>
      <x:c r="M266" s="22" t="str">
        <x:v>No duplicate</x:v>
      </x:c>
      <x:c r="N266" s="22" t="str">
        <x:v>Not applicable — no duplicate group</x:v>
      </x:c>
      <x:c r="O266" s="22" t="str">
        <x:v>Not applicable</x:v>
      </x:c>
      <x:c r="P266" s="22" t="str">
        <x:v>Yes</x:v>
      </x:c>
      <x:c r="Q266" s="22" t="str">
        <x:v>Exclude</x:v>
      </x:c>
      <x:c r="R266" s="22" t="str">
        <x:v>Wrong domain: phishing detection.</x:v>
      </x:c>
      <x:c r="S266" s="22" t="str">
        <x:v>Verification documented at process level</x:v>
      </x:c>
      <x:c r="T266" s="22" t="str">
        <x:v>Two additional authors performed random spot checks; individual spot-check assignments are not recorded in this register.</x:v>
      </x:c>
      <x:c r="U266" s="22" t="str">
        <x:v>Exclude</x:v>
      </x:c>
      <x:c r="V266" s="22" t="str">
        <x:v>Primary decision by the corresponding author; two additional authors performed random spot checks as a quality-control step.</x:v>
      </x:c>
      <x:c r="W266" s="22" t="str">
        <x:v>No</x:v>
      </x:c>
      <x:c r="X266" s="22" t="str">
        <x:v>Not applicable</x:v>
      </x:c>
      <x:c r="Y266" s="22" t="str">
        <x:v>Not assessed</x:v>
      </x:c>
      <x:c r="Z266" s="22" t="str">
        <x:v>Not advanced to full-text assessment after the title/abstract decision.</x:v>
      </x:c>
      <x:c r="AA266" s="22" t="str">
        <x:v>Not applicable</x:v>
      </x:c>
      <x:c r="AB266" s="22" t="str">
        <x:v>Record was not advanced to full-text assessment.</x:v>
      </x:c>
      <x:c r="AC266" s="22" t="str">
        <x:v>Not assessed</x:v>
      </x:c>
      <x:c r="AD266" s="22" t="str">
        <x:v>Not applicable — no full-text assessment was required.</x:v>
      </x:c>
      <x:c r="AE266" s="22" t="str">
        <x:v>Not included — title/abstract exclusion</x:v>
      </x:c>
      <x:c r="AF266" s="22" t="str">
        <x:v>Not applicable — not included</x:v>
      </x:c>
      <x:c r="AG266" s="22" t="str">
        <x:v>Evidence: 8f76b221-08bb-4a2a-bb6b-6c23c8e77941.png; page 2, result 9. Metadata transcribed from captured Google Scholar page; OCR-normalised, verify against publication before citation.</x:v>
      </x:c>
      <x:c r="AH266" s="20" t="str">
        <x:v>No duplicate identified under the documented matching rules.</x:v>
      </x:c>
    </x:row>
    <x:row r="267" ht="42" customHeight="1">
      <x:c r="A267" s="22" t="str">
        <x:v>GS-03-020</x:v>
      </x:c>
      <x:c r="B267" s="22" t="str">
        <x:v>Google Scholar</x:v>
      </x:c>
      <x:c r="C267" s="22" t="str">
        <x:v>GS-03</x:v>
      </x:c>
      <x:c r="D267" s="22" t="str">
        <x:v>Construction safety decision-making system based an improved integration of case-based reasoning and rule-based reasoning</x:v>
      </x:c>
      <x:c r="E267" s="22" t="str">
        <x:v>4 Zharg $ Jiang</x:v>
      </x:c>
      <x:c r="F267" s="22" t="str">
        <x:v>NR</x:v>
      </x:c>
      <x:c r="G267" s="22" t="str">
        <x:v>Journal of Consiructicn Engineering and =—20-25 - aseelibrary org</x:v>
      </x:c>
      <x:c r="H267" s="22" t="str">
        <x:v>Google Scholar result</x:v>
      </x:c>
      <x:c r="I267" s="22" t="str">
        <x:v>NR</x:v>
      </x:c>
      <x:c r="J267" s="22" t="str">
        <x:v>NR</x:v>
      </x:c>
      <x:c r="K267" s="22" t="str">
        <x:v>NR — URL not captured in the available source record</x:v>
      </x:c>
      <x:c r="L267" s="22" t="str">
        <x:v>Not available in the captured evidence; the screening decision used the title and available source metadata.</x:v>
      </x:c>
      <x:c r="M267" s="22" t="str">
        <x:v>No duplicate</x:v>
      </x:c>
      <x:c r="N267" s="22" t="str">
        <x:v>Not applicable — no duplicate group</x:v>
      </x:c>
      <x:c r="O267" s="22" t="str">
        <x:v>Not applicable</x:v>
      </x:c>
      <x:c r="P267" s="22" t="str">
        <x:v>Yes</x:v>
      </x:c>
      <x:c r="Q267" s="22" t="str">
        <x:v>Exclude</x:v>
      </x:c>
      <x:c r="R267" s="22" t="str">
        <x:v>Wrong domain: construction safety.</x:v>
      </x:c>
      <x:c r="S267" s="22" t="str">
        <x:v>Verification documented at process level</x:v>
      </x:c>
      <x:c r="T267" s="22" t="str">
        <x:v>Two additional authors performed random spot checks; individual spot-check assignments are not recorded in this register.</x:v>
      </x:c>
      <x:c r="U267" s="22" t="str">
        <x:v>Exclude</x:v>
      </x:c>
      <x:c r="V267" s="22" t="str">
        <x:v>Primary decision by the corresponding author; two additional authors performed random spot checks as a quality-control step.</x:v>
      </x:c>
      <x:c r="W267" s="22" t="str">
        <x:v>No</x:v>
      </x:c>
      <x:c r="X267" s="22" t="str">
        <x:v>Not applicable</x:v>
      </x:c>
      <x:c r="Y267" s="22" t="str">
        <x:v>Not assessed</x:v>
      </x:c>
      <x:c r="Z267" s="22" t="str">
        <x:v>Not advanced to full-text assessment after the title/abstract decision.</x:v>
      </x:c>
      <x:c r="AA267" s="22" t="str">
        <x:v>Not applicable</x:v>
      </x:c>
      <x:c r="AB267" s="22" t="str">
        <x:v>Record was not advanced to full-text assessment.</x:v>
      </x:c>
      <x:c r="AC267" s="22" t="str">
        <x:v>Not assessed</x:v>
      </x:c>
      <x:c r="AD267" s="22" t="str">
        <x:v>Not applicable — no full-text assessment was required.</x:v>
      </x:c>
      <x:c r="AE267" s="22" t="str">
        <x:v>Not included — title/abstract exclusion</x:v>
      </x:c>
      <x:c r="AF267" s="22" t="str">
        <x:v>Not applicable — not included</x:v>
      </x:c>
      <x:c r="AG267" s="22" t="str">
        <x:v>Evidence: 8f76b221-08bb-4a2a-bb6b-6c23c8e77941.png; page 2, result 10. Metadata transcribed from captured Google Scholar page; OCR-normalised, verify against publication before citation.</x:v>
      </x:c>
      <x:c r="AH267" s="20" t="str">
        <x:v>No duplicate identified under the documented matching rules.</x:v>
      </x:c>
    </x:row>
    <x:row r="268" ht="42" customHeight="1">
      <x:c r="A268" s="22" t="str">
        <x:v>GS-03-021</x:v>
      </x:c>
      <x:c r="B268" s="22" t="str">
        <x:v>Google Scholar</x:v>
      </x:c>
      <x:c r="C268" s="22" t="str">
        <x:v>GS-03</x:v>
      </x:c>
      <x:c r="D268" s="22" t="str">
        <x:v>Case-Based Reasoning Meets Large Language Models A Research Manifesto For Open Challenges and Research Directions</x:v>
      </x:c>
      <x:c r="E268" s="22" t="str">
        <x:v>K Barth R Beromann F Brand M Cara-Marine2 .</x:v>
      </x:c>
      <x:c r="F268" s="22" t="n">
        <x:v>2025</x:v>
      </x:c>
      <x:c r="G268" s="22" t="str">
        <x:v>2025 - hal science</x:v>
      </x:c>
      <x:c r="H268" s="22" t="str">
        <x:v>Google Scholar result</x:v>
      </x:c>
      <x:c r="I268" s="22" t="str">
        <x:v>NR</x:v>
      </x:c>
      <x:c r="J268" s="22" t="str">
        <x:v>NR</x:v>
      </x:c>
      <x:c r="K268" s="22" t="str">
        <x:v>NR — URL not captured in the available source record</x:v>
      </x:c>
      <x:c r="L268" s="22" t="str">
        <x:v>Not available in the captured evidence; the screening decision used the title and available source metadata.</x:v>
      </x:c>
      <x:c r="M268" s="22" t="str">
        <x:v>No duplicate</x:v>
      </x:c>
      <x:c r="N268" s="22" t="str">
        <x:v>Not applicable — no duplicate group</x:v>
      </x:c>
      <x:c r="O268" s="22" t="str">
        <x:v>Not applicable</x:v>
      </x:c>
      <x:c r="P268" s="22" t="str">
        <x:v>Yes</x:v>
      </x:c>
      <x:c r="Q268" s="22" t="str">
        <x:v>Exclude</x:v>
      </x:c>
      <x:c r="R268" s="22" t="str">
        <x:v>Non-original research manifesto/position paper.</x:v>
      </x:c>
      <x:c r="S268" s="22" t="str">
        <x:v>Verification documented at process level</x:v>
      </x:c>
      <x:c r="T268" s="22" t="str">
        <x:v>Two additional authors performed random spot checks; individual spot-check assignments are not recorded in this register.</x:v>
      </x:c>
      <x:c r="U268" s="22" t="str">
        <x:v>Exclude</x:v>
      </x:c>
      <x:c r="V268" s="22" t="str">
        <x:v>Primary decision by the corresponding author; two additional authors performed random spot checks as a quality-control step.</x:v>
      </x:c>
      <x:c r="W268" s="22" t="str">
        <x:v>No</x:v>
      </x:c>
      <x:c r="X268" s="22" t="str">
        <x:v>Not applicable</x:v>
      </x:c>
      <x:c r="Y268" s="22" t="str">
        <x:v>Not assessed</x:v>
      </x:c>
      <x:c r="Z268" s="22" t="str">
        <x:v>Not advanced to full-text assessment after the title/abstract decision.</x:v>
      </x:c>
      <x:c r="AA268" s="22" t="str">
        <x:v>Not applicable</x:v>
      </x:c>
      <x:c r="AB268" s="22" t="str">
        <x:v>Record was not advanced to full-text assessment.</x:v>
      </x:c>
      <x:c r="AC268" s="22" t="str">
        <x:v>Not assessed</x:v>
      </x:c>
      <x:c r="AD268" s="22" t="str">
        <x:v>Not applicable — no full-text assessment was required.</x:v>
      </x:c>
      <x:c r="AE268" s="22" t="str">
        <x:v>Not included — title/abstract exclusion</x:v>
      </x:c>
      <x:c r="AF268" s="22" t="str">
        <x:v>Not applicable — not included</x:v>
      </x:c>
      <x:c r="AG268" s="22" t="str">
        <x:v>Evidence: c37e7253-90bc-4c13-9512-d641bfa650a2.png; page 3, result 1. Metadata transcribed from captured Google Scholar page; OCR-normalised, verify against publication before citation.</x:v>
      </x:c>
      <x:c r="AH268" s="20" t="str">
        <x:v>No duplicate identified under the documented matching rules.</x:v>
      </x:c>
    </x:row>
    <x:row r="269" ht="42" customHeight="1">
      <x:c r="A269" s="22" t="str">
        <x:v>GS-03-022</x:v>
      </x:c>
      <x:c r="B269" s="22" t="str">
        <x:v>Google Scholar</x:v>
      </x:c>
      <x:c r="C269" s="22" t="str">
        <x:v>GS-03</x:v>
      </x:c>
      <x:c r="D269" s="22" t="str">
        <x:v>Identification of coronary artery disease using artificial neural network and case- based reasoning</x:v>
      </x:c>
      <x:c r="E269" s="22" t="str">
        <x:v>V¥ Sapra, ML Saini L Verma</x:v>
      </x:c>
      <x:c r="F269" s="22" t="n">
        <x:v>2021</x:v>
      </x:c>
      <x:c r="G269" s="22" t="str">
        <x:v>Recenl 4cvancesin Conp.le’ . 2021- bentrarrdiract com</x:v>
      </x:c>
      <x:c r="H269" s="22" t="str">
        <x:v>Google Scholar result</x:v>
      </x:c>
      <x:c r="I269" s="22" t="str">
        <x:v>NR</x:v>
      </x:c>
      <x:c r="J269" s="22" t="str">
        <x:v>NR</x:v>
      </x:c>
      <x:c r="K269" s="22" t="str">
        <x:v>NR — URL not captured in the available source record</x:v>
      </x:c>
      <x:c r="L269" s="22" t="str">
        <x:v>Not available in the captured evidence; the screening decision used the title and available source metadata.</x:v>
      </x:c>
      <x:c r="M269" s="22" t="str">
        <x:v>No duplicate</x:v>
      </x:c>
      <x:c r="N269" s="22" t="str">
        <x:v>Not applicable — no duplicate group</x:v>
      </x:c>
      <x:c r="O269" s="22" t="str">
        <x:v>Not applicable</x:v>
      </x:c>
      <x:c r="P269" s="22" t="str">
        <x:v>Yes</x:v>
      </x:c>
      <x:c r="Q269" s="22" t="str">
        <x:v>Exclude</x:v>
      </x:c>
      <x:c r="R269" s="22" t="str">
        <x:v>Clinical-data classification without medical imaging or explicit XAI.</x:v>
      </x:c>
      <x:c r="S269" s="22" t="str">
        <x:v>Verification documented at process level</x:v>
      </x:c>
      <x:c r="T269" s="22" t="str">
        <x:v>Two additional authors performed random spot checks; individual spot-check assignments are not recorded in this register.</x:v>
      </x:c>
      <x:c r="U269" s="22" t="str">
        <x:v>Exclude</x:v>
      </x:c>
      <x:c r="V269" s="22" t="str">
        <x:v>Primary decision by the corresponding author; two additional authors performed random spot checks as a quality-control step.</x:v>
      </x:c>
      <x:c r="W269" s="22" t="str">
        <x:v>No</x:v>
      </x:c>
      <x:c r="X269" s="22" t="str">
        <x:v>Not applicable</x:v>
      </x:c>
      <x:c r="Y269" s="22" t="str">
        <x:v>Not assessed</x:v>
      </x:c>
      <x:c r="Z269" s="22" t="str">
        <x:v>Not advanced to full-text assessment after the title/abstract decision.</x:v>
      </x:c>
      <x:c r="AA269" s="22" t="str">
        <x:v>Not applicable</x:v>
      </x:c>
      <x:c r="AB269" s="22" t="str">
        <x:v>Record was not advanced to full-text assessment.</x:v>
      </x:c>
      <x:c r="AC269" s="22" t="str">
        <x:v>Not assessed</x:v>
      </x:c>
      <x:c r="AD269" s="22" t="str">
        <x:v>Not applicable — no full-text assessment was required.</x:v>
      </x:c>
      <x:c r="AE269" s="22" t="str">
        <x:v>Not included — title/abstract exclusion</x:v>
      </x:c>
      <x:c r="AF269" s="22" t="str">
        <x:v>Not applicable — not included</x:v>
      </x:c>
      <x:c r="AG269" s="22" t="str">
        <x:v>Evidence: c37e7253-90bc-4c13-9512-d641bfa650a2.png; page 3, result 2. Metadata transcribed from captured Google Scholar page; OCR-normalised, verify against publication before citation.</x:v>
      </x:c>
      <x:c r="AH269" s="20" t="str">
        <x:v>No duplicate identified under the documented matching rules.</x:v>
      </x:c>
    </x:row>
    <x:row r="270" ht="42" customHeight="1">
      <x:c r="A270" s="22" t="str">
        <x:v>GS-03-023</x:v>
      </x:c>
      <x:c r="B270" s="22" t="str">
        <x:v>Google Scholar</x:v>
      </x:c>
      <x:c r="C270" s="22" t="str">
        <x:v>GS-03</x:v>
      </x:c>
      <x:c r="D270" s="22" t="str">
        <x:v>Time-varying intuitionistic fuzzy integral for emergency materials demand prediction with case-based reasoning</x:v>
      </x:c>
      <x:c r="E270" s="22" t="str">
        <x:v>Dliatg ¥Y Fu. 2X</x:v>
      </x:c>
      <x:c r="F270" s="22" t="n">
        <x:v>2021</x:v>
      </x:c>
      <x:c r="G270" s="22" t="str">
        <x:v>IEEE Transactions on Fuzzy Systams 2021 - ieeexplore iaee org</x:v>
      </x:c>
      <x:c r="H270" s="22" t="str">
        <x:v>Google Scholar result</x:v>
      </x:c>
      <x:c r="I270" s="22" t="str">
        <x:v>NR</x:v>
      </x:c>
      <x:c r="J270" s="22" t="str">
        <x:v>NR</x:v>
      </x:c>
      <x:c r="K270" s="22" t="str">
        <x:v>NR — URL not captured in the available source record</x:v>
      </x:c>
      <x:c r="L270" s="22" t="str">
        <x:v>Not available in the captured evidence; the screening decision used the title and available source metadata.</x:v>
      </x:c>
      <x:c r="M270" s="22" t="str">
        <x:v>No duplicate</x:v>
      </x:c>
      <x:c r="N270" s="22" t="str">
        <x:v>Not applicable — no duplicate group</x:v>
      </x:c>
      <x:c r="O270" s="22" t="str">
        <x:v>Not applicable</x:v>
      </x:c>
      <x:c r="P270" s="22" t="str">
        <x:v>Yes</x:v>
      </x:c>
      <x:c r="Q270" s="22" t="str">
        <x:v>Exclude</x:v>
      </x:c>
      <x:c r="R270" s="22" t="str">
        <x:v>Wrong domain: emergency-material demand prediction.</x:v>
      </x:c>
      <x:c r="S270" s="22" t="str">
        <x:v>Verification documented at process level</x:v>
      </x:c>
      <x:c r="T270" s="22" t="str">
        <x:v>Two additional authors performed random spot checks; individual spot-check assignments are not recorded in this register.</x:v>
      </x:c>
      <x:c r="U270" s="22" t="str">
        <x:v>Exclude</x:v>
      </x:c>
      <x:c r="V270" s="22" t="str">
        <x:v>Primary decision by the corresponding author; two additional authors performed random spot checks as a quality-control step.</x:v>
      </x:c>
      <x:c r="W270" s="22" t="str">
        <x:v>No</x:v>
      </x:c>
      <x:c r="X270" s="22" t="str">
        <x:v>Not applicable</x:v>
      </x:c>
      <x:c r="Y270" s="22" t="str">
        <x:v>Not assessed</x:v>
      </x:c>
      <x:c r="Z270" s="22" t="str">
        <x:v>Not advanced to full-text assessment after the title/abstract decision.</x:v>
      </x:c>
      <x:c r="AA270" s="22" t="str">
        <x:v>Not applicable</x:v>
      </x:c>
      <x:c r="AB270" s="22" t="str">
        <x:v>Record was not advanced to full-text assessment.</x:v>
      </x:c>
      <x:c r="AC270" s="22" t="str">
        <x:v>Not assessed</x:v>
      </x:c>
      <x:c r="AD270" s="22" t="str">
        <x:v>Not applicable — no full-text assessment was required.</x:v>
      </x:c>
      <x:c r="AE270" s="22" t="str">
        <x:v>Not included — title/abstract exclusion</x:v>
      </x:c>
      <x:c r="AF270" s="22" t="str">
        <x:v>Not applicable — not included</x:v>
      </x:c>
      <x:c r="AG270" s="22" t="str">
        <x:v>Evidence: c37e7253-90bc-4c13-9512-d641bfa650a2.png; page 3, result 3. Metadata transcribed from captured Google Scholar page; OCR-normalised, verify against publication before citation.</x:v>
      </x:c>
      <x:c r="AH270" s="20" t="str">
        <x:v>No duplicate identified under the documented matching rules.</x:v>
      </x:c>
    </x:row>
    <x:row r="271" ht="42" customHeight="1">
      <x:c r="A271" s="22" t="str">
        <x:v>GS-03-024</x:v>
      </x:c>
      <x:c r="B271" s="22" t="str">
        <x:v>Google Scholar</x:v>
      </x:c>
      <x:c r="C271" s="22" t="str">
        <x:v>GS-03</x:v>
      </x:c>
      <x:c r="D271" s="22" t="str">
        <x:v>Case-based reasoning for product style construction and fuzzy analytic hierarchy process evaluation modeling using consumers linguistic yanables</x:v>
      </x:c>
      <x:c r="E271" s="22" t="str">
        <x:v>DwWang ZL. §\ Dey 4S 4shour RS Shevat</x:v>
      </x:c>
      <x:c r="F271" s="22" t="n">
        <x:v>2017</x:v>
      </x:c>
      <x:c r="G271" s="22" t="str">
        <x:v>IEEE Access, 2017 - eeexplore eae org</x:v>
      </x:c>
      <x:c r="H271" s="22" t="str">
        <x:v>Google Scholar result</x:v>
      </x:c>
      <x:c r="I271" s="22" t="str">
        <x:v>NR</x:v>
      </x:c>
      <x:c r="J271" s="22" t="str">
        <x:v>NR</x:v>
      </x:c>
      <x:c r="K271" s="22" t="str">
        <x:v>NR — URL not captured in the available source record</x:v>
      </x:c>
      <x:c r="L271" s="22" t="str">
        <x:v>Not available in the captured evidence; the screening decision used the title and available source metadata.</x:v>
      </x:c>
      <x:c r="M271" s="22" t="str">
        <x:v>No duplicate</x:v>
      </x:c>
      <x:c r="N271" s="22" t="str">
        <x:v>Not applicable — no duplicate group</x:v>
      </x:c>
      <x:c r="O271" s="22" t="str">
        <x:v>Not applicable</x:v>
      </x:c>
      <x:c r="P271" s="22" t="str">
        <x:v>Yes</x:v>
      </x:c>
      <x:c r="Q271" s="22" t="str">
        <x:v>Exclude</x:v>
      </x:c>
      <x:c r="R271" s="22" t="str">
        <x:v>Wrong domain: product-style construction.</x:v>
      </x:c>
      <x:c r="S271" s="22" t="str">
        <x:v>Verification documented at process level</x:v>
      </x:c>
      <x:c r="T271" s="22" t="str">
        <x:v>Two additional authors performed random spot checks; individual spot-check assignments are not recorded in this register.</x:v>
      </x:c>
      <x:c r="U271" s="22" t="str">
        <x:v>Exclude</x:v>
      </x:c>
      <x:c r="V271" s="22" t="str">
        <x:v>Primary decision by the corresponding author; two additional authors performed random spot checks as a quality-control step.</x:v>
      </x:c>
      <x:c r="W271" s="22" t="str">
        <x:v>No</x:v>
      </x:c>
      <x:c r="X271" s="22" t="str">
        <x:v>Not applicable</x:v>
      </x:c>
      <x:c r="Y271" s="22" t="str">
        <x:v>Not assessed</x:v>
      </x:c>
      <x:c r="Z271" s="22" t="str">
        <x:v>Not advanced to full-text assessment after the title/abstract decision.</x:v>
      </x:c>
      <x:c r="AA271" s="22" t="str">
        <x:v>Not applicable</x:v>
      </x:c>
      <x:c r="AB271" s="22" t="str">
        <x:v>Record was not advanced to full-text assessment.</x:v>
      </x:c>
      <x:c r="AC271" s="22" t="str">
        <x:v>Not assessed</x:v>
      </x:c>
      <x:c r="AD271" s="22" t="str">
        <x:v>Not applicable — no full-text assessment was required.</x:v>
      </x:c>
      <x:c r="AE271" s="22" t="str">
        <x:v>Not included — title/abstract exclusion</x:v>
      </x:c>
      <x:c r="AF271" s="22" t="str">
        <x:v>Not applicable — not included</x:v>
      </x:c>
      <x:c r="AG271" s="22" t="str">
        <x:v>Evidence: c37e7253-90bc-4c13-9512-d641bfa650a2.png; page 3, result 4. Metadata transcribed from captured Google Scholar page; OCR-normalised, verify against publication before citation.</x:v>
      </x:c>
      <x:c r="AH271" s="20" t="str">
        <x:v>No duplicate identified under the documented matching rules.</x:v>
      </x:c>
    </x:row>
    <x:row r="272" ht="42" customHeight="1">
      <x:c r="A272" s="22" t="str">
        <x:v>GS-03-025</x:v>
      </x:c>
      <x:c r="B272" s="22" t="str">
        <x:v>Google Scholar</x:v>
      </x:c>
      <x:c r="C272" s="22" t="str">
        <x:v>GS-03</x:v>
      </x:c>
      <x:c r="D272" s="22" t="str">
        <x:v>A generation and repair approach to scheduling semiconductor packaging facilities using case-based reasoning</x:v>
      </x:c>
      <x:c r="E272" s="22" t="str">
        <x:v>IB Park JJ Huh J Park. IEEE Access 2023</x:v>
      </x:c>
      <x:c r="F272" s="22" t="n">
        <x:v>2023</x:v>
      </x:c>
      <x:c r="G272" s="22" t="str">
        <x:v>iseexplore isa ong</x:v>
      </x:c>
      <x:c r="H272" s="22" t="str">
        <x:v>Google Scholar result</x:v>
      </x:c>
      <x:c r="I272" s="22" t="str">
        <x:v>NR</x:v>
      </x:c>
      <x:c r="J272" s="22" t="str">
        <x:v>NR</x:v>
      </x:c>
      <x:c r="K272" s="22" t="str">
        <x:v>NR — URL not captured in the available source record</x:v>
      </x:c>
      <x:c r="L272" s="22" t="str">
        <x:v>Not available in the captured evidence; the screening decision used the title and available source metadata.</x:v>
      </x:c>
      <x:c r="M272" s="22" t="str">
        <x:v>No duplicate</x:v>
      </x:c>
      <x:c r="N272" s="22" t="str">
        <x:v>Not applicable — no duplicate group</x:v>
      </x:c>
      <x:c r="O272" s="22" t="str">
        <x:v>Not applicable</x:v>
      </x:c>
      <x:c r="P272" s="22" t="str">
        <x:v>Yes</x:v>
      </x:c>
      <x:c r="Q272" s="22" t="str">
        <x:v>Exclude</x:v>
      </x:c>
      <x:c r="R272" s="22" t="str">
        <x:v>Wrong domain: semiconductor scheduling.</x:v>
      </x:c>
      <x:c r="S272" s="22" t="str">
        <x:v>Verification documented at process level</x:v>
      </x:c>
      <x:c r="T272" s="22" t="str">
        <x:v>Two additional authors performed random spot checks; individual spot-check assignments are not recorded in this register.</x:v>
      </x:c>
      <x:c r="U272" s="22" t="str">
        <x:v>Exclude</x:v>
      </x:c>
      <x:c r="V272" s="22" t="str">
        <x:v>Primary decision by the corresponding author; two additional authors performed random spot checks as a quality-control step.</x:v>
      </x:c>
      <x:c r="W272" s="22" t="str">
        <x:v>No</x:v>
      </x:c>
      <x:c r="X272" s="22" t="str">
        <x:v>Not applicable</x:v>
      </x:c>
      <x:c r="Y272" s="22" t="str">
        <x:v>Not assessed</x:v>
      </x:c>
      <x:c r="Z272" s="22" t="str">
        <x:v>Not advanced to full-text assessment after the title/abstract decision.</x:v>
      </x:c>
      <x:c r="AA272" s="22" t="str">
        <x:v>Not applicable</x:v>
      </x:c>
      <x:c r="AB272" s="22" t="str">
        <x:v>Record was not advanced to full-text assessment.</x:v>
      </x:c>
      <x:c r="AC272" s="22" t="str">
        <x:v>Not assessed</x:v>
      </x:c>
      <x:c r="AD272" s="22" t="str">
        <x:v>Not applicable — no full-text assessment was required.</x:v>
      </x:c>
      <x:c r="AE272" s="22" t="str">
        <x:v>Not included — title/abstract exclusion</x:v>
      </x:c>
      <x:c r="AF272" s="22" t="str">
        <x:v>Not applicable — not included</x:v>
      </x:c>
      <x:c r="AG272" s="22" t="str">
        <x:v>Evidence: c37e7253-90bc-4c13-9512-d641bfa650a2.png; page 3, result 5. Metadata transcribed from captured Google Scholar page; OCR-normalised, verify against publication before citation.</x:v>
      </x:c>
      <x:c r="AH272" s="20" t="str">
        <x:v>No duplicate identified under the documented matching rules.</x:v>
      </x:c>
    </x:row>
    <x:row r="273" ht="42" customHeight="1">
      <x:c r="A273" s="22" t="str">
        <x:v>GS-03-026</x:v>
      </x:c>
      <x:c r="B273" s="22" t="str">
        <x:v>Google Scholar</x:v>
      </x:c>
      <x:c r="C273" s="22" t="str">
        <x:v>GS-03</x:v>
      </x:c>
      <x:c r="D273" s="22" t="str">
        <x:v>Comparative evaluation of large language madels and clinicians in real-world glaucoma clinical reasoning</x:v>
      </x:c>
      <x:c r="E273" s="22" t="str">
        <x:v>H Yin. L Shen. 4 Cai, VY Yu AGrzybowski.</x:v>
      </x:c>
      <x:c r="F273" s="22" t="n">
        <x:v>2026</x:v>
      </x:c>
      <x:c r="G273" s="22" t="str">
        <x:v>Ophthalmology 2026 - Springer</x:v>
      </x:c>
      <x:c r="H273" s="22" t="str">
        <x:v>Google Scholar result</x:v>
      </x:c>
      <x:c r="I273" s="22" t="str">
        <x:v>NR</x:v>
      </x:c>
      <x:c r="J273" s="22" t="str">
        <x:v>NR</x:v>
      </x:c>
      <x:c r="K273" s="22" t="str">
        <x:v>NR — URL not captured in the available source record</x:v>
      </x:c>
      <x:c r="L273" s="22" t="str">
        <x:v>Not available in the captured evidence; the screening decision used the title and available source metadata.</x:v>
      </x:c>
      <x:c r="M273" s="22" t="str">
        <x:v>Confirmed duplicate</x:v>
      </x:c>
      <x:c r="N273" s="22" t="str">
        <x:v>DG-003</x:v>
      </x:c>
      <x:c r="O273" s="22" t="str">
        <x:v>PM-010</x:v>
      </x:c>
      <x:c r="P273" s="22" t="str">
        <x:v>No</x:v>
      </x:c>
      <x:c r="Q273" s="22" t="str">
        <x:v>Not screened</x:v>
      </x:c>
      <x:c r="R273" s="22" t="str">
        <x:v>Removed before title/abstract screening as a confirmed duplicate.</x:v>
      </x:c>
      <x:c r="S273" s="22" t="str">
        <x:v>Not applicable — removed before screening</x:v>
      </x:c>
      <x:c r="T273" s="22" t="str">
        <x:v>Record was outside the active screening set.</x:v>
      </x:c>
      <x:c r="U273" s="22" t="str">
        <x:v>Removed before screening</x:v>
      </x:c>
      <x:c r="V273" s="22" t="str">
        <x:v>Confirmed duplicate removed during deduplication.</x:v>
      </x:c>
      <x:c r="W273" s="22" t="str">
        <x:v>No</x:v>
      </x:c>
      <x:c r="X273" s="22" t="str">
        <x:v>Not applicable</x:v>
      </x:c>
      <x:c r="Y273" s="22" t="str">
        <x:v>Not assessed</x:v>
      </x:c>
      <x:c r="Z273" s="22" t="str">
        <x:v>Not applicable — record removed before screening.</x:v>
      </x:c>
      <x:c r="AA273" s="22" t="str">
        <x:v>Not applicable</x:v>
      </x:c>
      <x:c r="AB273" s="22" t="str">
        <x:v>Record was not advanced to full-text assessment.</x:v>
      </x:c>
      <x:c r="AC273" s="22" t="str">
        <x:v>Not assessed</x:v>
      </x:c>
      <x:c r="AD273" s="22" t="str">
        <x:v>Not applicable — no full-text assessment was required.</x:v>
      </x:c>
      <x:c r="AE273" s="22" t="str">
        <x:v>Removed before screening</x:v>
      </x:c>
      <x:c r="AF273" s="22" t="str">
        <x:v>Not applicable — not included</x:v>
      </x:c>
      <x:c r="AG273" s="22" t="str">
        <x:v>Evidence: c37e7253-90bc-4c13-9512-d641bfa650a2.png; page 3, result 6. Metadata transcribed from captured Google Scholar page; OCR-normalised, verify against publication before citation.</x:v>
      </x:c>
      <x:c r="AH273" s="20" t="str">
        <x:v>Confirmed using DOI/title evidence; identifier/title evidence; normalized title across captured searches.</x:v>
      </x:c>
    </x:row>
    <x:row r="274" ht="42" customHeight="1">
      <x:c r="A274" s="22" t="str">
        <x:v>GS-03-027</x:v>
      </x:c>
      <x:c r="B274" s="22" t="str">
        <x:v>Google Scholar</x:v>
      </x:c>
      <x:c r="C274" s="22" t="str">
        <x:v>GS-03</x:v>
      </x:c>
      <x:c r="D274" s="22" t="str">
        <x:v>Hybrid optimization and case-based reasoning framework for iot task offloading in cloud radio access networks</x:v>
      </x:c>
      <x:c r="E274" s="22" t="str">
        <x:v>CC ku</x:v>
      </x:c>
      <x:c r="F274" s="22" t="n">
        <x:v>2025</x:v>
      </x:c>
      <x:c r="G274" s="22" t="str">
        <x:v>IEEE Inteme of Things Journal. 2025 - eeexplore ese org</x:v>
      </x:c>
      <x:c r="H274" s="22" t="str">
        <x:v>Google Scholar result</x:v>
      </x:c>
      <x:c r="I274" s="22" t="str">
        <x:v>NR</x:v>
      </x:c>
      <x:c r="J274" s="22" t="str">
        <x:v>NR</x:v>
      </x:c>
      <x:c r="K274" s="22" t="str">
        <x:v>NR — URL not captured in the available source record</x:v>
      </x:c>
      <x:c r="L274" s="22" t="str">
        <x:v>Not available in the captured evidence; the screening decision used the title and available source metadata.</x:v>
      </x:c>
      <x:c r="M274" s="22" t="str">
        <x:v>No duplicate</x:v>
      </x:c>
      <x:c r="N274" s="22" t="str">
        <x:v>Not applicable — no duplicate group</x:v>
      </x:c>
      <x:c r="O274" s="22" t="str">
        <x:v>Not applicable</x:v>
      </x:c>
      <x:c r="P274" s="22" t="str">
        <x:v>Yes</x:v>
      </x:c>
      <x:c r="Q274" s="22" t="str">
        <x:v>Exclude</x:v>
      </x:c>
      <x:c r="R274" s="22" t="str">
        <x:v>Wrong domain: IoT task offloading.</x:v>
      </x:c>
      <x:c r="S274" s="22" t="str">
        <x:v>Verification documented at process level</x:v>
      </x:c>
      <x:c r="T274" s="22" t="str">
        <x:v>Two additional authors performed random spot checks; individual spot-check assignments are not recorded in this register.</x:v>
      </x:c>
      <x:c r="U274" s="22" t="str">
        <x:v>Exclude</x:v>
      </x:c>
      <x:c r="V274" s="22" t="str">
        <x:v>Primary decision by the corresponding author; two additional authors performed random spot checks as a quality-control step.</x:v>
      </x:c>
      <x:c r="W274" s="22" t="str">
        <x:v>No</x:v>
      </x:c>
      <x:c r="X274" s="22" t="str">
        <x:v>Not applicable</x:v>
      </x:c>
      <x:c r="Y274" s="22" t="str">
        <x:v>Not assessed</x:v>
      </x:c>
      <x:c r="Z274" s="22" t="str">
        <x:v>Not advanced to full-text assessment after the title/abstract decision.</x:v>
      </x:c>
      <x:c r="AA274" s="22" t="str">
        <x:v>Not applicable</x:v>
      </x:c>
      <x:c r="AB274" s="22" t="str">
        <x:v>Record was not advanced to full-text assessment.</x:v>
      </x:c>
      <x:c r="AC274" s="22" t="str">
        <x:v>Not assessed</x:v>
      </x:c>
      <x:c r="AD274" s="22" t="str">
        <x:v>Not applicable — no full-text assessment was required.</x:v>
      </x:c>
      <x:c r="AE274" s="22" t="str">
        <x:v>Not included — title/abstract exclusion</x:v>
      </x:c>
      <x:c r="AF274" s="22" t="str">
        <x:v>Not applicable — not included</x:v>
      </x:c>
      <x:c r="AG274" s="22" t="str">
        <x:v>Evidence: c37e7253-90bc-4c13-9512-d641bfa650a2.png; page 3, result 7. Metadata transcribed from captured Google Scholar page; OCR-normalised, verify against publication before citation.</x:v>
      </x:c>
      <x:c r="AH274" s="20" t="str">
        <x:v>No duplicate identified under the documented matching rules.</x:v>
      </x:c>
    </x:row>
    <x:row r="275" ht="42" customHeight="1">
      <x:c r="A275" s="22" t="str">
        <x:v>GS-03-028</x:v>
      </x:c>
      <x:c r="B275" s="22" t="str">
        <x:v>Google Scholar</x:v>
      </x:c>
      <x:c r="C275" s="22" t="str">
        <x:v>GS-03</x:v>
      </x:c>
      <x:c r="D275" s="22" t="str">
        <x:v>HAP a hybrid QoS prediction approach in cloud manufacturing combining local collaborative filtering and global case-based reasoning</x:v>
      </x:c>
      <x:c r="E275" s="22" t="str">
        <x:v>Jiu ¥ Chen</x:v>
      </x:c>
      <x:c r="F275" s="22" t="str">
        <x:v>NR</x:v>
      </x:c>
      <x:c r="G275" s="22" t="str">
        <x:v>IEEE Transaclions on Services Computing 2119 -iesexplore icee org</x:v>
      </x:c>
      <x:c r="H275" s="22" t="str">
        <x:v>Google Scholar result</x:v>
      </x:c>
      <x:c r="I275" s="22" t="str">
        <x:v>NR</x:v>
      </x:c>
      <x:c r="J275" s="22" t="str">
        <x:v>NR</x:v>
      </x:c>
      <x:c r="K275" s="22" t="str">
        <x:v>NR — URL not captured in the available source record</x:v>
      </x:c>
      <x:c r="L275" s="22" t="str">
        <x:v>Not available in the captured evidence; the screening decision used the title and available source metadata.</x:v>
      </x:c>
      <x:c r="M275" s="22" t="str">
        <x:v>No duplicate</x:v>
      </x:c>
      <x:c r="N275" s="22" t="str">
        <x:v>Not applicable — no duplicate group</x:v>
      </x:c>
      <x:c r="O275" s="22" t="str">
        <x:v>Not applicable</x:v>
      </x:c>
      <x:c r="P275" s="22" t="str">
        <x:v>Yes</x:v>
      </x:c>
      <x:c r="Q275" s="22" t="str">
        <x:v>Exclude</x:v>
      </x:c>
      <x:c r="R275" s="22" t="str">
        <x:v>Wrong domain: cloud-manufacturing QoS prediction.</x:v>
      </x:c>
      <x:c r="S275" s="22" t="str">
        <x:v>Verification documented at process level</x:v>
      </x:c>
      <x:c r="T275" s="22" t="str">
        <x:v>Two additional authors performed random spot checks; individual spot-check assignments are not recorded in this register.</x:v>
      </x:c>
      <x:c r="U275" s="22" t="str">
        <x:v>Exclude</x:v>
      </x:c>
      <x:c r="V275" s="22" t="str">
        <x:v>Primary decision by the corresponding author; two additional authors performed random spot checks as a quality-control step.</x:v>
      </x:c>
      <x:c r="W275" s="22" t="str">
        <x:v>No</x:v>
      </x:c>
      <x:c r="X275" s="22" t="str">
        <x:v>Not applicable</x:v>
      </x:c>
      <x:c r="Y275" s="22" t="str">
        <x:v>Not assessed</x:v>
      </x:c>
      <x:c r="Z275" s="22" t="str">
        <x:v>Not advanced to full-text assessment after the title/abstract decision.</x:v>
      </x:c>
      <x:c r="AA275" s="22" t="str">
        <x:v>Not applicable</x:v>
      </x:c>
      <x:c r="AB275" s="22" t="str">
        <x:v>Record was not advanced to full-text assessment.</x:v>
      </x:c>
      <x:c r="AC275" s="22" t="str">
        <x:v>Not assessed</x:v>
      </x:c>
      <x:c r="AD275" s="22" t="str">
        <x:v>Not applicable — no full-text assessment was required.</x:v>
      </x:c>
      <x:c r="AE275" s="22" t="str">
        <x:v>Not included — title/abstract exclusion</x:v>
      </x:c>
      <x:c r="AF275" s="22" t="str">
        <x:v>Not applicable — not included</x:v>
      </x:c>
      <x:c r="AG275" s="22" t="str">
        <x:v>Evidence: c37e7253-90bc-4c13-9512-d641bfa650a2.png; page 3, result 8. Metadata transcribed from captured Google Scholar page; OCR-normalised, verify against publication before citation.</x:v>
      </x:c>
      <x:c r="AH275" s="20" t="str">
        <x:v>No duplicate identified under the documented matching rules.</x:v>
      </x:c>
    </x:row>
    <x:row r="276" ht="42" customHeight="1">
      <x:c r="A276" s="22" t="str">
        <x:v>GS-03-029</x:v>
      </x:c>
      <x:c r="B276" s="22" t="str">
        <x:v>Google Scholar</x:v>
      </x:c>
      <x:c r="C276" s="22" t="str">
        <x:v>GS-03</x:v>
      </x:c>
      <x:c r="D276" s="22" t="str">
        <x:v>Or NEE EOIN ERIN ME Ee enh eevee eevee ee case clusters and multi-output support vector machine for equipment maintenance cost</x:v>
      </x:c>
      <x:c r="E276" s="22" t="str">
        <x:v>Mir OH. S Sun -leee Access 2021 -ieeexptore ieea org</x:v>
      </x:c>
      <x:c r="F276" s="22" t="n">
        <x:v>2021</x:v>
      </x:c>
      <x:c r="G276" s="22" t="str">
        <x:v>Mir OH. S Sun -leee Access 2021 -ieeexptore ieea org</x:v>
      </x:c>
      <x:c r="H276" s="22" t="str">
        <x:v>Google Scholar result</x:v>
      </x:c>
      <x:c r="I276" s="22" t="str">
        <x:v>NR</x:v>
      </x:c>
      <x:c r="J276" s="22" t="str">
        <x:v>NR</x:v>
      </x:c>
      <x:c r="K276" s="22" t="str">
        <x:v>NR — URL not captured in the available source record</x:v>
      </x:c>
      <x:c r="L276" s="22" t="str">
        <x:v>Not available in the captured evidence; the screening decision used the title and available source metadata.</x:v>
      </x:c>
      <x:c r="M276" s="22" t="str">
        <x:v>No duplicate</x:v>
      </x:c>
      <x:c r="N276" s="22" t="str">
        <x:v>Not applicable — no duplicate group</x:v>
      </x:c>
      <x:c r="O276" s="22" t="str">
        <x:v>Not applicable</x:v>
      </x:c>
      <x:c r="P276" s="22" t="str">
        <x:v>Yes</x:v>
      </x:c>
      <x:c r="Q276" s="22" t="str">
        <x:v>Exclude</x:v>
      </x:c>
      <x:c r="R276" s="22" t="str">
        <x:v>Wrong domain: equipment-maintenance costs.</x:v>
      </x:c>
      <x:c r="S276" s="22" t="str">
        <x:v>Verification documented at process level</x:v>
      </x:c>
      <x:c r="T276" s="22" t="str">
        <x:v>Two additional authors performed random spot checks; individual spot-check assignments are not recorded in this register.</x:v>
      </x:c>
      <x:c r="U276" s="22" t="str">
        <x:v>Exclude</x:v>
      </x:c>
      <x:c r="V276" s="22" t="str">
        <x:v>Primary decision by the corresponding author; two additional authors performed random spot checks as a quality-control step.</x:v>
      </x:c>
      <x:c r="W276" s="22" t="str">
        <x:v>No</x:v>
      </x:c>
      <x:c r="X276" s="22" t="str">
        <x:v>Not applicable</x:v>
      </x:c>
      <x:c r="Y276" s="22" t="str">
        <x:v>Not assessed</x:v>
      </x:c>
      <x:c r="Z276" s="22" t="str">
        <x:v>Not advanced to full-text assessment after the title/abstract decision.</x:v>
      </x:c>
      <x:c r="AA276" s="22" t="str">
        <x:v>Not applicable</x:v>
      </x:c>
      <x:c r="AB276" s="22" t="str">
        <x:v>Record was not advanced to full-text assessment.</x:v>
      </x:c>
      <x:c r="AC276" s="22" t="str">
        <x:v>Not assessed</x:v>
      </x:c>
      <x:c r="AD276" s="22" t="str">
        <x:v>Not applicable — no full-text assessment was required.</x:v>
      </x:c>
      <x:c r="AE276" s="22" t="str">
        <x:v>Not included — title/abstract exclusion</x:v>
      </x:c>
      <x:c r="AF276" s="22" t="str">
        <x:v>Not applicable — not included</x:v>
      </x:c>
      <x:c r="AG276" s="22" t="str">
        <x:v>Evidence: c37e7253-90bc-4c13-9512-d641bfa650a2.png; page 3, result 9. Metadata transcribed from captured Google Scholar page; OCR-normalised, verify against publication before citation.</x:v>
      </x:c>
      <x:c r="AH276" s="20" t="str">
        <x:v>No duplicate identified under the documented matching rules.</x:v>
      </x:c>
    </x:row>
    <x:row r="277" ht="42" customHeight="1">
      <x:c r="A277" s="22" t="str">
        <x:v>GS-03-030</x:v>
      </x:c>
      <x:c r="B277" s="22" t="str">
        <x:v>Google Scholar</x:v>
      </x:c>
      <x:c r="C277" s="22" t="str">
        <x:v>GS-03</x:v>
      </x:c>
      <x:c r="D277" s="22" t="str">
        <x:v>Online furniture layout method based on case-based reasoning and distance fields</x:v>
      </x:c>
      <x:c r="E277" s="22" t="str">
        <x:v>P Song. J J.a</x:v>
      </x:c>
      <x:c r="F277" s="22" t="str">
        <x:v>NR</x:v>
      </x:c>
      <x:c r="G277" s="22" t="str">
        <x:v>Journel of Syslem Simulation 220 - ¢¢-cnina-simulat on</x:v>
      </x:c>
      <x:c r="H277" s="22" t="str">
        <x:v>Google Scholar result</x:v>
      </x:c>
      <x:c r="I277" s="22" t="str">
        <x:v>NR</x:v>
      </x:c>
      <x:c r="J277" s="22" t="str">
        <x:v>NR</x:v>
      </x:c>
      <x:c r="K277" s="22" t="str">
        <x:v>NR — URL not captured in the available source record</x:v>
      </x:c>
      <x:c r="L277" s="22" t="str">
        <x:v>Not available in the captured evidence; the screening decision used the title and available source metadata.</x:v>
      </x:c>
      <x:c r="M277" s="22" t="str">
        <x:v>No duplicate</x:v>
      </x:c>
      <x:c r="N277" s="22" t="str">
        <x:v>Not applicable — no duplicate group</x:v>
      </x:c>
      <x:c r="O277" s="22" t="str">
        <x:v>Not applicable</x:v>
      </x:c>
      <x:c r="P277" s="22" t="str">
        <x:v>Yes</x:v>
      </x:c>
      <x:c r="Q277" s="22" t="str">
        <x:v>Exclude</x:v>
      </x:c>
      <x:c r="R277" s="22" t="str">
        <x:v>Wrong domain: furniture layout.</x:v>
      </x:c>
      <x:c r="S277" s="22" t="str">
        <x:v>Verification documented at process level</x:v>
      </x:c>
      <x:c r="T277" s="22" t="str">
        <x:v>Two additional authors performed random spot checks; individual spot-check assignments are not recorded in this register.</x:v>
      </x:c>
      <x:c r="U277" s="22" t="str">
        <x:v>Exclude</x:v>
      </x:c>
      <x:c r="V277" s="22" t="str">
        <x:v>Primary decision by the corresponding author; two additional authors performed random spot checks as a quality-control step.</x:v>
      </x:c>
      <x:c r="W277" s="22" t="str">
        <x:v>No</x:v>
      </x:c>
      <x:c r="X277" s="22" t="str">
        <x:v>Not applicable</x:v>
      </x:c>
      <x:c r="Y277" s="22" t="str">
        <x:v>Not assessed</x:v>
      </x:c>
      <x:c r="Z277" s="22" t="str">
        <x:v>Not advanced to full-text assessment after the title/abstract decision.</x:v>
      </x:c>
      <x:c r="AA277" s="22" t="str">
        <x:v>Not applicable</x:v>
      </x:c>
      <x:c r="AB277" s="22" t="str">
        <x:v>Record was not advanced to full-text assessment.</x:v>
      </x:c>
      <x:c r="AC277" s="22" t="str">
        <x:v>Not assessed</x:v>
      </x:c>
      <x:c r="AD277" s="22" t="str">
        <x:v>Not applicable — no full-text assessment was required.</x:v>
      </x:c>
      <x:c r="AE277" s="22" t="str">
        <x:v>Not included — title/abstract exclusion</x:v>
      </x:c>
      <x:c r="AF277" s="22" t="str">
        <x:v>Not applicable — not included</x:v>
      </x:c>
      <x:c r="AG277" s="22" t="str">
        <x:v>Evidence: c37e7253-90bc-4c13-9512-d641bfa650a2.png; page 3, result 10. Metadata transcribed from captured Google Scholar page; OCR-normalised, verify against publication before citation.</x:v>
      </x:c>
      <x:c r="AH277" s="20" t="str">
        <x:v>No duplicate identified under the documented matching rules.</x:v>
      </x:c>
    </x:row>
    <x:row r="278" ht="42" customHeight="1">
      <x:c r="A278" s="22" t="str">
        <x:v>GS-03-031</x:v>
      </x:c>
      <x:c r="B278" s="22" t="str">
        <x:v>Google Scholar</x:v>
      </x:c>
      <x:c r="C278" s="22" t="str">
        <x:v>GS-03</x:v>
      </x:c>
      <x:c r="D278" s="22" t="str">
        <x:v>Knowledge- intensive diagnostics using case-based reasoning and synthetic case generation</x:v>
      </x:c>
      <x:c r="E278" s="22" t="str">
        <x:v>S Fichette, © Thibe aut</x:v>
      </x:c>
      <x:c r="F278" s="22" t="n">
        <x:v>2022</x:v>
      </x:c>
      <x:c r="G278" s="22" t="str">
        <x:v>EEE Tra-saditns 99 Computer-Aides = 2022 - iewexpiore ieee org</x:v>
      </x:c>
      <x:c r="H278" s="22" t="str">
        <x:v>Google Scholar result</x:v>
      </x:c>
      <x:c r="I278" s="22" t="str">
        <x:v>NR</x:v>
      </x:c>
      <x:c r="J278" s="22" t="str">
        <x:v>NR</x:v>
      </x:c>
      <x:c r="K278" s="22" t="str">
        <x:v>NR — URL not captured in the available source record</x:v>
      </x:c>
      <x:c r="L278" s="22" t="str">
        <x:v>Not available in the captured evidence; the screening decision used the title and available source metadata.</x:v>
      </x:c>
      <x:c r="M278" s="22" t="str">
        <x:v>No duplicate</x:v>
      </x:c>
      <x:c r="N278" s="22" t="str">
        <x:v>Not applicable — no duplicate group</x:v>
      </x:c>
      <x:c r="O278" s="22" t="str">
        <x:v>Not applicable</x:v>
      </x:c>
      <x:c r="P278" s="22" t="str">
        <x:v>Yes</x:v>
      </x:c>
      <x:c r="Q278" s="22" t="str">
        <x:v>Exclude</x:v>
      </x:c>
      <x:c r="R278" s="22" t="str">
        <x:v>Generic engineering diagnostics, not medical imaging.</x:v>
      </x:c>
      <x:c r="S278" s="22" t="str">
        <x:v>Verification documented at process level</x:v>
      </x:c>
      <x:c r="T278" s="22" t="str">
        <x:v>Two additional authors performed random spot checks; individual spot-check assignments are not recorded in this register.</x:v>
      </x:c>
      <x:c r="U278" s="22" t="str">
        <x:v>Exclude</x:v>
      </x:c>
      <x:c r="V278" s="22" t="str">
        <x:v>Primary decision by the corresponding author; two additional authors performed random spot checks as a quality-control step.</x:v>
      </x:c>
      <x:c r="W278" s="22" t="str">
        <x:v>No</x:v>
      </x:c>
      <x:c r="X278" s="22" t="str">
        <x:v>Not applicable</x:v>
      </x:c>
      <x:c r="Y278" s="22" t="str">
        <x:v>Not assessed</x:v>
      </x:c>
      <x:c r="Z278" s="22" t="str">
        <x:v>Not advanced to full-text assessment after the title/abstract decision.</x:v>
      </x:c>
      <x:c r="AA278" s="22" t="str">
        <x:v>Not applicable</x:v>
      </x:c>
      <x:c r="AB278" s="22" t="str">
        <x:v>Record was not advanced to full-text assessment.</x:v>
      </x:c>
      <x:c r="AC278" s="22" t="str">
        <x:v>Not assessed</x:v>
      </x:c>
      <x:c r="AD278" s="22" t="str">
        <x:v>Not applicable — no full-text assessment was required.</x:v>
      </x:c>
      <x:c r="AE278" s="22" t="str">
        <x:v>Not included — title/abstract exclusion</x:v>
      </x:c>
      <x:c r="AF278" s="22" t="str">
        <x:v>Not applicable — not included</x:v>
      </x:c>
      <x:c r="AG278" s="22" t="str">
        <x:v>Evidence: fb5f4add-0fcd-400e-a719-3c6041403999.png; page 4, result 1. Metadata transcribed from captured Google Scholar page; OCR-normalised, verify against publication before citation.</x:v>
      </x:c>
      <x:c r="AH278" s="20" t="str">
        <x:v>No duplicate identified under the documented matching rules.</x:v>
      </x:c>
    </x:row>
    <x:row r="279" ht="42" customHeight="1">
      <x:c r="A279" s="22" t="str">
        <x:v>GS-03-032</x:v>
      </x:c>
      <x:c r="B279" s="22" t="str">
        <x:v>Google Scholar</x:v>
      </x:c>
      <x:c r="C279" s="22" t="str">
        <x:v>GS-03</x:v>
      </x:c>
      <x:c r="D279" s="22" t="str">
        <x:v>(mpact of genetic optimization on the prediction performance of case-based reasoning algorithm in liver disease</x:v>
      </x:c>
      <x:c r="E279" s="22" t="str">
        <x:v>STA Singh</x:v>
      </x:c>
      <x:c r="F279" s="22" t="n">
        <x:v>2047</x:v>
      </x:c>
      <x:c r="G279" s="22" t="str">
        <x:v>Intgmatonal Jourr al of Perdormab-hly Engingering 2047 - jpe-online cor</x:v>
      </x:c>
      <x:c r="H279" s="22" t="str">
        <x:v>Google Scholar result</x:v>
      </x:c>
      <x:c r="I279" s="22" t="str">
        <x:v>NR</x:v>
      </x:c>
      <x:c r="J279" s="22" t="str">
        <x:v>NR</x:v>
      </x:c>
      <x:c r="K279" s="22" t="str">
        <x:v>NR — URL not captured in the available source record</x:v>
      </x:c>
      <x:c r="L279" s="22" t="str">
        <x:v>Not available in the captured evidence; the screening decision used the title and available source metadata.</x:v>
      </x:c>
      <x:c r="M279" s="22" t="str">
        <x:v>No duplicate</x:v>
      </x:c>
      <x:c r="N279" s="22" t="str">
        <x:v>Not applicable — no duplicate group</x:v>
      </x:c>
      <x:c r="O279" s="22" t="str">
        <x:v>Not applicable</x:v>
      </x:c>
      <x:c r="P279" s="22" t="str">
        <x:v>Yes</x:v>
      </x:c>
      <x:c r="Q279" s="22" t="str">
        <x:v>Exclude</x:v>
      </x:c>
      <x:c r="R279" s="22" t="str">
        <x:v>Clinical-data prediction without imaging; recorded year also requires metadata correction.</x:v>
      </x:c>
      <x:c r="S279" s="22" t="str">
        <x:v>Verification documented at process level</x:v>
      </x:c>
      <x:c r="T279" s="22" t="str">
        <x:v>Two additional authors performed random spot checks; individual spot-check assignments are not recorded in this register.</x:v>
      </x:c>
      <x:c r="U279" s="22" t="str">
        <x:v>Exclude</x:v>
      </x:c>
      <x:c r="V279" s="22" t="str">
        <x:v>Primary decision by the corresponding author; two additional authors performed random spot checks as a quality-control step.</x:v>
      </x:c>
      <x:c r="W279" s="22" t="str">
        <x:v>No</x:v>
      </x:c>
      <x:c r="X279" s="22" t="str">
        <x:v>Not applicable</x:v>
      </x:c>
      <x:c r="Y279" s="22" t="str">
        <x:v>Not assessed</x:v>
      </x:c>
      <x:c r="Z279" s="22" t="str">
        <x:v>Not advanced to full-text assessment after the title/abstract decision.</x:v>
      </x:c>
      <x:c r="AA279" s="22" t="str">
        <x:v>Not applicable</x:v>
      </x:c>
      <x:c r="AB279" s="22" t="str">
        <x:v>Record was not advanced to full-text assessment.</x:v>
      </x:c>
      <x:c r="AC279" s="22" t="str">
        <x:v>Not assessed</x:v>
      </x:c>
      <x:c r="AD279" s="22" t="str">
        <x:v>Not applicable — no full-text assessment was required.</x:v>
      </x:c>
      <x:c r="AE279" s="22" t="str">
        <x:v>Not included — title/abstract exclusion</x:v>
      </x:c>
      <x:c r="AF279" s="22" t="str">
        <x:v>Not applicable — not included</x:v>
      </x:c>
      <x:c r="AG279" s="22" t="str">
        <x:v>Evidence: fb5f4add-0fcd-400e-a719-3c6041403999.png; page 4, result 2. Metadata transcribed from captured Google Scholar page; OCR-normalised, verify against publication before citation.</x:v>
      </x:c>
      <x:c r="AH279" s="20" t="str">
        <x:v>No duplicate identified under the documented matching rules.</x:v>
      </x:c>
    </x:row>
    <x:row r="280" ht="42" customHeight="1">
      <x:c r="A280" s="22" t="str">
        <x:v>GS-03-033</x:v>
      </x:c>
      <x:c r="B280" s="22" t="str">
        <x:v>Google Scholar</x:v>
      </x:c>
      <x:c r="C280" s="22" t="str">
        <x:v>GS-03</x:v>
      </x:c>
      <x:c r="D280" s="22" t="str">
        <x:v>Extending choosing-by-advantages decision-making model with case-based reasoning</x:v>
      </x:c>
      <x:c r="E280" s="22" t="str">
        <x:v>LL Olde Scholtenhuis, N Naderpajauk =</x:v>
      </x:c>
      <x:c r="F280" s="22" t="n">
        <x:v>2025</x:v>
      </x:c>
      <x:c r="G280" s="22" t="str">
        <x:v>olManagemertin .. 2025 - ascelibrary org</x:v>
      </x:c>
      <x:c r="H280" s="22" t="str">
        <x:v>Google Scholar result</x:v>
      </x:c>
      <x:c r="I280" s="22" t="str">
        <x:v>NR</x:v>
      </x:c>
      <x:c r="J280" s="22" t="str">
        <x:v>NR</x:v>
      </x:c>
      <x:c r="K280" s="22" t="str">
        <x:v>NR — URL not captured in the available source record</x:v>
      </x:c>
      <x:c r="L280" s="22" t="str">
        <x:v>Not available in the captured evidence; the screening decision used the title and available source metadata.</x:v>
      </x:c>
      <x:c r="M280" s="22" t="str">
        <x:v>No duplicate</x:v>
      </x:c>
      <x:c r="N280" s="22" t="str">
        <x:v>Not applicable — no duplicate group</x:v>
      </x:c>
      <x:c r="O280" s="22" t="str">
        <x:v>Not applicable</x:v>
      </x:c>
      <x:c r="P280" s="22" t="str">
        <x:v>Yes</x:v>
      </x:c>
      <x:c r="Q280" s="22" t="str">
        <x:v>Exclude</x:v>
      </x:c>
      <x:c r="R280" s="22" t="str">
        <x:v>Generic management decision-making method.</x:v>
      </x:c>
      <x:c r="S280" s="22" t="str">
        <x:v>Verification documented at process level</x:v>
      </x:c>
      <x:c r="T280" s="22" t="str">
        <x:v>Two additional authors performed random spot checks; individual spot-check assignments are not recorded in this register.</x:v>
      </x:c>
      <x:c r="U280" s="22" t="str">
        <x:v>Exclude</x:v>
      </x:c>
      <x:c r="V280" s="22" t="str">
        <x:v>Primary decision by the corresponding author; two additional authors performed random spot checks as a quality-control step.</x:v>
      </x:c>
      <x:c r="W280" s="22" t="str">
        <x:v>No</x:v>
      </x:c>
      <x:c r="X280" s="22" t="str">
        <x:v>Not applicable</x:v>
      </x:c>
      <x:c r="Y280" s="22" t="str">
        <x:v>Not assessed</x:v>
      </x:c>
      <x:c r="Z280" s="22" t="str">
        <x:v>Not advanced to full-text assessment after the title/abstract decision.</x:v>
      </x:c>
      <x:c r="AA280" s="22" t="str">
        <x:v>Not applicable</x:v>
      </x:c>
      <x:c r="AB280" s="22" t="str">
        <x:v>Record was not advanced to full-text assessment.</x:v>
      </x:c>
      <x:c r="AC280" s="22" t="str">
        <x:v>Not assessed</x:v>
      </x:c>
      <x:c r="AD280" s="22" t="str">
        <x:v>Not applicable — no full-text assessment was required.</x:v>
      </x:c>
      <x:c r="AE280" s="22" t="str">
        <x:v>Not included — title/abstract exclusion</x:v>
      </x:c>
      <x:c r="AF280" s="22" t="str">
        <x:v>Not applicable — not included</x:v>
      </x:c>
      <x:c r="AG280" s="22" t="str">
        <x:v>Evidence: fb5f4add-0fcd-400e-a719-3c6041403999.png; page 4, result 3. Metadata transcribed from captured Google Scholar page; OCR-normalised, verify against publication before citation.</x:v>
      </x:c>
      <x:c r="AH280" s="20" t="str">
        <x:v>No duplicate identified under the documented matching rules.</x:v>
      </x:c>
    </x:row>
    <x:row r="281" ht="42" customHeight="1">
      <x:c r="A281" s="22" t="str">
        <x:v>GS-03-034</x:v>
      </x:c>
      <x:c r="B281" s="22" t="str">
        <x:v>Google Scholar</x:v>
      </x:c>
      <x:c r="C281" s="22" t="str">
        <x:v>GS-03</x:v>
      </x:c>
      <x:c r="D281" s="22" t="str">
        <x:v>Canstructing ontology-based cancer treatment decision support system with case-based reasoning</x:v>
      </x:c>
      <x:c r="E281" s="22" t="str">
        <x:v>Y Shen. J Colloc 4 Jacque-Ardieu 2 Gua + canferencaonsman . 2017</x:v>
      </x:c>
      <x:c r="F281" s="22" t="n">
        <x:v>2017</x:v>
      </x:c>
      <x:c r="G281" s="22" t="str">
        <x:v>Sproager</x:v>
      </x:c>
      <x:c r="H281" s="22" t="str">
        <x:v>Google Scholar result</x:v>
      </x:c>
      <x:c r="I281" s="22" t="str">
        <x:v>NR</x:v>
      </x:c>
      <x:c r="J281" s="22" t="str">
        <x:v>NR</x:v>
      </x:c>
      <x:c r="K281" s="22" t="str">
        <x:v>NR — URL not captured in the available source record</x:v>
      </x:c>
      <x:c r="L281" s="22" t="str">
        <x:v>Not available in the captured evidence; the screening decision used the title and available source metadata.</x:v>
      </x:c>
      <x:c r="M281" s="22" t="str">
        <x:v>No duplicate</x:v>
      </x:c>
      <x:c r="N281" s="22" t="str">
        <x:v>Not applicable — no duplicate group</x:v>
      </x:c>
      <x:c r="O281" s="22" t="str">
        <x:v>Not applicable</x:v>
      </x:c>
      <x:c r="P281" s="22" t="str">
        <x:v>Yes</x:v>
      </x:c>
      <x:c r="Q281" s="22" t="str">
        <x:v>Exclude</x:v>
      </x:c>
      <x:c r="R281" s="22" t="str">
        <x:v>Treatment decision support rather than medical-image explanation.</x:v>
      </x:c>
      <x:c r="S281" s="22" t="str">
        <x:v>Verification documented at process level</x:v>
      </x:c>
      <x:c r="T281" s="22" t="str">
        <x:v>Two additional authors performed random spot checks; individual spot-check assignments are not recorded in this register.</x:v>
      </x:c>
      <x:c r="U281" s="22" t="str">
        <x:v>Exclude</x:v>
      </x:c>
      <x:c r="V281" s="22" t="str">
        <x:v>Primary decision by the corresponding author; two additional authors performed random spot checks as a quality-control step.</x:v>
      </x:c>
      <x:c r="W281" s="22" t="str">
        <x:v>No</x:v>
      </x:c>
      <x:c r="X281" s="22" t="str">
        <x:v>Not applicable</x:v>
      </x:c>
      <x:c r="Y281" s="22" t="str">
        <x:v>Not assessed</x:v>
      </x:c>
      <x:c r="Z281" s="22" t="str">
        <x:v>Not advanced to full-text assessment after the title/abstract decision.</x:v>
      </x:c>
      <x:c r="AA281" s="22" t="str">
        <x:v>Not applicable</x:v>
      </x:c>
      <x:c r="AB281" s="22" t="str">
        <x:v>Record was not advanced to full-text assessment.</x:v>
      </x:c>
      <x:c r="AC281" s="22" t="str">
        <x:v>Not assessed</x:v>
      </x:c>
      <x:c r="AD281" s="22" t="str">
        <x:v>Not applicable — no full-text assessment was required.</x:v>
      </x:c>
      <x:c r="AE281" s="22" t="str">
        <x:v>Not included — title/abstract exclusion</x:v>
      </x:c>
      <x:c r="AF281" s="22" t="str">
        <x:v>Not applicable — not included</x:v>
      </x:c>
      <x:c r="AG281" s="22" t="str">
        <x:v>Evidence: fb5f4add-0fcd-400e-a719-3c6041403999.png; page 4, result 4. Metadata transcribed from captured Google Scholar page; OCR-normalised, verify against publication before citation.</x:v>
      </x:c>
      <x:c r="AH281" s="20" t="str">
        <x:v>No duplicate identified under the documented matching rules.</x:v>
      </x:c>
    </x:row>
    <x:row r="282" ht="42" customHeight="1">
      <x:c r="A282" s="22" t="str">
        <x:v>GS-03-035</x:v>
      </x:c>
      <x:c r="B282" s="22" t="str">
        <x:v>Google Scholar</x:v>
      </x:c>
      <x:c r="C282" s="22" t="str">
        <x:v>GS-03</x:v>
      </x:c>
      <x:c r="D282" s="22" t="str">
        <x:v>Por] An intelligent hybrid system for forecasting stock and forex trading signals using optimized recurrent FLANN and case-based reasoning</x:v>
      </x:c>
      <x:c r="E282" s="22" t="str">
        <x:v>DK Bsbara. TK Das Cl Chowdnary -Int J Compu Intell Syst = 2921+ acacerria edu</x:v>
      </x:c>
      <x:c r="F282" s="22" t="str">
        <x:v>NR</x:v>
      </x:c>
      <x:c r="G282" s="22" t="str">
        <x:v>DK Bsbara. TK Das Cl Chowdnary -Int J Compu Intell Syst = 2921+ acacerria edu</x:v>
      </x:c>
      <x:c r="H282" s="22" t="str">
        <x:v>Google Scholar result</x:v>
      </x:c>
      <x:c r="I282" s="22" t="str">
        <x:v>NR</x:v>
      </x:c>
      <x:c r="J282" s="22" t="str">
        <x:v>NR</x:v>
      </x:c>
      <x:c r="K282" s="22" t="str">
        <x:v>NR — URL not captured in the available source record</x:v>
      </x:c>
      <x:c r="L282" s="22" t="str">
        <x:v>Not available in the captured evidence; the screening decision used the title and available source metadata.</x:v>
      </x:c>
      <x:c r="M282" s="22" t="str">
        <x:v>No duplicate</x:v>
      </x:c>
      <x:c r="N282" s="22" t="str">
        <x:v>Not applicable — no duplicate group</x:v>
      </x:c>
      <x:c r="O282" s="22" t="str">
        <x:v>Not applicable</x:v>
      </x:c>
      <x:c r="P282" s="22" t="str">
        <x:v>Yes</x:v>
      </x:c>
      <x:c r="Q282" s="22" t="str">
        <x:v>Exclude</x:v>
      </x:c>
      <x:c r="R282" s="22" t="str">
        <x:v>Wrong domain: stock and forex trading.</x:v>
      </x:c>
      <x:c r="S282" s="22" t="str">
        <x:v>Verification documented at process level</x:v>
      </x:c>
      <x:c r="T282" s="22" t="str">
        <x:v>Two additional authors performed random spot checks; individual spot-check assignments are not recorded in this register.</x:v>
      </x:c>
      <x:c r="U282" s="22" t="str">
        <x:v>Exclude</x:v>
      </x:c>
      <x:c r="V282" s="22" t="str">
        <x:v>Primary decision by the corresponding author; two additional authors performed random spot checks as a quality-control step.</x:v>
      </x:c>
      <x:c r="W282" s="22" t="str">
        <x:v>No</x:v>
      </x:c>
      <x:c r="X282" s="22" t="str">
        <x:v>Not applicable</x:v>
      </x:c>
      <x:c r="Y282" s="22" t="str">
        <x:v>Not assessed</x:v>
      </x:c>
      <x:c r="Z282" s="22" t="str">
        <x:v>Not advanced to full-text assessment after the title/abstract decision.</x:v>
      </x:c>
      <x:c r="AA282" s="22" t="str">
        <x:v>Not applicable</x:v>
      </x:c>
      <x:c r="AB282" s="22" t="str">
        <x:v>Record was not advanced to full-text assessment.</x:v>
      </x:c>
      <x:c r="AC282" s="22" t="str">
        <x:v>Not assessed</x:v>
      </x:c>
      <x:c r="AD282" s="22" t="str">
        <x:v>Not applicable — no full-text assessment was required.</x:v>
      </x:c>
      <x:c r="AE282" s="22" t="str">
        <x:v>Not included — title/abstract exclusion</x:v>
      </x:c>
      <x:c r="AF282" s="22" t="str">
        <x:v>Not applicable — not included</x:v>
      </x:c>
      <x:c r="AG282" s="22" t="str">
        <x:v>Evidence: fb5f4add-0fcd-400e-a719-3c6041403999.png; page 4, result 5. Metadata transcribed from captured Google Scholar page; OCR-normalised, verify against publication before citation.</x:v>
      </x:c>
      <x:c r="AH282" s="20" t="str">
        <x:v>No duplicate identified under the documented matching rules.</x:v>
      </x:c>
    </x:row>
    <x:row r="283" ht="42" customHeight="1">
      <x:c r="A283" s="22" t="str">
        <x:v>GS-03-036</x:v>
      </x:c>
      <x:c r="B283" s="22" t="str">
        <x:v>Google Scholar</x:v>
      </x:c>
      <x:c r="C283" s="22" t="str">
        <x:v>GS-03</x:v>
      </x:c>
      <x:c r="D283" s="22" t="str">
        <x:v>F-CBR’ an architecture for federated case-based reasoning</x:v>
      </x:c>
      <x:c r="E283" s="22" t="str">
        <x:v>AJJaiswal K¥ Vigzaw, P Oztirk</x:v>
      </x:c>
      <x:c r="F283" s="22" t="n">
        <x:v>2022</x:v>
      </x:c>
      <x:c r="G283" s="22" t="str">
        <x:v>(EEE Access 2022 - ieaexplo-e izes org</x:v>
      </x:c>
      <x:c r="H283" s="22" t="str">
        <x:v>Google Scholar result</x:v>
      </x:c>
      <x:c r="I283" s="22" t="str">
        <x:v>NR</x:v>
      </x:c>
      <x:c r="J283" s="22" t="str">
        <x:v>NR</x:v>
      </x:c>
      <x:c r="K283" s="22" t="str">
        <x:v>NR — URL not captured in the available source record</x:v>
      </x:c>
      <x:c r="L283" s="22" t="str">
        <x:v>Not available in the captured evidence; the screening decision used the title and available source metadata.</x:v>
      </x:c>
      <x:c r="M283" s="22" t="str">
        <x:v>No duplicate</x:v>
      </x:c>
      <x:c r="N283" s="22" t="str">
        <x:v>Not applicable — no duplicate group</x:v>
      </x:c>
      <x:c r="O283" s="22" t="str">
        <x:v>Not applicable</x:v>
      </x:c>
      <x:c r="P283" s="22" t="str">
        <x:v>Yes</x:v>
      </x:c>
      <x:c r="Q283" s="22" t="str">
        <x:v>Exclude</x:v>
      </x:c>
      <x:c r="R283" s="22" t="str">
        <x:v>Generic federated case-based-reasoning architecture without medical evaluation.</x:v>
      </x:c>
      <x:c r="S283" s="22" t="str">
        <x:v>Verification documented at process level</x:v>
      </x:c>
      <x:c r="T283" s="22" t="str">
        <x:v>Two additional authors performed random spot checks; individual spot-check assignments are not recorded in this register.</x:v>
      </x:c>
      <x:c r="U283" s="22" t="str">
        <x:v>Exclude</x:v>
      </x:c>
      <x:c r="V283" s="22" t="str">
        <x:v>Primary decision by the corresponding author; two additional authors performed random spot checks as a quality-control step.</x:v>
      </x:c>
      <x:c r="W283" s="22" t="str">
        <x:v>No</x:v>
      </x:c>
      <x:c r="X283" s="22" t="str">
        <x:v>Not applicable</x:v>
      </x:c>
      <x:c r="Y283" s="22" t="str">
        <x:v>Not assessed</x:v>
      </x:c>
      <x:c r="Z283" s="22" t="str">
        <x:v>Not advanced to full-text assessment after the title/abstract decision.</x:v>
      </x:c>
      <x:c r="AA283" s="22" t="str">
        <x:v>Not applicable</x:v>
      </x:c>
      <x:c r="AB283" s="22" t="str">
        <x:v>Record was not advanced to full-text assessment.</x:v>
      </x:c>
      <x:c r="AC283" s="22" t="str">
        <x:v>Not assessed</x:v>
      </x:c>
      <x:c r="AD283" s="22" t="str">
        <x:v>Not applicable — no full-text assessment was required.</x:v>
      </x:c>
      <x:c r="AE283" s="22" t="str">
        <x:v>Not included — title/abstract exclusion</x:v>
      </x:c>
      <x:c r="AF283" s="22" t="str">
        <x:v>Not applicable — not included</x:v>
      </x:c>
      <x:c r="AG283" s="22" t="str">
        <x:v>Evidence: fb5f4add-0fcd-400e-a719-3c6041403999.png; page 4, result 6. Metadata transcribed from captured Google Scholar page; OCR-normalised, verify against publication before citation.</x:v>
      </x:c>
      <x:c r="AH283" s="20" t="str">
        <x:v>No duplicate identified under the documented matching rules.</x:v>
      </x:c>
    </x:row>
    <x:row r="284" ht="42" customHeight="1">
      <x:c r="A284" s="22" t="str">
        <x:v>GS-03-037</x:v>
      </x:c>
      <x:c r="B284" s="22" t="str">
        <x:v>Google Scholar</x:v>
      </x:c>
      <x:c r="C284" s="22" t="str">
        <x:v>GS-03</x:v>
      </x:c>
      <x:c r="D284" s="22" t="str">
        <x:v>An intelligent decision-making model for the design of precast slab joints based on case-based reasoning</x:v>
      </x:c>
      <x:c r="E284" s="22" t="str">
        <x:v>K Shen ¥ Zhu J Pan X Li -Joumal of Construclion Enginneenng . 2023. ascelibrary org</x:v>
      </x:c>
      <x:c r="F284" s="22" t="n">
        <x:v>2023</x:v>
      </x:c>
      <x:c r="G284" s="22" t="str">
        <x:v>K Shen ¥ Zhu J Pan X Li -Joumal of Construclion Enginneenng . 2023. ascelibrary org</x:v>
      </x:c>
      <x:c r="H284" s="22" t="str">
        <x:v>Google Scholar result</x:v>
      </x:c>
      <x:c r="I284" s="22" t="str">
        <x:v>NR</x:v>
      </x:c>
      <x:c r="J284" s="22" t="str">
        <x:v>NR</x:v>
      </x:c>
      <x:c r="K284" s="22" t="str">
        <x:v>NR — URL not captured in the available source record</x:v>
      </x:c>
      <x:c r="L284" s="22" t="str">
        <x:v>Not available in the captured evidence; the screening decision used the title and available source metadata.</x:v>
      </x:c>
      <x:c r="M284" s="22" t="str">
        <x:v>No duplicate</x:v>
      </x:c>
      <x:c r="N284" s="22" t="str">
        <x:v>Not applicable — no duplicate group</x:v>
      </x:c>
      <x:c r="O284" s="22" t="str">
        <x:v>Not applicable</x:v>
      </x:c>
      <x:c r="P284" s="22" t="str">
        <x:v>Yes</x:v>
      </x:c>
      <x:c r="Q284" s="22" t="str">
        <x:v>Exclude</x:v>
      </x:c>
      <x:c r="R284" s="22" t="str">
        <x:v>Wrong domain: construction-engineering design.</x:v>
      </x:c>
      <x:c r="S284" s="22" t="str">
        <x:v>Verification documented at process level</x:v>
      </x:c>
      <x:c r="T284" s="22" t="str">
        <x:v>Two additional authors performed random spot checks; individual spot-check assignments are not recorded in this register.</x:v>
      </x:c>
      <x:c r="U284" s="22" t="str">
        <x:v>Exclude</x:v>
      </x:c>
      <x:c r="V284" s="22" t="str">
        <x:v>Primary decision by the corresponding author; two additional authors performed random spot checks as a quality-control step.</x:v>
      </x:c>
      <x:c r="W284" s="22" t="str">
        <x:v>No</x:v>
      </x:c>
      <x:c r="X284" s="22" t="str">
        <x:v>Not applicable</x:v>
      </x:c>
      <x:c r="Y284" s="22" t="str">
        <x:v>Not assessed</x:v>
      </x:c>
      <x:c r="Z284" s="22" t="str">
        <x:v>Not advanced to full-text assessment after the title/abstract decision.</x:v>
      </x:c>
      <x:c r="AA284" s="22" t="str">
        <x:v>Not applicable</x:v>
      </x:c>
      <x:c r="AB284" s="22" t="str">
        <x:v>Record was not advanced to full-text assessment.</x:v>
      </x:c>
      <x:c r="AC284" s="22" t="str">
        <x:v>Not assessed</x:v>
      </x:c>
      <x:c r="AD284" s="22" t="str">
        <x:v>Not applicable — no full-text assessment was required.</x:v>
      </x:c>
      <x:c r="AE284" s="22" t="str">
        <x:v>Not included — title/abstract exclusion</x:v>
      </x:c>
      <x:c r="AF284" s="22" t="str">
        <x:v>Not applicable — not included</x:v>
      </x:c>
      <x:c r="AG284" s="22" t="str">
        <x:v>Evidence: fb5f4add-0fcd-400e-a719-3c6041403999.png; page 4, result 7. Metadata transcribed from captured Google Scholar page; OCR-normalised, verify against publication before citation.</x:v>
      </x:c>
      <x:c r="AH284" s="20" t="str">
        <x:v>No duplicate identified under the documented matching rules.</x:v>
      </x:c>
    </x:row>
    <x:row r="285" ht="42" customHeight="1">
      <x:c r="A285" s="22" t="str">
        <x:v>GS-03-038</x:v>
      </x:c>
      <x:c r="B285" s="22" t="str">
        <x:v>Google Scholar</x:v>
      </x:c>
      <x:c r="C285" s="22" t="str">
        <x:v>GS-03</x:v>
      </x:c>
      <x:c r="D285" s="22" t="str">
        <x:v>A Case-Based Reasoning Model Powered by Deep Learning for Radiology Report Recommendation</x:v>
      </x:c>
      <x:c r="E285" s="22" t="str">
        <x:v>EA Deminguez, E Se~ano. O Manriq.e =</x:v>
      </x:c>
      <x:c r="F285" s="22" t="str">
        <x:v>NR</x:v>
      </x:c>
      <x:c r="G285" s="22" t="str">
        <x:v>Inlemational Journa of =. 200.2 5. - rewslas unir net</x:v>
      </x:c>
      <x:c r="H285" s="22" t="str">
        <x:v>Google Scholar result</x:v>
      </x:c>
      <x:c r="I285" s="22" t="str">
        <x:v>10.9781/ijimai.2021.08.011</x:v>
      </x:c>
      <x:c r="J285" s="22" t="str">
        <x:v>NR</x:v>
      </x:c>
      <x:c r="K285" s="22" t="str">
        <x:v>https://www.ijimai.org/index.php/ijimai/article/download/622/737/1115</x:v>
      </x:c>
      <x:c r="L285" s="22" t="str">
        <x:v>Case-Based Reasoning models are one of the most used reasoning paradigms in expert-knowledge-driven areas. One of the most prominent fields of use of these systems is the medical sector, where explainable models are required. However, these models are considerably reliant on user input and the introduction of relevant curated data. Deep learning approaches offer an analogous solution, where user input is not required. This paper proposes a hybrid Case-Based Reasoning, Deep Learning framework for medical-related applications, focusing on the generation of medical reports. The proposal combines the explainability and user-focused approach of case-based reasoning models with the deep learning techniques performance. Moreover, the framework is fully modular to fit a wide variety of tasks and data, such as real-time sensor captured data, images, or text, to name a few. An implementation of the proposed framework focusing on radiology report generation assistance is provided. This implementation is used to evaluate the proposal, showing that it can provide meaningful and accurate corrections, even when the amount of information available is minimal. Additional tests on the optimization degree of the case base are also performed, evidencing how the proposed framework can optimize this base to achieve optimal performance.</x:v>
      </x:c>
      <x:c r="M285" s="22" t="str">
        <x:v>No duplicate</x:v>
      </x:c>
      <x:c r="N285" s="22" t="str">
        <x:v>Not applicable — no duplicate group</x:v>
      </x:c>
      <x:c r="O285" s="22" t="str">
        <x:v>Not applicable</x:v>
      </x:c>
      <x:c r="P285" s="22" t="str">
        <x:v>Yes</x:v>
      </x:c>
      <x:c r="Q285" s="22" t="str">
        <x:v>Include</x:v>
      </x:c>
      <x:c r="R285" s="22" t="str">
        <x:v>Original medical-imaging case-based reasoning combining explainability with deep learning; contextual evidence.</x:v>
      </x:c>
      <x:c r="S285" s="22" t="str">
        <x:v>Verification documented at process level</x:v>
      </x:c>
      <x:c r="T285" s="22" t="str">
        <x:v>Two additional authors performed random spot checks; individual spot-check assignments are not recorded in this register.</x:v>
      </x:c>
      <x:c r="U285" s="22" t="str">
        <x:v>Include</x:v>
      </x:c>
      <x:c r="V285" s="22" t="str">
        <x:v>Primary decision by the corresponding author; two additional authors performed random spot checks as a quality-control step.</x:v>
      </x:c>
      <x:c r="W285" s="22" t="str">
        <x:v>Yes</x:v>
      </x:c>
      <x:c r="X285" s="22" t="str">
        <x:v>Yes</x:v>
      </x:c>
      <x:c r="Y285" s="22" t="str">
        <x:v>Include</x:v>
      </x:c>
      <x:c r="Z285" s="22" t="str">
        <x:v>The corresponding author assessed the complete report and judged it eligible for inclusion in the review.</x:v>
      </x:c>
      <x:c r="AA285" s="22" t="str">
        <x:v>Verification documented at process level</x:v>
      </x:c>
      <x:c r="AB285" s="22" t="str">
        <x:v>Two additional authors performed random spot checks; individual spot-check assignments are not recorded in this register.</x:v>
      </x:c>
      <x:c r="AC285" s="22" t="str">
        <x:v>Include</x:v>
      </x:c>
      <x:c r="AD285" s="22" t="str">
        <x:v>Primary decision by the corresponding author; two additional authors performed random spot checks as a quality-control step.</x:v>
      </x:c>
      <x:c r="AE285" s="22" t="str">
        <x:v>Include</x:v>
      </x:c>
      <x:c r="AF285" s="22" t="str">
        <x:v>Contextual medical concept-XAI evidence</x:v>
      </x:c>
      <x:c r="AG285" s="22" t="str">
        <x:v>Evidence: fb5f4add-0fcd-400e-a719-3c6041403999.png; page 4, result 8. Metadata transcribed from captured Google Scholar page; OCR-normalised, verify against publication before citation.</x:v>
      </x:c>
      <x:c r="AH285" s="20" t="str">
        <x:v>No duplicate identified under the documented matching rules.</x:v>
      </x:c>
    </x:row>
    <x:row r="286" ht="42" customHeight="1">
      <x:c r="A286" s="22" t="str">
        <x:v>GS-03-039</x:v>
      </x:c>
      <x:c r="B286" s="22" t="str">
        <x:v>Google Scholar</x:v>
      </x:c>
      <x:c r="C286" s="22" t="str">
        <x:v>GS-03</x:v>
      </x:c>
      <x:c r="D286" s="22" t="str">
        <x:v>The development of intelligent agents’ A case-based reasoning approach to achieve human-like peculiarities via playback of human traces</x:v>
      </x:c>
      <x:c r="E286" s="22" t="str">
        <x:v>NA Butl gMahnoad GU Rehman Mt Nasrala =</x:v>
      </x:c>
      <x:c r="F286" s="22" t="n">
        <x:v>2023</x:v>
      </x:c>
      <x:c r="G286" s="22" t="str">
        <x:v>ISEE 2023 - ieeexplore ieee org</x:v>
      </x:c>
      <x:c r="H286" s="22" t="str">
        <x:v>Google Scholar result</x:v>
      </x:c>
      <x:c r="I286" s="22" t="str">
        <x:v>NR</x:v>
      </x:c>
      <x:c r="J286" s="22" t="str">
        <x:v>NR</x:v>
      </x:c>
      <x:c r="K286" s="22" t="str">
        <x:v>NR — URL not captured in the available source record</x:v>
      </x:c>
      <x:c r="L286" s="22" t="str">
        <x:v>Not available in the captured evidence; the screening decision used the title and available source metadata.</x:v>
      </x:c>
      <x:c r="M286" s="22" t="str">
        <x:v>No duplicate</x:v>
      </x:c>
      <x:c r="N286" s="22" t="str">
        <x:v>Not applicable — no duplicate group</x:v>
      </x:c>
      <x:c r="O286" s="22" t="str">
        <x:v>Not applicable</x:v>
      </x:c>
      <x:c r="P286" s="22" t="str">
        <x:v>Yes</x:v>
      </x:c>
      <x:c r="Q286" s="22" t="str">
        <x:v>Exclude</x:v>
      </x:c>
      <x:c r="R286" s="22" t="str">
        <x:v>Generic intelligent-agent behaviour application.</x:v>
      </x:c>
      <x:c r="S286" s="22" t="str">
        <x:v>Verification documented at process level</x:v>
      </x:c>
      <x:c r="T286" s="22" t="str">
        <x:v>Two additional authors performed random spot checks; individual spot-check assignments are not recorded in this register.</x:v>
      </x:c>
      <x:c r="U286" s="22" t="str">
        <x:v>Exclude</x:v>
      </x:c>
      <x:c r="V286" s="22" t="str">
        <x:v>Primary decision by the corresponding author; two additional authors performed random spot checks as a quality-control step.</x:v>
      </x:c>
      <x:c r="W286" s="22" t="str">
        <x:v>No</x:v>
      </x:c>
      <x:c r="X286" s="22" t="str">
        <x:v>Not applicable</x:v>
      </x:c>
      <x:c r="Y286" s="22" t="str">
        <x:v>Not assessed</x:v>
      </x:c>
      <x:c r="Z286" s="22" t="str">
        <x:v>Not advanced to full-text assessment after the title/abstract decision.</x:v>
      </x:c>
      <x:c r="AA286" s="22" t="str">
        <x:v>Not applicable</x:v>
      </x:c>
      <x:c r="AB286" s="22" t="str">
        <x:v>Record was not advanced to full-text assessment.</x:v>
      </x:c>
      <x:c r="AC286" s="22" t="str">
        <x:v>Not assessed</x:v>
      </x:c>
      <x:c r="AD286" s="22" t="str">
        <x:v>Not applicable — no full-text assessment was required.</x:v>
      </x:c>
      <x:c r="AE286" s="22" t="str">
        <x:v>Not included — title/abstract exclusion</x:v>
      </x:c>
      <x:c r="AF286" s="22" t="str">
        <x:v>Not applicable — not included</x:v>
      </x:c>
      <x:c r="AG286" s="22" t="str">
        <x:v>Evidence: fb5f4add-0fcd-400e-a719-3c6041403999.png; page 4, result 9. Metadata transcribed from captured Google Scholar page; OCR-normalised, verify against publication before citation.</x:v>
      </x:c>
      <x:c r="AH286" s="20" t="str">
        <x:v>No duplicate identified under the documented matching rules.</x:v>
      </x:c>
    </x:row>
    <x:row r="287" ht="42" customHeight="1">
      <x:c r="A287" s="22" t="str">
        <x:v>GS-03-040</x:v>
      </x:c>
      <x:c r="B287" s="22" t="str">
        <x:v>Google Scholar</x:v>
      </x:c>
      <x:c r="C287" s="22" t="str">
        <x:v>GS-03</x:v>
      </x:c>
      <x:c r="D287" s="22" t="str">
        <x:v>A case-based-reasoning analysis of the COMPAS dataset</x:v>
      </x:c>
      <x:c r="E287" s="22" t="str">
        <x:v>Vivan Woerkom BD Grossi</x:v>
      </x:c>
      <x:c r="F287" s="22" t="n">
        <x:v>2024</x:v>
      </x:c>
      <x:c r="G287" s="22" t="str">
        <x:v>egal Knowledge and = 2024 - journals sagepub com</x:v>
      </x:c>
      <x:c r="H287" s="22" t="str">
        <x:v>Google Scholar result</x:v>
      </x:c>
      <x:c r="I287" s="22" t="str">
        <x:v>NR</x:v>
      </x:c>
      <x:c r="J287" s="22" t="str">
        <x:v>NR</x:v>
      </x:c>
      <x:c r="K287" s="22" t="str">
        <x:v>NR — URL not captured in the available source record</x:v>
      </x:c>
      <x:c r="L287" s="22" t="str">
        <x:v>Not available in the captured evidence; the screening decision used the title and available source metadata.</x:v>
      </x:c>
      <x:c r="M287" s="22" t="str">
        <x:v>No duplicate</x:v>
      </x:c>
      <x:c r="N287" s="22" t="str">
        <x:v>Not applicable — no duplicate group</x:v>
      </x:c>
      <x:c r="O287" s="22" t="str">
        <x:v>Not applicable</x:v>
      </x:c>
      <x:c r="P287" s="22" t="str">
        <x:v>Yes</x:v>
      </x:c>
      <x:c r="Q287" s="22" t="str">
        <x:v>Exclude</x:v>
      </x:c>
      <x:c r="R287" s="22" t="str">
        <x:v>Wrong domain: criminal-justice COMPAS dataset.</x:v>
      </x:c>
      <x:c r="S287" s="22" t="str">
        <x:v>Verification documented at process level</x:v>
      </x:c>
      <x:c r="T287" s="22" t="str">
        <x:v>Two additional authors performed random spot checks; individual spot-check assignments are not recorded in this register.</x:v>
      </x:c>
      <x:c r="U287" s="22" t="str">
        <x:v>Exclude</x:v>
      </x:c>
      <x:c r="V287" s="22" t="str">
        <x:v>Primary decision by the corresponding author; two additional authors performed random spot checks as a quality-control step.</x:v>
      </x:c>
      <x:c r="W287" s="22" t="str">
        <x:v>No</x:v>
      </x:c>
      <x:c r="X287" s="22" t="str">
        <x:v>Not applicable</x:v>
      </x:c>
      <x:c r="Y287" s="22" t="str">
        <x:v>Not assessed</x:v>
      </x:c>
      <x:c r="Z287" s="22" t="str">
        <x:v>Not advanced to full-text assessment after the title/abstract decision.</x:v>
      </x:c>
      <x:c r="AA287" s="22" t="str">
        <x:v>Not applicable</x:v>
      </x:c>
      <x:c r="AB287" s="22" t="str">
        <x:v>Record was not advanced to full-text assessment.</x:v>
      </x:c>
      <x:c r="AC287" s="22" t="str">
        <x:v>Not assessed</x:v>
      </x:c>
      <x:c r="AD287" s="22" t="str">
        <x:v>Not applicable — no full-text assessment was required.</x:v>
      </x:c>
      <x:c r="AE287" s="22" t="str">
        <x:v>Not included — title/abstract exclusion</x:v>
      </x:c>
      <x:c r="AF287" s="22" t="str">
        <x:v>Not applicable — not included</x:v>
      </x:c>
      <x:c r="AG287" s="22" t="str">
        <x:v>Evidence: fb5f4add-0fcd-400e-a719-3c6041403999.png; page 4, result 10. Metadata transcribed from captured Google Scholar page; OCR-normalised, verify against publication before citation.</x:v>
      </x:c>
      <x:c r="AH287" s="20" t="str">
        <x:v>No duplicate identified under the documented matching rules.</x:v>
      </x:c>
    </x:row>
    <x:row r="288" ht="42" customHeight="1">
      <x:c r="A288" s="22" t="str">
        <x:v>GS-03-041</x:v>
      </x:c>
      <x:c r="B288" s="22" t="str">
        <x:v>Google Scholar</x:v>
      </x:c>
      <x:c r="C288" s="22" t="str">
        <x:v>GS-03</x:v>
      </x:c>
      <x:c r="D288" s="22" t="str">
        <x:v>Geamelric case based reasoning for stock market prediction</x:v>
      </x:c>
      <x:c r="E288" s="22" t="str">
        <x:v>SH Chun YW Ko</x:v>
      </x:c>
      <x:c r="F288" s="22" t="n">
        <x:v>2025</x:v>
      </x:c>
      <x:c r="G288" s="22" t="str">
        <x:v>Sustainability 2025 - mapi cor</x:v>
      </x:c>
      <x:c r="H288" s="22" t="str">
        <x:v>Google Scholar result</x:v>
      </x:c>
      <x:c r="I288" s="22" t="str">
        <x:v>NR</x:v>
      </x:c>
      <x:c r="J288" s="22" t="str">
        <x:v>NR</x:v>
      </x:c>
      <x:c r="K288" s="22" t="str">
        <x:v>NR — URL not captured in the available source record</x:v>
      </x:c>
      <x:c r="L288" s="22" t="str">
        <x:v>Not available in the captured evidence; the screening decision used the title and available source metadata.</x:v>
      </x:c>
      <x:c r="M288" s="22" t="str">
        <x:v>No duplicate</x:v>
      </x:c>
      <x:c r="N288" s="22" t="str">
        <x:v>Not applicable — no duplicate group</x:v>
      </x:c>
      <x:c r="O288" s="22" t="str">
        <x:v>Not applicable</x:v>
      </x:c>
      <x:c r="P288" s="22" t="str">
        <x:v>Yes</x:v>
      </x:c>
      <x:c r="Q288" s="22" t="str">
        <x:v>Exclude</x:v>
      </x:c>
      <x:c r="R288" s="22" t="str">
        <x:v>Wrong domain: stock-market prediction.</x:v>
      </x:c>
      <x:c r="S288" s="22" t="str">
        <x:v>Verification documented at process level</x:v>
      </x:c>
      <x:c r="T288" s="22" t="str">
        <x:v>Two additional authors performed random spot checks; individual spot-check assignments are not recorded in this register.</x:v>
      </x:c>
      <x:c r="U288" s="22" t="str">
        <x:v>Exclude</x:v>
      </x:c>
      <x:c r="V288" s="22" t="str">
        <x:v>Primary decision by the corresponding author; two additional authors performed random spot checks as a quality-control step.</x:v>
      </x:c>
      <x:c r="W288" s="22" t="str">
        <x:v>No</x:v>
      </x:c>
      <x:c r="X288" s="22" t="str">
        <x:v>Not applicable</x:v>
      </x:c>
      <x:c r="Y288" s="22" t="str">
        <x:v>Not assessed</x:v>
      </x:c>
      <x:c r="Z288" s="22" t="str">
        <x:v>Not advanced to full-text assessment after the title/abstract decision.</x:v>
      </x:c>
      <x:c r="AA288" s="22" t="str">
        <x:v>Not applicable</x:v>
      </x:c>
      <x:c r="AB288" s="22" t="str">
        <x:v>Record was not advanced to full-text assessment.</x:v>
      </x:c>
      <x:c r="AC288" s="22" t="str">
        <x:v>Not assessed</x:v>
      </x:c>
      <x:c r="AD288" s="22" t="str">
        <x:v>Not applicable — no full-text assessment was required.</x:v>
      </x:c>
      <x:c r="AE288" s="22" t="str">
        <x:v>Not included — title/abstract exclusion</x:v>
      </x:c>
      <x:c r="AF288" s="22" t="str">
        <x:v>Not applicable — not included</x:v>
      </x:c>
      <x:c r="AG288" s="22" t="str">
        <x:v>Evidence: 70cb3351-63af-4d6d-b03e-371a5f22ca70.png; page 5, result 1. Metadata transcribed from captured Google Scholar page; OCR-normalised, verify against publication before citation.</x:v>
      </x:c>
      <x:c r="AH288" s="20" t="str">
        <x:v>No duplicate identified under the documented matching rules.</x:v>
      </x:c>
    </x:row>
    <x:row r="289" ht="42" customHeight="1">
      <x:c r="A289" s="22" t="str">
        <x:v>GS-03-042</x:v>
      </x:c>
      <x:c r="B289" s="22" t="str">
        <x:v>Google Scholar</x:v>
      </x:c>
      <x:c r="C289" s="22" t="str">
        <x:v>GS-03</x:v>
      </x:c>
      <x:c r="D289" s="22" t="str">
        <x:v>On application of case-based reasoning to personalise learning</x:v>
      </x:c>
      <x:c r="E289" s="22" t="str">
        <x:v>J Mancanks E Kurilovas | Krikun</x:v>
      </x:c>
      <x:c r="F289" s="22" t="n">
        <x:v>2019</x:v>
      </x:c>
      <x:c r="G289" s="22" t="str">
        <x:v>In’ormatics in Educalion 2019 - casol com</x:v>
      </x:c>
      <x:c r="H289" s="22" t="str">
        <x:v>Google Scholar result</x:v>
      </x:c>
      <x:c r="I289" s="22" t="str">
        <x:v>NR</x:v>
      </x:c>
      <x:c r="J289" s="22" t="str">
        <x:v>NR</x:v>
      </x:c>
      <x:c r="K289" s="22" t="str">
        <x:v>NR — URL not captured in the available source record</x:v>
      </x:c>
      <x:c r="L289" s="22" t="str">
        <x:v>Not available in the captured evidence; the screening decision used the title and available source metadata.</x:v>
      </x:c>
      <x:c r="M289" s="22" t="str">
        <x:v>No duplicate</x:v>
      </x:c>
      <x:c r="N289" s="22" t="str">
        <x:v>Not applicable — no duplicate group</x:v>
      </x:c>
      <x:c r="O289" s="22" t="str">
        <x:v>Not applicable</x:v>
      </x:c>
      <x:c r="P289" s="22" t="str">
        <x:v>Yes</x:v>
      </x:c>
      <x:c r="Q289" s="22" t="str">
        <x:v>Exclude</x:v>
      </x:c>
      <x:c r="R289" s="22" t="str">
        <x:v>Wrong domain: education; not medical imaging.</x:v>
      </x:c>
      <x:c r="S289" s="22" t="str">
        <x:v>Verification documented at process level</x:v>
      </x:c>
      <x:c r="T289" s="22" t="str">
        <x:v>Two additional authors performed random spot checks; individual spot-check assignments are not recorded in this register.</x:v>
      </x:c>
      <x:c r="U289" s="22" t="str">
        <x:v>Exclude</x:v>
      </x:c>
      <x:c r="V289" s="22" t="str">
        <x:v>Primary decision by the corresponding author; two additional authors performed random spot checks as a quality-control step.</x:v>
      </x:c>
      <x:c r="W289" s="22" t="str">
        <x:v>No</x:v>
      </x:c>
      <x:c r="X289" s="22" t="str">
        <x:v>Not applicable</x:v>
      </x:c>
      <x:c r="Y289" s="22" t="str">
        <x:v>Not assessed</x:v>
      </x:c>
      <x:c r="Z289" s="22" t="str">
        <x:v>Not advanced to full-text assessment after the title/abstract decision.</x:v>
      </x:c>
      <x:c r="AA289" s="22" t="str">
        <x:v>Not applicable</x:v>
      </x:c>
      <x:c r="AB289" s="22" t="str">
        <x:v>Record was not advanced to full-text assessment.</x:v>
      </x:c>
      <x:c r="AC289" s="22" t="str">
        <x:v>Not assessed</x:v>
      </x:c>
      <x:c r="AD289" s="22" t="str">
        <x:v>Not applicable — no full-text assessment was required.</x:v>
      </x:c>
      <x:c r="AE289" s="22" t="str">
        <x:v>Not included — title/abstract exclusion</x:v>
      </x:c>
      <x:c r="AF289" s="22" t="str">
        <x:v>Not applicable — not included</x:v>
      </x:c>
      <x:c r="AG289" s="22" t="str">
        <x:v>Evidence: 70cb3351-63af-4d6d-b03e-371a5f22ca70.png; page 5, result 2. Metadata transcribed from captured Google Scholar page; OCR-normalised, verify against publication before citation.</x:v>
      </x:c>
      <x:c r="AH289" s="20" t="str">
        <x:v>No duplicate identified under the documented matching rules.</x:v>
      </x:c>
    </x:row>
    <x:row r="290" ht="42" customHeight="1">
      <x:c r="A290" s="22" t="str">
        <x:v>GS-03-043</x:v>
      </x:c>
      <x:c r="B290" s="22" t="str">
        <x:v>Google Scholar</x:v>
      </x:c>
      <x:c r="C290" s="22" t="str">
        <x:v>GS-03</x:v>
      </x:c>
      <x:c r="D290" s="22" t="str">
        <x:v>A Novel Method for Diagnosing Asphalt Pavement Distress Causes Based on Knowledge Graph and Case-Based Reasoning</x:v>
      </x:c>
      <x:c r="E290" s="22" t="str">
        <x:v>S 4uang J Zhu TMa.ZTong ¥Fsn -IEEE Transactonson 2026 -ieeexplcre ese org</x:v>
      </x:c>
      <x:c r="F290" s="22" t="n">
        <x:v>2026</x:v>
      </x:c>
      <x:c r="G290" s="22" t="str">
        <x:v>S 4uang J Zhu TMa.ZTong ¥Fsn -IEEE Transactonson 2026 -ieeexplcre ese org</x:v>
      </x:c>
      <x:c r="H290" s="22" t="str">
        <x:v>Google Scholar result</x:v>
      </x:c>
      <x:c r="I290" s="22" t="str">
        <x:v>NR</x:v>
      </x:c>
      <x:c r="J290" s="22" t="str">
        <x:v>NR</x:v>
      </x:c>
      <x:c r="K290" s="22" t="str">
        <x:v>NR — URL not captured in the available source record</x:v>
      </x:c>
      <x:c r="L290" s="22" t="str">
        <x:v>Not available in the captured evidence; the screening decision used the title and available source metadata.</x:v>
      </x:c>
      <x:c r="M290" s="22" t="str">
        <x:v>No duplicate</x:v>
      </x:c>
      <x:c r="N290" s="22" t="str">
        <x:v>Not applicable — no duplicate group</x:v>
      </x:c>
      <x:c r="O290" s="22" t="str">
        <x:v>Not applicable</x:v>
      </x:c>
      <x:c r="P290" s="22" t="str">
        <x:v>Yes</x:v>
      </x:c>
      <x:c r="Q290" s="22" t="str">
        <x:v>Exclude</x:v>
      </x:c>
      <x:c r="R290" s="22" t="str">
        <x:v>Wrong domain: civil engineering.</x:v>
      </x:c>
      <x:c r="S290" s="22" t="str">
        <x:v>Verification documented at process level</x:v>
      </x:c>
      <x:c r="T290" s="22" t="str">
        <x:v>Two additional authors performed random spot checks; individual spot-check assignments are not recorded in this register.</x:v>
      </x:c>
      <x:c r="U290" s="22" t="str">
        <x:v>Exclude</x:v>
      </x:c>
      <x:c r="V290" s="22" t="str">
        <x:v>Primary decision by the corresponding author; two additional authors performed random spot checks as a quality-control step.</x:v>
      </x:c>
      <x:c r="W290" s="22" t="str">
        <x:v>No</x:v>
      </x:c>
      <x:c r="X290" s="22" t="str">
        <x:v>Not applicable</x:v>
      </x:c>
      <x:c r="Y290" s="22" t="str">
        <x:v>Not assessed</x:v>
      </x:c>
      <x:c r="Z290" s="22" t="str">
        <x:v>Not advanced to full-text assessment after the title/abstract decision.</x:v>
      </x:c>
      <x:c r="AA290" s="22" t="str">
        <x:v>Not applicable</x:v>
      </x:c>
      <x:c r="AB290" s="22" t="str">
        <x:v>Record was not advanced to full-text assessment.</x:v>
      </x:c>
      <x:c r="AC290" s="22" t="str">
        <x:v>Not assessed</x:v>
      </x:c>
      <x:c r="AD290" s="22" t="str">
        <x:v>Not applicable — no full-text assessment was required.</x:v>
      </x:c>
      <x:c r="AE290" s="22" t="str">
        <x:v>Not included — title/abstract exclusion</x:v>
      </x:c>
      <x:c r="AF290" s="22" t="str">
        <x:v>Not applicable — not included</x:v>
      </x:c>
      <x:c r="AG290" s="22" t="str">
        <x:v>Evidence: 70cb3351-63af-4d6d-b03e-371a5f22ca70.png; page 5, result 3. Metadata transcribed from captured Google Scholar page; OCR-normalised, verify against publication before citation.</x:v>
      </x:c>
      <x:c r="AH290" s="20" t="str">
        <x:v>No duplicate identified under the documented matching rules.</x:v>
      </x:c>
    </x:row>
    <x:row r="291" ht="42" customHeight="1">
      <x:c r="A291" s="22" t="str">
        <x:v>GS-03-044</x:v>
      </x:c>
      <x:c r="B291" s="22" t="str">
        <x:v>Google Scholar</x:v>
      </x:c>
      <x:c r="C291" s="22" t="str">
        <x:v>GS-03</x:v>
      </x:c>
      <x:c r="D291" s="22" t="str">
        <x:v>Case-based reasoning method based on mechanistic model correction for predicting endpoint sulphur content of molten iron in KR desulphurization</x:v>
      </x:c>
      <x:c r="E291" s="22" t="str">
        <x:v>K Fang AXu D He L Yang: Ironmaking &amp; Steeim akitg, 2020</x:v>
      </x:c>
      <x:c r="F291" s="22" t="n">
        <x:v>2020</x:v>
      </x:c>
      <x:c r="G291" s="22" t="str">
        <x:v>jornals sagepub car</x:v>
      </x:c>
      <x:c r="H291" s="22" t="str">
        <x:v>Google Scholar result</x:v>
      </x:c>
      <x:c r="I291" s="22" t="str">
        <x:v>NR</x:v>
      </x:c>
      <x:c r="J291" s="22" t="str">
        <x:v>NR</x:v>
      </x:c>
      <x:c r="K291" s="22" t="str">
        <x:v>NR — URL not captured in the available source record</x:v>
      </x:c>
      <x:c r="L291" s="22" t="str">
        <x:v>Not available in the captured evidence; the screening decision used the title and available source metadata.</x:v>
      </x:c>
      <x:c r="M291" s="22" t="str">
        <x:v>No duplicate</x:v>
      </x:c>
      <x:c r="N291" s="22" t="str">
        <x:v>Not applicable — no duplicate group</x:v>
      </x:c>
      <x:c r="O291" s="22" t="str">
        <x:v>Not applicable</x:v>
      </x:c>
      <x:c r="P291" s="22" t="str">
        <x:v>Yes</x:v>
      </x:c>
      <x:c r="Q291" s="22" t="str">
        <x:v>Exclude</x:v>
      </x:c>
      <x:c r="R291" s="22" t="str">
        <x:v>Wrong domain: industrial process control.</x:v>
      </x:c>
      <x:c r="S291" s="22" t="str">
        <x:v>Verification documented at process level</x:v>
      </x:c>
      <x:c r="T291" s="22" t="str">
        <x:v>Two additional authors performed random spot checks; individual spot-check assignments are not recorded in this register.</x:v>
      </x:c>
      <x:c r="U291" s="22" t="str">
        <x:v>Exclude</x:v>
      </x:c>
      <x:c r="V291" s="22" t="str">
        <x:v>Primary decision by the corresponding author; two additional authors performed random spot checks as a quality-control step.</x:v>
      </x:c>
      <x:c r="W291" s="22" t="str">
        <x:v>No</x:v>
      </x:c>
      <x:c r="X291" s="22" t="str">
        <x:v>Not applicable</x:v>
      </x:c>
      <x:c r="Y291" s="22" t="str">
        <x:v>Not assessed</x:v>
      </x:c>
      <x:c r="Z291" s="22" t="str">
        <x:v>Not advanced to full-text assessment after the title/abstract decision.</x:v>
      </x:c>
      <x:c r="AA291" s="22" t="str">
        <x:v>Not applicable</x:v>
      </x:c>
      <x:c r="AB291" s="22" t="str">
        <x:v>Record was not advanced to full-text assessment.</x:v>
      </x:c>
      <x:c r="AC291" s="22" t="str">
        <x:v>Not assessed</x:v>
      </x:c>
      <x:c r="AD291" s="22" t="str">
        <x:v>Not applicable — no full-text assessment was required.</x:v>
      </x:c>
      <x:c r="AE291" s="22" t="str">
        <x:v>Not included — title/abstract exclusion</x:v>
      </x:c>
      <x:c r="AF291" s="22" t="str">
        <x:v>Not applicable — not included</x:v>
      </x:c>
      <x:c r="AG291" s="22" t="str">
        <x:v>Evidence: 70cb3351-63af-4d6d-b03e-371a5f22ca70.png; page 5, result 4. Metadata transcribed from captured Google Scholar page; OCR-normalised, verify against publication before citation.</x:v>
      </x:c>
      <x:c r="AH291" s="20" t="str">
        <x:v>No duplicate identified under the documented matching rules.</x:v>
      </x:c>
    </x:row>
    <x:row r="292" ht="42" customHeight="1">
      <x:c r="A292" s="22" t="str">
        <x:v>GS-03-045</x:v>
      </x:c>
      <x:c r="B292" s="22" t="str">
        <x:v>Google Scholar</x:v>
      </x:c>
      <x:c r="C292" s="22" t="str">
        <x:v>GS-03</x:v>
      </x:c>
      <x:c r="D292" s="22" t="str">
        <x:v>Hybrid intelligent decision support using a semiotic case-based reasoning and solf-organizing maps</x:v>
      </x:c>
      <x:c r="E292" s="22" t="str">
        <x:v>DML Martins F3 de Lima keto</x:v>
      </x:c>
      <x:c r="F292" s="22" t="n">
        <x:v>2017</x:v>
      </x:c>
      <x:c r="G292" s="22" t="str">
        <x:v>IEEE Transactions on Systams = 2017 - weaaxprore ieee org</x:v>
      </x:c>
      <x:c r="H292" s="22" t="str">
        <x:v>Google Scholar result</x:v>
      </x:c>
      <x:c r="I292" s="22" t="str">
        <x:v>NR</x:v>
      </x:c>
      <x:c r="J292" s="22" t="str">
        <x:v>NR</x:v>
      </x:c>
      <x:c r="K292" s="22" t="str">
        <x:v>NR — URL not captured in the available source record</x:v>
      </x:c>
      <x:c r="L292" s="22" t="str">
        <x:v>Not available in the captured evidence; the screening decision used the title and available source metadata.</x:v>
      </x:c>
      <x:c r="M292" s="22" t="str">
        <x:v>No duplicate</x:v>
      </x:c>
      <x:c r="N292" s="22" t="str">
        <x:v>Not applicable — no duplicate group</x:v>
      </x:c>
      <x:c r="O292" s="22" t="str">
        <x:v>Not applicable</x:v>
      </x:c>
      <x:c r="P292" s="22" t="str">
        <x:v>Yes</x:v>
      </x:c>
      <x:c r="Q292" s="22" t="str">
        <x:v>Exclude</x:v>
      </x:c>
      <x:c r="R292" s="22" t="str">
        <x:v>No relevant medical-imaging application.</x:v>
      </x:c>
      <x:c r="S292" s="22" t="str">
        <x:v>Verification documented at process level</x:v>
      </x:c>
      <x:c r="T292" s="22" t="str">
        <x:v>Two additional authors performed random spot checks; individual spot-check assignments are not recorded in this register.</x:v>
      </x:c>
      <x:c r="U292" s="22" t="str">
        <x:v>Exclude</x:v>
      </x:c>
      <x:c r="V292" s="22" t="str">
        <x:v>Primary decision by the corresponding author; two additional authors performed random spot checks as a quality-control step.</x:v>
      </x:c>
      <x:c r="W292" s="22" t="str">
        <x:v>No</x:v>
      </x:c>
      <x:c r="X292" s="22" t="str">
        <x:v>Not applicable</x:v>
      </x:c>
      <x:c r="Y292" s="22" t="str">
        <x:v>Not assessed</x:v>
      </x:c>
      <x:c r="Z292" s="22" t="str">
        <x:v>Not advanced to full-text assessment after the title/abstract decision.</x:v>
      </x:c>
      <x:c r="AA292" s="22" t="str">
        <x:v>Not applicable</x:v>
      </x:c>
      <x:c r="AB292" s="22" t="str">
        <x:v>Record was not advanced to full-text assessment.</x:v>
      </x:c>
      <x:c r="AC292" s="22" t="str">
        <x:v>Not assessed</x:v>
      </x:c>
      <x:c r="AD292" s="22" t="str">
        <x:v>Not applicable — no full-text assessment was required.</x:v>
      </x:c>
      <x:c r="AE292" s="22" t="str">
        <x:v>Not included — title/abstract exclusion</x:v>
      </x:c>
      <x:c r="AF292" s="22" t="str">
        <x:v>Not applicable — not included</x:v>
      </x:c>
      <x:c r="AG292" s="22" t="str">
        <x:v>Evidence: 70cb3351-63af-4d6d-b03e-371a5f22ca70.png; page 5, result 5. Metadata transcribed from captured Google Scholar page; OCR-normalised, verify against publication before citation.</x:v>
      </x:c>
      <x:c r="AH292" s="20" t="str">
        <x:v>No duplicate identified under the documented matching rules.</x:v>
      </x:c>
    </x:row>
    <x:row r="293" ht="42" customHeight="1">
      <x:c r="A293" s="22" t="str">
        <x:v>GS-03-046</x:v>
      </x:c>
      <x:c r="B293" s="22" t="str">
        <x:v>Google Scholar</x:v>
      </x:c>
      <x:c r="C293" s="22" t="str">
        <x:v>GS-03</x:v>
      </x:c>
      <x:c r="D293" s="22" t="str">
        <x:v>Development of a modular case-based reasoning system for data analysis</x:v>
      </x:c>
      <x:c r="E293" s="22" t="str">
        <x:v>P Varshavskii F Alektin SPolyakay</x:v>
      </x:c>
      <x:c r="F293" s="22" t="n">
        <x:v>2020</x:v>
      </x:c>
      <x:c r="G293" s="22" t="str">
        <x:v>onRado€Eleciranics . 2020 - ieeexplore ieze org</x:v>
      </x:c>
      <x:c r="H293" s="22" t="str">
        <x:v>Google Scholar result</x:v>
      </x:c>
      <x:c r="I293" s="22" t="str">
        <x:v>NR</x:v>
      </x:c>
      <x:c r="J293" s="22" t="str">
        <x:v>NR</x:v>
      </x:c>
      <x:c r="K293" s="22" t="str">
        <x:v>NR — URL not captured in the available source record</x:v>
      </x:c>
      <x:c r="L293" s="22" t="str">
        <x:v>Not available in the captured evidence; the screening decision used the title and available source metadata.</x:v>
      </x:c>
      <x:c r="M293" s="22" t="str">
        <x:v>No duplicate</x:v>
      </x:c>
      <x:c r="N293" s="22" t="str">
        <x:v>Not applicable — no duplicate group</x:v>
      </x:c>
      <x:c r="O293" s="22" t="str">
        <x:v>Not applicable</x:v>
      </x:c>
      <x:c r="P293" s="22" t="str">
        <x:v>Yes</x:v>
      </x:c>
      <x:c r="Q293" s="22" t="str">
        <x:v>Exclude</x:v>
      </x:c>
      <x:c r="R293" s="22" t="str">
        <x:v>Generic CBR methodology without relevant imaging evidence.</x:v>
      </x:c>
      <x:c r="S293" s="22" t="str">
        <x:v>Verification documented at process level</x:v>
      </x:c>
      <x:c r="T293" s="22" t="str">
        <x:v>Two additional authors performed random spot checks; individual spot-check assignments are not recorded in this register.</x:v>
      </x:c>
      <x:c r="U293" s="22" t="str">
        <x:v>Exclude</x:v>
      </x:c>
      <x:c r="V293" s="22" t="str">
        <x:v>Primary decision by the corresponding author; two additional authors performed random spot checks as a quality-control step.</x:v>
      </x:c>
      <x:c r="W293" s="22" t="str">
        <x:v>No</x:v>
      </x:c>
      <x:c r="X293" s="22" t="str">
        <x:v>Not applicable</x:v>
      </x:c>
      <x:c r="Y293" s="22" t="str">
        <x:v>Not assessed</x:v>
      </x:c>
      <x:c r="Z293" s="22" t="str">
        <x:v>Not advanced to full-text assessment after the title/abstract decision.</x:v>
      </x:c>
      <x:c r="AA293" s="22" t="str">
        <x:v>Not applicable</x:v>
      </x:c>
      <x:c r="AB293" s="22" t="str">
        <x:v>Record was not advanced to full-text assessment.</x:v>
      </x:c>
      <x:c r="AC293" s="22" t="str">
        <x:v>Not assessed</x:v>
      </x:c>
      <x:c r="AD293" s="22" t="str">
        <x:v>Not applicable — no full-text assessment was required.</x:v>
      </x:c>
      <x:c r="AE293" s="22" t="str">
        <x:v>Not included — title/abstract exclusion</x:v>
      </x:c>
      <x:c r="AF293" s="22" t="str">
        <x:v>Not applicable — not included</x:v>
      </x:c>
      <x:c r="AG293" s="22" t="str">
        <x:v>Evidence: 70cb3351-63af-4d6d-b03e-371a5f22ca70.png; page 5, result 6. Metadata transcribed from captured Google Scholar page; OCR-normalised, verify against publication before citation.</x:v>
      </x:c>
      <x:c r="AH293" s="20" t="str">
        <x:v>No duplicate identified under the documented matching rules.</x:v>
      </x:c>
    </x:row>
    <x:row r="294" ht="42" customHeight="1">
      <x:c r="A294" s="22" t="str">
        <x:v>GS-03-047</x:v>
      </x:c>
      <x:c r="B294" s="22" t="str">
        <x:v>Google Scholar</x:v>
      </x:c>
      <x:c r="C294" s="22" t="str">
        <x:v>GS-03</x:v>
      </x:c>
      <x:c r="D294" s="22" t="str">
        <x:v>PoF] Designing and modeling of a multi-agent adaptive learning system (MAALS) using incrementai hybrid case-based reasoning (IHCGR)</x:v>
      </x:c>
      <x:c r="E294" s="22" t="str">
        <x:v>KM El Grouch Nihad. EN El Mckbtar -Intemationa Jour-al of = 2020</x:v>
      </x:c>
      <x:c r="F294" s="22" t="n">
        <x:v>2020</x:v>
      </x:c>
      <x:c r="G294" s="22" t="str">
        <x:v>scademia edu</x:v>
      </x:c>
      <x:c r="H294" s="22" t="str">
        <x:v>Google Scholar result</x:v>
      </x:c>
      <x:c r="I294" s="22" t="str">
        <x:v>NR</x:v>
      </x:c>
      <x:c r="J294" s="22" t="str">
        <x:v>NR</x:v>
      </x:c>
      <x:c r="K294" s="22" t="str">
        <x:v>NR — URL not captured in the available source record</x:v>
      </x:c>
      <x:c r="L294" s="22" t="str">
        <x:v>Not available in the captured evidence; the screening decision used the title and available source metadata.</x:v>
      </x:c>
      <x:c r="M294" s="22" t="str">
        <x:v>No duplicate</x:v>
      </x:c>
      <x:c r="N294" s="22" t="str">
        <x:v>Not applicable — no duplicate group</x:v>
      </x:c>
      <x:c r="O294" s="22" t="str">
        <x:v>Not applicable</x:v>
      </x:c>
      <x:c r="P294" s="22" t="str">
        <x:v>Yes</x:v>
      </x:c>
      <x:c r="Q294" s="22" t="str">
        <x:v>Exclude</x:v>
      </x:c>
      <x:c r="R294" s="22" t="str">
        <x:v>Wrong domain: education.</x:v>
      </x:c>
      <x:c r="S294" s="22" t="str">
        <x:v>Verification documented at process level</x:v>
      </x:c>
      <x:c r="T294" s="22" t="str">
        <x:v>Two additional authors performed random spot checks; individual spot-check assignments are not recorded in this register.</x:v>
      </x:c>
      <x:c r="U294" s="22" t="str">
        <x:v>Exclude</x:v>
      </x:c>
      <x:c r="V294" s="22" t="str">
        <x:v>Primary decision by the corresponding author; two additional authors performed random spot checks as a quality-control step.</x:v>
      </x:c>
      <x:c r="W294" s="22" t="str">
        <x:v>No</x:v>
      </x:c>
      <x:c r="X294" s="22" t="str">
        <x:v>Not applicable</x:v>
      </x:c>
      <x:c r="Y294" s="22" t="str">
        <x:v>Not assessed</x:v>
      </x:c>
      <x:c r="Z294" s="22" t="str">
        <x:v>Not advanced to full-text assessment after the title/abstract decision.</x:v>
      </x:c>
      <x:c r="AA294" s="22" t="str">
        <x:v>Not applicable</x:v>
      </x:c>
      <x:c r="AB294" s="22" t="str">
        <x:v>Record was not advanced to full-text assessment.</x:v>
      </x:c>
      <x:c r="AC294" s="22" t="str">
        <x:v>Not assessed</x:v>
      </x:c>
      <x:c r="AD294" s="22" t="str">
        <x:v>Not applicable — no full-text assessment was required.</x:v>
      </x:c>
      <x:c r="AE294" s="22" t="str">
        <x:v>Not included — title/abstract exclusion</x:v>
      </x:c>
      <x:c r="AF294" s="22" t="str">
        <x:v>Not applicable — not included</x:v>
      </x:c>
      <x:c r="AG294" s="22" t="str">
        <x:v>Evidence: 70cb3351-63af-4d6d-b03e-371a5f22ca70.png; page 5, result 7. Metadata transcribed from captured Google Scholar page; OCR-normalised, verify against publication before citation.</x:v>
      </x:c>
      <x:c r="AH294" s="20" t="str">
        <x:v>No duplicate identified under the documented matching rules.</x:v>
      </x:c>
    </x:row>
    <x:row r="295" ht="42" customHeight="1">
      <x:c r="A295" s="22" t="str">
        <x:v>GS-03-048</x:v>
      </x:c>
      <x:c r="B295" s="22" t="str">
        <x:v>Google Scholar</x:v>
      </x:c>
      <x:c r="C295" s="22" t="str">
        <x:v>GS-03</x:v>
      </x:c>
      <x:c r="D295" s="22" t="str">
        <x:v>A new trend pattern-matching methed of interactive case-based reasoning for stock price predictions</x:v>
      </x:c>
      <x:c r="E295" s="22" t="str">
        <x:v>SH Chun. Jo Jang + Suscainabilly 2222</x:v>
      </x:c>
      <x:c r="F295" s="22" t="str">
        <x:v>NR</x:v>
      </x:c>
      <x:c r="G295" s="22" t="str">
        <x:v>mdpi com</x:v>
      </x:c>
      <x:c r="H295" s="22" t="str">
        <x:v>Google Scholar result</x:v>
      </x:c>
      <x:c r="I295" s="22" t="str">
        <x:v>NR</x:v>
      </x:c>
      <x:c r="J295" s="22" t="str">
        <x:v>NR</x:v>
      </x:c>
      <x:c r="K295" s="22" t="str">
        <x:v>NR — URL not captured in the available source record</x:v>
      </x:c>
      <x:c r="L295" s="22" t="str">
        <x:v>Not available in the captured evidence; the screening decision used the title and available source metadata.</x:v>
      </x:c>
      <x:c r="M295" s="22" t="str">
        <x:v>No duplicate</x:v>
      </x:c>
      <x:c r="N295" s="22" t="str">
        <x:v>Not applicable — no duplicate group</x:v>
      </x:c>
      <x:c r="O295" s="22" t="str">
        <x:v>Not applicable</x:v>
      </x:c>
      <x:c r="P295" s="22" t="str">
        <x:v>Yes</x:v>
      </x:c>
      <x:c r="Q295" s="22" t="str">
        <x:v>Exclude</x:v>
      </x:c>
      <x:c r="R295" s="22" t="str">
        <x:v>Wrong domain: finance.</x:v>
      </x:c>
      <x:c r="S295" s="22" t="str">
        <x:v>Verification documented at process level</x:v>
      </x:c>
      <x:c r="T295" s="22" t="str">
        <x:v>Two additional authors performed random spot checks; individual spot-check assignments are not recorded in this register.</x:v>
      </x:c>
      <x:c r="U295" s="22" t="str">
        <x:v>Exclude</x:v>
      </x:c>
      <x:c r="V295" s="22" t="str">
        <x:v>Primary decision by the corresponding author; two additional authors performed random spot checks as a quality-control step.</x:v>
      </x:c>
      <x:c r="W295" s="22" t="str">
        <x:v>No</x:v>
      </x:c>
      <x:c r="X295" s="22" t="str">
        <x:v>Not applicable</x:v>
      </x:c>
      <x:c r="Y295" s="22" t="str">
        <x:v>Not assessed</x:v>
      </x:c>
      <x:c r="Z295" s="22" t="str">
        <x:v>Not advanced to full-text assessment after the title/abstract decision.</x:v>
      </x:c>
      <x:c r="AA295" s="22" t="str">
        <x:v>Not applicable</x:v>
      </x:c>
      <x:c r="AB295" s="22" t="str">
        <x:v>Record was not advanced to full-text assessment.</x:v>
      </x:c>
      <x:c r="AC295" s="22" t="str">
        <x:v>Not assessed</x:v>
      </x:c>
      <x:c r="AD295" s="22" t="str">
        <x:v>Not applicable — no full-text assessment was required.</x:v>
      </x:c>
      <x:c r="AE295" s="22" t="str">
        <x:v>Not included — title/abstract exclusion</x:v>
      </x:c>
      <x:c r="AF295" s="22" t="str">
        <x:v>Not applicable — not included</x:v>
      </x:c>
      <x:c r="AG295" s="22" t="str">
        <x:v>Evidence: 70cb3351-63af-4d6d-b03e-371a5f22ca70.png; page 5, result 8. Metadata transcribed from captured Google Scholar page; OCR-normalised, verify against publication before citation.</x:v>
      </x:c>
      <x:c r="AH295" s="20" t="str">
        <x:v>No duplicate identified under the documented matching rules.</x:v>
      </x:c>
    </x:row>
    <x:row r="296" ht="42" customHeight="1">
      <x:c r="A296" s="22" t="str">
        <x:v>GS-03-049</x:v>
      </x:c>
      <x:c r="B296" s="22" t="str">
        <x:v>Google Scholar</x:v>
      </x:c>
      <x:c r="C296" s="22" t="str">
        <x:v>GS-03</x:v>
      </x:c>
      <x:c r="D296" s="22" t="str">
        <x:v>Integrating Multi-Agent System and Case-Based Reasoning for Flood Early Warning and Response System</x:v>
      </x:c>
      <x:c r="E296" s="22" t="str">
        <x:v>NAM Rashid. ZZ Abidin =</x:v>
      </x:c>
      <x:c r="F296" s="22" t="n">
        <x:v>2024</x:v>
      </x:c>
      <x:c r="G296" s="22" t="str">
        <x:v>Internalisnal wournal ef = 2024 - apenul egsca cam</x:v>
      </x:c>
      <x:c r="H296" s="22" t="str">
        <x:v>Google Scholar result</x:v>
      </x:c>
      <x:c r="I296" s="22" t="str">
        <x:v>NR</x:v>
      </x:c>
      <x:c r="J296" s="22" t="str">
        <x:v>NR</x:v>
      </x:c>
      <x:c r="K296" s="22" t="str">
        <x:v>NR — URL not captured in the available source record</x:v>
      </x:c>
      <x:c r="L296" s="22" t="str">
        <x:v>Not available in the captured evidence; the screening decision used the title and available source metadata.</x:v>
      </x:c>
      <x:c r="M296" s="22" t="str">
        <x:v>No duplicate</x:v>
      </x:c>
      <x:c r="N296" s="22" t="str">
        <x:v>Not applicable — no duplicate group</x:v>
      </x:c>
      <x:c r="O296" s="22" t="str">
        <x:v>Not applicable</x:v>
      </x:c>
      <x:c r="P296" s="22" t="str">
        <x:v>Yes</x:v>
      </x:c>
      <x:c r="Q296" s="22" t="str">
        <x:v>Exclude</x:v>
      </x:c>
      <x:c r="R296" s="22" t="str">
        <x:v>Wrong domain: flood management.</x:v>
      </x:c>
      <x:c r="S296" s="22" t="str">
        <x:v>Verification documented at process level</x:v>
      </x:c>
      <x:c r="T296" s="22" t="str">
        <x:v>Two additional authors performed random spot checks; individual spot-check assignments are not recorded in this register.</x:v>
      </x:c>
      <x:c r="U296" s="22" t="str">
        <x:v>Exclude</x:v>
      </x:c>
      <x:c r="V296" s="22" t="str">
        <x:v>Primary decision by the corresponding author; two additional authors performed random spot checks as a quality-control step.</x:v>
      </x:c>
      <x:c r="W296" s="22" t="str">
        <x:v>No</x:v>
      </x:c>
      <x:c r="X296" s="22" t="str">
        <x:v>Not applicable</x:v>
      </x:c>
      <x:c r="Y296" s="22" t="str">
        <x:v>Not assessed</x:v>
      </x:c>
      <x:c r="Z296" s="22" t="str">
        <x:v>Not advanced to full-text assessment after the title/abstract decision.</x:v>
      </x:c>
      <x:c r="AA296" s="22" t="str">
        <x:v>Not applicable</x:v>
      </x:c>
      <x:c r="AB296" s="22" t="str">
        <x:v>Record was not advanced to full-text assessment.</x:v>
      </x:c>
      <x:c r="AC296" s="22" t="str">
        <x:v>Not assessed</x:v>
      </x:c>
      <x:c r="AD296" s="22" t="str">
        <x:v>Not applicable — no full-text assessment was required.</x:v>
      </x:c>
      <x:c r="AE296" s="22" t="str">
        <x:v>Not included — title/abstract exclusion</x:v>
      </x:c>
      <x:c r="AF296" s="22" t="str">
        <x:v>Not applicable — not included</x:v>
      </x:c>
      <x:c r="AG296" s="22" t="str">
        <x:v>Evidence: 70cb3351-63af-4d6d-b03e-371a5f22ca70.png; page 5, result 9. Metadata transcribed from captured Google Scholar page; OCR-normalised, verify against publication before citation.</x:v>
      </x:c>
      <x:c r="AH296" s="20" t="str">
        <x:v>No duplicate identified under the documented matching rules.</x:v>
      </x:c>
    </x:row>
    <x:row r="297" ht="42" customHeight="1">
      <x:c r="A297" s="22" t="str">
        <x:v>GS-03-050</x:v>
      </x:c>
      <x:c r="B297" s="22" t="str">
        <x:v>Google Scholar</x:v>
      </x:c>
      <x:c r="C297" s="22" t="str">
        <x:v>GS-03</x:v>
      </x:c>
      <x:c r="D297" s="22" t="str">
        <x:v>SCOUT a case-based reasoning agent for playing race for the galaxy</x:v>
      </x:c>
      <x:c r="E297" s="22" t="str">
        <x:v>M Wootord I Vvatson- Caon'srance o- Case-Based Reasoning 2217</x:v>
      </x:c>
      <x:c r="F297" s="22" t="str">
        <x:v>NR</x:v>
      </x:c>
      <x:c r="G297" s="22" t="str">
        <x:v>Springer</x:v>
      </x:c>
      <x:c r="H297" s="22" t="str">
        <x:v>Google Scholar result</x:v>
      </x:c>
      <x:c r="I297" s="22" t="str">
        <x:v>NR</x:v>
      </x:c>
      <x:c r="J297" s="22" t="str">
        <x:v>NR</x:v>
      </x:c>
      <x:c r="K297" s="22" t="str">
        <x:v>NR — URL not captured in the available source record</x:v>
      </x:c>
      <x:c r="L297" s="22" t="str">
        <x:v>Not available in the captured evidence; the screening decision used the title and available source metadata.</x:v>
      </x:c>
      <x:c r="M297" s="22" t="str">
        <x:v>No duplicate</x:v>
      </x:c>
      <x:c r="N297" s="22" t="str">
        <x:v>Not applicable — no duplicate group</x:v>
      </x:c>
      <x:c r="O297" s="22" t="str">
        <x:v>Not applicable</x:v>
      </x:c>
      <x:c r="P297" s="22" t="str">
        <x:v>Yes</x:v>
      </x:c>
      <x:c r="Q297" s="22" t="str">
        <x:v>Exclude</x:v>
      </x:c>
      <x:c r="R297" s="22" t="str">
        <x:v>Wrong domain: game-playing AI.</x:v>
      </x:c>
      <x:c r="S297" s="22" t="str">
        <x:v>Verification documented at process level</x:v>
      </x:c>
      <x:c r="T297" s="22" t="str">
        <x:v>Two additional authors performed random spot checks; individual spot-check assignments are not recorded in this register.</x:v>
      </x:c>
      <x:c r="U297" s="22" t="str">
        <x:v>Exclude</x:v>
      </x:c>
      <x:c r="V297" s="22" t="str">
        <x:v>Primary decision by the corresponding author; two additional authors performed random spot checks as a quality-control step.</x:v>
      </x:c>
      <x:c r="W297" s="22" t="str">
        <x:v>No</x:v>
      </x:c>
      <x:c r="X297" s="22" t="str">
        <x:v>Not applicable</x:v>
      </x:c>
      <x:c r="Y297" s="22" t="str">
        <x:v>Not assessed</x:v>
      </x:c>
      <x:c r="Z297" s="22" t="str">
        <x:v>Not advanced to full-text assessment after the title/abstract decision.</x:v>
      </x:c>
      <x:c r="AA297" s="22" t="str">
        <x:v>Not applicable</x:v>
      </x:c>
      <x:c r="AB297" s="22" t="str">
        <x:v>Record was not advanced to full-text assessment.</x:v>
      </x:c>
      <x:c r="AC297" s="22" t="str">
        <x:v>Not assessed</x:v>
      </x:c>
      <x:c r="AD297" s="22" t="str">
        <x:v>Not applicable — no full-text assessment was required.</x:v>
      </x:c>
      <x:c r="AE297" s="22" t="str">
        <x:v>Not included — title/abstract exclusion</x:v>
      </x:c>
      <x:c r="AF297" s="22" t="str">
        <x:v>Not applicable — not included</x:v>
      </x:c>
      <x:c r="AG297" s="22" t="str">
        <x:v>Evidence: 70cb3351-63af-4d6d-b03e-371a5f22ca70.png; page 5, result 10. Metadata transcribed from captured Google Scholar page; OCR-normalised, verify against publication before citation.</x:v>
      </x:c>
      <x:c r="AH297" s="20" t="str">
        <x:v>No duplicate identified under the documented matching rules.</x:v>
      </x:c>
    </x:row>
    <x:row r="298" ht="42" customHeight="1">
      <x:c r="A298" s="22" t="str">
        <x:v>GS-03-051</x:v>
      </x:c>
      <x:c r="B298" s="22" t="str">
        <x:v>Google Scholar</x:v>
      </x:c>
      <x:c r="C298" s="22" t="str">
        <x:v>GS-03</x:v>
      </x:c>
      <x:c r="D298" s="22" t="str">
        <x:v>Acompetenca-based deletion model for the improvement of case-based maintenance in case-based reasoning</x:v>
      </x:c>
      <x:c r="E298" s="22" t="str">
        <x:v>NL Aung ALawanna</x:v>
      </x:c>
      <x:c r="F298" s="22" t="n">
        <x:v>2021</x:v>
      </x:c>
      <x:c r="G298" s="22" t="str">
        <x:v>Applied Science and Engineering. , 2021 - phf2 lei-thaija org</x:v>
      </x:c>
      <x:c r="H298" s="22" t="str">
        <x:v>Google Scholar result</x:v>
      </x:c>
      <x:c r="I298" s="22" t="str">
        <x:v>NR</x:v>
      </x:c>
      <x:c r="J298" s="22" t="str">
        <x:v>NR</x:v>
      </x:c>
      <x:c r="K298" s="22" t="str">
        <x:v>NR — URL not captured in the available source record</x:v>
      </x:c>
      <x:c r="L298" s="22" t="str">
        <x:v>Not available in the captured evidence; the screening decision used the title and available source metadata.</x:v>
      </x:c>
      <x:c r="M298" s="22" t="str">
        <x:v>No duplicate</x:v>
      </x:c>
      <x:c r="N298" s="22" t="str">
        <x:v>Not applicable — no duplicate group</x:v>
      </x:c>
      <x:c r="O298" s="22" t="str">
        <x:v>Not applicable</x:v>
      </x:c>
      <x:c r="P298" s="22" t="str">
        <x:v>Yes</x:v>
      </x:c>
      <x:c r="Q298" s="22" t="str">
        <x:v>Exclude</x:v>
      </x:c>
      <x:c r="R298" s="22" t="str">
        <x:v>Generic CBR system maintenance; no medical imaging.</x:v>
      </x:c>
      <x:c r="S298" s="22" t="str">
        <x:v>Verification documented at process level</x:v>
      </x:c>
      <x:c r="T298" s="22" t="str">
        <x:v>Two additional authors performed random spot checks; individual spot-check assignments are not recorded in this register.</x:v>
      </x:c>
      <x:c r="U298" s="22" t="str">
        <x:v>Exclude</x:v>
      </x:c>
      <x:c r="V298" s="22" t="str">
        <x:v>Primary decision by the corresponding author; two additional authors performed random spot checks as a quality-control step.</x:v>
      </x:c>
      <x:c r="W298" s="22" t="str">
        <x:v>No</x:v>
      </x:c>
      <x:c r="X298" s="22" t="str">
        <x:v>Not applicable</x:v>
      </x:c>
      <x:c r="Y298" s="22" t="str">
        <x:v>Not assessed</x:v>
      </x:c>
      <x:c r="Z298" s="22" t="str">
        <x:v>Not advanced to full-text assessment after the title/abstract decision.</x:v>
      </x:c>
      <x:c r="AA298" s="22" t="str">
        <x:v>Not applicable</x:v>
      </x:c>
      <x:c r="AB298" s="22" t="str">
        <x:v>Record was not advanced to full-text assessment.</x:v>
      </x:c>
      <x:c r="AC298" s="22" t="str">
        <x:v>Not assessed</x:v>
      </x:c>
      <x:c r="AD298" s="22" t="str">
        <x:v>Not applicable — no full-text assessment was required.</x:v>
      </x:c>
      <x:c r="AE298" s="22" t="str">
        <x:v>Not included — title/abstract exclusion</x:v>
      </x:c>
      <x:c r="AF298" s="22" t="str">
        <x:v>Not applicable — not included</x:v>
      </x:c>
      <x:c r="AG298" s="22" t="str">
        <x:v>Evidence: 9bdea9d1-f1e7-4fab-8ea6-9025ff9852d8.png; page 6, result 1. Metadata transcribed from captured Google Scholar page; OCR-normalised, verify against publication before citation.</x:v>
      </x:c>
      <x:c r="AH298" s="20" t="str">
        <x:v>No duplicate identified under the documented matching rules.</x:v>
      </x:c>
    </x:row>
    <x:row r="299" ht="42" customHeight="1">
      <x:c r="A299" s="22" t="str">
        <x:v>GS-03-052</x:v>
      </x:c>
      <x:c r="B299" s="22" t="str">
        <x:v>Google Scholar</x:v>
      </x:c>
      <x:c r="C299" s="22" t="str">
        <x:v>GS-03</x:v>
      </x:c>
      <x:c r="D299" s="22" t="str">
        <x:v>An effective similarity determination model for case-based reasoning in support of low-carbon product design</x:v>
      </x:c>
      <x:c r="E299" s="22" t="str">
        <x:v>Sen fF Bu ¥Z-an ¥ Zhan -4dvarcesin Mechanical 2021</x:v>
      </x:c>
      <x:c r="F299" s="22" t="n">
        <x:v>2021</x:v>
      </x:c>
      <x:c r="G299" s="22" t="str">
        <x:v>journals sagepub cam</x:v>
      </x:c>
      <x:c r="H299" s="22" t="str">
        <x:v>Google Scholar result</x:v>
      </x:c>
      <x:c r="I299" s="22" t="str">
        <x:v>NR</x:v>
      </x:c>
      <x:c r="J299" s="22" t="str">
        <x:v>NR</x:v>
      </x:c>
      <x:c r="K299" s="22" t="str">
        <x:v>NR — URL not captured in the available source record</x:v>
      </x:c>
      <x:c r="L299" s="22" t="str">
        <x:v>Not available in the captured evidence; the screening decision used the title and available source metadata.</x:v>
      </x:c>
      <x:c r="M299" s="22" t="str">
        <x:v>No duplicate</x:v>
      </x:c>
      <x:c r="N299" s="22" t="str">
        <x:v>Not applicable — no duplicate group</x:v>
      </x:c>
      <x:c r="O299" s="22" t="str">
        <x:v>Not applicable</x:v>
      </x:c>
      <x:c r="P299" s="22" t="str">
        <x:v>Yes</x:v>
      </x:c>
      <x:c r="Q299" s="22" t="str">
        <x:v>Exclude</x:v>
      </x:c>
      <x:c r="R299" s="22" t="str">
        <x:v>Wrong domain: product engineering.</x:v>
      </x:c>
      <x:c r="S299" s="22" t="str">
        <x:v>Verification documented at process level</x:v>
      </x:c>
      <x:c r="T299" s="22" t="str">
        <x:v>Two additional authors performed random spot checks; individual spot-check assignments are not recorded in this register.</x:v>
      </x:c>
      <x:c r="U299" s="22" t="str">
        <x:v>Exclude</x:v>
      </x:c>
      <x:c r="V299" s="22" t="str">
        <x:v>Primary decision by the corresponding author; two additional authors performed random spot checks as a quality-control step.</x:v>
      </x:c>
      <x:c r="W299" s="22" t="str">
        <x:v>No</x:v>
      </x:c>
      <x:c r="X299" s="22" t="str">
        <x:v>Not applicable</x:v>
      </x:c>
      <x:c r="Y299" s="22" t="str">
        <x:v>Not assessed</x:v>
      </x:c>
      <x:c r="Z299" s="22" t="str">
        <x:v>Not advanced to full-text assessment after the title/abstract decision.</x:v>
      </x:c>
      <x:c r="AA299" s="22" t="str">
        <x:v>Not applicable</x:v>
      </x:c>
      <x:c r="AB299" s="22" t="str">
        <x:v>Record was not advanced to full-text assessment.</x:v>
      </x:c>
      <x:c r="AC299" s="22" t="str">
        <x:v>Not assessed</x:v>
      </x:c>
      <x:c r="AD299" s="22" t="str">
        <x:v>Not applicable — no full-text assessment was required.</x:v>
      </x:c>
      <x:c r="AE299" s="22" t="str">
        <x:v>Not included — title/abstract exclusion</x:v>
      </x:c>
      <x:c r="AF299" s="22" t="str">
        <x:v>Not applicable — not included</x:v>
      </x:c>
      <x:c r="AG299" s="22" t="str">
        <x:v>Evidence: 9bdea9d1-f1e7-4fab-8ea6-9025ff9852d8.png; page 6, result 2. Metadata transcribed from captured Google Scholar page; OCR-normalised, verify against publication before citation.</x:v>
      </x:c>
      <x:c r="AH299" s="20" t="str">
        <x:v>No duplicate identified under the documented matching rules.</x:v>
      </x:c>
    </x:row>
    <x:row r="300" ht="42" customHeight="1">
      <x:c r="A300" s="22" t="str">
        <x:v>GS-03-053</x:v>
      </x:c>
      <x:c r="B300" s="22" t="str">
        <x:v>Google Scholar</x:v>
      </x:c>
      <x:c r="C300" s="22" t="str">
        <x:v>GS-03</x:v>
      </x:c>
      <x:c r="D300" s="22" t="str">
        <x:v>Research on early warning model of coal and gas outburst based on case-based reasoning</x:v>
      </x:c>
      <x:c r="E300" s="22" t="str">
        <x:v>LI Svangui LI vianbc HJ Qianting</x:v>
      </x:c>
      <x:c r="F300" s="22" t="str">
        <x:v>NR</x:v>
      </x:c>
      <x:c r="G300" s="22" t="str">
        <x:v>Mining Safety &amp; = 2923 - kyaqyhb com</x:v>
      </x:c>
      <x:c r="H300" s="22" t="str">
        <x:v>Google Scholar result</x:v>
      </x:c>
      <x:c r="I300" s="22" t="str">
        <x:v>NR</x:v>
      </x:c>
      <x:c r="J300" s="22" t="str">
        <x:v>NR</x:v>
      </x:c>
      <x:c r="K300" s="22" t="str">
        <x:v>NR — URL not captured in the available source record</x:v>
      </x:c>
      <x:c r="L300" s="22" t="str">
        <x:v>Not available in the captured evidence; the screening decision used the title and available source metadata.</x:v>
      </x:c>
      <x:c r="M300" s="22" t="str">
        <x:v>No duplicate</x:v>
      </x:c>
      <x:c r="N300" s="22" t="str">
        <x:v>Not applicable — no duplicate group</x:v>
      </x:c>
      <x:c r="O300" s="22" t="str">
        <x:v>Not applicable</x:v>
      </x:c>
      <x:c r="P300" s="22" t="str">
        <x:v>Yes</x:v>
      </x:c>
      <x:c r="Q300" s="22" t="str">
        <x:v>Exclude</x:v>
      </x:c>
      <x:c r="R300" s="22" t="str">
        <x:v>Wrong domain: mining safety.</x:v>
      </x:c>
      <x:c r="S300" s="22" t="str">
        <x:v>Verification documented at process level</x:v>
      </x:c>
      <x:c r="T300" s="22" t="str">
        <x:v>Two additional authors performed random spot checks; individual spot-check assignments are not recorded in this register.</x:v>
      </x:c>
      <x:c r="U300" s="22" t="str">
        <x:v>Exclude</x:v>
      </x:c>
      <x:c r="V300" s="22" t="str">
        <x:v>Primary decision by the corresponding author; two additional authors performed random spot checks as a quality-control step.</x:v>
      </x:c>
      <x:c r="W300" s="22" t="str">
        <x:v>No</x:v>
      </x:c>
      <x:c r="X300" s="22" t="str">
        <x:v>Not applicable</x:v>
      </x:c>
      <x:c r="Y300" s="22" t="str">
        <x:v>Not assessed</x:v>
      </x:c>
      <x:c r="Z300" s="22" t="str">
        <x:v>Not advanced to full-text assessment after the title/abstract decision.</x:v>
      </x:c>
      <x:c r="AA300" s="22" t="str">
        <x:v>Not applicable</x:v>
      </x:c>
      <x:c r="AB300" s="22" t="str">
        <x:v>Record was not advanced to full-text assessment.</x:v>
      </x:c>
      <x:c r="AC300" s="22" t="str">
        <x:v>Not assessed</x:v>
      </x:c>
      <x:c r="AD300" s="22" t="str">
        <x:v>Not applicable — no full-text assessment was required.</x:v>
      </x:c>
      <x:c r="AE300" s="22" t="str">
        <x:v>Not included — title/abstract exclusion</x:v>
      </x:c>
      <x:c r="AF300" s="22" t="str">
        <x:v>Not applicable — not included</x:v>
      </x:c>
      <x:c r="AG300" s="22" t="str">
        <x:v>Evidence: 9bdea9d1-f1e7-4fab-8ea6-9025ff9852d8.png; page 6, result 3. Metadata transcribed from captured Google Scholar page; OCR-normalised, verify against publication before citation.</x:v>
      </x:c>
      <x:c r="AH300" s="20" t="str">
        <x:v>No duplicate identified under the documented matching rules.</x:v>
      </x:c>
    </x:row>
    <x:row r="301" ht="42" customHeight="1">
      <x:c r="A301" s="22" t="str">
        <x:v>GS-03-054</x:v>
      </x:c>
      <x:c r="B301" s="22" t="str">
        <x:v>Google Scholar</x:v>
      </x:c>
      <x:c r="C301" s="22" t="str">
        <x:v>GS-03</x:v>
      </x:c>
      <x:c r="D301" s="22" t="str">
        <x:v>Case-based reasoning for assisting domain experts in processing fraud alerts of black-box machine learning models</x:v>
      </x:c>
      <x:c r="E301" s="22" t="str">
        <x:v>HIP Weerts. Vi van lpenburg M Pachenizkiy</x:v>
      </x:c>
      <x:c r="F301" s="22" t="n">
        <x:v>2019</x:v>
      </x:c>
      <x:c r="G301" s="22" t="str">
        <x:v>srtiv prapnin: arXiv =. 2019 - axiv org</x:v>
      </x:c>
      <x:c r="H301" s="22" t="str">
        <x:v>Google Scholar result</x:v>
      </x:c>
      <x:c r="I301" s="22" t="str">
        <x:v>NR</x:v>
      </x:c>
      <x:c r="J301" s="22" t="str">
        <x:v>NR</x:v>
      </x:c>
      <x:c r="K301" s="22" t="str">
        <x:v>NR — URL not captured in the available source record</x:v>
      </x:c>
      <x:c r="L301" s="22" t="str">
        <x:v>Not available in the captured evidence; the screening decision used the title and available source metadata.</x:v>
      </x:c>
      <x:c r="M301" s="22" t="str">
        <x:v>No duplicate</x:v>
      </x:c>
      <x:c r="N301" s="22" t="str">
        <x:v>Not applicable — no duplicate group</x:v>
      </x:c>
      <x:c r="O301" s="22" t="str">
        <x:v>Not applicable</x:v>
      </x:c>
      <x:c r="P301" s="22" t="str">
        <x:v>Yes</x:v>
      </x:c>
      <x:c r="Q301" s="22" t="str">
        <x:v>Exclude</x:v>
      </x:c>
      <x:c r="R301" s="22" t="str">
        <x:v>Wrong domain: fraud-alert processing.</x:v>
      </x:c>
      <x:c r="S301" s="22" t="str">
        <x:v>Verification documented at process level</x:v>
      </x:c>
      <x:c r="T301" s="22" t="str">
        <x:v>Two additional authors performed random spot checks; individual spot-check assignments are not recorded in this register.</x:v>
      </x:c>
      <x:c r="U301" s="22" t="str">
        <x:v>Exclude</x:v>
      </x:c>
      <x:c r="V301" s="22" t="str">
        <x:v>Primary decision by the corresponding author; two additional authors performed random spot checks as a quality-control step.</x:v>
      </x:c>
      <x:c r="W301" s="22" t="str">
        <x:v>No</x:v>
      </x:c>
      <x:c r="X301" s="22" t="str">
        <x:v>Not applicable</x:v>
      </x:c>
      <x:c r="Y301" s="22" t="str">
        <x:v>Not assessed</x:v>
      </x:c>
      <x:c r="Z301" s="22" t="str">
        <x:v>Not advanced to full-text assessment after the title/abstract decision.</x:v>
      </x:c>
      <x:c r="AA301" s="22" t="str">
        <x:v>Not applicable</x:v>
      </x:c>
      <x:c r="AB301" s="22" t="str">
        <x:v>Record was not advanced to full-text assessment.</x:v>
      </x:c>
      <x:c r="AC301" s="22" t="str">
        <x:v>Not assessed</x:v>
      </x:c>
      <x:c r="AD301" s="22" t="str">
        <x:v>Not applicable — no full-text assessment was required.</x:v>
      </x:c>
      <x:c r="AE301" s="22" t="str">
        <x:v>Not included — title/abstract exclusion</x:v>
      </x:c>
      <x:c r="AF301" s="22" t="str">
        <x:v>Not applicable — not included</x:v>
      </x:c>
      <x:c r="AG301" s="22" t="str">
        <x:v>Evidence: 9bdea9d1-f1e7-4fab-8ea6-9025ff9852d8.png; page 6, result 4. Metadata transcribed from captured Google Scholar page; OCR-normalised, verify against publication before citation.</x:v>
      </x:c>
      <x:c r="AH301" s="20" t="str">
        <x:v>No duplicate identified under the documented matching rules.</x:v>
      </x:c>
    </x:row>
    <x:row r="302" ht="42" customHeight="1">
      <x:c r="A302" s="22" t="str">
        <x:v>GS-03-055</x:v>
      </x:c>
      <x:c r="B302" s="22" t="str">
        <x:v>Google Scholar</x:v>
      </x:c>
      <x:c r="C302" s="22" t="str">
        <x:v>GS-03</x:v>
      </x:c>
      <x:c r="D302" s="22" t="str">
        <x:v>Integration of C-Means Clustering in Case Based Reasoning System to Improve the Accuracy of Diabetes Mellitus Diagnosis</x:v>
      </x:c>
      <x:c r="E302" s="22" t="str">
        <x:v>DY Heriyan AS Purnama =</x:v>
      </x:c>
      <x:c r="F302" s="22" t="n">
        <x:v>2025</x:v>
      </x:c>
      <x:c r="G302" s="22" t="str">
        <x:v>2025 2nd Inlema‘ional 2025 - iaeexplora iaee org</x:v>
      </x:c>
      <x:c r="H302" s="22" t="str">
        <x:v>Google Scholar result</x:v>
      </x:c>
      <x:c r="I302" s="22" t="str">
        <x:v>NR</x:v>
      </x:c>
      <x:c r="J302" s="22" t="str">
        <x:v>NR</x:v>
      </x:c>
      <x:c r="K302" s="22" t="str">
        <x:v>NR — URL not captured in the available source record</x:v>
      </x:c>
      <x:c r="L302" s="22" t="str">
        <x:v>Not available in the captured evidence; the screening decision used the title and available source metadata.</x:v>
      </x:c>
      <x:c r="M302" s="22" t="str">
        <x:v>No duplicate</x:v>
      </x:c>
      <x:c r="N302" s="22" t="str">
        <x:v>Not applicable — no duplicate group</x:v>
      </x:c>
      <x:c r="O302" s="22" t="str">
        <x:v>Not applicable</x:v>
      </x:c>
      <x:c r="P302" s="22" t="str">
        <x:v>Yes</x:v>
      </x:c>
      <x:c r="Q302" s="22" t="str">
        <x:v>Exclude</x:v>
      </x:c>
      <x:c r="R302" s="22" t="str">
        <x:v>Symptom-based diabetes diagnosis; no imaging.</x:v>
      </x:c>
      <x:c r="S302" s="22" t="str">
        <x:v>Verification documented at process level</x:v>
      </x:c>
      <x:c r="T302" s="22" t="str">
        <x:v>Two additional authors performed random spot checks; individual spot-check assignments are not recorded in this register.</x:v>
      </x:c>
      <x:c r="U302" s="22" t="str">
        <x:v>Exclude</x:v>
      </x:c>
      <x:c r="V302" s="22" t="str">
        <x:v>Primary decision by the corresponding author; two additional authors performed random spot checks as a quality-control step.</x:v>
      </x:c>
      <x:c r="W302" s="22" t="str">
        <x:v>No</x:v>
      </x:c>
      <x:c r="X302" s="22" t="str">
        <x:v>Not applicable</x:v>
      </x:c>
      <x:c r="Y302" s="22" t="str">
        <x:v>Not assessed</x:v>
      </x:c>
      <x:c r="Z302" s="22" t="str">
        <x:v>Not advanced to full-text assessment after the title/abstract decision.</x:v>
      </x:c>
      <x:c r="AA302" s="22" t="str">
        <x:v>Not applicable</x:v>
      </x:c>
      <x:c r="AB302" s="22" t="str">
        <x:v>Record was not advanced to full-text assessment.</x:v>
      </x:c>
      <x:c r="AC302" s="22" t="str">
        <x:v>Not assessed</x:v>
      </x:c>
      <x:c r="AD302" s="22" t="str">
        <x:v>Not applicable — no full-text assessment was required.</x:v>
      </x:c>
      <x:c r="AE302" s="22" t="str">
        <x:v>Not included — title/abstract exclusion</x:v>
      </x:c>
      <x:c r="AF302" s="22" t="str">
        <x:v>Not applicable — not included</x:v>
      </x:c>
      <x:c r="AG302" s="22" t="str">
        <x:v>Evidence: 9bdea9d1-f1e7-4fab-8ea6-9025ff9852d8.png; page 6, result 5. Metadata transcribed from captured Google Scholar page; OCR-normalised, verify against publication before citation.</x:v>
      </x:c>
      <x:c r="AH302" s="20" t="str">
        <x:v>No duplicate identified under the documented matching rules.</x:v>
      </x:c>
    </x:row>
    <x:row r="303" ht="42" customHeight="1">
      <x:c r="A303" s="22" t="str">
        <x:v>GS-03-056</x:v>
      </x:c>
      <x:c r="B303" s="22" t="str">
        <x:v>Google Scholar</x:v>
      </x:c>
      <x:c r="C303" s="22" t="str">
        <x:v>GS-03</x:v>
      </x:c>
      <x:c r="D303" s="22" t="str">
        <x:v>STGA-CBR: a case-based reasoning method based on spatiotemporal trajectory similarity assessment</x:v>
      </x:c>
      <x:c r="E303" s="22" t="str">
        <x:v>2 Keke. _ N.anxue | Yingb-ng</x:v>
      </x:c>
      <x:c r="F303" s="22" t="str">
        <x:v>NR</x:v>
      </x:c>
      <x:c r="G303" s="22" t="str">
        <x:v>IEEE Access 2920 -izeexplore igee org</x:v>
      </x:c>
      <x:c r="H303" s="22" t="str">
        <x:v>Google Scholar result</x:v>
      </x:c>
      <x:c r="I303" s="22" t="str">
        <x:v>NR</x:v>
      </x:c>
      <x:c r="J303" s="22" t="str">
        <x:v>NR</x:v>
      </x:c>
      <x:c r="K303" s="22" t="str">
        <x:v>NR — URL not captured in the available source record</x:v>
      </x:c>
      <x:c r="L303" s="22" t="str">
        <x:v>Not available in the captured evidence; the screening decision used the title and available source metadata.</x:v>
      </x:c>
      <x:c r="M303" s="22" t="str">
        <x:v>No duplicate</x:v>
      </x:c>
      <x:c r="N303" s="22" t="str">
        <x:v>Not applicable — no duplicate group</x:v>
      </x:c>
      <x:c r="O303" s="22" t="str">
        <x:v>Not applicable</x:v>
      </x:c>
      <x:c r="P303" s="22" t="str">
        <x:v>Yes</x:v>
      </x:c>
      <x:c r="Q303" s="22" t="str">
        <x:v>Exclude</x:v>
      </x:c>
      <x:c r="R303" s="22" t="str">
        <x:v>Nonmedical trajectory analysis.</x:v>
      </x:c>
      <x:c r="S303" s="22" t="str">
        <x:v>Verification documented at process level</x:v>
      </x:c>
      <x:c r="T303" s="22" t="str">
        <x:v>Two additional authors performed random spot checks; individual spot-check assignments are not recorded in this register.</x:v>
      </x:c>
      <x:c r="U303" s="22" t="str">
        <x:v>Exclude</x:v>
      </x:c>
      <x:c r="V303" s="22" t="str">
        <x:v>Primary decision by the corresponding author; two additional authors performed random spot checks as a quality-control step.</x:v>
      </x:c>
      <x:c r="W303" s="22" t="str">
        <x:v>No</x:v>
      </x:c>
      <x:c r="X303" s="22" t="str">
        <x:v>Not applicable</x:v>
      </x:c>
      <x:c r="Y303" s="22" t="str">
        <x:v>Not assessed</x:v>
      </x:c>
      <x:c r="Z303" s="22" t="str">
        <x:v>Not advanced to full-text assessment after the title/abstract decision.</x:v>
      </x:c>
      <x:c r="AA303" s="22" t="str">
        <x:v>Not applicable</x:v>
      </x:c>
      <x:c r="AB303" s="22" t="str">
        <x:v>Record was not advanced to full-text assessment.</x:v>
      </x:c>
      <x:c r="AC303" s="22" t="str">
        <x:v>Not assessed</x:v>
      </x:c>
      <x:c r="AD303" s="22" t="str">
        <x:v>Not applicable — no full-text assessment was required.</x:v>
      </x:c>
      <x:c r="AE303" s="22" t="str">
        <x:v>Not included — title/abstract exclusion</x:v>
      </x:c>
      <x:c r="AF303" s="22" t="str">
        <x:v>Not applicable — not included</x:v>
      </x:c>
      <x:c r="AG303" s="22" t="str">
        <x:v>Evidence: 9bdea9d1-f1e7-4fab-8ea6-9025ff9852d8.png; page 6, result 6. Metadata transcribed from captured Google Scholar page; OCR-normalised, verify against publication before citation.</x:v>
      </x:c>
      <x:c r="AH303" s="20" t="str">
        <x:v>No duplicate identified under the documented matching rules.</x:v>
      </x:c>
    </x:row>
    <x:row r="304" ht="42" customHeight="1">
      <x:c r="A304" s="22" t="str">
        <x:v>GS-03-057</x:v>
      </x:c>
      <x:c r="B304" s="22" t="str">
        <x:v>Google Scholar</x:v>
      </x:c>
      <x:c r="C304" s="22" t="str">
        <x:v>GS-03</x:v>
      </x:c>
      <x:c r="D304" s="22" t="str">
        <x:v>An adaptive model for identification of influential bloggers based on case-based reasoning using random forest</x:v>
      </x:c>
      <x:c r="E304" s="22" t="str">
        <x:v>Yasim 8 Raza 4K Malk AA Snghaig =</x:v>
      </x:c>
      <x:c r="F304" s="22" t="n">
        <x:v>2019</x:v>
      </x:c>
      <x:c r="G304" s="22" t="str">
        <x:v>IEEE Access. 2019 - ezexplore ieee org</x:v>
      </x:c>
      <x:c r="H304" s="22" t="str">
        <x:v>Google Scholar result</x:v>
      </x:c>
      <x:c r="I304" s="22" t="str">
        <x:v>NR</x:v>
      </x:c>
      <x:c r="J304" s="22" t="str">
        <x:v>NR</x:v>
      </x:c>
      <x:c r="K304" s="22" t="str">
        <x:v>NR — URL not captured in the available source record</x:v>
      </x:c>
      <x:c r="L304" s="22" t="str">
        <x:v>Not available in the captured evidence; the screening decision used the title and available source metadata.</x:v>
      </x:c>
      <x:c r="M304" s="22" t="str">
        <x:v>No duplicate</x:v>
      </x:c>
      <x:c r="N304" s="22" t="str">
        <x:v>Not applicable — no duplicate group</x:v>
      </x:c>
      <x:c r="O304" s="22" t="str">
        <x:v>Not applicable</x:v>
      </x:c>
      <x:c r="P304" s="22" t="str">
        <x:v>Yes</x:v>
      </x:c>
      <x:c r="Q304" s="22" t="str">
        <x:v>Exclude</x:v>
      </x:c>
      <x:c r="R304" s="22" t="str">
        <x:v>Wrong domain: social media.</x:v>
      </x:c>
      <x:c r="S304" s="22" t="str">
        <x:v>Verification documented at process level</x:v>
      </x:c>
      <x:c r="T304" s="22" t="str">
        <x:v>Two additional authors performed random spot checks; individual spot-check assignments are not recorded in this register.</x:v>
      </x:c>
      <x:c r="U304" s="22" t="str">
        <x:v>Exclude</x:v>
      </x:c>
      <x:c r="V304" s="22" t="str">
        <x:v>Primary decision by the corresponding author; two additional authors performed random spot checks as a quality-control step.</x:v>
      </x:c>
      <x:c r="W304" s="22" t="str">
        <x:v>No</x:v>
      </x:c>
      <x:c r="X304" s="22" t="str">
        <x:v>Not applicable</x:v>
      </x:c>
      <x:c r="Y304" s="22" t="str">
        <x:v>Not assessed</x:v>
      </x:c>
      <x:c r="Z304" s="22" t="str">
        <x:v>Not advanced to full-text assessment after the title/abstract decision.</x:v>
      </x:c>
      <x:c r="AA304" s="22" t="str">
        <x:v>Not applicable</x:v>
      </x:c>
      <x:c r="AB304" s="22" t="str">
        <x:v>Record was not advanced to full-text assessment.</x:v>
      </x:c>
      <x:c r="AC304" s="22" t="str">
        <x:v>Not assessed</x:v>
      </x:c>
      <x:c r="AD304" s="22" t="str">
        <x:v>Not applicable — no full-text assessment was required.</x:v>
      </x:c>
      <x:c r="AE304" s="22" t="str">
        <x:v>Not included — title/abstract exclusion</x:v>
      </x:c>
      <x:c r="AF304" s="22" t="str">
        <x:v>Not applicable — not included</x:v>
      </x:c>
      <x:c r="AG304" s="22" t="str">
        <x:v>Evidence: 9bdea9d1-f1e7-4fab-8ea6-9025ff9852d8.png; page 6, result 7. Metadata transcribed from captured Google Scholar page; OCR-normalised, verify against publication before citation.</x:v>
      </x:c>
      <x:c r="AH304" s="20" t="str">
        <x:v>No duplicate identified under the documented matching rules.</x:v>
      </x:c>
    </x:row>
    <x:row r="305" ht="42" customHeight="1">
      <x:c r="A305" s="22" t="str">
        <x:v>GS-03-058</x:v>
      </x:c>
      <x:c r="B305" s="22" t="str">
        <x:v>Google Scholar</x:v>
      </x:c>
      <x:c r="C305" s="22" t="str">
        <x:v>GS-03</x:v>
      </x:c>
      <x:c r="D305" s="22" t="str">
        <x:v>Cognitive management of bandwidth allocation madels with case-based reasoning-evidences towards dynamic BAM reconfiguration</x:v>
      </x:c>
      <x:c r="E305" s="22" t="str">
        <x:v>EM Olivera, RF Reale</x:v>
      </x:c>
      <x:c r="F305" s="22" t="n">
        <x:v>2018</x:v>
      </x:c>
      <x:c r="G305" s="22" t="str">
        <x:v>2013 IEEE Symposium on 2018 - iegexplore ieee org</x:v>
      </x:c>
      <x:c r="H305" s="22" t="str">
        <x:v>Google Scholar result</x:v>
      </x:c>
      <x:c r="I305" s="22" t="str">
        <x:v>NR</x:v>
      </x:c>
      <x:c r="J305" s="22" t="str">
        <x:v>NR</x:v>
      </x:c>
      <x:c r="K305" s="22" t="str">
        <x:v>NR — URL not captured in the available source record</x:v>
      </x:c>
      <x:c r="L305" s="22" t="str">
        <x:v>Not available in the captured evidence; the screening decision used the title and available source metadata.</x:v>
      </x:c>
      <x:c r="M305" s="22" t="str">
        <x:v>No duplicate</x:v>
      </x:c>
      <x:c r="N305" s="22" t="str">
        <x:v>Not applicable — no duplicate group</x:v>
      </x:c>
      <x:c r="O305" s="22" t="str">
        <x:v>Not applicable</x:v>
      </x:c>
      <x:c r="P305" s="22" t="str">
        <x:v>Yes</x:v>
      </x:c>
      <x:c r="Q305" s="22" t="str">
        <x:v>Exclude</x:v>
      </x:c>
      <x:c r="R305" s="22" t="str">
        <x:v>Wrong domain: telecommunications.</x:v>
      </x:c>
      <x:c r="S305" s="22" t="str">
        <x:v>Verification documented at process level</x:v>
      </x:c>
      <x:c r="T305" s="22" t="str">
        <x:v>Two additional authors performed random spot checks; individual spot-check assignments are not recorded in this register.</x:v>
      </x:c>
      <x:c r="U305" s="22" t="str">
        <x:v>Exclude</x:v>
      </x:c>
      <x:c r="V305" s="22" t="str">
        <x:v>Primary decision by the corresponding author; two additional authors performed random spot checks as a quality-control step.</x:v>
      </x:c>
      <x:c r="W305" s="22" t="str">
        <x:v>No</x:v>
      </x:c>
      <x:c r="X305" s="22" t="str">
        <x:v>Not applicable</x:v>
      </x:c>
      <x:c r="Y305" s="22" t="str">
        <x:v>Not assessed</x:v>
      </x:c>
      <x:c r="Z305" s="22" t="str">
        <x:v>Not advanced to full-text assessment after the title/abstract decision.</x:v>
      </x:c>
      <x:c r="AA305" s="22" t="str">
        <x:v>Not applicable</x:v>
      </x:c>
      <x:c r="AB305" s="22" t="str">
        <x:v>Record was not advanced to full-text assessment.</x:v>
      </x:c>
      <x:c r="AC305" s="22" t="str">
        <x:v>Not assessed</x:v>
      </x:c>
      <x:c r="AD305" s="22" t="str">
        <x:v>Not applicable — no full-text assessment was required.</x:v>
      </x:c>
      <x:c r="AE305" s="22" t="str">
        <x:v>Not included — title/abstract exclusion</x:v>
      </x:c>
      <x:c r="AF305" s="22" t="str">
        <x:v>Not applicable — not included</x:v>
      </x:c>
      <x:c r="AG305" s="22" t="str">
        <x:v>Evidence: 9bdea9d1-f1e7-4fab-8ea6-9025ff9852d8.png; page 6, result 8. Metadata transcribed from captured Google Scholar page; OCR-normalised, verify against publication before citation.</x:v>
      </x:c>
      <x:c r="AH305" s="20" t="str">
        <x:v>No duplicate identified under the documented matching rules.</x:v>
      </x:c>
    </x:row>
    <x:row r="306" ht="42" customHeight="1">
      <x:c r="A306" s="22" t="str">
        <x:v>GS-03-059</x:v>
      </x:c>
      <x:c r="B306" s="22" t="str">
        <x:v>Google Scholar</x:v>
      </x:c>
      <x:c r="C306" s="22" t="str">
        <x:v>GS-03</x:v>
      </x:c>
      <x:c r="D306" s="22" t="str">
        <x:v>Case-based reasoning system for prediction of fuel cansumption by haulage trucks In open-pit mines</x:v>
      </x:c>
      <x:c r="E306" s="22" t="str">
        <x:v>G Tadubana B Sigweni R Sugla</x:v>
      </x:c>
      <x:c r="F306" s="22" t="n">
        <x:v>2021</x:v>
      </x:c>
      <x:c r="G306" s="22" t="str">
        <x:v>2021 - pefs seman‘icschorar arg</x:v>
      </x:c>
      <x:c r="H306" s="22" t="str">
        <x:v>Google Scholar result</x:v>
      </x:c>
      <x:c r="I306" s="22" t="str">
        <x:v>NR</x:v>
      </x:c>
      <x:c r="J306" s="22" t="str">
        <x:v>NR</x:v>
      </x:c>
      <x:c r="K306" s="22" t="str">
        <x:v>NR — URL not captured in the available source record</x:v>
      </x:c>
      <x:c r="L306" s="22" t="str">
        <x:v>Not available in the captured evidence; the screening decision used the title and available source metadata.</x:v>
      </x:c>
      <x:c r="M306" s="22" t="str">
        <x:v>No duplicate</x:v>
      </x:c>
      <x:c r="N306" s="22" t="str">
        <x:v>Not applicable — no duplicate group</x:v>
      </x:c>
      <x:c r="O306" s="22" t="str">
        <x:v>Not applicable</x:v>
      </x:c>
      <x:c r="P306" s="22" t="str">
        <x:v>Yes</x:v>
      </x:c>
      <x:c r="Q306" s="22" t="str">
        <x:v>Exclude</x:v>
      </x:c>
      <x:c r="R306" s="22" t="str">
        <x:v>Wrong domain: mining operations.</x:v>
      </x:c>
      <x:c r="S306" s="22" t="str">
        <x:v>Verification documented at process level</x:v>
      </x:c>
      <x:c r="T306" s="22" t="str">
        <x:v>Two additional authors performed random spot checks; individual spot-check assignments are not recorded in this register.</x:v>
      </x:c>
      <x:c r="U306" s="22" t="str">
        <x:v>Exclude</x:v>
      </x:c>
      <x:c r="V306" s="22" t="str">
        <x:v>Primary decision by the corresponding author; two additional authors performed random spot checks as a quality-control step.</x:v>
      </x:c>
      <x:c r="W306" s="22" t="str">
        <x:v>No</x:v>
      </x:c>
      <x:c r="X306" s="22" t="str">
        <x:v>Not applicable</x:v>
      </x:c>
      <x:c r="Y306" s="22" t="str">
        <x:v>Not assessed</x:v>
      </x:c>
      <x:c r="Z306" s="22" t="str">
        <x:v>Not advanced to full-text assessment after the title/abstract decision.</x:v>
      </x:c>
      <x:c r="AA306" s="22" t="str">
        <x:v>Not applicable</x:v>
      </x:c>
      <x:c r="AB306" s="22" t="str">
        <x:v>Record was not advanced to full-text assessment.</x:v>
      </x:c>
      <x:c r="AC306" s="22" t="str">
        <x:v>Not assessed</x:v>
      </x:c>
      <x:c r="AD306" s="22" t="str">
        <x:v>Not applicable — no full-text assessment was required.</x:v>
      </x:c>
      <x:c r="AE306" s="22" t="str">
        <x:v>Not included — title/abstract exclusion</x:v>
      </x:c>
      <x:c r="AF306" s="22" t="str">
        <x:v>Not applicable — not included</x:v>
      </x:c>
      <x:c r="AG306" s="22" t="str">
        <x:v>Evidence: 9bdea9d1-f1e7-4fab-8ea6-9025ff9852d8.png; page 6, result 9. Metadata transcribed from captured Google Scholar page; OCR-normalised, verify against publication before citation.</x:v>
      </x:c>
      <x:c r="AH306" s="20" t="str">
        <x:v>No duplicate identified under the documented matching rules.</x:v>
      </x:c>
    </x:row>
    <x:row r="307" ht="42" customHeight="1">
      <x:c r="A307" s="22" t="str">
        <x:v>GS-03-060</x:v>
      </x:c>
      <x:c r="B307" s="22" t="str">
        <x:v>Google Scholar</x:v>
      </x:c>
      <x:c r="C307" s="22" t="str">
        <x:v>GS-03</x:v>
      </x:c>
      <x:c r="D307" s="22" t="str">
        <x:v>Predicting influential blogger's by a novel, hyorid and optimized case based reasoning approach with balanced random forest using imbalanced data</x:v>
      </x:c>
      <x:c r="E307" s="22" t="str">
        <x:v>Y Asim 4K Malik BRaza AR Shahid W¥ Qama-- EEE Access 2020</x:v>
      </x:c>
      <x:c r="F307" s="22" t="n">
        <x:v>2020</x:v>
      </x:c>
      <x:c r="G307" s="22" t="str">
        <x:v>egexplore ieee org</x:v>
      </x:c>
      <x:c r="H307" s="22" t="str">
        <x:v>Google Scholar result</x:v>
      </x:c>
      <x:c r="I307" s="22" t="str">
        <x:v>NR</x:v>
      </x:c>
      <x:c r="J307" s="22" t="str">
        <x:v>NR</x:v>
      </x:c>
      <x:c r="K307" s="22" t="str">
        <x:v>NR — URL not captured in the available source record</x:v>
      </x:c>
      <x:c r="L307" s="22" t="str">
        <x:v>Not available in the captured evidence; the screening decision used the title and available source metadata.</x:v>
      </x:c>
      <x:c r="M307" s="22" t="str">
        <x:v>No duplicate</x:v>
      </x:c>
      <x:c r="N307" s="22" t="str">
        <x:v>Not applicable — no duplicate group</x:v>
      </x:c>
      <x:c r="O307" s="22" t="str">
        <x:v>Not applicable</x:v>
      </x:c>
      <x:c r="P307" s="22" t="str">
        <x:v>Yes</x:v>
      </x:c>
      <x:c r="Q307" s="22" t="str">
        <x:v>Exclude</x:v>
      </x:c>
      <x:c r="R307" s="22" t="str">
        <x:v>Wrong domain: social media.</x:v>
      </x:c>
      <x:c r="S307" s="22" t="str">
        <x:v>Verification documented at process level</x:v>
      </x:c>
      <x:c r="T307" s="22" t="str">
        <x:v>Two additional authors performed random spot checks; individual spot-check assignments are not recorded in this register.</x:v>
      </x:c>
      <x:c r="U307" s="22" t="str">
        <x:v>Exclude</x:v>
      </x:c>
      <x:c r="V307" s="22" t="str">
        <x:v>Primary decision by the corresponding author; two additional authors performed random spot checks as a quality-control step.</x:v>
      </x:c>
      <x:c r="W307" s="22" t="str">
        <x:v>No</x:v>
      </x:c>
      <x:c r="X307" s="22" t="str">
        <x:v>Not applicable</x:v>
      </x:c>
      <x:c r="Y307" s="22" t="str">
        <x:v>Not assessed</x:v>
      </x:c>
      <x:c r="Z307" s="22" t="str">
        <x:v>Not advanced to full-text assessment after the title/abstract decision.</x:v>
      </x:c>
      <x:c r="AA307" s="22" t="str">
        <x:v>Not applicable</x:v>
      </x:c>
      <x:c r="AB307" s="22" t="str">
        <x:v>Record was not advanced to full-text assessment.</x:v>
      </x:c>
      <x:c r="AC307" s="22" t="str">
        <x:v>Not assessed</x:v>
      </x:c>
      <x:c r="AD307" s="22" t="str">
        <x:v>Not applicable — no full-text assessment was required.</x:v>
      </x:c>
      <x:c r="AE307" s="22" t="str">
        <x:v>Not included — title/abstract exclusion</x:v>
      </x:c>
      <x:c r="AF307" s="22" t="str">
        <x:v>Not applicable — not included</x:v>
      </x:c>
      <x:c r="AG307" s="22" t="str">
        <x:v>Evidence: 9bdea9d1-f1e7-4fab-8ea6-9025ff9852d8.png; page 6, result 10. Metadata transcribed from captured Google Scholar page; OCR-normalised, verify against publication before citation.</x:v>
      </x:c>
      <x:c r="AH307" s="20" t="str">
        <x:v>No duplicate identified under the documented matching rules.</x:v>
      </x:c>
    </x:row>
    <x:row r="308" ht="42" customHeight="1">
      <x:c r="A308" s="22" t="str">
        <x:v>GS-03-061</x:v>
      </x:c>
      <x:c r="B308" s="22" t="str">
        <x:v>Google Scholar</x:v>
      </x:c>
      <x:c r="C308" s="22" t="str">
        <x:v>GS-03</x:v>
      </x:c>
      <x:c r="D308" s="22" t="str">
        <x:v>Reviewing The Combination of Case-Based Reasoning and Machine Learning for Improving a Decision Support System</x:v>
      </x:c>
      <x:c r="E308" s="22" t="str">
        <x:v>H Maradona F Ar‘fin, SAndayani-Applied nformalion Syslem =. 2026</x:v>
      </x:c>
      <x:c r="F308" s="22" t="n">
        <x:v>2026</x:v>
      </x:c>
      <x:c r="G308" s="22" t="str">
        <x:v>joumal wnjki.ac id</x:v>
      </x:c>
      <x:c r="H308" s="22" t="str">
        <x:v>Google Scholar result</x:v>
      </x:c>
      <x:c r="I308" s="22" t="str">
        <x:v>NR</x:v>
      </x:c>
      <x:c r="J308" s="22" t="str">
        <x:v>NR</x:v>
      </x:c>
      <x:c r="K308" s="22" t="str">
        <x:v>NR — URL not captured in the available source record</x:v>
      </x:c>
      <x:c r="L308" s="22" t="str">
        <x:v>Not available in the captured evidence; the screening decision used the title and available source metadata.</x:v>
      </x:c>
      <x:c r="M308" s="22" t="str">
        <x:v>No duplicate</x:v>
      </x:c>
      <x:c r="N308" s="22" t="str">
        <x:v>Not applicable — no duplicate group</x:v>
      </x:c>
      <x:c r="O308" s="22" t="str">
        <x:v>Not applicable</x:v>
      </x:c>
      <x:c r="P308" s="22" t="str">
        <x:v>Yes</x:v>
      </x:c>
      <x:c r="Q308" s="22" t="str">
        <x:v>Exclude</x:v>
      </x:c>
      <x:c r="R308" s="22" t="str">
        <x:v>Review article; not original empirical research.</x:v>
      </x:c>
      <x:c r="S308" s="22" t="str">
        <x:v>Verification documented at process level</x:v>
      </x:c>
      <x:c r="T308" s="22" t="str">
        <x:v>Two additional authors performed random spot checks; individual spot-check assignments are not recorded in this register.</x:v>
      </x:c>
      <x:c r="U308" s="22" t="str">
        <x:v>Exclude</x:v>
      </x:c>
      <x:c r="V308" s="22" t="str">
        <x:v>Primary decision by the corresponding author; two additional authors performed random spot checks as a quality-control step.</x:v>
      </x:c>
      <x:c r="W308" s="22" t="str">
        <x:v>No</x:v>
      </x:c>
      <x:c r="X308" s="22" t="str">
        <x:v>Not applicable</x:v>
      </x:c>
      <x:c r="Y308" s="22" t="str">
        <x:v>Not assessed</x:v>
      </x:c>
      <x:c r="Z308" s="22" t="str">
        <x:v>Not advanced to full-text assessment after the title/abstract decision.</x:v>
      </x:c>
      <x:c r="AA308" s="22" t="str">
        <x:v>Not applicable</x:v>
      </x:c>
      <x:c r="AB308" s="22" t="str">
        <x:v>Record was not advanced to full-text assessment.</x:v>
      </x:c>
      <x:c r="AC308" s="22" t="str">
        <x:v>Not assessed</x:v>
      </x:c>
      <x:c r="AD308" s="22" t="str">
        <x:v>Not applicable — no full-text assessment was required.</x:v>
      </x:c>
      <x:c r="AE308" s="22" t="str">
        <x:v>Not included — title/abstract exclusion</x:v>
      </x:c>
      <x:c r="AF308" s="22" t="str">
        <x:v>Not applicable — not included</x:v>
      </x:c>
      <x:c r="AG308" s="22" t="str">
        <x:v>Evidence: 2642b38c-b425-444d-8dba-bc4456e99d9c.png; page 7, result 1. Metadata transcribed from captured Google Scholar page; OCR-normalised, verify against publication before citation.</x:v>
      </x:c>
      <x:c r="AH308" s="20" t="str">
        <x:v>No duplicate identified under the documented matching rules.</x:v>
      </x:c>
    </x:row>
    <x:row r="309" ht="42" customHeight="1">
      <x:c r="A309" s="22" t="str">
        <x:v>GS-03-062</x:v>
      </x:c>
      <x:c r="B309" s="22" t="str">
        <x:v>Google Scholar</x:v>
      </x:c>
      <x:c r="C309" s="22" t="str">
        <x:v>GS-03</x:v>
      </x:c>
      <x:c r="D309" s="22" t="str">
        <x:v>Towards Intelligent Control Centers: Case-based Reasoning for Waypoint Assistance</x:v>
      </x:c>
      <x:c r="E309" s="22" t="str">
        <x:v>M Sontscharaw § Or A Schotscrneider</x:v>
      </x:c>
      <x:c r="F309" s="22" t="n">
        <x:v>2025</x:v>
      </x:c>
      <x:c r="G309" s="22" t="str">
        <x:v>2025 /EEE ntelligent 2025 - seeaxplore ieee org</x:v>
      </x:c>
      <x:c r="H309" s="22" t="str">
        <x:v>Google Scholar result</x:v>
      </x:c>
      <x:c r="I309" s="22" t="str">
        <x:v>NR</x:v>
      </x:c>
      <x:c r="J309" s="22" t="str">
        <x:v>NR</x:v>
      </x:c>
      <x:c r="K309" s="22" t="str">
        <x:v>NR — URL not captured in the available source record</x:v>
      </x:c>
      <x:c r="L309" s="22" t="str">
        <x:v>Not available in the captured evidence; the screening decision used the title and available source metadata.</x:v>
      </x:c>
      <x:c r="M309" s="22" t="str">
        <x:v>No duplicate</x:v>
      </x:c>
      <x:c r="N309" s="22" t="str">
        <x:v>Not applicable — no duplicate group</x:v>
      </x:c>
      <x:c r="O309" s="22" t="str">
        <x:v>Not applicable</x:v>
      </x:c>
      <x:c r="P309" s="22" t="str">
        <x:v>Yes</x:v>
      </x:c>
      <x:c r="Q309" s="22" t="str">
        <x:v>Exclude</x:v>
      </x:c>
      <x:c r="R309" s="22" t="str">
        <x:v>Wrong domain: navigation and control.</x:v>
      </x:c>
      <x:c r="S309" s="22" t="str">
        <x:v>Verification documented at process level</x:v>
      </x:c>
      <x:c r="T309" s="22" t="str">
        <x:v>Two additional authors performed random spot checks; individual spot-check assignments are not recorded in this register.</x:v>
      </x:c>
      <x:c r="U309" s="22" t="str">
        <x:v>Exclude</x:v>
      </x:c>
      <x:c r="V309" s="22" t="str">
        <x:v>Primary decision by the corresponding author; two additional authors performed random spot checks as a quality-control step.</x:v>
      </x:c>
      <x:c r="W309" s="22" t="str">
        <x:v>No</x:v>
      </x:c>
      <x:c r="X309" s="22" t="str">
        <x:v>Not applicable</x:v>
      </x:c>
      <x:c r="Y309" s="22" t="str">
        <x:v>Not assessed</x:v>
      </x:c>
      <x:c r="Z309" s="22" t="str">
        <x:v>Not advanced to full-text assessment after the title/abstract decision.</x:v>
      </x:c>
      <x:c r="AA309" s="22" t="str">
        <x:v>Not applicable</x:v>
      </x:c>
      <x:c r="AB309" s="22" t="str">
        <x:v>Record was not advanced to full-text assessment.</x:v>
      </x:c>
      <x:c r="AC309" s="22" t="str">
        <x:v>Not assessed</x:v>
      </x:c>
      <x:c r="AD309" s="22" t="str">
        <x:v>Not applicable — no full-text assessment was required.</x:v>
      </x:c>
      <x:c r="AE309" s="22" t="str">
        <x:v>Not included — title/abstract exclusion</x:v>
      </x:c>
      <x:c r="AF309" s="22" t="str">
        <x:v>Not applicable — not included</x:v>
      </x:c>
      <x:c r="AG309" s="22" t="str">
        <x:v>Evidence: 2642b38c-b425-444d-8dba-bc4456e99d9c.png; page 7, result 2. Metadata transcribed from captured Google Scholar page; OCR-normalised, verify against publication before citation.</x:v>
      </x:c>
      <x:c r="AH309" s="20" t="str">
        <x:v>No duplicate identified under the documented matching rules.</x:v>
      </x:c>
    </x:row>
    <x:row r="310" ht="42" customHeight="1">
      <x:c r="A310" s="22" t="str">
        <x:v>GS-03-063</x:v>
      </x:c>
      <x:c r="B310" s="22" t="str">
        <x:v>Google Scholar</x:v>
      </x:c>
      <x:c r="C310" s="22" t="str">
        <x:v>GS-03</x:v>
      </x:c>
      <x:c r="D310" s="22" t="str">
        <x:v>re errr ree, ~ Sr cl eal iii genetic algonthm for predicting multi-class workload characterization in autonomic .</x:v>
      </x:c>
      <x:c r="E310" s="22" t="str">
        <x:v>N Shaheen, 3 Raza. AR Shahiz H Alguhsyz- EEE Access 2020</x:v>
      </x:c>
      <x:c r="F310" s="22" t="n">
        <x:v>2020</x:v>
      </x:c>
      <x:c r="G310" s="22" t="str">
        <x:v>esexplore ieee org</x:v>
      </x:c>
      <x:c r="H310" s="22" t="str">
        <x:v>Google Scholar result</x:v>
      </x:c>
      <x:c r="I310" s="22" t="str">
        <x:v>NR</x:v>
      </x:c>
      <x:c r="J310" s="22" t="str">
        <x:v>NR</x:v>
      </x:c>
      <x:c r="K310" s="22" t="str">
        <x:v>NR — URL not captured in the available source record</x:v>
      </x:c>
      <x:c r="L310" s="22" t="str">
        <x:v>Not available in the captured evidence; the screening decision used the title and available source metadata.</x:v>
      </x:c>
      <x:c r="M310" s="22" t="str">
        <x:v>No duplicate</x:v>
      </x:c>
      <x:c r="N310" s="22" t="str">
        <x:v>Not applicable — no duplicate group</x:v>
      </x:c>
      <x:c r="O310" s="22" t="str">
        <x:v>Not applicable</x:v>
      </x:c>
      <x:c r="P310" s="22" t="str">
        <x:v>Yes</x:v>
      </x:c>
      <x:c r="Q310" s="22" t="str">
        <x:v>Exclude</x:v>
      </x:c>
      <x:c r="R310" s="22" t="str">
        <x:v>Computing workload study; not medical imaging.</x:v>
      </x:c>
      <x:c r="S310" s="22" t="str">
        <x:v>Verification documented at process level</x:v>
      </x:c>
      <x:c r="T310" s="22" t="str">
        <x:v>Two additional authors performed random spot checks; individual spot-check assignments are not recorded in this register.</x:v>
      </x:c>
      <x:c r="U310" s="22" t="str">
        <x:v>Exclude</x:v>
      </x:c>
      <x:c r="V310" s="22" t="str">
        <x:v>Primary decision by the corresponding author; two additional authors performed random spot checks as a quality-control step.</x:v>
      </x:c>
      <x:c r="W310" s="22" t="str">
        <x:v>No</x:v>
      </x:c>
      <x:c r="X310" s="22" t="str">
        <x:v>Not applicable</x:v>
      </x:c>
      <x:c r="Y310" s="22" t="str">
        <x:v>Not assessed</x:v>
      </x:c>
      <x:c r="Z310" s="22" t="str">
        <x:v>Not advanced to full-text assessment after the title/abstract decision.</x:v>
      </x:c>
      <x:c r="AA310" s="22" t="str">
        <x:v>Not applicable</x:v>
      </x:c>
      <x:c r="AB310" s="22" t="str">
        <x:v>Record was not advanced to full-text assessment.</x:v>
      </x:c>
      <x:c r="AC310" s="22" t="str">
        <x:v>Not assessed</x:v>
      </x:c>
      <x:c r="AD310" s="22" t="str">
        <x:v>Not applicable — no full-text assessment was required.</x:v>
      </x:c>
      <x:c r="AE310" s="22" t="str">
        <x:v>Not included — title/abstract exclusion</x:v>
      </x:c>
      <x:c r="AF310" s="22" t="str">
        <x:v>Not applicable — not included</x:v>
      </x:c>
      <x:c r="AG310" s="22" t="str">
        <x:v>Evidence: 2642b38c-b425-444d-8dba-bc4456e99d9c.png; page 7, result 3. Metadata transcribed from captured Google Scholar page; OCR-normalised, verify against publication before citation.</x:v>
      </x:c>
      <x:c r="AH310" s="20" t="str">
        <x:v>No duplicate identified under the documented matching rules.</x:v>
      </x:c>
    </x:row>
    <x:row r="311" ht="42" customHeight="1">
      <x:c r="A311" s="22" t="str">
        <x:v>GS-03-064</x:v>
      </x:c>
      <x:c r="B311" s="22" t="str">
        <x:v>Google Scholar</x:v>
      </x:c>
      <x:c r="C311" s="22" t="str">
        <x:v>GS-03</x:v>
      </x:c>
      <x:c r="D311" s="22" t="str">
        <x:v>Expert system for early detection of thalassemia disease using case-based reasoning method</x:v>
      </x:c>
      <x:c r="E311" s="22" t="str">
        <x:v>R Setani, 4’ Djatmko RAKurniawan -Indonesian Joumalof 2025</x:v>
      </x:c>
      <x:c r="F311" s="22" t="n">
        <x:v>2025</x:v>
      </x:c>
      <x:c r="G311" s="22" t="str">
        <x:v>ijeaami arg</x:v>
      </x:c>
      <x:c r="H311" s="22" t="str">
        <x:v>Google Scholar result</x:v>
      </x:c>
      <x:c r="I311" s="22" t="str">
        <x:v>NR</x:v>
      </x:c>
      <x:c r="J311" s="22" t="str">
        <x:v>NR</x:v>
      </x:c>
      <x:c r="K311" s="22" t="str">
        <x:v>NR — URL not captured in the available source record</x:v>
      </x:c>
      <x:c r="L311" s="22" t="str">
        <x:v>Not available in the captured evidence; the screening decision used the title and available source metadata.</x:v>
      </x:c>
      <x:c r="M311" s="22" t="str">
        <x:v>No duplicate</x:v>
      </x:c>
      <x:c r="N311" s="22" t="str">
        <x:v>Not applicable — no duplicate group</x:v>
      </x:c>
      <x:c r="O311" s="22" t="str">
        <x:v>Not applicable</x:v>
      </x:c>
      <x:c r="P311" s="22" t="str">
        <x:v>Yes</x:v>
      </x:c>
      <x:c r="Q311" s="22" t="str">
        <x:v>Exclude</x:v>
      </x:c>
      <x:c r="R311" s="22" t="str">
        <x:v>Symptom-based thalassaemia expert system; no imaging.</x:v>
      </x:c>
      <x:c r="S311" s="22" t="str">
        <x:v>Verification documented at process level</x:v>
      </x:c>
      <x:c r="T311" s="22" t="str">
        <x:v>Two additional authors performed random spot checks; individual spot-check assignments are not recorded in this register.</x:v>
      </x:c>
      <x:c r="U311" s="22" t="str">
        <x:v>Exclude</x:v>
      </x:c>
      <x:c r="V311" s="22" t="str">
        <x:v>Primary decision by the corresponding author; two additional authors performed random spot checks as a quality-control step.</x:v>
      </x:c>
      <x:c r="W311" s="22" t="str">
        <x:v>No</x:v>
      </x:c>
      <x:c r="X311" s="22" t="str">
        <x:v>Not applicable</x:v>
      </x:c>
      <x:c r="Y311" s="22" t="str">
        <x:v>Not assessed</x:v>
      </x:c>
      <x:c r="Z311" s="22" t="str">
        <x:v>Not advanced to full-text assessment after the title/abstract decision.</x:v>
      </x:c>
      <x:c r="AA311" s="22" t="str">
        <x:v>Not applicable</x:v>
      </x:c>
      <x:c r="AB311" s="22" t="str">
        <x:v>Record was not advanced to full-text assessment.</x:v>
      </x:c>
      <x:c r="AC311" s="22" t="str">
        <x:v>Not assessed</x:v>
      </x:c>
      <x:c r="AD311" s="22" t="str">
        <x:v>Not applicable — no full-text assessment was required.</x:v>
      </x:c>
      <x:c r="AE311" s="22" t="str">
        <x:v>Not included — title/abstract exclusion</x:v>
      </x:c>
      <x:c r="AF311" s="22" t="str">
        <x:v>Not applicable — not included</x:v>
      </x:c>
      <x:c r="AG311" s="22" t="str">
        <x:v>Evidence: 2642b38c-b425-444d-8dba-bc4456e99d9c.png; page 7, result 4. Metadata transcribed from captured Google Scholar page; OCR-normalised, verify against publication before citation.</x:v>
      </x:c>
      <x:c r="AH311" s="20" t="str">
        <x:v>No duplicate identified under the documented matching rules.</x:v>
      </x:c>
    </x:row>
    <x:row r="312" ht="42" customHeight="1">
      <x:c r="A312" s="22" t="str">
        <x:v>GS-03-065</x:v>
      </x:c>
      <x:c r="B312" s="22" t="str">
        <x:v>Google Scholar</x:v>
      </x:c>
      <x:c r="C312" s="22" t="str">
        <x:v>GS-03</x:v>
      </x:c>
      <x:c r="D312" s="22" t="str">
        <x:v>Case-based reasoning and computer vision for cybersecurity a short review</x:v>
      </x:c>
      <x:c r="E312" s="22" t="str">
        <x:v>ND Tchomla. F Tchakoyrle |Abbo</x:v>
      </x:c>
      <x:c r="F312" s="22" t="str">
        <x:v>NR</x:v>
      </x:c>
      <x:c r="G312" s="22" t="str">
        <x:v>Global Perspectives or the = 20.24 - igi-g-obal cam</x:v>
      </x:c>
      <x:c r="H312" s="22" t="str">
        <x:v>Google Scholar result</x:v>
      </x:c>
      <x:c r="I312" s="22" t="str">
        <x:v>NR</x:v>
      </x:c>
      <x:c r="J312" s="22" t="str">
        <x:v>NR</x:v>
      </x:c>
      <x:c r="K312" s="22" t="str">
        <x:v>NR — URL not captured in the available source record</x:v>
      </x:c>
      <x:c r="L312" s="22" t="str">
        <x:v>Not available in the captured evidence; the screening decision used the title and available source metadata.</x:v>
      </x:c>
      <x:c r="M312" s="22" t="str">
        <x:v>No duplicate</x:v>
      </x:c>
      <x:c r="N312" s="22" t="str">
        <x:v>Not applicable — no duplicate group</x:v>
      </x:c>
      <x:c r="O312" s="22" t="str">
        <x:v>Not applicable</x:v>
      </x:c>
      <x:c r="P312" s="22" t="str">
        <x:v>Yes</x:v>
      </x:c>
      <x:c r="Q312" s="22" t="str">
        <x:v>Exclude</x:v>
      </x:c>
      <x:c r="R312" s="22" t="str">
        <x:v>Cybersecurity review; wrong domain and non-original.</x:v>
      </x:c>
      <x:c r="S312" s="22" t="str">
        <x:v>Verification documented at process level</x:v>
      </x:c>
      <x:c r="T312" s="22" t="str">
        <x:v>Two additional authors performed random spot checks; individual spot-check assignments are not recorded in this register.</x:v>
      </x:c>
      <x:c r="U312" s="22" t="str">
        <x:v>Exclude</x:v>
      </x:c>
      <x:c r="V312" s="22" t="str">
        <x:v>Primary decision by the corresponding author; two additional authors performed random spot checks as a quality-control step.</x:v>
      </x:c>
      <x:c r="W312" s="22" t="str">
        <x:v>No</x:v>
      </x:c>
      <x:c r="X312" s="22" t="str">
        <x:v>Not applicable</x:v>
      </x:c>
      <x:c r="Y312" s="22" t="str">
        <x:v>Not assessed</x:v>
      </x:c>
      <x:c r="Z312" s="22" t="str">
        <x:v>Not advanced to full-text assessment after the title/abstract decision.</x:v>
      </x:c>
      <x:c r="AA312" s="22" t="str">
        <x:v>Not applicable</x:v>
      </x:c>
      <x:c r="AB312" s="22" t="str">
        <x:v>Record was not advanced to full-text assessment.</x:v>
      </x:c>
      <x:c r="AC312" s="22" t="str">
        <x:v>Not assessed</x:v>
      </x:c>
      <x:c r="AD312" s="22" t="str">
        <x:v>Not applicable — no full-text assessment was required.</x:v>
      </x:c>
      <x:c r="AE312" s="22" t="str">
        <x:v>Not included — title/abstract exclusion</x:v>
      </x:c>
      <x:c r="AF312" s="22" t="str">
        <x:v>Not applicable — not included</x:v>
      </x:c>
      <x:c r="AG312" s="22" t="str">
        <x:v>Evidence: 2642b38c-b425-444d-8dba-bc4456e99d9c.png; page 7, result 5. Metadata transcribed from captured Google Scholar page; OCR-normalised, verify against publication before citation.</x:v>
      </x:c>
      <x:c r="AH312" s="20" t="str">
        <x:v>No duplicate identified under the documented matching rules.</x:v>
      </x:c>
    </x:row>
    <x:row r="313" ht="42" customHeight="1">
      <x:c r="A313" s="22" t="str">
        <x:v>GS-03-066</x:v>
      </x:c>
      <x:c r="B313" s="22" t="str">
        <x:v>Google Scholar</x:v>
      </x:c>
      <x:c r="C313" s="22" t="str">
        <x:v>GS-03</x:v>
      </x:c>
      <x:c r="D313" s="22" t="str">
        <x:v>Hybrid similarity measure for retneval in case-based reasoning systems and its applications for computer numencal control turret design</x:v>
      </x:c>
      <x:c r="E313" s="22" t="str">
        <x:v>H Wang B Sun. X Shan</x:v>
      </x:c>
      <x:c r="F313" s="22" t="str">
        <x:v>NR</x:v>
      </x:c>
      <x:c r="G313" s="22" t="str">
        <x:v>Proceedings of tha Institution af = 20.18 - journals sageaub com</x:v>
      </x:c>
      <x:c r="H313" s="22" t="str">
        <x:v>Google Scholar result</x:v>
      </x:c>
      <x:c r="I313" s="22" t="str">
        <x:v>NR</x:v>
      </x:c>
      <x:c r="J313" s="22" t="str">
        <x:v>NR</x:v>
      </x:c>
      <x:c r="K313" s="22" t="str">
        <x:v>NR — URL not captured in the available source record</x:v>
      </x:c>
      <x:c r="L313" s="22" t="str">
        <x:v>Not available in the captured evidence; the screening decision used the title and available source metadata.</x:v>
      </x:c>
      <x:c r="M313" s="22" t="str">
        <x:v>No duplicate</x:v>
      </x:c>
      <x:c r="N313" s="22" t="str">
        <x:v>Not applicable — no duplicate group</x:v>
      </x:c>
      <x:c r="O313" s="22" t="str">
        <x:v>Not applicable</x:v>
      </x:c>
      <x:c r="P313" s="22" t="str">
        <x:v>Yes</x:v>
      </x:c>
      <x:c r="Q313" s="22" t="str">
        <x:v>Exclude</x:v>
      </x:c>
      <x:c r="R313" s="22" t="str">
        <x:v>Wrong domain: manufacturing.</x:v>
      </x:c>
      <x:c r="S313" s="22" t="str">
        <x:v>Verification documented at process level</x:v>
      </x:c>
      <x:c r="T313" s="22" t="str">
        <x:v>Two additional authors performed random spot checks; individual spot-check assignments are not recorded in this register.</x:v>
      </x:c>
      <x:c r="U313" s="22" t="str">
        <x:v>Exclude</x:v>
      </x:c>
      <x:c r="V313" s="22" t="str">
        <x:v>Primary decision by the corresponding author; two additional authors performed random spot checks as a quality-control step.</x:v>
      </x:c>
      <x:c r="W313" s="22" t="str">
        <x:v>No</x:v>
      </x:c>
      <x:c r="X313" s="22" t="str">
        <x:v>Not applicable</x:v>
      </x:c>
      <x:c r="Y313" s="22" t="str">
        <x:v>Not assessed</x:v>
      </x:c>
      <x:c r="Z313" s="22" t="str">
        <x:v>Not advanced to full-text assessment after the title/abstract decision.</x:v>
      </x:c>
      <x:c r="AA313" s="22" t="str">
        <x:v>Not applicable</x:v>
      </x:c>
      <x:c r="AB313" s="22" t="str">
        <x:v>Record was not advanced to full-text assessment.</x:v>
      </x:c>
      <x:c r="AC313" s="22" t="str">
        <x:v>Not assessed</x:v>
      </x:c>
      <x:c r="AD313" s="22" t="str">
        <x:v>Not applicable — no full-text assessment was required.</x:v>
      </x:c>
      <x:c r="AE313" s="22" t="str">
        <x:v>Not included — title/abstract exclusion</x:v>
      </x:c>
      <x:c r="AF313" s="22" t="str">
        <x:v>Not applicable — not included</x:v>
      </x:c>
      <x:c r="AG313" s="22" t="str">
        <x:v>Evidence: 2642b38c-b425-444d-8dba-bc4456e99d9c.png; page 7, result 6. Metadata transcribed from captured Google Scholar page; OCR-normalised, verify against publication before citation.</x:v>
      </x:c>
      <x:c r="AH313" s="20" t="str">
        <x:v>No duplicate identified under the documented matching rules.</x:v>
      </x:c>
    </x:row>
    <x:row r="314" ht="42" customHeight="1">
      <x:c r="A314" s="22" t="str">
        <x:v>GS-03-067</x:v>
      </x:c>
      <x:c r="B314" s="22" t="str">
        <x:v>Google Scholar</x:v>
      </x:c>
      <x:c r="C314" s="22" t="str">
        <x:v>GS-03</x:v>
      </x:c>
      <x:c r="D314" s="22" t="str">
        <x:v>Online optimization of boiler operation based on information integration and case-based reasoning</x:v>
      </x:c>
      <x:c r="E314" s="22" t="str">
        <x:v>T Ye M Dong. ¥ Liang J Long Y Zheng = -Intemalional joumsicf . 2022</x:v>
      </x:c>
      <x:c r="F314" s="22" t="n">
        <x:v>2022</x:v>
      </x:c>
      <x:c r="G314" s="22" t="str">
        <x:v>Taylor @ Francis</x:v>
      </x:c>
      <x:c r="H314" s="22" t="str">
        <x:v>Google Scholar result</x:v>
      </x:c>
      <x:c r="I314" s="22" t="str">
        <x:v>NR</x:v>
      </x:c>
      <x:c r="J314" s="22" t="str">
        <x:v>NR</x:v>
      </x:c>
      <x:c r="K314" s="22" t="str">
        <x:v>NR — URL not captured in the available source record</x:v>
      </x:c>
      <x:c r="L314" s="22" t="str">
        <x:v>Not available in the captured evidence; the screening decision used the title and available source metadata.</x:v>
      </x:c>
      <x:c r="M314" s="22" t="str">
        <x:v>No duplicate</x:v>
      </x:c>
      <x:c r="N314" s="22" t="str">
        <x:v>Not applicable — no duplicate group</x:v>
      </x:c>
      <x:c r="O314" s="22" t="str">
        <x:v>Not applicable</x:v>
      </x:c>
      <x:c r="P314" s="22" t="str">
        <x:v>Yes</x:v>
      </x:c>
      <x:c r="Q314" s="22" t="str">
        <x:v>Exclude</x:v>
      </x:c>
      <x:c r="R314" s="22" t="str">
        <x:v>Wrong domain: industrial engineering.</x:v>
      </x:c>
      <x:c r="S314" s="22" t="str">
        <x:v>Verification documented at process level</x:v>
      </x:c>
      <x:c r="T314" s="22" t="str">
        <x:v>Two additional authors performed random spot checks; individual spot-check assignments are not recorded in this register.</x:v>
      </x:c>
      <x:c r="U314" s="22" t="str">
        <x:v>Exclude</x:v>
      </x:c>
      <x:c r="V314" s="22" t="str">
        <x:v>Primary decision by the corresponding author; two additional authors performed random spot checks as a quality-control step.</x:v>
      </x:c>
      <x:c r="W314" s="22" t="str">
        <x:v>No</x:v>
      </x:c>
      <x:c r="X314" s="22" t="str">
        <x:v>Not applicable</x:v>
      </x:c>
      <x:c r="Y314" s="22" t="str">
        <x:v>Not assessed</x:v>
      </x:c>
      <x:c r="Z314" s="22" t="str">
        <x:v>Not advanced to full-text assessment after the title/abstract decision.</x:v>
      </x:c>
      <x:c r="AA314" s="22" t="str">
        <x:v>Not applicable</x:v>
      </x:c>
      <x:c r="AB314" s="22" t="str">
        <x:v>Record was not advanced to full-text assessment.</x:v>
      </x:c>
      <x:c r="AC314" s="22" t="str">
        <x:v>Not assessed</x:v>
      </x:c>
      <x:c r="AD314" s="22" t="str">
        <x:v>Not applicable — no full-text assessment was required.</x:v>
      </x:c>
      <x:c r="AE314" s="22" t="str">
        <x:v>Not included — title/abstract exclusion</x:v>
      </x:c>
      <x:c r="AF314" s="22" t="str">
        <x:v>Not applicable — not included</x:v>
      </x:c>
      <x:c r="AG314" s="22" t="str">
        <x:v>Evidence: 2642b38c-b425-444d-8dba-bc4456e99d9c.png; page 7, result 7. Metadata transcribed from captured Google Scholar page; OCR-normalised, verify against publication before citation.</x:v>
      </x:c>
      <x:c r="AH314" s="20" t="str">
        <x:v>No duplicate identified under the documented matching rules.</x:v>
      </x:c>
    </x:row>
    <x:row r="315" ht="42" customHeight="1">
      <x:c r="A315" s="22" t="str">
        <x:v>GS-03-068</x:v>
      </x:c>
      <x:c r="B315" s="22" t="str">
        <x:v>Google Scholar</x:v>
      </x:c>
      <x:c r="C315" s="22" t="str">
        <x:v>GS-03</x:v>
      </x:c>
      <x:c r="D315" s="22" t="str">
        <x:v>Incorporating case-based reasoning for radiation therapy knowledge modeling” a pelvic case study</x:v>
      </x:c>
      <x:c r="E315" s="22" t="str">
        <x:v>¥ Sheng JZhang €\vang FF Yin</x:v>
      </x:c>
      <x:c r="F315" s="22" t="n">
        <x:v>2015</x:v>
      </x:c>
      <x:c r="G315" s="22" t="str">
        <x:v>Technology incancey =. 2015 - journals sageoub com</x:v>
      </x:c>
      <x:c r="H315" s="22" t="str">
        <x:v>Google Scholar result</x:v>
      </x:c>
      <x:c r="I315" s="22" t="str">
        <x:v>NR</x:v>
      </x:c>
      <x:c r="J315" s="22" t="str">
        <x:v>NR</x:v>
      </x:c>
      <x:c r="K315" s="22" t="str">
        <x:v>NR — URL not captured in the available source record</x:v>
      </x:c>
      <x:c r="L315" s="22" t="str">
        <x:v>Not available in the captured evidence; the screening decision used the title and available source metadata.</x:v>
      </x:c>
      <x:c r="M315" s="22" t="str">
        <x:v>No duplicate</x:v>
      </x:c>
      <x:c r="N315" s="22" t="str">
        <x:v>Not applicable — no duplicate group</x:v>
      </x:c>
      <x:c r="O315" s="22" t="str">
        <x:v>Not applicable</x:v>
      </x:c>
      <x:c r="P315" s="22" t="str">
        <x:v>Yes</x:v>
      </x:c>
      <x:c r="Q315" s="22" t="str">
        <x:v>Exclude</x:v>
      </x:c>
      <x:c r="R315" s="22" t="str">
        <x:v>Published in 2015; outside the eligible date range.</x:v>
      </x:c>
      <x:c r="S315" s="22" t="str">
        <x:v>Verification documented at process level</x:v>
      </x:c>
      <x:c r="T315" s="22" t="str">
        <x:v>Two additional authors performed random spot checks; individual spot-check assignments are not recorded in this register.</x:v>
      </x:c>
      <x:c r="U315" s="22" t="str">
        <x:v>Exclude</x:v>
      </x:c>
      <x:c r="V315" s="22" t="str">
        <x:v>Primary decision by the corresponding author; two additional authors performed random spot checks as a quality-control step.</x:v>
      </x:c>
      <x:c r="W315" s="22" t="str">
        <x:v>No</x:v>
      </x:c>
      <x:c r="X315" s="22" t="str">
        <x:v>Not applicable</x:v>
      </x:c>
      <x:c r="Y315" s="22" t="str">
        <x:v>Not assessed</x:v>
      </x:c>
      <x:c r="Z315" s="22" t="str">
        <x:v>Not advanced to full-text assessment after the title/abstract decision.</x:v>
      </x:c>
      <x:c r="AA315" s="22" t="str">
        <x:v>Not applicable</x:v>
      </x:c>
      <x:c r="AB315" s="22" t="str">
        <x:v>Record was not advanced to full-text assessment.</x:v>
      </x:c>
      <x:c r="AC315" s="22" t="str">
        <x:v>Not assessed</x:v>
      </x:c>
      <x:c r="AD315" s="22" t="str">
        <x:v>Not applicable — no full-text assessment was required.</x:v>
      </x:c>
      <x:c r="AE315" s="22" t="str">
        <x:v>Not included — title/abstract exclusion</x:v>
      </x:c>
      <x:c r="AF315" s="22" t="str">
        <x:v>Not applicable — not included</x:v>
      </x:c>
      <x:c r="AG315" s="22" t="str">
        <x:v>Evidence: 2642b38c-b425-444d-8dba-bc4456e99d9c.png; page 7, result 8. Metadata transcribed from captured Google Scholar page; OCR-normalised, verify against publication before citation.</x:v>
      </x:c>
      <x:c r="AH315" s="20" t="str">
        <x:v>No duplicate identified under the documented matching rules.</x:v>
      </x:c>
    </x:row>
    <x:row r="316" ht="42" customHeight="1">
      <x:c r="A316" s="22" t="str">
        <x:v>GS-03-069</x:v>
      </x:c>
      <x:c r="B316" s="22" t="str">
        <x:v>Google Scholar</x:v>
      </x:c>
      <x:c r="C316" s="22" t="str">
        <x:v>GS-03</x:v>
      </x:c>
      <x:c r="D316" s="22" t="str">
        <x:v>Towards Adaptive Flood Prediction Parameter Optimization of Case-Based Reasoning Models</x:v>
      </x:c>
      <x:c r="E316" s="22" t="str">
        <x:v>NAM Rashid. 22 Abigin, ZA Abas</x:v>
      </x:c>
      <x:c r="F316" s="22" t="n">
        <x:v>2025</x:v>
      </x:c>
      <x:c r="G316" s="22" t="str">
        <x:v>2025 15EE 23rd Student , 2025 - ieeexplore ieee org</x:v>
      </x:c>
      <x:c r="H316" s="22" t="str">
        <x:v>Google Scholar result</x:v>
      </x:c>
      <x:c r="I316" s="22" t="str">
        <x:v>NR</x:v>
      </x:c>
      <x:c r="J316" s="22" t="str">
        <x:v>NR</x:v>
      </x:c>
      <x:c r="K316" s="22" t="str">
        <x:v>NR — URL not captured in the available source record</x:v>
      </x:c>
      <x:c r="L316" s="22" t="str">
        <x:v>Not available in the captured evidence; the screening decision used the title and available source metadata.</x:v>
      </x:c>
      <x:c r="M316" s="22" t="str">
        <x:v>No duplicate</x:v>
      </x:c>
      <x:c r="N316" s="22" t="str">
        <x:v>Not applicable — no duplicate group</x:v>
      </x:c>
      <x:c r="O316" s="22" t="str">
        <x:v>Not applicable</x:v>
      </x:c>
      <x:c r="P316" s="22" t="str">
        <x:v>Yes</x:v>
      </x:c>
      <x:c r="Q316" s="22" t="str">
        <x:v>Exclude</x:v>
      </x:c>
      <x:c r="R316" s="22" t="str">
        <x:v>Wrong domain: environmental modelling.</x:v>
      </x:c>
      <x:c r="S316" s="22" t="str">
        <x:v>Verification documented at process level</x:v>
      </x:c>
      <x:c r="T316" s="22" t="str">
        <x:v>Two additional authors performed random spot checks; individual spot-check assignments are not recorded in this register.</x:v>
      </x:c>
      <x:c r="U316" s="22" t="str">
        <x:v>Exclude</x:v>
      </x:c>
      <x:c r="V316" s="22" t="str">
        <x:v>Primary decision by the corresponding author; two additional authors performed random spot checks as a quality-control step.</x:v>
      </x:c>
      <x:c r="W316" s="22" t="str">
        <x:v>No</x:v>
      </x:c>
      <x:c r="X316" s="22" t="str">
        <x:v>Not applicable</x:v>
      </x:c>
      <x:c r="Y316" s="22" t="str">
        <x:v>Not assessed</x:v>
      </x:c>
      <x:c r="Z316" s="22" t="str">
        <x:v>Not advanced to full-text assessment after the title/abstract decision.</x:v>
      </x:c>
      <x:c r="AA316" s="22" t="str">
        <x:v>Not applicable</x:v>
      </x:c>
      <x:c r="AB316" s="22" t="str">
        <x:v>Record was not advanced to full-text assessment.</x:v>
      </x:c>
      <x:c r="AC316" s="22" t="str">
        <x:v>Not assessed</x:v>
      </x:c>
      <x:c r="AD316" s="22" t="str">
        <x:v>Not applicable — no full-text assessment was required.</x:v>
      </x:c>
      <x:c r="AE316" s="22" t="str">
        <x:v>Not included — title/abstract exclusion</x:v>
      </x:c>
      <x:c r="AF316" s="22" t="str">
        <x:v>Not applicable — not included</x:v>
      </x:c>
      <x:c r="AG316" s="22" t="str">
        <x:v>Evidence: 2642b38c-b425-444d-8dba-bc4456e99d9c.png; page 7, result 9. Metadata transcribed from captured Google Scholar page; OCR-normalised, verify against publication before citation.</x:v>
      </x:c>
      <x:c r="AH316" s="20" t="str">
        <x:v>No duplicate identified under the documented matching rules.</x:v>
      </x:c>
    </x:row>
    <x:row r="317" ht="42" customHeight="1">
      <x:c r="A317" s="22" t="str">
        <x:v>GS-03-070</x:v>
      </x:c>
      <x:c r="B317" s="22" t="str">
        <x:v>Google Scholar</x:v>
      </x:c>
      <x:c r="C317" s="22" t="str">
        <x:v>GS-03</x:v>
      </x:c>
      <x:c r="D317" s="22" t="str">
        <x:v>Advanced tuberculosis diagnosis systam’ Integrating case-based reasoning with nearest neighbor algonthm</x:v>
      </x:c>
      <x:c r="E317" s="22" t="str">
        <x:v>AF Wakuma</x:v>
      </x:c>
      <x:c r="F317" s="22" t="n">
        <x:v>2024</x:v>
      </x:c>
      <x:c r="G317" s="22" t="str">
        <x:v>I7dian Journal of Tuberculcsis 2024 - Elsevier</x:v>
      </x:c>
      <x:c r="H317" s="22" t="str">
        <x:v>Google Scholar result</x:v>
      </x:c>
      <x:c r="I317" s="22" t="str">
        <x:v>NR</x:v>
      </x:c>
      <x:c r="J317" s="22" t="str">
        <x:v>NR</x:v>
      </x:c>
      <x:c r="K317" s="22" t="str">
        <x:v>NR — URL not captured in the available source record</x:v>
      </x:c>
      <x:c r="L317" s="22" t="str">
        <x:v>Not available in the captured evidence; the screening decision used the title and available source metadata.</x:v>
      </x:c>
      <x:c r="M317" s="22" t="str">
        <x:v>No duplicate</x:v>
      </x:c>
      <x:c r="N317" s="22" t="str">
        <x:v>Not applicable — no duplicate group</x:v>
      </x:c>
      <x:c r="O317" s="22" t="str">
        <x:v>Not applicable</x:v>
      </x:c>
      <x:c r="P317" s="22" t="str">
        <x:v>Yes</x:v>
      </x:c>
      <x:c r="Q317" s="22" t="str">
        <x:v>Exclude</x:v>
      </x:c>
      <x:c r="R317" s="22" t="str">
        <x:v>Clinical TB diagnosis without relevant imaging.</x:v>
      </x:c>
      <x:c r="S317" s="22" t="str">
        <x:v>Verification documented at process level</x:v>
      </x:c>
      <x:c r="T317" s="22" t="str">
        <x:v>Two additional authors performed random spot checks; individual spot-check assignments are not recorded in this register.</x:v>
      </x:c>
      <x:c r="U317" s="22" t="str">
        <x:v>Exclude</x:v>
      </x:c>
      <x:c r="V317" s="22" t="str">
        <x:v>Primary decision by the corresponding author; two additional authors performed random spot checks as a quality-control step.</x:v>
      </x:c>
      <x:c r="W317" s="22" t="str">
        <x:v>No</x:v>
      </x:c>
      <x:c r="X317" s="22" t="str">
        <x:v>Not applicable</x:v>
      </x:c>
      <x:c r="Y317" s="22" t="str">
        <x:v>Not assessed</x:v>
      </x:c>
      <x:c r="Z317" s="22" t="str">
        <x:v>Not advanced to full-text assessment after the title/abstract decision.</x:v>
      </x:c>
      <x:c r="AA317" s="22" t="str">
        <x:v>Not applicable</x:v>
      </x:c>
      <x:c r="AB317" s="22" t="str">
        <x:v>Record was not advanced to full-text assessment.</x:v>
      </x:c>
      <x:c r="AC317" s="22" t="str">
        <x:v>Not assessed</x:v>
      </x:c>
      <x:c r="AD317" s="22" t="str">
        <x:v>Not applicable — no full-text assessment was required.</x:v>
      </x:c>
      <x:c r="AE317" s="22" t="str">
        <x:v>Not included — title/abstract exclusion</x:v>
      </x:c>
      <x:c r="AF317" s="22" t="str">
        <x:v>Not applicable — not included</x:v>
      </x:c>
      <x:c r="AG317" s="22" t="str">
        <x:v>Evidence: 2642b38c-b425-444d-8dba-bc4456e99d9c.png; page 7, result 10. Metadata transcribed from captured Google Scholar page; OCR-normalised, verify against publication before citation.</x:v>
      </x:c>
      <x:c r="AH317" s="20" t="str">
        <x:v>No duplicate identified under the documented matching rules.</x:v>
      </x:c>
    </x:row>
    <x:row r="318" ht="42" customHeight="1">
      <x:c r="A318" s="22" t="str">
        <x:v>GS-03-071</x:v>
      </x:c>
      <x:c r="B318" s="22" t="str">
        <x:v>Google Scholar</x:v>
      </x:c>
      <x:c r="C318" s="22" t="str">
        <x:v>GS-03</x:v>
      </x:c>
      <x:c r="D318" s="22" t="str">
        <x:v>Tamporal Case-Based Reasoning Retrieval Through Transformers Using Context-Based Vocabularies</x:v>
      </x:c>
      <x:c r="E318" s="22" t="str">
        <x:v>E Saavedra Mercado. R Torres-Escobar.</x:v>
      </x:c>
      <x:c r="F318" s="22" t="n">
        <x:v>2024</x:v>
      </x:c>
      <x:c r="G318" s="22" t="str">
        <x:v>Applications of Anificial . . 2024 - Springer</x:v>
      </x:c>
      <x:c r="H318" s="22" t="str">
        <x:v>Google Scholar result</x:v>
      </x:c>
      <x:c r="I318" s="22" t="str">
        <x:v>NR</x:v>
      </x:c>
      <x:c r="J318" s="22" t="str">
        <x:v>NR</x:v>
      </x:c>
      <x:c r="K318" s="22" t="str">
        <x:v>NR — URL not captured in the available source record</x:v>
      </x:c>
      <x:c r="L318" s="22" t="str">
        <x:v>Not available in the captured evidence; the screening decision used the title and available source metadata.</x:v>
      </x:c>
      <x:c r="M318" s="22" t="str">
        <x:v>No duplicate</x:v>
      </x:c>
      <x:c r="N318" s="22" t="str">
        <x:v>Not applicable — no duplicate group</x:v>
      </x:c>
      <x:c r="O318" s="22" t="str">
        <x:v>Not applicable</x:v>
      </x:c>
      <x:c r="P318" s="22" t="str">
        <x:v>Yes</x:v>
      </x:c>
      <x:c r="Q318" s="22" t="str">
        <x:v>Exclude</x:v>
      </x:c>
      <x:c r="R318" s="22" t="str">
        <x:v>Generic retrieval method; no medical-imaging application.</x:v>
      </x:c>
      <x:c r="S318" s="22" t="str">
        <x:v>Verification documented at process level</x:v>
      </x:c>
      <x:c r="T318" s="22" t="str">
        <x:v>Two additional authors performed random spot checks; individual spot-check assignments are not recorded in this register.</x:v>
      </x:c>
      <x:c r="U318" s="22" t="str">
        <x:v>Exclude</x:v>
      </x:c>
      <x:c r="V318" s="22" t="str">
        <x:v>Primary decision by the corresponding author; two additional authors performed random spot checks as a quality-control step.</x:v>
      </x:c>
      <x:c r="W318" s="22" t="str">
        <x:v>No</x:v>
      </x:c>
      <x:c r="X318" s="22" t="str">
        <x:v>Not applicable</x:v>
      </x:c>
      <x:c r="Y318" s="22" t="str">
        <x:v>Not assessed</x:v>
      </x:c>
      <x:c r="Z318" s="22" t="str">
        <x:v>Not advanced to full-text assessment after the title/abstract decision.</x:v>
      </x:c>
      <x:c r="AA318" s="22" t="str">
        <x:v>Not applicable</x:v>
      </x:c>
      <x:c r="AB318" s="22" t="str">
        <x:v>Record was not advanced to full-text assessment.</x:v>
      </x:c>
      <x:c r="AC318" s="22" t="str">
        <x:v>Not assessed</x:v>
      </x:c>
      <x:c r="AD318" s="22" t="str">
        <x:v>Not applicable — no full-text assessment was required.</x:v>
      </x:c>
      <x:c r="AE318" s="22" t="str">
        <x:v>Not included — title/abstract exclusion</x:v>
      </x:c>
      <x:c r="AF318" s="22" t="str">
        <x:v>Not applicable — not included</x:v>
      </x:c>
      <x:c r="AG318" s="22" t="str">
        <x:v>Evidence: 1049a0c2-79be-4d72-8904-8bcf3fad781a.png; page 8, result 1. Metadata transcribed from captured Google Scholar page; OCR-normalised, verify against publication before citation.</x:v>
      </x:c>
      <x:c r="AH318" s="20" t="str">
        <x:v>No duplicate identified under the documented matching rules.</x:v>
      </x:c>
    </x:row>
    <x:row r="319" ht="42" customHeight="1">
      <x:c r="A319" s="22" t="str">
        <x:v>GS-03-072</x:v>
      </x:c>
      <x:c r="B319" s="22" t="str">
        <x:v>Google Scholar</x:v>
      </x:c>
      <x:c r="C319" s="22" t="str">
        <x:v>GS-03</x:v>
      </x:c>
      <x:c r="D319" s="22" t="str">
        <x:v>Intelligent data analysis of the influence of COVID-19 on the stock market using Case Based Raasoning</x:v>
      </x:c>
      <x:c r="E319" s="22" t="str">
        <x:v>Alorenzo JA Oliva ~ Jaurna of Computer Science &amp; 2020</x:v>
      </x:c>
      <x:c r="F319" s="22" t="n">
        <x:v>2020</x:v>
      </x:c>
      <x:c r="G319" s="22" t="str">
        <x:v>nginx sed c: unlp edu ar</x:v>
      </x:c>
      <x:c r="H319" s="22" t="str">
        <x:v>Google Scholar result</x:v>
      </x:c>
      <x:c r="I319" s="22" t="str">
        <x:v>NR</x:v>
      </x:c>
      <x:c r="J319" s="22" t="str">
        <x:v>NR</x:v>
      </x:c>
      <x:c r="K319" s="22" t="str">
        <x:v>NR — URL not captured in the available source record</x:v>
      </x:c>
      <x:c r="L319" s="22" t="str">
        <x:v>Not available in the captured evidence; the screening decision used the title and available source metadata.</x:v>
      </x:c>
      <x:c r="M319" s="22" t="str">
        <x:v>No duplicate</x:v>
      </x:c>
      <x:c r="N319" s="22" t="str">
        <x:v>Not applicable — no duplicate group</x:v>
      </x:c>
      <x:c r="O319" s="22" t="str">
        <x:v>Not applicable</x:v>
      </x:c>
      <x:c r="P319" s="22" t="str">
        <x:v>Yes</x:v>
      </x:c>
      <x:c r="Q319" s="22" t="str">
        <x:v>Exclude</x:v>
      </x:c>
      <x:c r="R319" s="22" t="str">
        <x:v>Wrong domain: financial markets.</x:v>
      </x:c>
      <x:c r="S319" s="22" t="str">
        <x:v>Verification documented at process level</x:v>
      </x:c>
      <x:c r="T319" s="22" t="str">
        <x:v>Two additional authors performed random spot checks; individual spot-check assignments are not recorded in this register.</x:v>
      </x:c>
      <x:c r="U319" s="22" t="str">
        <x:v>Exclude</x:v>
      </x:c>
      <x:c r="V319" s="22" t="str">
        <x:v>Primary decision by the corresponding author; two additional authors performed random spot checks as a quality-control step.</x:v>
      </x:c>
      <x:c r="W319" s="22" t="str">
        <x:v>No</x:v>
      </x:c>
      <x:c r="X319" s="22" t="str">
        <x:v>Not applicable</x:v>
      </x:c>
      <x:c r="Y319" s="22" t="str">
        <x:v>Not assessed</x:v>
      </x:c>
      <x:c r="Z319" s="22" t="str">
        <x:v>Not advanced to full-text assessment after the title/abstract decision.</x:v>
      </x:c>
      <x:c r="AA319" s="22" t="str">
        <x:v>Not applicable</x:v>
      </x:c>
      <x:c r="AB319" s="22" t="str">
        <x:v>Record was not advanced to full-text assessment.</x:v>
      </x:c>
      <x:c r="AC319" s="22" t="str">
        <x:v>Not assessed</x:v>
      </x:c>
      <x:c r="AD319" s="22" t="str">
        <x:v>Not applicable — no full-text assessment was required.</x:v>
      </x:c>
      <x:c r="AE319" s="22" t="str">
        <x:v>Not included — title/abstract exclusion</x:v>
      </x:c>
      <x:c r="AF319" s="22" t="str">
        <x:v>Not applicable — not included</x:v>
      </x:c>
      <x:c r="AG319" s="22" t="str">
        <x:v>Evidence: 1049a0c2-79be-4d72-8904-8bcf3fad781a.png; page 8, result 2. Metadata transcribed from captured Google Scholar page; OCR-normalised, verify against publication before citation.</x:v>
      </x:c>
      <x:c r="AH319" s="20" t="str">
        <x:v>No duplicate identified under the documented matching rules.</x:v>
      </x:c>
    </x:row>
    <x:row r="320" ht="42" customHeight="1">
      <x:c r="A320" s="22" t="str">
        <x:v>GS-03-073</x:v>
      </x:c>
      <x:c r="B320" s="22" t="str">
        <x:v>Google Scholar</x:v>
      </x:c>
      <x:c r="C320" s="22" t="str">
        <x:v>GS-03</x:v>
      </x:c>
      <x:c r="D320" s="22" t="str">
        <x:v>Efficient identification of patiants eligible for clinical studies using case-based reasoning on Scottish Health Research register (SHARE)</x:v>
      </x:c>
      <x:c r="E320" s="22" t="str">
        <x:v>W Shi, T Kelsey. F Suilivan</x:v>
      </x:c>
      <x:c r="F320" s="22" t="n">
        <x:v>2020</x:v>
      </x:c>
      <x:c r="G320" s="22" t="str">
        <x:v>BMC Medical informatics avd Cacision 2020 - Springer</x:v>
      </x:c>
      <x:c r="H320" s="22" t="str">
        <x:v>Google Scholar result</x:v>
      </x:c>
      <x:c r="I320" s="22" t="str">
        <x:v>NR</x:v>
      </x:c>
      <x:c r="J320" s="22" t="str">
        <x:v>NR</x:v>
      </x:c>
      <x:c r="K320" s="22" t="str">
        <x:v>NR — URL not captured in the available source record</x:v>
      </x:c>
      <x:c r="L320" s="22" t="str">
        <x:v>Not available in the captured evidence; the screening decision used the title and available source metadata.</x:v>
      </x:c>
      <x:c r="M320" s="22" t="str">
        <x:v>No duplicate</x:v>
      </x:c>
      <x:c r="N320" s="22" t="str">
        <x:v>Not applicable — no duplicate group</x:v>
      </x:c>
      <x:c r="O320" s="22" t="str">
        <x:v>Not applicable</x:v>
      </x:c>
      <x:c r="P320" s="22" t="str">
        <x:v>Yes</x:v>
      </x:c>
      <x:c r="Q320" s="22" t="str">
        <x:v>Exclude</x:v>
      </x:c>
      <x:c r="R320" s="22" t="str">
        <x:v>Clinical-trial record retrieval, not imaging XAI.</x:v>
      </x:c>
      <x:c r="S320" s="22" t="str">
        <x:v>Verification documented at process level</x:v>
      </x:c>
      <x:c r="T320" s="22" t="str">
        <x:v>Two additional authors performed random spot checks; individual spot-check assignments are not recorded in this register.</x:v>
      </x:c>
      <x:c r="U320" s="22" t="str">
        <x:v>Exclude</x:v>
      </x:c>
      <x:c r="V320" s="22" t="str">
        <x:v>Primary decision by the corresponding author; two additional authors performed random spot checks as a quality-control step.</x:v>
      </x:c>
      <x:c r="W320" s="22" t="str">
        <x:v>No</x:v>
      </x:c>
      <x:c r="X320" s="22" t="str">
        <x:v>Not applicable</x:v>
      </x:c>
      <x:c r="Y320" s="22" t="str">
        <x:v>Not assessed</x:v>
      </x:c>
      <x:c r="Z320" s="22" t="str">
        <x:v>Not advanced to full-text assessment after the title/abstract decision.</x:v>
      </x:c>
      <x:c r="AA320" s="22" t="str">
        <x:v>Not applicable</x:v>
      </x:c>
      <x:c r="AB320" s="22" t="str">
        <x:v>Record was not advanced to full-text assessment.</x:v>
      </x:c>
      <x:c r="AC320" s="22" t="str">
        <x:v>Not assessed</x:v>
      </x:c>
      <x:c r="AD320" s="22" t="str">
        <x:v>Not applicable — no full-text assessment was required.</x:v>
      </x:c>
      <x:c r="AE320" s="22" t="str">
        <x:v>Not included — title/abstract exclusion</x:v>
      </x:c>
      <x:c r="AF320" s="22" t="str">
        <x:v>Not applicable — not included</x:v>
      </x:c>
      <x:c r="AG320" s="22" t="str">
        <x:v>Evidence: 1049a0c2-79be-4d72-8904-8bcf3fad781a.png; page 8, result 3. Metadata transcribed from captured Google Scholar page; OCR-normalised, verify against publication before citation.</x:v>
      </x:c>
      <x:c r="AH320" s="20" t="str">
        <x:v>No duplicate identified under the documented matching rules.</x:v>
      </x:c>
    </x:row>
    <x:row r="321" ht="42" customHeight="1">
      <x:c r="A321" s="22" t="str">
        <x:v>GS-03-074</x:v>
      </x:c>
      <x:c r="B321" s="22" t="str">
        <x:v>Google Scholar</x:v>
      </x:c>
      <x:c r="C321" s="22" t="str">
        <x:v>GS-03</x:v>
      </x:c>
      <x:c r="D321" s="22" t="str">
        <x:v>Problem-Oriented corporate knowledge base models on the case-based reasoning approach basis</x:v>
      </x:c>
      <x:c r="E321" s="22" t="str">
        <x:v>IN Slunih RK &amp;khmadulin</x:v>
      </x:c>
      <x:c r="F321" s="22" t="str">
        <x:v>NR</x:v>
      </x:c>
      <x:c r="G321" s="22" t="str">
        <x:v>lOP Conference Series Malanals = 20°? - iapscienca iop org</x:v>
      </x:c>
      <x:c r="H321" s="22" t="str">
        <x:v>Google Scholar result</x:v>
      </x:c>
      <x:c r="I321" s="22" t="str">
        <x:v>NR</x:v>
      </x:c>
      <x:c r="J321" s="22" t="str">
        <x:v>NR</x:v>
      </x:c>
      <x:c r="K321" s="22" t="str">
        <x:v>NR — URL not captured in the available source record</x:v>
      </x:c>
      <x:c r="L321" s="22" t="str">
        <x:v>Not available in the captured evidence; the screening decision used the title and available source metadata.</x:v>
      </x:c>
      <x:c r="M321" s="22" t="str">
        <x:v>No duplicate</x:v>
      </x:c>
      <x:c r="N321" s="22" t="str">
        <x:v>Not applicable — no duplicate group</x:v>
      </x:c>
      <x:c r="O321" s="22" t="str">
        <x:v>Not applicable</x:v>
      </x:c>
      <x:c r="P321" s="22" t="str">
        <x:v>Yes</x:v>
      </x:c>
      <x:c r="Q321" s="22" t="str">
        <x:v>Exclude</x:v>
      </x:c>
      <x:c r="R321" s="22" t="str">
        <x:v>Wrong domain: corporate knowledge management.</x:v>
      </x:c>
      <x:c r="S321" s="22" t="str">
        <x:v>Verification documented at process level</x:v>
      </x:c>
      <x:c r="T321" s="22" t="str">
        <x:v>Two additional authors performed random spot checks; individual spot-check assignments are not recorded in this register.</x:v>
      </x:c>
      <x:c r="U321" s="22" t="str">
        <x:v>Exclude</x:v>
      </x:c>
      <x:c r="V321" s="22" t="str">
        <x:v>Primary decision by the corresponding author; two additional authors performed random spot checks as a quality-control step.</x:v>
      </x:c>
      <x:c r="W321" s="22" t="str">
        <x:v>No</x:v>
      </x:c>
      <x:c r="X321" s="22" t="str">
        <x:v>Not applicable</x:v>
      </x:c>
      <x:c r="Y321" s="22" t="str">
        <x:v>Not assessed</x:v>
      </x:c>
      <x:c r="Z321" s="22" t="str">
        <x:v>Not advanced to full-text assessment after the title/abstract decision.</x:v>
      </x:c>
      <x:c r="AA321" s="22" t="str">
        <x:v>Not applicable</x:v>
      </x:c>
      <x:c r="AB321" s="22" t="str">
        <x:v>Record was not advanced to full-text assessment.</x:v>
      </x:c>
      <x:c r="AC321" s="22" t="str">
        <x:v>Not assessed</x:v>
      </x:c>
      <x:c r="AD321" s="22" t="str">
        <x:v>Not applicable — no full-text assessment was required.</x:v>
      </x:c>
      <x:c r="AE321" s="22" t="str">
        <x:v>Not included — title/abstract exclusion</x:v>
      </x:c>
      <x:c r="AF321" s="22" t="str">
        <x:v>Not applicable — not included</x:v>
      </x:c>
      <x:c r="AG321" s="22" t="str">
        <x:v>Evidence: 1049a0c2-79be-4d72-8904-8bcf3fad781a.png; page 8, result 4. Metadata transcribed from captured Google Scholar page; OCR-normalised, verify against publication before citation.</x:v>
      </x:c>
      <x:c r="AH321" s="20" t="str">
        <x:v>No duplicate identified under the documented matching rules.</x:v>
      </x:c>
    </x:row>
    <x:row r="322" ht="42" customHeight="1">
      <x:c r="A322" s="22" t="str">
        <x:v>GS-03-075</x:v>
      </x:c>
      <x:c r="B322" s="22" t="str">
        <x:v>Google Scholar</x:v>
      </x:c>
      <x:c r="C322" s="22" t="str">
        <x:v>GS-03</x:v>
      </x:c>
      <x:c r="D322" s="22" t="str">
        <x:v>Application of Case Based Reasoning Using The K-Nearest Neighbor Algonthm in an Expert System for Diagnosing Pests and Diseases of Sugarcane Plants</x:v>
      </x:c>
      <x:c r="E322" s="22" t="str">
        <x:v>AMA Parewe MMursaim</x:v>
      </x:c>
      <x:c r="F322" s="22" t="n">
        <x:v>2022</x:v>
      </x:c>
      <x:c r="G322" s="22" t="str">
        <x:v>of Xnowedgein § | 2022 - eo ma uinburittingsi ac id</x:v>
      </x:c>
      <x:c r="H322" s="22" t="str">
        <x:v>Google Scholar result</x:v>
      </x:c>
      <x:c r="I322" s="22" t="str">
        <x:v>NR</x:v>
      </x:c>
      <x:c r="J322" s="22" t="str">
        <x:v>NR</x:v>
      </x:c>
      <x:c r="K322" s="22" t="str">
        <x:v>NR — URL not captured in the available source record</x:v>
      </x:c>
      <x:c r="L322" s="22" t="str">
        <x:v>Not available in the captured evidence; the screening decision used the title and available source metadata.</x:v>
      </x:c>
      <x:c r="M322" s="22" t="str">
        <x:v>No duplicate</x:v>
      </x:c>
      <x:c r="N322" s="22" t="str">
        <x:v>Not applicable — no duplicate group</x:v>
      </x:c>
      <x:c r="O322" s="22" t="str">
        <x:v>Not applicable</x:v>
      </x:c>
      <x:c r="P322" s="22" t="str">
        <x:v>Yes</x:v>
      </x:c>
      <x:c r="Q322" s="22" t="str">
        <x:v>Exclude</x:v>
      </x:c>
      <x:c r="R322" s="22" t="str">
        <x:v>Wrong domain: agriculture.</x:v>
      </x:c>
      <x:c r="S322" s="22" t="str">
        <x:v>Verification documented at process level</x:v>
      </x:c>
      <x:c r="T322" s="22" t="str">
        <x:v>Two additional authors performed random spot checks; individual spot-check assignments are not recorded in this register.</x:v>
      </x:c>
      <x:c r="U322" s="22" t="str">
        <x:v>Exclude</x:v>
      </x:c>
      <x:c r="V322" s="22" t="str">
        <x:v>Primary decision by the corresponding author; two additional authors performed random spot checks as a quality-control step.</x:v>
      </x:c>
      <x:c r="W322" s="22" t="str">
        <x:v>No</x:v>
      </x:c>
      <x:c r="X322" s="22" t="str">
        <x:v>Not applicable</x:v>
      </x:c>
      <x:c r="Y322" s="22" t="str">
        <x:v>Not assessed</x:v>
      </x:c>
      <x:c r="Z322" s="22" t="str">
        <x:v>Not advanced to full-text assessment after the title/abstract decision.</x:v>
      </x:c>
      <x:c r="AA322" s="22" t="str">
        <x:v>Not applicable</x:v>
      </x:c>
      <x:c r="AB322" s="22" t="str">
        <x:v>Record was not advanced to full-text assessment.</x:v>
      </x:c>
      <x:c r="AC322" s="22" t="str">
        <x:v>Not assessed</x:v>
      </x:c>
      <x:c r="AD322" s="22" t="str">
        <x:v>Not applicable — no full-text assessment was required.</x:v>
      </x:c>
      <x:c r="AE322" s="22" t="str">
        <x:v>Not included — title/abstract exclusion</x:v>
      </x:c>
      <x:c r="AF322" s="22" t="str">
        <x:v>Not applicable — not included</x:v>
      </x:c>
      <x:c r="AG322" s="22" t="str">
        <x:v>Evidence: 1049a0c2-79be-4d72-8904-8bcf3fad781a.png; page 8, result 5. Metadata transcribed from captured Google Scholar page; OCR-normalised, verify against publication before citation.</x:v>
      </x:c>
      <x:c r="AH322" s="20" t="str">
        <x:v>No duplicate identified under the documented matching rules.</x:v>
      </x:c>
    </x:row>
    <x:row r="323" ht="42" customHeight="1">
      <x:c r="A323" s="22" t="str">
        <x:v>GS-03-076</x:v>
      </x:c>
      <x:c r="B323" s="22" t="str">
        <x:v>Google Scholar</x:v>
      </x:c>
      <x:c r="C323" s="22" t="str">
        <x:v>GS-03</x:v>
      </x:c>
      <x:c r="D323" s="22" t="str">
        <x:v>Case-based reasoning as a measure of constitutional adjudication Remarks on the jurisprudence of the Hungarian Constitutional Court in defamation cases</x:v>
      </x:c>
      <x:c r="E323" s="22" t="str">
        <x:v>E Boga-Balogl</x:v>
      </x:c>
      <x:c r="F323" s="22" t="str">
        <x:v>NR</x:v>
      </x:c>
      <x:c r="G323" s="22" t="str">
        <x:v>Hungarian Jo,mal of Lega Studies 202d - akjaurnals corr</x:v>
      </x:c>
      <x:c r="H323" s="22" t="str">
        <x:v>Google Scholar result</x:v>
      </x:c>
      <x:c r="I323" s="22" t="str">
        <x:v>NR</x:v>
      </x:c>
      <x:c r="J323" s="22" t="str">
        <x:v>NR</x:v>
      </x:c>
      <x:c r="K323" s="22" t="str">
        <x:v>NR — URL not captured in the available source record</x:v>
      </x:c>
      <x:c r="L323" s="22" t="str">
        <x:v>Not available in the captured evidence; the screening decision used the title and available source metadata.</x:v>
      </x:c>
      <x:c r="M323" s="22" t="str">
        <x:v>No duplicate</x:v>
      </x:c>
      <x:c r="N323" s="22" t="str">
        <x:v>Not applicable — no duplicate group</x:v>
      </x:c>
      <x:c r="O323" s="22" t="str">
        <x:v>Not applicable</x:v>
      </x:c>
      <x:c r="P323" s="22" t="str">
        <x:v>Yes</x:v>
      </x:c>
      <x:c r="Q323" s="22" t="str">
        <x:v>Exclude</x:v>
      </x:c>
      <x:c r="R323" s="22" t="str">
        <x:v>Wrong domain: law.</x:v>
      </x:c>
      <x:c r="S323" s="22" t="str">
        <x:v>Verification documented at process level</x:v>
      </x:c>
      <x:c r="T323" s="22" t="str">
        <x:v>Two additional authors performed random spot checks; individual spot-check assignments are not recorded in this register.</x:v>
      </x:c>
      <x:c r="U323" s="22" t="str">
        <x:v>Exclude</x:v>
      </x:c>
      <x:c r="V323" s="22" t="str">
        <x:v>Primary decision by the corresponding author; two additional authors performed random spot checks as a quality-control step.</x:v>
      </x:c>
      <x:c r="W323" s="22" t="str">
        <x:v>No</x:v>
      </x:c>
      <x:c r="X323" s="22" t="str">
        <x:v>Not applicable</x:v>
      </x:c>
      <x:c r="Y323" s="22" t="str">
        <x:v>Not assessed</x:v>
      </x:c>
      <x:c r="Z323" s="22" t="str">
        <x:v>Not advanced to full-text assessment after the title/abstract decision.</x:v>
      </x:c>
      <x:c r="AA323" s="22" t="str">
        <x:v>Not applicable</x:v>
      </x:c>
      <x:c r="AB323" s="22" t="str">
        <x:v>Record was not advanced to full-text assessment.</x:v>
      </x:c>
      <x:c r="AC323" s="22" t="str">
        <x:v>Not assessed</x:v>
      </x:c>
      <x:c r="AD323" s="22" t="str">
        <x:v>Not applicable — no full-text assessment was required.</x:v>
      </x:c>
      <x:c r="AE323" s="22" t="str">
        <x:v>Not included — title/abstract exclusion</x:v>
      </x:c>
      <x:c r="AF323" s="22" t="str">
        <x:v>Not applicable — not included</x:v>
      </x:c>
      <x:c r="AG323" s="22" t="str">
        <x:v>Evidence: 1049a0c2-79be-4d72-8904-8bcf3fad781a.png; page 8, result 6. Metadata transcribed from captured Google Scholar page; OCR-normalised, verify against publication before citation.</x:v>
      </x:c>
      <x:c r="AH323" s="20" t="str">
        <x:v>No duplicate identified under the documented matching rules.</x:v>
      </x:c>
    </x:row>
    <x:row r="324" ht="42" customHeight="1">
      <x:c r="A324" s="22" t="str">
        <x:v>GS-03-077</x:v>
      </x:c>
      <x:c r="B324" s="22" t="str">
        <x:v>Google Scholar</x:v>
      </x:c>
      <x:c r="C324" s="22" t="str">
        <x:v>GS-03</x:v>
      </x:c>
      <x:c r="D324" s="22" t="str">
        <x:v>Personalization of Learning Matenals for Mathematics Learning Using a Case-Based Reasoning Algorithm</x:v>
      </x:c>
      <x:c r="E324" s="22" t="str">
        <x:v>M Masood</x:v>
      </x:c>
      <x:c r="F324" s="22" t="n">
        <x:v>2017</x:v>
      </x:c>
      <x:c r="G324" s="22" t="str">
        <x:v>Joumai of Telecommunication Efeclronic and = 2017 - academia ade</x:v>
      </x:c>
      <x:c r="H324" s="22" t="str">
        <x:v>Google Scholar result</x:v>
      </x:c>
      <x:c r="I324" s="22" t="str">
        <x:v>NR</x:v>
      </x:c>
      <x:c r="J324" s="22" t="str">
        <x:v>NR</x:v>
      </x:c>
      <x:c r="K324" s="22" t="str">
        <x:v>NR — URL not captured in the available source record</x:v>
      </x:c>
      <x:c r="L324" s="22" t="str">
        <x:v>Not available in the captured evidence; the screening decision used the title and available source metadata.</x:v>
      </x:c>
      <x:c r="M324" s="22" t="str">
        <x:v>No duplicate</x:v>
      </x:c>
      <x:c r="N324" s="22" t="str">
        <x:v>Not applicable — no duplicate group</x:v>
      </x:c>
      <x:c r="O324" s="22" t="str">
        <x:v>Not applicable</x:v>
      </x:c>
      <x:c r="P324" s="22" t="str">
        <x:v>Yes</x:v>
      </x:c>
      <x:c r="Q324" s="22" t="str">
        <x:v>Exclude</x:v>
      </x:c>
      <x:c r="R324" s="22" t="str">
        <x:v>Wrong domain: mathematics education.</x:v>
      </x:c>
      <x:c r="S324" s="22" t="str">
        <x:v>Verification documented at process level</x:v>
      </x:c>
      <x:c r="T324" s="22" t="str">
        <x:v>Two additional authors performed random spot checks; individual spot-check assignments are not recorded in this register.</x:v>
      </x:c>
      <x:c r="U324" s="22" t="str">
        <x:v>Exclude</x:v>
      </x:c>
      <x:c r="V324" s="22" t="str">
        <x:v>Primary decision by the corresponding author; two additional authors performed random spot checks as a quality-control step.</x:v>
      </x:c>
      <x:c r="W324" s="22" t="str">
        <x:v>No</x:v>
      </x:c>
      <x:c r="X324" s="22" t="str">
        <x:v>Not applicable</x:v>
      </x:c>
      <x:c r="Y324" s="22" t="str">
        <x:v>Not assessed</x:v>
      </x:c>
      <x:c r="Z324" s="22" t="str">
        <x:v>Not advanced to full-text assessment after the title/abstract decision.</x:v>
      </x:c>
      <x:c r="AA324" s="22" t="str">
        <x:v>Not applicable</x:v>
      </x:c>
      <x:c r="AB324" s="22" t="str">
        <x:v>Record was not advanced to full-text assessment.</x:v>
      </x:c>
      <x:c r="AC324" s="22" t="str">
        <x:v>Not assessed</x:v>
      </x:c>
      <x:c r="AD324" s="22" t="str">
        <x:v>Not applicable — no full-text assessment was required.</x:v>
      </x:c>
      <x:c r="AE324" s="22" t="str">
        <x:v>Not included — title/abstract exclusion</x:v>
      </x:c>
      <x:c r="AF324" s="22" t="str">
        <x:v>Not applicable — not included</x:v>
      </x:c>
      <x:c r="AG324" s="22" t="str">
        <x:v>Evidence: 1049a0c2-79be-4d72-8904-8bcf3fad781a.png; page 8, result 7. Metadata transcribed from captured Google Scholar page; OCR-normalised, verify against publication before citation.</x:v>
      </x:c>
      <x:c r="AH324" s="20" t="str">
        <x:v>No duplicate identified under the documented matching rules.</x:v>
      </x:c>
    </x:row>
    <x:row r="325" ht="42" customHeight="1">
      <x:c r="A325" s="22" t="str">
        <x:v>GS-03-078</x:v>
      </x:c>
      <x:c r="B325" s="22" t="str">
        <x:v>Google Scholar</x:v>
      </x:c>
      <x:c r="C325" s="22" t="str">
        <x:v>GS-03</x:v>
      </x:c>
      <x:c r="D325" s="22" t="str">
        <x:v>Optimized Hybrid Quantum-Classical GAN with Case-based Reasoning Feature Fusion for Multiclass Brain Tumor Classification</x:v>
      </x:c>
      <x:c r="E325" s="22" t="str">
        <x:v>RV Krshna. P Snnivas</x:v>
      </x:c>
      <x:c r="F325" s="22" t="str">
        <x:v>NR</x:v>
      </x:c>
      <x:c r="G325" s="22" t="str">
        <x:v>IETE wournal of Research 2926 - Taylor &amp; Francis</x:v>
      </x:c>
      <x:c r="H325" s="22" t="str">
        <x:v>Google Scholar result</x:v>
      </x:c>
      <x:c r="I325" s="22" t="str">
        <x:v>10.1080/03772063.2026.2660810</x:v>
      </x:c>
      <x:c r="J325" s="22" t="str">
        <x:v>NR</x:v>
      </x:c>
      <x:c r="K325" s="22" t="str">
        <x:v>https://www.tandfonline.com/doi/full/10.1080/03772063.2026.2660810</x:v>
      </x:c>
      <x:c r="L325" s="22" t="str">
        <x:v>The growing need of precise and computer-aided diagnosis of brain tumors using MRI scans emphasizes the drawbacks of the current approach, the standard of which is frequently poor in feature depiction, high CPU computation, and generalization. In order to fill these gaps, this paper will present a new Quantum–Classical GAN with Case-Based Reasoning (QCGCR) model that incorporates quantum-inspired feature extraction through fitness-based features and hybrid deep learning and case-based features prediction. The suggested method is more discriminative on features and has stronger classification capability on multiclass brain tumor detection. The model is proven to be effective as evidenced by experimental analysis of a publicly available MRI dataset, which attains 98.3% recall, 98% precision, 98.5% F-score, and 99.2% classification rate with an error rate of 0.8% which is superior to a number of conventional and deep learning-based models. These findings affirm the potentiality of the suggested framework in offering a better and more accurate solution to automated brain tumor classification.</x:v>
      </x:c>
      <x:c r="M325" s="22" t="str">
        <x:v>No duplicate</x:v>
      </x:c>
      <x:c r="N325" s="22" t="str">
        <x:v>Not applicable — no duplicate group</x:v>
      </x:c>
      <x:c r="O325" s="22" t="str">
        <x:v>Not applicable</x:v>
      </x:c>
      <x:c r="P325" s="22" t="str">
        <x:v>Yes</x:v>
      </x:c>
      <x:c r="Q325" s="22" t="str">
        <x:v>Include</x:v>
      </x:c>
      <x:c r="R325" s="22" t="str">
        <x:v>Contextual medical imaging study with explicit case-based reasoning.</x:v>
      </x:c>
      <x:c r="S325" s="22" t="str">
        <x:v>Verification documented at process level</x:v>
      </x:c>
      <x:c r="T325" s="22" t="str">
        <x:v>Two additional authors performed random spot checks; individual spot-check assignments are not recorded in this register.</x:v>
      </x:c>
      <x:c r="U325" s="22" t="str">
        <x:v>Include</x:v>
      </x:c>
      <x:c r="V325" s="22" t="str">
        <x:v>Primary decision by the corresponding author; two additional authors performed random spot checks as a quality-control step.</x:v>
      </x:c>
      <x:c r="W325" s="22" t="str">
        <x:v>Yes</x:v>
      </x:c>
      <x:c r="X325" s="22" t="str">
        <x:v>Yes</x:v>
      </x:c>
      <x:c r="Y325" s="22" t="str">
        <x:v>Include</x:v>
      </x:c>
      <x:c r="Z325" s="22" t="str">
        <x:v>The corresponding author confirmed full-text assessment. Abstract/official-record rationale (I5): The abstract combines case-based-reasoning feature fusion with a quantum–classical GAN for multiclass brain-tumour MRI classification; it is retained as contextual medical structured-reasoning evidence.</x:v>
      </x:c>
      <x:c r="AA325" s="22" t="str">
        <x:v>Verification documented at process level</x:v>
      </x:c>
      <x:c r="AB325" s="22" t="str">
        <x:v>Two additional authors performed random spot checks; individual spot-check assignments are not recorded in this register.</x:v>
      </x:c>
      <x:c r="AC325" s="22" t="str">
        <x:v>Include</x:v>
      </x:c>
      <x:c r="AD325" s="22" t="str">
        <x:v>Primary decision by the corresponding author; two additional authors performed random spot checks as a quality-control step.</x:v>
      </x:c>
      <x:c r="AE325" s="22" t="str">
        <x:v>Include</x:v>
      </x:c>
      <x:c r="AF325" s="22" t="str">
        <x:v>Contextual medical concept-XAI evidence</x:v>
      </x:c>
      <x:c r="AG325" s="22" t="str">
        <x:v>Evidence: 1049a0c2-79be-4d72-8904-8bcf3fad781a.png; page 8, result 8. Metadata transcribed from captured Google Scholar page; OCR-normalised, verify against publication before citation.</x:v>
      </x:c>
      <x:c r="AH325" s="20" t="str">
        <x:v>No duplicate identified under the documented matching rules.</x:v>
      </x:c>
    </x:row>
    <x:row r="326" ht="42" customHeight="1">
      <x:c r="A326" s="22" t="str">
        <x:v>GS-03-079</x:v>
      </x:c>
      <x:c r="B326" s="22" t="str">
        <x:v>Google Scholar</x:v>
      </x:c>
      <x:c r="C326" s="22" t="str">
        <x:v>GS-03</x:v>
      </x:c>
      <x:c r="D326" s="22" t="str">
        <x:v>CBR-PAR LLM-Augmented Case-Based Reasoning for Provenance-Based Alert Reduction</x:v>
      </x:c>
      <x:c r="E326" s="22" t="str">
        <x:v>C Chan ¥Caa.X i, Bliu. ¥ Wang, XvvYang.</x:v>
      </x:c>
      <x:c r="F326" s="22" t="n">
        <x:v>2026</x:v>
      </x:c>
      <x:c r="G326" s="22" t="str">
        <x:v>Case-Based Ressoning 2026 - Scringa</x:v>
      </x:c>
      <x:c r="H326" s="22" t="str">
        <x:v>Google Scholar result</x:v>
      </x:c>
      <x:c r="I326" s="22" t="str">
        <x:v>NR</x:v>
      </x:c>
      <x:c r="J326" s="22" t="str">
        <x:v>NR</x:v>
      </x:c>
      <x:c r="K326" s="22" t="str">
        <x:v>NR — URL not captured in the available source record</x:v>
      </x:c>
      <x:c r="L326" s="22" t="str">
        <x:v>Not available in the captured evidence; the screening decision used the title and available source metadata.</x:v>
      </x:c>
      <x:c r="M326" s="22" t="str">
        <x:v>No duplicate</x:v>
      </x:c>
      <x:c r="N326" s="22" t="str">
        <x:v>Not applicable — no duplicate group</x:v>
      </x:c>
      <x:c r="O326" s="22" t="str">
        <x:v>Not applicable</x:v>
      </x:c>
      <x:c r="P326" s="22" t="str">
        <x:v>Yes</x:v>
      </x:c>
      <x:c r="Q326" s="22" t="str">
        <x:v>Exclude</x:v>
      </x:c>
      <x:c r="R326" s="22" t="str">
        <x:v>Wrong domain: cybersecurity alerts.</x:v>
      </x:c>
      <x:c r="S326" s="22" t="str">
        <x:v>Verification documented at process level</x:v>
      </x:c>
      <x:c r="T326" s="22" t="str">
        <x:v>Two additional authors performed random spot checks; individual spot-check assignments are not recorded in this register.</x:v>
      </x:c>
      <x:c r="U326" s="22" t="str">
        <x:v>Exclude</x:v>
      </x:c>
      <x:c r="V326" s="22" t="str">
        <x:v>Primary decision by the corresponding author; two additional authors performed random spot checks as a quality-control step.</x:v>
      </x:c>
      <x:c r="W326" s="22" t="str">
        <x:v>No</x:v>
      </x:c>
      <x:c r="X326" s="22" t="str">
        <x:v>Not applicable</x:v>
      </x:c>
      <x:c r="Y326" s="22" t="str">
        <x:v>Not assessed</x:v>
      </x:c>
      <x:c r="Z326" s="22" t="str">
        <x:v>Not advanced to full-text assessment after the title/abstract decision.</x:v>
      </x:c>
      <x:c r="AA326" s="22" t="str">
        <x:v>Not applicable</x:v>
      </x:c>
      <x:c r="AB326" s="22" t="str">
        <x:v>Record was not advanced to full-text assessment.</x:v>
      </x:c>
      <x:c r="AC326" s="22" t="str">
        <x:v>Not assessed</x:v>
      </x:c>
      <x:c r="AD326" s="22" t="str">
        <x:v>Not applicable — no full-text assessment was required.</x:v>
      </x:c>
      <x:c r="AE326" s="22" t="str">
        <x:v>Not included — title/abstract exclusion</x:v>
      </x:c>
      <x:c r="AF326" s="22" t="str">
        <x:v>Not applicable — not included</x:v>
      </x:c>
      <x:c r="AG326" s="22" t="str">
        <x:v>Evidence: 1049a0c2-79be-4d72-8904-8bcf3fad781a.png; page 8, result 9. Metadata transcribed from captured Google Scholar page; OCR-normalised, verify against publication before citation.</x:v>
      </x:c>
      <x:c r="AH326" s="20" t="str">
        <x:v>No duplicate identified under the documented matching rules.</x:v>
      </x:c>
    </x:row>
    <x:row r="327" ht="42" customHeight="1">
      <x:c r="A327" s="22" t="str">
        <x:v>GS-03-080</x:v>
      </x:c>
      <x:c r="B327" s="22" t="str">
        <x:v>Google Scholar</x:v>
      </x:c>
      <x:c r="C327" s="22" t="str">
        <x:v>GS-03</x:v>
      </x:c>
      <x:c r="D327" s="22" t="str">
        <x:v>Hybrid approach for tweets similarity classification founded on case based reasoning and machine learning techniques</x:v>
      </x:c>
      <x:c r="E327" s="22" t="str">
        <x:v>\Gensass' M Kaouissi ONcama EM En-Nagimi</x:v>
      </x:c>
      <x:c r="F327" s="22" t="n">
        <x:v>2025</x:v>
      </x:c>
      <x:c r="G327" s="22" t="str">
        <x:v>Bulletino’ Erectical = 2025 - pee? arg</x:v>
      </x:c>
      <x:c r="H327" s="22" t="str">
        <x:v>Google Scholar result</x:v>
      </x:c>
      <x:c r="I327" s="22" t="str">
        <x:v>NR</x:v>
      </x:c>
      <x:c r="J327" s="22" t="str">
        <x:v>NR</x:v>
      </x:c>
      <x:c r="K327" s="22" t="str">
        <x:v>NR — URL not captured in the available source record</x:v>
      </x:c>
      <x:c r="L327" s="22" t="str">
        <x:v>Not available in the captured evidence; the screening decision used the title and available source metadata.</x:v>
      </x:c>
      <x:c r="M327" s="22" t="str">
        <x:v>No duplicate</x:v>
      </x:c>
      <x:c r="N327" s="22" t="str">
        <x:v>Not applicable — no duplicate group</x:v>
      </x:c>
      <x:c r="O327" s="22" t="str">
        <x:v>Not applicable</x:v>
      </x:c>
      <x:c r="P327" s="22" t="str">
        <x:v>Yes</x:v>
      </x:c>
      <x:c r="Q327" s="22" t="str">
        <x:v>Exclude</x:v>
      </x:c>
      <x:c r="R327" s="22" t="str">
        <x:v>Wrong domain: social media.</x:v>
      </x:c>
      <x:c r="S327" s="22" t="str">
        <x:v>Verification documented at process level</x:v>
      </x:c>
      <x:c r="T327" s="22" t="str">
        <x:v>Two additional authors performed random spot checks; individual spot-check assignments are not recorded in this register.</x:v>
      </x:c>
      <x:c r="U327" s="22" t="str">
        <x:v>Exclude</x:v>
      </x:c>
      <x:c r="V327" s="22" t="str">
        <x:v>Primary decision by the corresponding author; two additional authors performed random spot checks as a quality-control step.</x:v>
      </x:c>
      <x:c r="W327" s="22" t="str">
        <x:v>No</x:v>
      </x:c>
      <x:c r="X327" s="22" t="str">
        <x:v>Not applicable</x:v>
      </x:c>
      <x:c r="Y327" s="22" t="str">
        <x:v>Not assessed</x:v>
      </x:c>
      <x:c r="Z327" s="22" t="str">
        <x:v>Not advanced to full-text assessment after the title/abstract decision.</x:v>
      </x:c>
      <x:c r="AA327" s="22" t="str">
        <x:v>Not applicable</x:v>
      </x:c>
      <x:c r="AB327" s="22" t="str">
        <x:v>Record was not advanced to full-text assessment.</x:v>
      </x:c>
      <x:c r="AC327" s="22" t="str">
        <x:v>Not assessed</x:v>
      </x:c>
      <x:c r="AD327" s="22" t="str">
        <x:v>Not applicable — no full-text assessment was required.</x:v>
      </x:c>
      <x:c r="AE327" s="22" t="str">
        <x:v>Not included — title/abstract exclusion</x:v>
      </x:c>
      <x:c r="AF327" s="22" t="str">
        <x:v>Not applicable — not included</x:v>
      </x:c>
      <x:c r="AG327" s="22" t="str">
        <x:v>Evidence: 1049a0c2-79be-4d72-8904-8bcf3fad781a.png; page 8, result 10. Metadata transcribed from captured Google Scholar page; OCR-normalised, verify against publication before citation.</x:v>
      </x:c>
      <x:c r="AH327" s="20" t="str">
        <x:v>No duplicate identified under the documented matching rules.</x:v>
      </x:c>
    </x:row>
    <x:row r="328" ht="42" customHeight="1">
      <x:c r="A328" s="22" t="str">
        <x:v>GS-03-081</x:v>
      </x:c>
      <x:c r="B328" s="22" t="str">
        <x:v>Google Scholar</x:v>
      </x:c>
      <x:c r="C328" s="22" t="str">
        <x:v>GS-03</x:v>
      </x:c>
      <x:c r="D328" s="22" t="str">
        <x:v>Case-based reasoning modifications for intelligent systems in handling in vitro fertilization {IVF} patients post embryo transfer</x:v>
      </x:c>
      <x:c r="E328" s="22" t="str">
        <x:v>PA Christianio ESediyonod + nternatio-al Sempinaron =. 220</x:v>
      </x:c>
      <x:c r="F328" s="22" t="str">
        <x:v>NR</x:v>
      </x:c>
      <x:c r="G328" s="22" t="str">
        <x:v>eeexpiore teee org</x:v>
      </x:c>
      <x:c r="H328" s="22" t="str">
        <x:v>Google Scholar result</x:v>
      </x:c>
      <x:c r="I328" s="22" t="str">
        <x:v>NR</x:v>
      </x:c>
      <x:c r="J328" s="22" t="str">
        <x:v>NR</x:v>
      </x:c>
      <x:c r="K328" s="22" t="str">
        <x:v>NR — URL not captured in the available source record</x:v>
      </x:c>
      <x:c r="L328" s="22" t="str">
        <x:v>Not available in the captured evidence; the screening decision used the title and available source metadata.</x:v>
      </x:c>
      <x:c r="M328" s="22" t="str">
        <x:v>No duplicate</x:v>
      </x:c>
      <x:c r="N328" s="22" t="str">
        <x:v>Not applicable — no duplicate group</x:v>
      </x:c>
      <x:c r="O328" s="22" t="str">
        <x:v>Not applicable</x:v>
      </x:c>
      <x:c r="P328" s="22" t="str">
        <x:v>Yes</x:v>
      </x:c>
      <x:c r="Q328" s="22" t="str">
        <x:v>Exclude</x:v>
      </x:c>
      <x:c r="R328" s="22" t="str">
        <x:v>Clinical IVF records without medical imaging.</x:v>
      </x:c>
      <x:c r="S328" s="22" t="str">
        <x:v>Verification documented at process level</x:v>
      </x:c>
      <x:c r="T328" s="22" t="str">
        <x:v>Two additional authors performed random spot checks; individual spot-check assignments are not recorded in this register.</x:v>
      </x:c>
      <x:c r="U328" s="22" t="str">
        <x:v>Exclude</x:v>
      </x:c>
      <x:c r="V328" s="22" t="str">
        <x:v>Primary decision by the corresponding author; two additional authors performed random spot checks as a quality-control step.</x:v>
      </x:c>
      <x:c r="W328" s="22" t="str">
        <x:v>No</x:v>
      </x:c>
      <x:c r="X328" s="22" t="str">
        <x:v>Not applicable</x:v>
      </x:c>
      <x:c r="Y328" s="22" t="str">
        <x:v>Not assessed</x:v>
      </x:c>
      <x:c r="Z328" s="22" t="str">
        <x:v>Not advanced to full-text assessment after the title/abstract decision.</x:v>
      </x:c>
      <x:c r="AA328" s="22" t="str">
        <x:v>Not applicable</x:v>
      </x:c>
      <x:c r="AB328" s="22" t="str">
        <x:v>Record was not advanced to full-text assessment.</x:v>
      </x:c>
      <x:c r="AC328" s="22" t="str">
        <x:v>Not assessed</x:v>
      </x:c>
      <x:c r="AD328" s="22" t="str">
        <x:v>Not applicable — no full-text assessment was required.</x:v>
      </x:c>
      <x:c r="AE328" s="22" t="str">
        <x:v>Not included — title/abstract exclusion</x:v>
      </x:c>
      <x:c r="AF328" s="22" t="str">
        <x:v>Not applicable — not included</x:v>
      </x:c>
      <x:c r="AG328" s="22" t="str">
        <x:v>Evidence: 90cb24ae-d5d3-438e-beab-2c117b2003ed.png; page 9, result 1. Metadata transcribed from captured Google Scholar page; OCR-normalised, verify against publication before citation.</x:v>
      </x:c>
      <x:c r="AH328" s="20" t="str">
        <x:v>No duplicate identified under the documented matching rules.</x:v>
      </x:c>
    </x:row>
    <x:row r="329" ht="42" customHeight="1">
      <x:c r="A329" s="22" t="str">
        <x:v>GS-03-082</x:v>
      </x:c>
      <x:c r="B329" s="22" t="str">
        <x:v>Google Scholar</x:v>
      </x:c>
      <x:c r="C329" s="22" t="str">
        <x:v>GS-03</x:v>
      </x:c>
      <x:c r="D329" s="22" t="str">
        <x:v>quantum Case-Based Reasoning (qCBR)</x:v>
      </x:c>
      <x:c r="E329" s="22" t="str">
        <x:v>P Aichade-Adeorou D lasado-Fauli</x:v>
      </x:c>
      <x:c r="F329" s="22" t="n">
        <x:v>2021</x:v>
      </x:c>
      <x:c r="G329" s="22" t="str">
        <x:v>arXiv prepriqtarXiv ©. 2021 - arxivarg</x:v>
      </x:c>
      <x:c r="H329" s="22" t="str">
        <x:v>Google Scholar result</x:v>
      </x:c>
      <x:c r="I329" s="22" t="str">
        <x:v>NR</x:v>
      </x:c>
      <x:c r="J329" s="22" t="str">
        <x:v>NR</x:v>
      </x:c>
      <x:c r="K329" s="22" t="str">
        <x:v>NR — URL not captured in the available source record</x:v>
      </x:c>
      <x:c r="L329" s="22" t="str">
        <x:v>Not available in the captured evidence; the screening decision used the title and available source metadata.</x:v>
      </x:c>
      <x:c r="M329" s="22" t="str">
        <x:v>No duplicate</x:v>
      </x:c>
      <x:c r="N329" s="22" t="str">
        <x:v>Not applicable — no duplicate group</x:v>
      </x:c>
      <x:c r="O329" s="22" t="str">
        <x:v>Not applicable</x:v>
      </x:c>
      <x:c r="P329" s="22" t="str">
        <x:v>Yes</x:v>
      </x:c>
      <x:c r="Q329" s="22" t="str">
        <x:v>Exclude</x:v>
      </x:c>
      <x:c r="R329" s="22" t="str">
        <x:v>Generic quantum CBR methodology; no relevant imaging application.</x:v>
      </x:c>
      <x:c r="S329" s="22" t="str">
        <x:v>Verification documented at process level</x:v>
      </x:c>
      <x:c r="T329" s="22" t="str">
        <x:v>Two additional authors performed random spot checks; individual spot-check assignments are not recorded in this register.</x:v>
      </x:c>
      <x:c r="U329" s="22" t="str">
        <x:v>Exclude</x:v>
      </x:c>
      <x:c r="V329" s="22" t="str">
        <x:v>Primary decision by the corresponding author; two additional authors performed random spot checks as a quality-control step.</x:v>
      </x:c>
      <x:c r="W329" s="22" t="str">
        <x:v>No</x:v>
      </x:c>
      <x:c r="X329" s="22" t="str">
        <x:v>Not applicable</x:v>
      </x:c>
      <x:c r="Y329" s="22" t="str">
        <x:v>Not assessed</x:v>
      </x:c>
      <x:c r="Z329" s="22" t="str">
        <x:v>Not advanced to full-text assessment after the title/abstract decision.</x:v>
      </x:c>
      <x:c r="AA329" s="22" t="str">
        <x:v>Not applicable</x:v>
      </x:c>
      <x:c r="AB329" s="22" t="str">
        <x:v>Record was not advanced to full-text assessment.</x:v>
      </x:c>
      <x:c r="AC329" s="22" t="str">
        <x:v>Not assessed</x:v>
      </x:c>
      <x:c r="AD329" s="22" t="str">
        <x:v>Not applicable — no full-text assessment was required.</x:v>
      </x:c>
      <x:c r="AE329" s="22" t="str">
        <x:v>Not included — title/abstract exclusion</x:v>
      </x:c>
      <x:c r="AF329" s="22" t="str">
        <x:v>Not applicable — not included</x:v>
      </x:c>
      <x:c r="AG329" s="22" t="str">
        <x:v>Evidence: 90cb24ae-d5d3-438e-beab-2c117b2003ed.png; page 9, result 2. Metadata transcribed from captured Google Scholar page; OCR-normalised, verify against publication before citation.</x:v>
      </x:c>
      <x:c r="AH329" s="20" t="str">
        <x:v>No duplicate identified under the documented matching rules.</x:v>
      </x:c>
    </x:row>
    <x:row r="330" ht="42" customHeight="1">
      <x:c r="A330" s="22" t="str">
        <x:v>GS-03-083</x:v>
      </x:c>
      <x:c r="B330" s="22" t="str">
        <x:v>Google Scholar</x:v>
      </x:c>
      <x:c r="C330" s="22" t="str">
        <x:v>GS-03</x:v>
      </x:c>
      <x:c r="D330" s="22" t="str">
        <x:v>Organic rankine cycle systems design using a case-based reasoning approach</x:v>
      </x:c>
      <x:c r="E330" s="22" t="str">
        <x:v>S3ong 8 Habib BLi “Yu</x:v>
      </x:c>
      <x:c r="F330" s="22" t="str">
        <x:v>NR</x:v>
      </x:c>
      <x:c r="G330" s="22" t="str">
        <x:v>Industrial &amp; Erginearing . 2219- ACS Publicalizns</x:v>
      </x:c>
      <x:c r="H330" s="22" t="str">
        <x:v>Google Scholar result</x:v>
      </x:c>
      <x:c r="I330" s="22" t="str">
        <x:v>NR</x:v>
      </x:c>
      <x:c r="J330" s="22" t="str">
        <x:v>NR</x:v>
      </x:c>
      <x:c r="K330" s="22" t="str">
        <x:v>NR — URL not captured in the available source record</x:v>
      </x:c>
      <x:c r="L330" s="22" t="str">
        <x:v>Not available in the captured evidence; the screening decision used the title and available source metadata.</x:v>
      </x:c>
      <x:c r="M330" s="22" t="str">
        <x:v>No duplicate</x:v>
      </x:c>
      <x:c r="N330" s="22" t="str">
        <x:v>Not applicable — no duplicate group</x:v>
      </x:c>
      <x:c r="O330" s="22" t="str">
        <x:v>Not applicable</x:v>
      </x:c>
      <x:c r="P330" s="22" t="str">
        <x:v>Yes</x:v>
      </x:c>
      <x:c r="Q330" s="22" t="str">
        <x:v>Exclude</x:v>
      </x:c>
      <x:c r="R330" s="22" t="str">
        <x:v>Wrong domain: energy engineering.</x:v>
      </x:c>
      <x:c r="S330" s="22" t="str">
        <x:v>Verification documented at process level</x:v>
      </x:c>
      <x:c r="T330" s="22" t="str">
        <x:v>Two additional authors performed random spot checks; individual spot-check assignments are not recorded in this register.</x:v>
      </x:c>
      <x:c r="U330" s="22" t="str">
        <x:v>Exclude</x:v>
      </x:c>
      <x:c r="V330" s="22" t="str">
        <x:v>Primary decision by the corresponding author; two additional authors performed random spot checks as a quality-control step.</x:v>
      </x:c>
      <x:c r="W330" s="22" t="str">
        <x:v>No</x:v>
      </x:c>
      <x:c r="X330" s="22" t="str">
        <x:v>Not applicable</x:v>
      </x:c>
      <x:c r="Y330" s="22" t="str">
        <x:v>Not assessed</x:v>
      </x:c>
      <x:c r="Z330" s="22" t="str">
        <x:v>Not advanced to full-text assessment after the title/abstract decision.</x:v>
      </x:c>
      <x:c r="AA330" s="22" t="str">
        <x:v>Not applicable</x:v>
      </x:c>
      <x:c r="AB330" s="22" t="str">
        <x:v>Record was not advanced to full-text assessment.</x:v>
      </x:c>
      <x:c r="AC330" s="22" t="str">
        <x:v>Not assessed</x:v>
      </x:c>
      <x:c r="AD330" s="22" t="str">
        <x:v>Not applicable — no full-text assessment was required.</x:v>
      </x:c>
      <x:c r="AE330" s="22" t="str">
        <x:v>Not included — title/abstract exclusion</x:v>
      </x:c>
      <x:c r="AF330" s="22" t="str">
        <x:v>Not applicable — not included</x:v>
      </x:c>
      <x:c r="AG330" s="22" t="str">
        <x:v>Evidence: 90cb24ae-d5d3-438e-beab-2c117b2003ed.png; page 9, result 3. Metadata transcribed from captured Google Scholar page; OCR-normalised, verify against publication before citation.</x:v>
      </x:c>
      <x:c r="AH330" s="20" t="str">
        <x:v>No duplicate identified under the documented matching rules.</x:v>
      </x:c>
    </x:row>
    <x:row r="331" ht="42" customHeight="1">
      <x:c r="A331" s="22" t="str">
        <x:v>GS-03-084</x:v>
      </x:c>
      <x:c r="B331" s="22" t="str">
        <x:v>Google Scholar</x:v>
      </x:c>
      <x:c r="C331" s="22" t="str">
        <x:v>GS-03</x:v>
      </x:c>
      <x:c r="D331" s="22" t="str">
        <x:v>CBR-to-SQL Rethinking Retneval-based Text-to-SQL using Case-based Reasoning in the Healthcare Domain</x:v>
      </x:c>
      <x:c r="E331" s="22" t="str">
        <x:v>HNouyer H Moen P Macttinen</x:v>
      </x:c>
      <x:c r="F331" s="22" t="n">
        <x:v>2026</x:v>
      </x:c>
      <x:c r="G331" s="22" t="str">
        <x:v>arXiv preprint arXiv 2633 25569 2026 - arc arg</x:v>
      </x:c>
      <x:c r="H331" s="22" t="str">
        <x:v>Google Scholar result</x:v>
      </x:c>
      <x:c r="I331" s="22" t="str">
        <x:v>NR</x:v>
      </x:c>
      <x:c r="J331" s="22" t="str">
        <x:v>NR</x:v>
      </x:c>
      <x:c r="K331" s="22" t="str">
        <x:v>NR — URL not captured in the available source record</x:v>
      </x:c>
      <x:c r="L331" s="22" t="str">
        <x:v>Not available in the captured evidence; the screening decision used the title and available source metadata.</x:v>
      </x:c>
      <x:c r="M331" s="22" t="str">
        <x:v>No duplicate</x:v>
      </x:c>
      <x:c r="N331" s="22" t="str">
        <x:v>Not applicable — no duplicate group</x:v>
      </x:c>
      <x:c r="O331" s="22" t="str">
        <x:v>Not applicable</x:v>
      </x:c>
      <x:c r="P331" s="22" t="str">
        <x:v>Yes</x:v>
      </x:c>
      <x:c r="Q331" s="22" t="str">
        <x:v>Exclude</x:v>
      </x:c>
      <x:c r="R331" s="22" t="str">
        <x:v>Healthcare database querying, not medical-imaging XAI.</x:v>
      </x:c>
      <x:c r="S331" s="22" t="str">
        <x:v>Verification documented at process level</x:v>
      </x:c>
      <x:c r="T331" s="22" t="str">
        <x:v>Two additional authors performed random spot checks; individual spot-check assignments are not recorded in this register.</x:v>
      </x:c>
      <x:c r="U331" s="22" t="str">
        <x:v>Exclude</x:v>
      </x:c>
      <x:c r="V331" s="22" t="str">
        <x:v>Primary decision by the corresponding author; two additional authors performed random spot checks as a quality-control step.</x:v>
      </x:c>
      <x:c r="W331" s="22" t="str">
        <x:v>No</x:v>
      </x:c>
      <x:c r="X331" s="22" t="str">
        <x:v>Not applicable</x:v>
      </x:c>
      <x:c r="Y331" s="22" t="str">
        <x:v>Not assessed</x:v>
      </x:c>
      <x:c r="Z331" s="22" t="str">
        <x:v>Not advanced to full-text assessment after the title/abstract decision.</x:v>
      </x:c>
      <x:c r="AA331" s="22" t="str">
        <x:v>Not applicable</x:v>
      </x:c>
      <x:c r="AB331" s="22" t="str">
        <x:v>Record was not advanced to full-text assessment.</x:v>
      </x:c>
      <x:c r="AC331" s="22" t="str">
        <x:v>Not assessed</x:v>
      </x:c>
      <x:c r="AD331" s="22" t="str">
        <x:v>Not applicable — no full-text assessment was required.</x:v>
      </x:c>
      <x:c r="AE331" s="22" t="str">
        <x:v>Not included — title/abstract exclusion</x:v>
      </x:c>
      <x:c r="AF331" s="22" t="str">
        <x:v>Not applicable — not included</x:v>
      </x:c>
      <x:c r="AG331" s="22" t="str">
        <x:v>Evidence: 90cb24ae-d5d3-438e-beab-2c117b2003ed.png; page 9, result 4. Metadata transcribed from captured Google Scholar page; OCR-normalised, verify against publication before citation.</x:v>
      </x:c>
      <x:c r="AH331" s="20" t="str">
        <x:v>No duplicate identified under the documented matching rules.</x:v>
      </x:c>
    </x:row>
    <x:row r="332" ht="42" customHeight="1">
      <x:c r="A332" s="22" t="str">
        <x:v>GS-03-085</x:v>
      </x:c>
      <x:c r="B332" s="22" t="str">
        <x:v>Google Scholar</x:v>
      </x:c>
      <x:c r="C332" s="22" t="str">
        <x:v>GS-03</x:v>
      </x:c>
      <x:c r="D332" s="22" t="str">
        <x:v>Design Principles for Bots Supporting Case-Based Reasoning</x:v>
      </x:c>
      <x:c r="E332" s="22" t="str">
        <x:v>M Morashey J Mending</x:v>
      </x:c>
      <x:c r="F332" s="22" t="n">
        <x:v>2024</x:v>
      </x:c>
      <x:c r="G332" s="22" t="str">
        <x:v>Iniernations! Con‘erence 07 Business Process , 2024 - Springer</x:v>
      </x:c>
      <x:c r="H332" s="22" t="str">
        <x:v>Google Scholar result</x:v>
      </x:c>
      <x:c r="I332" s="22" t="str">
        <x:v>NR</x:v>
      </x:c>
      <x:c r="J332" s="22" t="str">
        <x:v>NR</x:v>
      </x:c>
      <x:c r="K332" s="22" t="str">
        <x:v>NR — URL not captured in the available source record</x:v>
      </x:c>
      <x:c r="L332" s="22" t="str">
        <x:v>Not available in the captured evidence; the screening decision used the title and available source metadata.</x:v>
      </x:c>
      <x:c r="M332" s="22" t="str">
        <x:v>No duplicate</x:v>
      </x:c>
      <x:c r="N332" s="22" t="str">
        <x:v>Not applicable — no duplicate group</x:v>
      </x:c>
      <x:c r="O332" s="22" t="str">
        <x:v>Not applicable</x:v>
      </x:c>
      <x:c r="P332" s="22" t="str">
        <x:v>Yes</x:v>
      </x:c>
      <x:c r="Q332" s="22" t="str">
        <x:v>Exclude</x:v>
      </x:c>
      <x:c r="R332" s="22" t="str">
        <x:v>Generic bot-interface design; no medical imaging.</x:v>
      </x:c>
      <x:c r="S332" s="22" t="str">
        <x:v>Verification documented at process level</x:v>
      </x:c>
      <x:c r="T332" s="22" t="str">
        <x:v>Two additional authors performed random spot checks; individual spot-check assignments are not recorded in this register.</x:v>
      </x:c>
      <x:c r="U332" s="22" t="str">
        <x:v>Exclude</x:v>
      </x:c>
      <x:c r="V332" s="22" t="str">
        <x:v>Primary decision by the corresponding author; two additional authors performed random spot checks as a quality-control step.</x:v>
      </x:c>
      <x:c r="W332" s="22" t="str">
        <x:v>No</x:v>
      </x:c>
      <x:c r="X332" s="22" t="str">
        <x:v>Not applicable</x:v>
      </x:c>
      <x:c r="Y332" s="22" t="str">
        <x:v>Not assessed</x:v>
      </x:c>
      <x:c r="Z332" s="22" t="str">
        <x:v>Not advanced to full-text assessment after the title/abstract decision.</x:v>
      </x:c>
      <x:c r="AA332" s="22" t="str">
        <x:v>Not applicable</x:v>
      </x:c>
      <x:c r="AB332" s="22" t="str">
        <x:v>Record was not advanced to full-text assessment.</x:v>
      </x:c>
      <x:c r="AC332" s="22" t="str">
        <x:v>Not assessed</x:v>
      </x:c>
      <x:c r="AD332" s="22" t="str">
        <x:v>Not applicable — no full-text assessment was required.</x:v>
      </x:c>
      <x:c r="AE332" s="22" t="str">
        <x:v>Not included — title/abstract exclusion</x:v>
      </x:c>
      <x:c r="AF332" s="22" t="str">
        <x:v>Not applicable — not included</x:v>
      </x:c>
      <x:c r="AG332" s="22" t="str">
        <x:v>Evidence: 90cb24ae-d5d3-438e-beab-2c117b2003ed.png; page 9, result 5. Metadata transcribed from captured Google Scholar page; OCR-normalised, verify against publication before citation.</x:v>
      </x:c>
      <x:c r="AH332" s="20" t="str">
        <x:v>No duplicate identified under the documented matching rules.</x:v>
      </x:c>
    </x:row>
    <x:row r="333" ht="42" customHeight="1">
      <x:c r="A333" s="22" t="str">
        <x:v>GS-03-086</x:v>
      </x:c>
      <x:c r="B333" s="22" t="str">
        <x:v>Google Scholar</x:v>
      </x:c>
      <x:c r="C333" s="22" t="str">
        <x:v>GS-03</x:v>
      </x:c>
      <x:c r="D333" s="22" t="str">
        <x:v>Case-based reasoning using expert systems to determine electricity reduction in residential buddings</x:v>
      </x:c>
      <x:c r="E333" s="22" t="str">
        <x:v>RFaa TPirtgo Zale</x:v>
      </x:c>
      <x:c r="F333" s="22" t="n">
        <x:v>2019</x:v>
      </x:c>
      <x:c r="G333" s="22" t="str">
        <x:v>2019 IEEE Power&amp; 20'S - 1eeexploe igee org</x:v>
      </x:c>
      <x:c r="H333" s="22" t="str">
        <x:v>Google Scholar result</x:v>
      </x:c>
      <x:c r="I333" s="22" t="str">
        <x:v>NR</x:v>
      </x:c>
      <x:c r="J333" s="22" t="str">
        <x:v>NR</x:v>
      </x:c>
      <x:c r="K333" s="22" t="str">
        <x:v>NR — URL not captured in the available source record</x:v>
      </x:c>
      <x:c r="L333" s="22" t="str">
        <x:v>Not available in the captured evidence; the screening decision used the title and available source metadata.</x:v>
      </x:c>
      <x:c r="M333" s="22" t="str">
        <x:v>No duplicate</x:v>
      </x:c>
      <x:c r="N333" s="22" t="str">
        <x:v>Not applicable — no duplicate group</x:v>
      </x:c>
      <x:c r="O333" s="22" t="str">
        <x:v>Not applicable</x:v>
      </x:c>
      <x:c r="P333" s="22" t="str">
        <x:v>Yes</x:v>
      </x:c>
      <x:c r="Q333" s="22" t="str">
        <x:v>Exclude</x:v>
      </x:c>
      <x:c r="R333" s="22" t="str">
        <x:v>Wrong domain: building energy.</x:v>
      </x:c>
      <x:c r="S333" s="22" t="str">
        <x:v>Verification documented at process level</x:v>
      </x:c>
      <x:c r="T333" s="22" t="str">
        <x:v>Two additional authors performed random spot checks; individual spot-check assignments are not recorded in this register.</x:v>
      </x:c>
      <x:c r="U333" s="22" t="str">
        <x:v>Exclude</x:v>
      </x:c>
      <x:c r="V333" s="22" t="str">
        <x:v>Primary decision by the corresponding author; two additional authors performed random spot checks as a quality-control step.</x:v>
      </x:c>
      <x:c r="W333" s="22" t="str">
        <x:v>No</x:v>
      </x:c>
      <x:c r="X333" s="22" t="str">
        <x:v>Not applicable</x:v>
      </x:c>
      <x:c r="Y333" s="22" t="str">
        <x:v>Not assessed</x:v>
      </x:c>
      <x:c r="Z333" s="22" t="str">
        <x:v>Not advanced to full-text assessment after the title/abstract decision.</x:v>
      </x:c>
      <x:c r="AA333" s="22" t="str">
        <x:v>Not applicable</x:v>
      </x:c>
      <x:c r="AB333" s="22" t="str">
        <x:v>Record was not advanced to full-text assessment.</x:v>
      </x:c>
      <x:c r="AC333" s="22" t="str">
        <x:v>Not assessed</x:v>
      </x:c>
      <x:c r="AD333" s="22" t="str">
        <x:v>Not applicable — no full-text assessment was required.</x:v>
      </x:c>
      <x:c r="AE333" s="22" t="str">
        <x:v>Not included — title/abstract exclusion</x:v>
      </x:c>
      <x:c r="AF333" s="22" t="str">
        <x:v>Not applicable — not included</x:v>
      </x:c>
      <x:c r="AG333" s="22" t="str">
        <x:v>Evidence: 90cb24ae-d5d3-438e-beab-2c117b2003ed.png; page 9, result 6. Metadata transcribed from captured Google Scholar page; OCR-normalised, verify against publication before citation.</x:v>
      </x:c>
      <x:c r="AH333" s="20" t="str">
        <x:v>No duplicate identified under the documented matching rules.</x:v>
      </x:c>
    </x:row>
    <x:row r="334" ht="42" customHeight="1">
      <x:c r="A334" s="22" t="str">
        <x:v>GS-03-087</x:v>
      </x:c>
      <x:c r="B334" s="22" t="str">
        <x:v>Google Scholar</x:v>
      </x:c>
      <x:c r="C334" s="22" t="str">
        <x:v>GS-03</x:v>
      </x:c>
      <x:c r="D334" s="22" t="str">
        <x:v>An assistant decistan-making method for power grid contingency management based an case-based reasoning</x:v>
      </x:c>
      <x:c r="E334" s="22" t="str">
        <x:v>HGag L Miao, SLiy JLu.X Lin</x:v>
      </x:c>
      <x:c r="F334" s="22" t="n">
        <x:v>2021</x:v>
      </x:c>
      <x:c r="G334" s="22" t="str">
        <x:v>2021 3rd Asia Energy , 2021 - ieeexplore ieee org</x:v>
      </x:c>
      <x:c r="H334" s="22" t="str">
        <x:v>Google Scholar result</x:v>
      </x:c>
      <x:c r="I334" s="22" t="str">
        <x:v>NR</x:v>
      </x:c>
      <x:c r="J334" s="22" t="str">
        <x:v>NR</x:v>
      </x:c>
      <x:c r="K334" s="22" t="str">
        <x:v>NR — URL not captured in the available source record</x:v>
      </x:c>
      <x:c r="L334" s="22" t="str">
        <x:v>Not available in the captured evidence; the screening decision used the title and available source metadata.</x:v>
      </x:c>
      <x:c r="M334" s="22" t="str">
        <x:v>No duplicate</x:v>
      </x:c>
      <x:c r="N334" s="22" t="str">
        <x:v>Not applicable — no duplicate group</x:v>
      </x:c>
      <x:c r="O334" s="22" t="str">
        <x:v>Not applicable</x:v>
      </x:c>
      <x:c r="P334" s="22" t="str">
        <x:v>Yes</x:v>
      </x:c>
      <x:c r="Q334" s="22" t="str">
        <x:v>Exclude</x:v>
      </x:c>
      <x:c r="R334" s="22" t="str">
        <x:v>Wrong domain: power-grid management.</x:v>
      </x:c>
      <x:c r="S334" s="22" t="str">
        <x:v>Verification documented at process level</x:v>
      </x:c>
      <x:c r="T334" s="22" t="str">
        <x:v>Two additional authors performed random spot checks; individual spot-check assignments are not recorded in this register.</x:v>
      </x:c>
      <x:c r="U334" s="22" t="str">
        <x:v>Exclude</x:v>
      </x:c>
      <x:c r="V334" s="22" t="str">
        <x:v>Primary decision by the corresponding author; two additional authors performed random spot checks as a quality-control step.</x:v>
      </x:c>
      <x:c r="W334" s="22" t="str">
        <x:v>No</x:v>
      </x:c>
      <x:c r="X334" s="22" t="str">
        <x:v>Not applicable</x:v>
      </x:c>
      <x:c r="Y334" s="22" t="str">
        <x:v>Not assessed</x:v>
      </x:c>
      <x:c r="Z334" s="22" t="str">
        <x:v>Not advanced to full-text assessment after the title/abstract decision.</x:v>
      </x:c>
      <x:c r="AA334" s="22" t="str">
        <x:v>Not applicable</x:v>
      </x:c>
      <x:c r="AB334" s="22" t="str">
        <x:v>Record was not advanced to full-text assessment.</x:v>
      </x:c>
      <x:c r="AC334" s="22" t="str">
        <x:v>Not assessed</x:v>
      </x:c>
      <x:c r="AD334" s="22" t="str">
        <x:v>Not applicable — no full-text assessment was required.</x:v>
      </x:c>
      <x:c r="AE334" s="22" t="str">
        <x:v>Not included — title/abstract exclusion</x:v>
      </x:c>
      <x:c r="AF334" s="22" t="str">
        <x:v>Not applicable — not included</x:v>
      </x:c>
      <x:c r="AG334" s="22" t="str">
        <x:v>Evidence: 90cb24ae-d5d3-438e-beab-2c117b2003ed.png; page 9, result 7. Metadata transcribed from captured Google Scholar page; OCR-normalised, verify against publication before citation.</x:v>
      </x:c>
      <x:c r="AH334" s="20" t="str">
        <x:v>No duplicate identified under the documented matching rules.</x:v>
      </x:c>
    </x:row>
    <x:row r="335" ht="42" customHeight="1">
      <x:c r="A335" s="22" t="str">
        <x:v>GS-03-088</x:v>
      </x:c>
      <x:c r="B335" s="22" t="str">
        <x:v>Google Scholar</x:v>
      </x:c>
      <x:c r="C335" s="22" t="str">
        <x:v>GS-03</x:v>
      </x:c>
      <x:c r="D335" s="22" t="str">
        <x:v>Advancing Scientific Workflows A Human-LLM Note-Taking System with Case- Based Reasoning</x:v>
      </x:c>
      <x:c r="E335" s="22" t="str">
        <x:v>DB Craig</x:v>
      </x:c>
      <x:c r="F335" s="22" t="n">
        <x:v>2025</x:v>
      </x:c>
      <x:c r="G335" s="22" t="str">
        <x:v>2025 IEEE Canterece on Artificial Intelligence (CAI). 2025 - ieeexplore ieee org</x:v>
      </x:c>
      <x:c r="H335" s="22" t="str">
        <x:v>Google Scholar result</x:v>
      </x:c>
      <x:c r="I335" s="22" t="str">
        <x:v>NR</x:v>
      </x:c>
      <x:c r="J335" s="22" t="str">
        <x:v>NR</x:v>
      </x:c>
      <x:c r="K335" s="22" t="str">
        <x:v>NR — URL not captured in the available source record</x:v>
      </x:c>
      <x:c r="L335" s="22" t="str">
        <x:v>Not available in the captured evidence; the screening decision used the title and available source metadata.</x:v>
      </x:c>
      <x:c r="M335" s="22" t="str">
        <x:v>No duplicate</x:v>
      </x:c>
      <x:c r="N335" s="22" t="str">
        <x:v>Not applicable — no duplicate group</x:v>
      </x:c>
      <x:c r="O335" s="22" t="str">
        <x:v>Not applicable</x:v>
      </x:c>
      <x:c r="P335" s="22" t="str">
        <x:v>Yes</x:v>
      </x:c>
      <x:c r="Q335" s="22" t="str">
        <x:v>Exclude</x:v>
      </x:c>
      <x:c r="R335" s="22" t="str">
        <x:v>Scientific note-taking workflow, not medical imaging.</x:v>
      </x:c>
      <x:c r="S335" s="22" t="str">
        <x:v>Verification documented at process level</x:v>
      </x:c>
      <x:c r="T335" s="22" t="str">
        <x:v>Two additional authors performed random spot checks; individual spot-check assignments are not recorded in this register.</x:v>
      </x:c>
      <x:c r="U335" s="22" t="str">
        <x:v>Exclude</x:v>
      </x:c>
      <x:c r="V335" s="22" t="str">
        <x:v>Primary decision by the corresponding author; two additional authors performed random spot checks as a quality-control step.</x:v>
      </x:c>
      <x:c r="W335" s="22" t="str">
        <x:v>No</x:v>
      </x:c>
      <x:c r="X335" s="22" t="str">
        <x:v>Not applicable</x:v>
      </x:c>
      <x:c r="Y335" s="22" t="str">
        <x:v>Not assessed</x:v>
      </x:c>
      <x:c r="Z335" s="22" t="str">
        <x:v>Not advanced to full-text assessment after the title/abstract decision.</x:v>
      </x:c>
      <x:c r="AA335" s="22" t="str">
        <x:v>Not applicable</x:v>
      </x:c>
      <x:c r="AB335" s="22" t="str">
        <x:v>Record was not advanced to full-text assessment.</x:v>
      </x:c>
      <x:c r="AC335" s="22" t="str">
        <x:v>Not assessed</x:v>
      </x:c>
      <x:c r="AD335" s="22" t="str">
        <x:v>Not applicable — no full-text assessment was required.</x:v>
      </x:c>
      <x:c r="AE335" s="22" t="str">
        <x:v>Not included — title/abstract exclusion</x:v>
      </x:c>
      <x:c r="AF335" s="22" t="str">
        <x:v>Not applicable — not included</x:v>
      </x:c>
      <x:c r="AG335" s="22" t="str">
        <x:v>Evidence: 90cb24ae-d5d3-438e-beab-2c117b2003ed.png; page 9, result 8. Metadata transcribed from captured Google Scholar page; OCR-normalised, verify against publication before citation.</x:v>
      </x:c>
      <x:c r="AH335" s="20" t="str">
        <x:v>No duplicate identified under the documented matching rules.</x:v>
      </x:c>
    </x:row>
    <x:row r="336" ht="42" customHeight="1">
      <x:c r="A336" s="22" t="str">
        <x:v>GS-03-089</x:v>
      </x:c>
      <x:c r="B336" s="22" t="str">
        <x:v>Google Scholar</x:v>
      </x:c>
      <x:c r="C336" s="22" t="str">
        <x:v>GS-03</x:v>
      </x:c>
      <x:c r="D336" s="22" t="str">
        <x:v>Companison of Case-Based Reasoning and Cenamly Factor Methads for Dengue Diagnosis</x:v>
      </x:c>
      <x:c r="E336" s="22" t="str">
        <x:v>BHHamdani dR Hatta ASeptianni</x:v>
      </x:c>
      <x:c r="F336" s="22" t="n">
        <x:v>2021</x:v>
      </x:c>
      <x:c r="G336" s="22" t="str">
        <x:v>orResearchof 2021 -iceexplore ieee org</x:v>
      </x:c>
      <x:c r="H336" s="22" t="str">
        <x:v>Google Scholar result</x:v>
      </x:c>
      <x:c r="I336" s="22" t="str">
        <x:v>NR</x:v>
      </x:c>
      <x:c r="J336" s="22" t="str">
        <x:v>NR</x:v>
      </x:c>
      <x:c r="K336" s="22" t="str">
        <x:v>NR — URL not captured in the available source record</x:v>
      </x:c>
      <x:c r="L336" s="22" t="str">
        <x:v>Not available in the captured evidence; the screening decision used the title and available source metadata.</x:v>
      </x:c>
      <x:c r="M336" s="22" t="str">
        <x:v>No duplicate</x:v>
      </x:c>
      <x:c r="N336" s="22" t="str">
        <x:v>Not applicable — no duplicate group</x:v>
      </x:c>
      <x:c r="O336" s="22" t="str">
        <x:v>Not applicable</x:v>
      </x:c>
      <x:c r="P336" s="22" t="str">
        <x:v>Yes</x:v>
      </x:c>
      <x:c r="Q336" s="22" t="str">
        <x:v>Exclude</x:v>
      </x:c>
      <x:c r="R336" s="22" t="str">
        <x:v>Symptom-based dengue expert system; no imaging.</x:v>
      </x:c>
      <x:c r="S336" s="22" t="str">
        <x:v>Verification documented at process level</x:v>
      </x:c>
      <x:c r="T336" s="22" t="str">
        <x:v>Two additional authors performed random spot checks; individual spot-check assignments are not recorded in this register.</x:v>
      </x:c>
      <x:c r="U336" s="22" t="str">
        <x:v>Exclude</x:v>
      </x:c>
      <x:c r="V336" s="22" t="str">
        <x:v>Primary decision by the corresponding author; two additional authors performed random spot checks as a quality-control step.</x:v>
      </x:c>
      <x:c r="W336" s="22" t="str">
        <x:v>No</x:v>
      </x:c>
      <x:c r="X336" s="22" t="str">
        <x:v>Not applicable</x:v>
      </x:c>
      <x:c r="Y336" s="22" t="str">
        <x:v>Not assessed</x:v>
      </x:c>
      <x:c r="Z336" s="22" t="str">
        <x:v>Not advanced to full-text assessment after the title/abstract decision.</x:v>
      </x:c>
      <x:c r="AA336" s="22" t="str">
        <x:v>Not applicable</x:v>
      </x:c>
      <x:c r="AB336" s="22" t="str">
        <x:v>Record was not advanced to full-text assessment.</x:v>
      </x:c>
      <x:c r="AC336" s="22" t="str">
        <x:v>Not assessed</x:v>
      </x:c>
      <x:c r="AD336" s="22" t="str">
        <x:v>Not applicable — no full-text assessment was required.</x:v>
      </x:c>
      <x:c r="AE336" s="22" t="str">
        <x:v>Not included — title/abstract exclusion</x:v>
      </x:c>
      <x:c r="AF336" s="22" t="str">
        <x:v>Not applicable — not included</x:v>
      </x:c>
      <x:c r="AG336" s="22" t="str">
        <x:v>Evidence: 90cb24ae-d5d3-438e-beab-2c117b2003ed.png; page 9, result 9. Metadata transcribed from captured Google Scholar page; OCR-normalised, verify against publication before citation.</x:v>
      </x:c>
      <x:c r="AH336" s="20" t="str">
        <x:v>No duplicate identified under the documented matching rules.</x:v>
      </x:c>
    </x:row>
    <x:row r="337" ht="42" customHeight="1">
      <x:c r="A337" s="22" t="str">
        <x:v>GS-03-090</x:v>
      </x:c>
      <x:c r="B337" s="22" t="str">
        <x:v>Google Scholar</x:v>
      </x:c>
      <x:c r="C337" s="22" t="str">
        <x:v>GS-03</x:v>
      </x:c>
      <x:c r="D337" s="22" t="str">
        <x:v>Defining case based reasoning cases with xml</x:v>
      </x:c>
      <x:c r="E337" s="22" t="str">
        <x:v>EAsemota S$ Sallagher GMcrobbie -twothousandand 2018</x:v>
      </x:c>
      <x:c r="F337" s="22" t="n">
        <x:v>2018</x:v>
      </x:c>
      <x:c r="G337" s="22" t="str">
        <x:v>resea-chgale net</x:v>
      </x:c>
      <x:c r="H337" s="22" t="str">
        <x:v>Google Scholar result</x:v>
      </x:c>
      <x:c r="I337" s="22" t="str">
        <x:v>NR</x:v>
      </x:c>
      <x:c r="J337" s="22" t="str">
        <x:v>NR</x:v>
      </x:c>
      <x:c r="K337" s="22" t="str">
        <x:v>NR — URL not captured in the available source record</x:v>
      </x:c>
      <x:c r="L337" s="22" t="str">
        <x:v>Not available in the captured evidence; the screening decision used the title and available source metadata.</x:v>
      </x:c>
      <x:c r="M337" s="22" t="str">
        <x:v>No duplicate</x:v>
      </x:c>
      <x:c r="N337" s="22" t="str">
        <x:v>Not applicable — no duplicate group</x:v>
      </x:c>
      <x:c r="O337" s="22" t="str">
        <x:v>Not applicable</x:v>
      </x:c>
      <x:c r="P337" s="22" t="str">
        <x:v>Yes</x:v>
      </x:c>
      <x:c r="Q337" s="22" t="str">
        <x:v>Exclude</x:v>
      </x:c>
      <x:c r="R337" s="22" t="str">
        <x:v>Generic XML/CBR technical method.</x:v>
      </x:c>
      <x:c r="S337" s="22" t="str">
        <x:v>Verification documented at process level</x:v>
      </x:c>
      <x:c r="T337" s="22" t="str">
        <x:v>Two additional authors performed random spot checks; individual spot-check assignments are not recorded in this register.</x:v>
      </x:c>
      <x:c r="U337" s="22" t="str">
        <x:v>Exclude</x:v>
      </x:c>
      <x:c r="V337" s="22" t="str">
        <x:v>Primary decision by the corresponding author; two additional authors performed random spot checks as a quality-control step.</x:v>
      </x:c>
      <x:c r="W337" s="22" t="str">
        <x:v>No</x:v>
      </x:c>
      <x:c r="X337" s="22" t="str">
        <x:v>Not applicable</x:v>
      </x:c>
      <x:c r="Y337" s="22" t="str">
        <x:v>Not assessed</x:v>
      </x:c>
      <x:c r="Z337" s="22" t="str">
        <x:v>Not advanced to full-text assessment after the title/abstract decision.</x:v>
      </x:c>
      <x:c r="AA337" s="22" t="str">
        <x:v>Not applicable</x:v>
      </x:c>
      <x:c r="AB337" s="22" t="str">
        <x:v>Record was not advanced to full-text assessment.</x:v>
      </x:c>
      <x:c r="AC337" s="22" t="str">
        <x:v>Not assessed</x:v>
      </x:c>
      <x:c r="AD337" s="22" t="str">
        <x:v>Not applicable — no full-text assessment was required.</x:v>
      </x:c>
      <x:c r="AE337" s="22" t="str">
        <x:v>Not included — title/abstract exclusion</x:v>
      </x:c>
      <x:c r="AF337" s="22" t="str">
        <x:v>Not applicable — not included</x:v>
      </x:c>
      <x:c r="AG337" s="22" t="str">
        <x:v>Evidence: 90cb24ae-d5d3-438e-beab-2c117b2003ed.png; page 9, result 10. Metadata transcribed from captured Google Scholar page; OCR-normalised, verify against publication before citation.</x:v>
      </x:c>
      <x:c r="AH337" s="20" t="str">
        <x:v>No duplicate identified under the documented matching rules.</x:v>
      </x:c>
    </x:row>
    <x:row r="338" ht="42" customHeight="1">
      <x:c r="A338" s="22" t="str">
        <x:v>GS-03-091</x:v>
      </x:c>
      <x:c r="B338" s="22" t="str">
        <x:v>Google Scholar</x:v>
      </x:c>
      <x:c r="C338" s="22" t="str">
        <x:v>GS-03</x:v>
      </x:c>
      <x:c r="D338" s="22" t="str">
        <x:v>Case-based reasoning approach for monitoring multi-phase liquid in pipeline</x:v>
      </x:c>
      <x:c r="E338" s="22" t="str">
        <x:v>ON Kuzyakov IN Glukhikh, AE Sigorova + Senes Earthand 21°? -iapscrenca iop org</x:v>
      </x:c>
      <x:c r="F338" s="22" t="str">
        <x:v>NR</x:v>
      </x:c>
      <x:c r="G338" s="22" t="str">
        <x:v>ON Kuzyakov IN Glukhikh, AE Sigorova + Senes Earthand 21°? -iapscrenca iop org</x:v>
      </x:c>
      <x:c r="H338" s="22" t="str">
        <x:v>Google Scholar result</x:v>
      </x:c>
      <x:c r="I338" s="22" t="str">
        <x:v>NR</x:v>
      </x:c>
      <x:c r="J338" s="22" t="str">
        <x:v>NR</x:v>
      </x:c>
      <x:c r="K338" s="22" t="str">
        <x:v>NR — URL not captured in the available source record</x:v>
      </x:c>
      <x:c r="L338" s="22" t="str">
        <x:v>Not available in the captured evidence; the screening decision used the title and available source metadata.</x:v>
      </x:c>
      <x:c r="M338" s="22" t="str">
        <x:v>No duplicate</x:v>
      </x:c>
      <x:c r="N338" s="22" t="str">
        <x:v>Not applicable — no duplicate group</x:v>
      </x:c>
      <x:c r="O338" s="22" t="str">
        <x:v>Not applicable</x:v>
      </x:c>
      <x:c r="P338" s="22" t="str">
        <x:v>Yes</x:v>
      </x:c>
      <x:c r="Q338" s="22" t="str">
        <x:v>Exclude</x:v>
      </x:c>
      <x:c r="R338" s="22" t="str">
        <x:v>Wrong domain: industrial pipeline monitoring.</x:v>
      </x:c>
      <x:c r="S338" s="22" t="str">
        <x:v>Verification documented at process level</x:v>
      </x:c>
      <x:c r="T338" s="22" t="str">
        <x:v>Two additional authors performed random spot checks; individual spot-check assignments are not recorded in this register.</x:v>
      </x:c>
      <x:c r="U338" s="22" t="str">
        <x:v>Exclude</x:v>
      </x:c>
      <x:c r="V338" s="22" t="str">
        <x:v>Primary decision by the corresponding author; two additional authors performed random spot checks as a quality-control step.</x:v>
      </x:c>
      <x:c r="W338" s="22" t="str">
        <x:v>No</x:v>
      </x:c>
      <x:c r="X338" s="22" t="str">
        <x:v>Not applicable</x:v>
      </x:c>
      <x:c r="Y338" s="22" t="str">
        <x:v>Not assessed</x:v>
      </x:c>
      <x:c r="Z338" s="22" t="str">
        <x:v>Not advanced to full-text assessment after the title/abstract decision.</x:v>
      </x:c>
      <x:c r="AA338" s="22" t="str">
        <x:v>Not applicable</x:v>
      </x:c>
      <x:c r="AB338" s="22" t="str">
        <x:v>Record was not advanced to full-text assessment.</x:v>
      </x:c>
      <x:c r="AC338" s="22" t="str">
        <x:v>Not assessed</x:v>
      </x:c>
      <x:c r="AD338" s="22" t="str">
        <x:v>Not applicable — no full-text assessment was required.</x:v>
      </x:c>
      <x:c r="AE338" s="22" t="str">
        <x:v>Not included — title/abstract exclusion</x:v>
      </x:c>
      <x:c r="AF338" s="22" t="str">
        <x:v>Not applicable — not included</x:v>
      </x:c>
      <x:c r="AG338" s="22" t="str">
        <x:v>Evidence: 9171a63c-80b0-4c3e-87cb-4f5fa8906672.png; page 10, result 1. Metadata transcribed from captured Google Scholar page; OCR-normalised, verify against publication before citation.</x:v>
      </x:c>
      <x:c r="AH338" s="20" t="str">
        <x:v>No duplicate identified under the documented matching rules.</x:v>
      </x:c>
    </x:row>
    <x:row r="339" ht="42" customHeight="1">
      <x:c r="A339" s="22" t="str">
        <x:v>GS-03-092</x:v>
      </x:c>
      <x:c r="B339" s="22" t="str">
        <x:v>Google Scholar</x:v>
      </x:c>
      <x:c r="C339" s="22" t="str">
        <x:v>GS-03</x:v>
      </x:c>
      <x:c r="D339" s="22" t="str">
        <x:v>Tachnical Report on the Learning of Case Relevance in Case-Based Reasoning with Abstract Argumentation</x:v>
      </x:c>
      <x:c r="E339" s="22" t="str">
        <x:v>G Paulino-Passas F Tori- arX» preprint arXiv 2310 19627 2023</x:v>
      </x:c>
      <x:c r="F339" s="22" t="n">
        <x:v>2023</x:v>
      </x:c>
      <x:c r="G339" s="22" t="str">
        <x:v>arxiv org</x:v>
      </x:c>
      <x:c r="H339" s="22" t="str">
        <x:v>Google Scholar result</x:v>
      </x:c>
      <x:c r="I339" s="22" t="str">
        <x:v>NR</x:v>
      </x:c>
      <x:c r="J339" s="22" t="str">
        <x:v>NR</x:v>
      </x:c>
      <x:c r="K339" s="22" t="str">
        <x:v>NR — URL not captured in the available source record</x:v>
      </x:c>
      <x:c r="L339" s="22" t="str">
        <x:v>Not available in the captured evidence; the screening decision used the title and available source metadata.</x:v>
      </x:c>
      <x:c r="M339" s="22" t="str">
        <x:v>No duplicate</x:v>
      </x:c>
      <x:c r="N339" s="22" t="str">
        <x:v>Not applicable — no duplicate group</x:v>
      </x:c>
      <x:c r="O339" s="22" t="str">
        <x:v>Not applicable</x:v>
      </x:c>
      <x:c r="P339" s="22" t="str">
        <x:v>Yes</x:v>
      </x:c>
      <x:c r="Q339" s="22" t="str">
        <x:v>Exclude</x:v>
      </x:c>
      <x:c r="R339" s="22" t="str">
        <x:v>Generic CBR technical report; no medical imaging.</x:v>
      </x:c>
      <x:c r="S339" s="22" t="str">
        <x:v>Verification documented at process level</x:v>
      </x:c>
      <x:c r="T339" s="22" t="str">
        <x:v>Two additional authors performed random spot checks; individual spot-check assignments are not recorded in this register.</x:v>
      </x:c>
      <x:c r="U339" s="22" t="str">
        <x:v>Exclude</x:v>
      </x:c>
      <x:c r="V339" s="22" t="str">
        <x:v>Primary decision by the corresponding author; two additional authors performed random spot checks as a quality-control step.</x:v>
      </x:c>
      <x:c r="W339" s="22" t="str">
        <x:v>No</x:v>
      </x:c>
      <x:c r="X339" s="22" t="str">
        <x:v>Not applicable</x:v>
      </x:c>
      <x:c r="Y339" s="22" t="str">
        <x:v>Not assessed</x:v>
      </x:c>
      <x:c r="Z339" s="22" t="str">
        <x:v>Not advanced to full-text assessment after the title/abstract decision.</x:v>
      </x:c>
      <x:c r="AA339" s="22" t="str">
        <x:v>Not applicable</x:v>
      </x:c>
      <x:c r="AB339" s="22" t="str">
        <x:v>Record was not advanced to full-text assessment.</x:v>
      </x:c>
      <x:c r="AC339" s="22" t="str">
        <x:v>Not assessed</x:v>
      </x:c>
      <x:c r="AD339" s="22" t="str">
        <x:v>Not applicable — no full-text assessment was required.</x:v>
      </x:c>
      <x:c r="AE339" s="22" t="str">
        <x:v>Not included — title/abstract exclusion</x:v>
      </x:c>
      <x:c r="AF339" s="22" t="str">
        <x:v>Not applicable — not included</x:v>
      </x:c>
      <x:c r="AG339" s="22" t="str">
        <x:v>Evidence: 9171a63c-80b0-4c3e-87cb-4f5fa8906672.png; page 10, result 2. Metadata transcribed from captured Google Scholar page; OCR-normalised, verify against publication before citation.</x:v>
      </x:c>
      <x:c r="AH339" s="20" t="str">
        <x:v>No duplicate identified under the documented matching rules.</x:v>
      </x:c>
    </x:row>
    <x:row r="340" ht="42" customHeight="1">
      <x:c r="A340" s="22" t="str">
        <x:v>GS-03-093</x:v>
      </x:c>
      <x:c r="B340" s="22" t="str">
        <x:v>Google Scholar</x:v>
      </x:c>
      <x:c r="C340" s="22" t="str">
        <x:v>GS-03</x:v>
      </x:c>
      <x:c r="D340" s="22" t="str">
        <x:v>Toddler-Centered Case-Based Reasoning Framework for Early Diagnosis of Autism Spectrum Disorder</x:v>
      </x:c>
      <x:c r="E340" s="22" t="str">
        <x:v>H Yamina</x:v>
      </x:c>
      <x:c r="F340" s="22" t="str">
        <x:v>NR</x:v>
      </x:c>
      <x:c r="G340" s="22" t="str">
        <x:v>ITEGAM-JETIA, 2626 - tegamyelra arg</x:v>
      </x:c>
      <x:c r="H340" s="22" t="str">
        <x:v>Google Scholar result</x:v>
      </x:c>
      <x:c r="I340" s="22" t="str">
        <x:v>NR</x:v>
      </x:c>
      <x:c r="J340" s="22" t="str">
        <x:v>NR</x:v>
      </x:c>
      <x:c r="K340" s="22" t="str">
        <x:v>NR — URL not captured in the available source record</x:v>
      </x:c>
      <x:c r="L340" s="22" t="str">
        <x:v>Not available in the captured evidence; the screening decision used the title and available source metadata.</x:v>
      </x:c>
      <x:c r="M340" s="22" t="str">
        <x:v>No duplicate</x:v>
      </x:c>
      <x:c r="N340" s="22" t="str">
        <x:v>Not applicable — no duplicate group</x:v>
      </x:c>
      <x:c r="O340" s="22" t="str">
        <x:v>Not applicable</x:v>
      </x:c>
      <x:c r="P340" s="22" t="str">
        <x:v>Yes</x:v>
      </x:c>
      <x:c r="Q340" s="22" t="str">
        <x:v>Exclude</x:v>
      </x:c>
      <x:c r="R340" s="22" t="str">
        <x:v>Behavioural autism diagnosis without medical imaging.</x:v>
      </x:c>
      <x:c r="S340" s="22" t="str">
        <x:v>Verification documented at process level</x:v>
      </x:c>
      <x:c r="T340" s="22" t="str">
        <x:v>Two additional authors performed random spot checks; individual spot-check assignments are not recorded in this register.</x:v>
      </x:c>
      <x:c r="U340" s="22" t="str">
        <x:v>Exclude</x:v>
      </x:c>
      <x:c r="V340" s="22" t="str">
        <x:v>Primary decision by the corresponding author; two additional authors performed random spot checks as a quality-control step.</x:v>
      </x:c>
      <x:c r="W340" s="22" t="str">
        <x:v>No</x:v>
      </x:c>
      <x:c r="X340" s="22" t="str">
        <x:v>Not applicable</x:v>
      </x:c>
      <x:c r="Y340" s="22" t="str">
        <x:v>Not assessed</x:v>
      </x:c>
      <x:c r="Z340" s="22" t="str">
        <x:v>Not advanced to full-text assessment after the title/abstract decision.</x:v>
      </x:c>
      <x:c r="AA340" s="22" t="str">
        <x:v>Not applicable</x:v>
      </x:c>
      <x:c r="AB340" s="22" t="str">
        <x:v>Record was not advanced to full-text assessment.</x:v>
      </x:c>
      <x:c r="AC340" s="22" t="str">
        <x:v>Not assessed</x:v>
      </x:c>
      <x:c r="AD340" s="22" t="str">
        <x:v>Not applicable — no full-text assessment was required.</x:v>
      </x:c>
      <x:c r="AE340" s="22" t="str">
        <x:v>Not included — title/abstract exclusion</x:v>
      </x:c>
      <x:c r="AF340" s="22" t="str">
        <x:v>Not applicable — not included</x:v>
      </x:c>
      <x:c r="AG340" s="22" t="str">
        <x:v>Evidence: 9171a63c-80b0-4c3e-87cb-4f5fa8906672.png; page 10, result 3. Metadata transcribed from captured Google Scholar page; OCR-normalised, verify against publication before citation.</x:v>
      </x:c>
      <x:c r="AH340" s="20" t="str">
        <x:v>No duplicate identified under the documented matching rules.</x:v>
      </x:c>
    </x:row>
    <x:row r="341" ht="42" customHeight="1">
      <x:c r="A341" s="22" t="str">
        <x:v>GS-03-094</x:v>
      </x:c>
      <x:c r="B341" s="22" t="str">
        <x:v>Google Scholar</x:v>
      </x:c>
      <x:c r="C341" s="22" t="str">
        <x:v>GS-03</x:v>
      </x:c>
      <x:c r="D341" s="22" t="str">
        <x:v>(PoF] Case-based reasoning of a deep learning network for prediction of early stage of oesophageal cancer</x:v>
      </x:c>
      <x:c r="E341" s="22" t="str">
        <x:v>X Gao B Braden L Zhavg STsyor WRanj</x:v>
      </x:c>
      <x:c r="F341" s="22" t="n">
        <x:v>2019</x:v>
      </x:c>
      <x:c r="G341" s="22" t="str">
        <x:v>case-based reasoning 2019- bes-sgai arg</x:v>
      </x:c>
      <x:c r="H341" s="22" t="str">
        <x:v>Google Scholar result</x:v>
      </x:c>
      <x:c r="I341" s="22" t="str">
        <x:v>NR</x:v>
      </x:c>
      <x:c r="J341" s="22" t="str">
        <x:v>NR</x:v>
      </x:c>
      <x:c r="K341" s="22" t="str">
        <x:v>https://www.bcs-sgai.org/expertupdate/papers/20-1/2019_paper_1.pdf</x:v>
      </x:c>
      <x:c r="L341" s="22" t="str">
        <x:v>. Case-Based Reasoning (CBR) is a form of analogical reason- ing in which the information for a (new) query case is determined based on the known cases in a database with established information. While deep machine learning tech-niques of AI have demonstrated state of the art results in many fields, their transparency status of those hidden layers have cast double in many applica-tions, especially in the medical field, where clinicians need to know the rea-sons of decision making delegated by a computer system. This study aims to provide a visual explana- tion while performing classification of endoscopic oesophageal videos. Towards this end, this work integrates the interpretation and decision- making together by producing a set of profiles that in appearance resem- ble the training samples and hence explain the outcome of classification, in an attempt to allay the concerns that using a different model to ex- plain the predictions while employing varying priors from the original network. Fur-thermore, different from many explainable networks that highlight key regions or points of the input that activate the network, this work is based on whole training images, i.e. case-based, where each training image belongs to one of the classes. Preliminary results have demonstrated the classification accuracy of 95% for training and 75% for testing while applying 500 training data (with 10% for testing split ran- domly) for each of three classes of ‘cancer’, ‘high grade’ and ‘suspicious’ of oesophageal squamous cancer from endoscopy videos. When training with 2000 samples for the two classes of ‘high grade’ and ‘suspicious’, the testing result delivers an accuracy of 77%, implying the impact of sample sizes. Future work includes collection of large annotated dataset and improving classification accuracy.</x:v>
      </x:c>
      <x:c r="M341" s="22" t="str">
        <x:v>No duplicate</x:v>
      </x:c>
      <x:c r="N341" s="22" t="str">
        <x:v>Not applicable — no duplicate group</x:v>
      </x:c>
      <x:c r="O341" s="22" t="str">
        <x:v>Not applicable</x:v>
      </x:c>
      <x:c r="P341" s="22" t="str">
        <x:v>Yes</x:v>
      </x:c>
      <x:c r="Q341" s="22" t="str">
        <x:v>Include</x:v>
      </x:c>
      <x:c r="R341" s="22" t="str">
        <x:v>Contextual endoscopic imaging study with case/prototype reasoning.</x:v>
      </x:c>
      <x:c r="S341" s="22" t="str">
        <x:v>Verification documented at process level</x:v>
      </x:c>
      <x:c r="T341" s="22" t="str">
        <x:v>Two additional authors performed random spot checks; individual spot-check assignments are not recorded in this register.</x:v>
      </x:c>
      <x:c r="U341" s="22" t="str">
        <x:v>Include</x:v>
      </x:c>
      <x:c r="V341" s="22" t="str">
        <x:v>Primary decision by the corresponding author; two additional authors performed random spot checks as a quality-control step.</x:v>
      </x:c>
      <x:c r="W341" s="22" t="str">
        <x:v>Yes</x:v>
      </x:c>
      <x:c r="X341" s="22" t="str">
        <x:v>Yes</x:v>
      </x:c>
      <x:c r="Y341" s="22" t="str">
        <x:v>Include</x:v>
      </x:c>
      <x:c r="Z341" s="22" t="str">
        <x:v>The corresponding author assessed the complete report and judged it eligible for inclusion in the review.</x:v>
      </x:c>
      <x:c r="AA341" s="22" t="str">
        <x:v>Verification documented at process level</x:v>
      </x:c>
      <x:c r="AB341" s="22" t="str">
        <x:v>Two additional authors performed random spot checks; individual spot-check assignments are not recorded in this register.</x:v>
      </x:c>
      <x:c r="AC341" s="22" t="str">
        <x:v>Include</x:v>
      </x:c>
      <x:c r="AD341" s="22" t="str">
        <x:v>Primary decision by the corresponding author; two additional authors performed random spot checks as a quality-control step.</x:v>
      </x:c>
      <x:c r="AE341" s="22" t="str">
        <x:v>Include</x:v>
      </x:c>
      <x:c r="AF341" s="22" t="str">
        <x:v>Contextual medical concept-XAI evidence</x:v>
      </x:c>
      <x:c r="AG341" s="22" t="str">
        <x:v>Evidence: 9171a63c-80b0-4c3e-87cb-4f5fa8906672.png; page 10, result 4. Metadata transcribed from captured Google Scholar page; OCR-normalised, verify against publication before citation.</x:v>
      </x:c>
      <x:c r="AH341" s="20" t="str">
        <x:v>No duplicate identified under the documented matching rules.</x:v>
      </x:c>
    </x:row>
    <x:row r="342" ht="42" customHeight="1">
      <x:c r="A342" s="22" t="str">
        <x:v>GS-03-095</x:v>
      </x:c>
      <x:c r="B342" s="22" t="str">
        <x:v>Google Scholar</x:v>
      </x:c>
      <x:c r="C342" s="22" t="str">
        <x:v>GS-03</x:v>
      </x:c>
      <x:c r="D342" s="22" t="str">
        <x:v>Case-Based Reasoning An Applied Technique for Designing Intelligent System for the Differential Diagnosis of Oral Diseases</x:v>
      </x:c>
      <x:c r="E342" s="22" t="str">
        <x:v>R Safsari AMDD S “ahmasebian</x:v>
      </x:c>
      <x:c r="F342" s="22" t="n">
        <x:v>2026</x:v>
      </x:c>
      <x:c r="G342" s="22" t="str">
        <x:v>JcurnalaiPayaverd = = 2026 - payavarc tums sciv</x:v>
      </x:c>
      <x:c r="H342" s="22" t="str">
        <x:v>Google Scholar result</x:v>
      </x:c>
      <x:c r="I342" s="22" t="str">
        <x:v>NR</x:v>
      </x:c>
      <x:c r="J342" s="22" t="str">
        <x:v>NR</x:v>
      </x:c>
      <x:c r="K342" s="22" t="str">
        <x:v>NR — URL not captured in the available source record</x:v>
      </x:c>
      <x:c r="L342" s="22" t="str">
        <x:v>Not available in the captured evidence; the screening decision used the title and available source metadata.</x:v>
      </x:c>
      <x:c r="M342" s="22" t="str">
        <x:v>No duplicate</x:v>
      </x:c>
      <x:c r="N342" s="22" t="str">
        <x:v>Not applicable — no duplicate group</x:v>
      </x:c>
      <x:c r="O342" s="22" t="str">
        <x:v>Not applicable</x:v>
      </x:c>
      <x:c r="P342" s="22" t="str">
        <x:v>Yes</x:v>
      </x:c>
      <x:c r="Q342" s="22" t="str">
        <x:v>Exclude</x:v>
      </x:c>
      <x:c r="R342" s="22" t="str">
        <x:v>Clinical oral-disease expert system without imaging.</x:v>
      </x:c>
      <x:c r="S342" s="22" t="str">
        <x:v>Verification documented at process level</x:v>
      </x:c>
      <x:c r="T342" s="22" t="str">
        <x:v>Two additional authors performed random spot checks; individual spot-check assignments are not recorded in this register.</x:v>
      </x:c>
      <x:c r="U342" s="22" t="str">
        <x:v>Exclude</x:v>
      </x:c>
      <x:c r="V342" s="22" t="str">
        <x:v>Primary decision by the corresponding author; two additional authors performed random spot checks as a quality-control step.</x:v>
      </x:c>
      <x:c r="W342" s="22" t="str">
        <x:v>No</x:v>
      </x:c>
      <x:c r="X342" s="22" t="str">
        <x:v>Not applicable</x:v>
      </x:c>
      <x:c r="Y342" s="22" t="str">
        <x:v>Not assessed</x:v>
      </x:c>
      <x:c r="Z342" s="22" t="str">
        <x:v>Not advanced to full-text assessment after the title/abstract decision.</x:v>
      </x:c>
      <x:c r="AA342" s="22" t="str">
        <x:v>Not applicable</x:v>
      </x:c>
      <x:c r="AB342" s="22" t="str">
        <x:v>Record was not advanced to full-text assessment.</x:v>
      </x:c>
      <x:c r="AC342" s="22" t="str">
        <x:v>Not assessed</x:v>
      </x:c>
      <x:c r="AD342" s="22" t="str">
        <x:v>Not applicable — no full-text assessment was required.</x:v>
      </x:c>
      <x:c r="AE342" s="22" t="str">
        <x:v>Not included — title/abstract exclusion</x:v>
      </x:c>
      <x:c r="AF342" s="22" t="str">
        <x:v>Not applicable — not included</x:v>
      </x:c>
      <x:c r="AG342" s="22" t="str">
        <x:v>Evidence: 9171a63c-80b0-4c3e-87cb-4f5fa8906672.png; page 10, result 5. Metadata transcribed from captured Google Scholar page; OCR-normalised, verify against publication before citation.</x:v>
      </x:c>
      <x:c r="AH342" s="20" t="str">
        <x:v>No duplicate identified under the documented matching rules.</x:v>
      </x:c>
    </x:row>
    <x:row r="343" ht="42" customHeight="1">
      <x:c r="A343" s="22" t="str">
        <x:v>GS-03-096</x:v>
      </x:c>
      <x:c r="B343" s="22" t="str">
        <x:v>Google Scholar</x:v>
      </x:c>
      <x:c r="C343" s="22" t="str">
        <x:v>GS-03</x:v>
      </x:c>
      <x:c r="D343" s="22" t="str">
        <x:v>Dual Encoder Contrastive Similarity for Legal Regulation Retneval in Case- Based Reasoning</x:v>
      </x:c>
      <x:c r="E343" s="22" t="str">
        <x:v>APH Hulu A. Zalukhe</x:v>
      </x:c>
      <x:c r="F343" s="22" t="str">
        <x:v>NR</x:v>
      </x:c>
      <x:c r="G343" s="22" t="str">
        <x:v>.oural of Applied Informatics and . 2226 - jurnal polipatam ac id</x:v>
      </x:c>
      <x:c r="H343" s="22" t="str">
        <x:v>Google Scholar result</x:v>
      </x:c>
      <x:c r="I343" s="22" t="str">
        <x:v>NR</x:v>
      </x:c>
      <x:c r="J343" s="22" t="str">
        <x:v>NR</x:v>
      </x:c>
      <x:c r="K343" s="22" t="str">
        <x:v>NR — URL not captured in the available source record</x:v>
      </x:c>
      <x:c r="L343" s="22" t="str">
        <x:v>Not available in the captured evidence; the screening decision used the title and available source metadata.</x:v>
      </x:c>
      <x:c r="M343" s="22" t="str">
        <x:v>No duplicate</x:v>
      </x:c>
      <x:c r="N343" s="22" t="str">
        <x:v>Not applicable — no duplicate group</x:v>
      </x:c>
      <x:c r="O343" s="22" t="str">
        <x:v>Not applicable</x:v>
      </x:c>
      <x:c r="P343" s="22" t="str">
        <x:v>Yes</x:v>
      </x:c>
      <x:c r="Q343" s="22" t="str">
        <x:v>Exclude</x:v>
      </x:c>
      <x:c r="R343" s="22" t="str">
        <x:v>Wrong domain: legal information retrieval.</x:v>
      </x:c>
      <x:c r="S343" s="22" t="str">
        <x:v>Verification documented at process level</x:v>
      </x:c>
      <x:c r="T343" s="22" t="str">
        <x:v>Two additional authors performed random spot checks; individual spot-check assignments are not recorded in this register.</x:v>
      </x:c>
      <x:c r="U343" s="22" t="str">
        <x:v>Exclude</x:v>
      </x:c>
      <x:c r="V343" s="22" t="str">
        <x:v>Primary decision by the corresponding author; two additional authors performed random spot checks as a quality-control step.</x:v>
      </x:c>
      <x:c r="W343" s="22" t="str">
        <x:v>No</x:v>
      </x:c>
      <x:c r="X343" s="22" t="str">
        <x:v>Not applicable</x:v>
      </x:c>
      <x:c r="Y343" s="22" t="str">
        <x:v>Not assessed</x:v>
      </x:c>
      <x:c r="Z343" s="22" t="str">
        <x:v>Not advanced to full-text assessment after the title/abstract decision.</x:v>
      </x:c>
      <x:c r="AA343" s="22" t="str">
        <x:v>Not applicable</x:v>
      </x:c>
      <x:c r="AB343" s="22" t="str">
        <x:v>Record was not advanced to full-text assessment.</x:v>
      </x:c>
      <x:c r="AC343" s="22" t="str">
        <x:v>Not assessed</x:v>
      </x:c>
      <x:c r="AD343" s="22" t="str">
        <x:v>Not applicable — no full-text assessment was required.</x:v>
      </x:c>
      <x:c r="AE343" s="22" t="str">
        <x:v>Not included — title/abstract exclusion</x:v>
      </x:c>
      <x:c r="AF343" s="22" t="str">
        <x:v>Not applicable — not included</x:v>
      </x:c>
      <x:c r="AG343" s="22" t="str">
        <x:v>Evidence: 9171a63c-80b0-4c3e-87cb-4f5fa8906672.png; page 10, result 6. Metadata transcribed from captured Google Scholar page; OCR-normalised, verify against publication before citation.</x:v>
      </x:c>
      <x:c r="AH343" s="20" t="str">
        <x:v>No duplicate identified under the documented matching rules.</x:v>
      </x:c>
    </x:row>
    <x:row r="344" ht="42" customHeight="1">
      <x:c r="A344" s="22" t="str">
        <x:v>GS-03-097</x:v>
      </x:c>
      <x:c r="B344" s="22" t="str">
        <x:v>Google Scholar</x:v>
      </x:c>
      <x:c r="C344" s="22" t="str">
        <x:v>GS-03</x:v>
      </x:c>
      <x:c r="D344" s="22" t="str">
        <x:v>Automated Root Cause Analysis of Network Failures in |P/KIPLS Network Using Machine Learning and Case-Based Reasoning</x:v>
      </x:c>
      <x:c r="E344" s="22" t="str">
        <x:v>T ‘Wackvar AWitayanjgk.m -|EEE Access. 2025</x:v>
      </x:c>
      <x:c r="F344" s="22" t="n">
        <x:v>2025</x:v>
      </x:c>
      <x:c r="G344" s="22" t="str">
        <x:v>ieeaxplore ieae.arg</x:v>
      </x:c>
      <x:c r="H344" s="22" t="str">
        <x:v>Google Scholar result</x:v>
      </x:c>
      <x:c r="I344" s="22" t="str">
        <x:v>NR</x:v>
      </x:c>
      <x:c r="J344" s="22" t="str">
        <x:v>NR</x:v>
      </x:c>
      <x:c r="K344" s="22" t="str">
        <x:v>NR — URL not captured in the available source record</x:v>
      </x:c>
      <x:c r="L344" s="22" t="str">
        <x:v>Not available in the captured evidence; the screening decision used the title and available source metadata.</x:v>
      </x:c>
      <x:c r="M344" s="22" t="str">
        <x:v>No duplicate</x:v>
      </x:c>
      <x:c r="N344" s="22" t="str">
        <x:v>Not applicable — no duplicate group</x:v>
      </x:c>
      <x:c r="O344" s="22" t="str">
        <x:v>Not applicable</x:v>
      </x:c>
      <x:c r="P344" s="22" t="str">
        <x:v>Yes</x:v>
      </x:c>
      <x:c r="Q344" s="22" t="str">
        <x:v>Exclude</x:v>
      </x:c>
      <x:c r="R344" s="22" t="str">
        <x:v>Wrong domain: telecommunications.</x:v>
      </x:c>
      <x:c r="S344" s="22" t="str">
        <x:v>Verification documented at process level</x:v>
      </x:c>
      <x:c r="T344" s="22" t="str">
        <x:v>Two additional authors performed random spot checks; individual spot-check assignments are not recorded in this register.</x:v>
      </x:c>
      <x:c r="U344" s="22" t="str">
        <x:v>Exclude</x:v>
      </x:c>
      <x:c r="V344" s="22" t="str">
        <x:v>Primary decision by the corresponding author; two additional authors performed random spot checks as a quality-control step.</x:v>
      </x:c>
      <x:c r="W344" s="22" t="str">
        <x:v>No</x:v>
      </x:c>
      <x:c r="X344" s="22" t="str">
        <x:v>Not applicable</x:v>
      </x:c>
      <x:c r="Y344" s="22" t="str">
        <x:v>Not assessed</x:v>
      </x:c>
      <x:c r="Z344" s="22" t="str">
        <x:v>Not advanced to full-text assessment after the title/abstract decision.</x:v>
      </x:c>
      <x:c r="AA344" s="22" t="str">
        <x:v>Not applicable</x:v>
      </x:c>
      <x:c r="AB344" s="22" t="str">
        <x:v>Record was not advanced to full-text assessment.</x:v>
      </x:c>
      <x:c r="AC344" s="22" t="str">
        <x:v>Not assessed</x:v>
      </x:c>
      <x:c r="AD344" s="22" t="str">
        <x:v>Not applicable — no full-text assessment was required.</x:v>
      </x:c>
      <x:c r="AE344" s="22" t="str">
        <x:v>Not included — title/abstract exclusion</x:v>
      </x:c>
      <x:c r="AF344" s="22" t="str">
        <x:v>Not applicable — not included</x:v>
      </x:c>
      <x:c r="AG344" s="22" t="str">
        <x:v>Evidence: 9171a63c-80b0-4c3e-87cb-4f5fa8906672.png; page 10, result 7. Metadata transcribed from captured Google Scholar page; OCR-normalised, verify against publication before citation.</x:v>
      </x:c>
      <x:c r="AH344" s="20" t="str">
        <x:v>No duplicate identified under the documented matching rules.</x:v>
      </x:c>
    </x:row>
    <x:row r="345" ht="42" customHeight="1">
      <x:c r="A345" s="22" t="str">
        <x:v>GS-03-098</x:v>
      </x:c>
      <x:c r="B345" s="22" t="str">
        <x:v>Google Scholar</x:v>
      </x:c>
      <x:c r="C345" s="22" t="str">
        <x:v>GS-03</x:v>
      </x:c>
      <x:c r="D345" s="22" t="str">
        <x:v>Flicker's sources identification using a case-based reasoning prototype</x:v>
      </x:c>
      <x:c r="E345" s="22" t="str">
        <x:v>AMiron SC Sziker HC Bagariy</x:v>
      </x:c>
      <x:c r="F345" s="22" t="n">
        <x:v>2019</x:v>
      </x:c>
      <x:c r="G345" s="22" t="str">
        <x:v>2019 54th Intemaliona 2019 - iseenplore igee arg</x:v>
      </x:c>
      <x:c r="H345" s="22" t="str">
        <x:v>Google Scholar result</x:v>
      </x:c>
      <x:c r="I345" s="22" t="str">
        <x:v>NR</x:v>
      </x:c>
      <x:c r="J345" s="22" t="str">
        <x:v>NR</x:v>
      </x:c>
      <x:c r="K345" s="22" t="str">
        <x:v>NR — URL not captured in the available source record</x:v>
      </x:c>
      <x:c r="L345" s="22" t="str">
        <x:v>Not available in the captured evidence; the screening decision used the title and available source metadata.</x:v>
      </x:c>
      <x:c r="M345" s="22" t="str">
        <x:v>No duplicate</x:v>
      </x:c>
      <x:c r="N345" s="22" t="str">
        <x:v>Not applicable — no duplicate group</x:v>
      </x:c>
      <x:c r="O345" s="22" t="str">
        <x:v>Not applicable</x:v>
      </x:c>
      <x:c r="P345" s="22" t="str">
        <x:v>Yes</x:v>
      </x:c>
      <x:c r="Q345" s="22" t="str">
        <x:v>Exclude</x:v>
      </x:c>
      <x:c r="R345" s="22" t="str">
        <x:v>Wrong domain: electrical power systems.</x:v>
      </x:c>
      <x:c r="S345" s="22" t="str">
        <x:v>Verification documented at process level</x:v>
      </x:c>
      <x:c r="T345" s="22" t="str">
        <x:v>Two additional authors performed random spot checks; individual spot-check assignments are not recorded in this register.</x:v>
      </x:c>
      <x:c r="U345" s="22" t="str">
        <x:v>Exclude</x:v>
      </x:c>
      <x:c r="V345" s="22" t="str">
        <x:v>Primary decision by the corresponding author; two additional authors performed random spot checks as a quality-control step.</x:v>
      </x:c>
      <x:c r="W345" s="22" t="str">
        <x:v>No</x:v>
      </x:c>
      <x:c r="X345" s="22" t="str">
        <x:v>Not applicable</x:v>
      </x:c>
      <x:c r="Y345" s="22" t="str">
        <x:v>Not assessed</x:v>
      </x:c>
      <x:c r="Z345" s="22" t="str">
        <x:v>Not advanced to full-text assessment after the title/abstract decision.</x:v>
      </x:c>
      <x:c r="AA345" s="22" t="str">
        <x:v>Not applicable</x:v>
      </x:c>
      <x:c r="AB345" s="22" t="str">
        <x:v>Record was not advanced to full-text assessment.</x:v>
      </x:c>
      <x:c r="AC345" s="22" t="str">
        <x:v>Not assessed</x:v>
      </x:c>
      <x:c r="AD345" s="22" t="str">
        <x:v>Not applicable — no full-text assessment was required.</x:v>
      </x:c>
      <x:c r="AE345" s="22" t="str">
        <x:v>Not included — title/abstract exclusion</x:v>
      </x:c>
      <x:c r="AF345" s="22" t="str">
        <x:v>Not applicable — not included</x:v>
      </x:c>
      <x:c r="AG345" s="22" t="str">
        <x:v>Evidence: 9171a63c-80b0-4c3e-87cb-4f5fa8906672.png; page 10, result 8. Metadata transcribed from captured Google Scholar page; OCR-normalised, verify against publication before citation.</x:v>
      </x:c>
      <x:c r="AH345" s="20" t="str">
        <x:v>No duplicate identified under the documented matching rules.</x:v>
      </x:c>
    </x:row>
    <x:row r="346" ht="42" customHeight="1">
      <x:c r="A346" s="22" t="str">
        <x:v>GS-03-099</x:v>
      </x:c>
      <x:c r="B346" s="22" t="str">
        <x:v>Google Scholar</x:v>
      </x:c>
      <x:c r="C346" s="22" t="str">
        <x:v>GS-03</x:v>
      </x:c>
      <x:c r="D346" s="22" t="str">
        <x:v>Knowledge Amplificatian Using Randomization in Case-Based Reasoning-- Case Study: Severity of Mammography Mass</x:v>
      </x:c>
      <x:c r="E346" s="22" t="str">
        <x:v>MB Benaiba-Lagrid</x:v>
      </x:c>
      <x:c r="F346" s="22" t="str">
        <x:v>NR</x:v>
      </x:c>
      <x:c r="G346" s="22" t="str">
        <x:v>and Inlegrsticn (IRI) 2218 - ieeexplore iees og</x:v>
      </x:c>
      <x:c r="H346" s="22" t="str">
        <x:v>Google Scholar result</x:v>
      </x:c>
      <x:c r="I346" s="22" t="str">
        <x:v>10.1109/IRI.2018.00031</x:v>
      </x:c>
      <x:c r="J346" s="22" t="str">
        <x:v>NR</x:v>
      </x:c>
      <x:c r="K346" s="22" t="str">
        <x:v>https://ieeexplore.ieee.org/document/8424702/</x:v>
      </x:c>
      <x:c r="L346" s="22" t="str">
        <x:v>Case-based reasoning solves new problems by reusing previous cases, but efficient knowledge-base expansion can generate invalid cases. The paper proposes a randomization technique for case-base amplification in which generated cases are checked through coherence verification, stochastic validation and absolute validation. Experiments predicting mammography-mass severity indicate that the approach can significantly improve the resolution efficiency of case-based reasoning.</x:v>
      </x:c>
      <x:c r="M346" s="22" t="str">
        <x:v>No duplicate</x:v>
      </x:c>
      <x:c r="N346" s="22" t="str">
        <x:v>Not applicable — no duplicate group</x:v>
      </x:c>
      <x:c r="O346" s="22" t="str">
        <x:v>Not applicable</x:v>
      </x:c>
      <x:c r="P346" s="22" t="str">
        <x:v>Yes</x:v>
      </x:c>
      <x:c r="Q346" s="22" t="str">
        <x:v>Include</x:v>
      </x:c>
      <x:c r="R346" s="22" t="str">
        <x:v>Contextual mammography imaging study with case-based reasoning.</x:v>
      </x:c>
      <x:c r="S346" s="22" t="str">
        <x:v>Verification documented at process level</x:v>
      </x:c>
      <x:c r="T346" s="22" t="str">
        <x:v>Two additional authors performed random spot checks; individual spot-check assignments are not recorded in this register.</x:v>
      </x:c>
      <x:c r="U346" s="22" t="str">
        <x:v>Include</x:v>
      </x:c>
      <x:c r="V346" s="22" t="str">
        <x:v>Primary decision by the corresponding author; two additional authors performed random spot checks as a quality-control step.</x:v>
      </x:c>
      <x:c r="W346" s="22" t="str">
        <x:v>Yes</x:v>
      </x:c>
      <x:c r="X346" s="22" t="str">
        <x:v>Yes</x:v>
      </x:c>
      <x:c r="Y346" s="22" t="str">
        <x:v>Include</x:v>
      </x:c>
      <x:c r="Z346" s="22" t="str">
        <x:v>The corresponding author confirmed full-text assessment. Abstract/official-record rationale (I5): The abstract uses validated randomisation to expand a case-based reasoning knowledge base and evaluates it on mammography-mass severity; it is contextual medical CBR evidence.</x:v>
      </x:c>
      <x:c r="AA346" s="22" t="str">
        <x:v>Verification documented at process level</x:v>
      </x:c>
      <x:c r="AB346" s="22" t="str">
        <x:v>Two additional authors performed random spot checks; individual spot-check assignments are not recorded in this register.</x:v>
      </x:c>
      <x:c r="AC346" s="22" t="str">
        <x:v>Include</x:v>
      </x:c>
      <x:c r="AD346" s="22" t="str">
        <x:v>Primary decision by the corresponding author; two additional authors performed random spot checks as a quality-control step.</x:v>
      </x:c>
      <x:c r="AE346" s="22" t="str">
        <x:v>Include</x:v>
      </x:c>
      <x:c r="AF346" s="22" t="str">
        <x:v>Contextual medical concept-XAI evidence</x:v>
      </x:c>
      <x:c r="AG346" s="22" t="str">
        <x:v>Evidence: 9171a63c-80b0-4c3e-87cb-4f5fa8906672.png; page 10, result 9. Metadata transcribed from captured Google Scholar page; OCR-normalised, verify against publication before citation.</x:v>
      </x:c>
      <x:c r="AH346" s="20" t="str">
        <x:v>No duplicate identified under the documented matching rules.</x:v>
      </x:c>
    </x:row>
    <x:row r="347" ht="42" customHeight="1">
      <x:c r="A347" s="22" t="str">
        <x:v>GS-03-100</x:v>
      </x:c>
      <x:c r="B347" s="22" t="str">
        <x:v>Google Scholar</x:v>
      </x:c>
      <x:c r="C347" s="22" t="str">
        <x:v>GS-03</x:v>
      </x:c>
      <x:c r="D347" s="22" t="str">
        <x:v>Tweets similarity classification based on machine learning algonthms, TF-IDF and the dynamic case based reasoning</x:v>
      </x:c>
      <x:c r="E347" s="22" t="str">
        <x:v>M 4ovissi EM En-Naini A Zouhair</x:v>
      </x:c>
      <x:c r="F347" s="22" t="n">
        <x:v>2023</x:v>
      </x:c>
      <x:c r="G347" s="22" t="str">
        <x:v>Proceedings of the 6th Internationa 2023 - dl acm org</x:v>
      </x:c>
      <x:c r="H347" s="22" t="str">
        <x:v>Google Scholar result</x:v>
      </x:c>
      <x:c r="I347" s="22" t="str">
        <x:v>NR</x:v>
      </x:c>
      <x:c r="J347" s="22" t="str">
        <x:v>NR</x:v>
      </x:c>
      <x:c r="K347" s="22" t="str">
        <x:v>NR — URL not captured in the available source record</x:v>
      </x:c>
      <x:c r="L347" s="22" t="str">
        <x:v>Not available in the captured evidence; the screening decision used the title and available source metadata.</x:v>
      </x:c>
      <x:c r="M347" s="22" t="str">
        <x:v>No duplicate</x:v>
      </x:c>
      <x:c r="N347" s="22" t="str">
        <x:v>Not applicable — no duplicate group</x:v>
      </x:c>
      <x:c r="O347" s="22" t="str">
        <x:v>Not applicable</x:v>
      </x:c>
      <x:c r="P347" s="22" t="str">
        <x:v>Yes</x:v>
      </x:c>
      <x:c r="Q347" s="22" t="str">
        <x:v>Exclude</x:v>
      </x:c>
      <x:c r="R347" s="22" t="str">
        <x:v>Wrong domain: social media.</x:v>
      </x:c>
      <x:c r="S347" s="22" t="str">
        <x:v>Verification documented at process level</x:v>
      </x:c>
      <x:c r="T347" s="22" t="str">
        <x:v>Two additional authors performed random spot checks; individual spot-check assignments are not recorded in this register.</x:v>
      </x:c>
      <x:c r="U347" s="22" t="str">
        <x:v>Exclude</x:v>
      </x:c>
      <x:c r="V347" s="22" t="str">
        <x:v>Primary decision by the corresponding author; two additional authors performed random spot checks as a quality-control step.</x:v>
      </x:c>
      <x:c r="W347" s="22" t="str">
        <x:v>No</x:v>
      </x:c>
      <x:c r="X347" s="22" t="str">
        <x:v>Not applicable</x:v>
      </x:c>
      <x:c r="Y347" s="22" t="str">
        <x:v>Not assessed</x:v>
      </x:c>
      <x:c r="Z347" s="22" t="str">
        <x:v>Not advanced to full-text assessment after the title/abstract decision.</x:v>
      </x:c>
      <x:c r="AA347" s="22" t="str">
        <x:v>Not applicable</x:v>
      </x:c>
      <x:c r="AB347" s="22" t="str">
        <x:v>Record was not advanced to full-text assessment.</x:v>
      </x:c>
      <x:c r="AC347" s="22" t="str">
        <x:v>Not assessed</x:v>
      </x:c>
      <x:c r="AD347" s="22" t="str">
        <x:v>Not applicable — no full-text assessment was required.</x:v>
      </x:c>
      <x:c r="AE347" s="22" t="str">
        <x:v>Not included — title/abstract exclusion</x:v>
      </x:c>
      <x:c r="AF347" s="22" t="str">
        <x:v>Not applicable — not included</x:v>
      </x:c>
      <x:c r="AG347" s="22" t="str">
        <x:v>Evidence: 9171a63c-80b0-4c3e-87cb-4f5fa8906672.png; page 10, result 10. Metadata transcribed from captured Google Scholar page; OCR-normalised, verify against publication before citation.</x:v>
      </x:c>
      <x:c r="AH347" s="20" t="str">
        <x:v>No duplicate identified under the documented matching rules.</x:v>
      </x:c>
    </x:row>
    <x:row r="348" ht="42" customHeight="1">
      <x:c r="A348" s="22" t="str">
        <x:v>GS-04-001</x:v>
      </x:c>
      <x:c r="B348" s="22" t="str">
        <x:v>Google Scholar</x:v>
      </x:c>
      <x:c r="C348" s="22" t="str">
        <x:v>GS-04</x:v>
      </x:c>
      <x:c r="D348" s="22" t="str">
        <x:v>Single domain generalization in diabetic retinopathy: A neuro-symbolic learning approach</x:v>
      </x:c>
      <x:c r="E348" s="22" t="str">
        <x:v>M Jrsoj ABanerjee F Shaikh KThakur</x:v>
      </x:c>
      <x:c r="F348" s="22" t="n">
        <x:v>2025</x:v>
      </x:c>
      <x:c r="G348" s="22" t="str">
        <x:v>arxiy prearini arXiv... 2025 - arxiv org</x:v>
      </x:c>
      <x:c r="H348" s="22" t="str">
        <x:v>Google Scholar result</x:v>
      </x:c>
      <x:c r="I348" s="22" t="str">
        <x:v>NR</x:v>
      </x:c>
      <x:c r="J348" s="22" t="str">
        <x:v>NR</x:v>
      </x:c>
      <x:c r="K348" s="22" t="str">
        <x:v>NR — URL not captured in the available source record</x:v>
      </x:c>
      <x:c r="L348" s="22" t="str">
        <x:v>Not available in the captured evidence; the screening decision used the title and available source metadata.</x:v>
      </x:c>
      <x:c r="M348" s="22" t="str">
        <x:v>Confirmed duplicate</x:v>
      </x:c>
      <x:c r="N348" s="22" t="str">
        <x:v>DG-018</x:v>
      </x:c>
      <x:c r="O348" s="22" t="str">
        <x:v>ARXIV-04-001</x:v>
      </x:c>
      <x:c r="P348" s="22" t="str">
        <x:v>No</x:v>
      </x:c>
      <x:c r="Q348" s="22" t="str">
        <x:v>Not screened</x:v>
      </x:c>
      <x:c r="R348" s="22" t="str">
        <x:v>Removed before title/abstract screening as a confirmed duplicate.</x:v>
      </x:c>
      <x:c r="S348" s="22" t="str">
        <x:v>Not applicable — removed before screening</x:v>
      </x:c>
      <x:c r="T348" s="22" t="str">
        <x:v>Record was outside the active screening set.</x:v>
      </x:c>
      <x:c r="U348" s="22" t="str">
        <x:v>Removed before screening</x:v>
      </x:c>
      <x:c r="V348" s="22" t="str">
        <x:v>Confirmed duplicate removed during deduplication.</x:v>
      </x:c>
      <x:c r="W348" s="22" t="str">
        <x:v>No</x:v>
      </x:c>
      <x:c r="X348" s="22" t="str">
        <x:v>Not applicable</x:v>
      </x:c>
      <x:c r="Y348" s="22" t="str">
        <x:v>Not assessed</x:v>
      </x:c>
      <x:c r="Z348" s="22" t="str">
        <x:v>Not applicable — record removed before screening.</x:v>
      </x:c>
      <x:c r="AA348" s="22" t="str">
        <x:v>Not applicable</x:v>
      </x:c>
      <x:c r="AB348" s="22" t="str">
        <x:v>Record was not advanced to full-text assessment.</x:v>
      </x:c>
      <x:c r="AC348" s="22" t="str">
        <x:v>Not assessed</x:v>
      </x:c>
      <x:c r="AD348" s="22" t="str">
        <x:v>Not applicable — no full-text assessment was required.</x:v>
      </x:c>
      <x:c r="AE348" s="22" t="str">
        <x:v>Removed before screening</x:v>
      </x:c>
      <x:c r="AF348" s="22" t="str">
        <x:v>Not applicable — not included</x:v>
      </x:c>
      <x:c r="AG348" s="22" t="str">
        <x:v>Evidence: 4c89d576-5969-4984-98b5-f64e26760643.png; page 1, result 1. Metadata transcribed from captured Google Scholar page; OCR-normalised, verify against publication before citation.</x:v>
      </x:c>
      <x:c r="AH348" s="20" t="str">
        <x:v>Confirmed using identifier/title evidence; normalized title across captured searches.</x:v>
      </x:c>
    </x:row>
    <x:row r="349" ht="42" customHeight="1">
      <x:c r="A349" s="22" t="str">
        <x:v>GS-04-002</x:v>
      </x:c>
      <x:c r="B349" s="22" t="str">
        <x:v>Google Scholar</x:v>
      </x:c>
      <x:c r="C349" s="22" t="str">
        <x:v>GS-04</x:v>
      </x:c>
      <x:c r="D349" s="22" t="str">
        <x:v>Neurosymbolic Al framework for explainable retinal disease classification fram OCT images</x:v>
      </x:c>
      <x:c r="E349" s="22" t="str">
        <x:v>Atdiladinovie A Bicontn MAdevic.</x:v>
      </x:c>
      <x:c r="F349" s="22" t="str">
        <x:v>NR</x:v>
      </x:c>
      <x:c r="G349" s="22" t="str">
        <x:v>Vision Science &amp;. 2526 - jov.arvououma:s org</x:v>
      </x:c>
      <x:c r="H349" s="22" t="str">
        <x:v>Google Scholar result</x:v>
      </x:c>
      <x:c r="I349" s="22" t="str">
        <x:v>NR</x:v>
      </x:c>
      <x:c r="J349" s="22" t="str">
        <x:v>NR</x:v>
      </x:c>
      <x:c r="K349" s="22" t="str">
        <x:v>NR — URL not captured in the available source record</x:v>
      </x:c>
      <x:c r="L349" s="22" t="str">
        <x:v>Not available in the captured evidence; the screening decision used the title and available source metadata.</x:v>
      </x:c>
      <x:c r="M349" s="22" t="str">
        <x:v>Confirmed duplicate</x:v>
      </x:c>
      <x:c r="N349" s="22" t="str">
        <x:v>DG-078</x:v>
      </x:c>
      <x:c r="O349" s="22" t="str">
        <x:v>PM-008</x:v>
      </x:c>
      <x:c r="P349" s="22" t="str">
        <x:v>No</x:v>
      </x:c>
      <x:c r="Q349" s="22" t="str">
        <x:v>Not screened</x:v>
      </x:c>
      <x:c r="R349" s="22" t="str">
        <x:v>Removed before title/abstract screening as a confirmed duplicate.</x:v>
      </x:c>
      <x:c r="S349" s="22" t="str">
        <x:v>Not applicable — removed before screening</x:v>
      </x:c>
      <x:c r="T349" s="22" t="str">
        <x:v>Record was outside the active screening set.</x:v>
      </x:c>
      <x:c r="U349" s="22" t="str">
        <x:v>Removed before screening</x:v>
      </x:c>
      <x:c r="V349" s="22" t="str">
        <x:v>Confirmed duplicate removed during deduplication.</x:v>
      </x:c>
      <x:c r="W349" s="22" t="str">
        <x:v>No</x:v>
      </x:c>
      <x:c r="X349" s="22" t="str">
        <x:v>Not applicable</x:v>
      </x:c>
      <x:c r="Y349" s="22" t="str">
        <x:v>Not assessed</x:v>
      </x:c>
      <x:c r="Z349" s="22" t="str">
        <x:v>Not applicable — record removed before screening.</x:v>
      </x:c>
      <x:c r="AA349" s="22" t="str">
        <x:v>Not applicable</x:v>
      </x:c>
      <x:c r="AB349" s="22" t="str">
        <x:v>Record was not advanced to full-text assessment.</x:v>
      </x:c>
      <x:c r="AC349" s="22" t="str">
        <x:v>Not assessed</x:v>
      </x:c>
      <x:c r="AD349" s="22" t="str">
        <x:v>Not applicable — no full-text assessment was required.</x:v>
      </x:c>
      <x:c r="AE349" s="22" t="str">
        <x:v>Removed before screening</x:v>
      </x:c>
      <x:c r="AF349" s="22" t="str">
        <x:v>Not applicable — not included</x:v>
      </x:c>
      <x:c r="AG349" s="22" t="str">
        <x:v>Evidence: 4c89d576-5969-4984-98b5-f64e26760643.png; page 1, result 2. Metadata transcribed from captured Google Scholar page; OCR-normalised, verify against publication before citation.</x:v>
      </x:c>
      <x:c r="AH349" s="20" t="str">
        <x:v>Confirmed using normalized title across captured searches.</x:v>
      </x:c>
    </x:row>
    <x:row r="350" ht="42" customHeight="1">
      <x:c r="A350" s="22" t="str">
        <x:v>GS-04-003</x:v>
      </x:c>
      <x:c r="B350" s="22" t="str">
        <x:v>Google Scholar</x:v>
      </x:c>
      <x:c r="C350" s="22" t="str">
        <x:v>GS-04</x:v>
      </x:c>
      <x:c r="D350" s="22" t="str">
        <x:v>Neurosymbolic Al approach for dry and wet AMD classification using OCT Images</x:v>
      </x:c>
      <x:c r="E350" s="22" t="str">
        <x:v>Atdilsdinowe 4 Biscontin. MAéevie AAccardo =</x:v>
      </x:c>
      <x:c r="F350" s="22" t="n">
        <x:v>2025</x:v>
      </x:c>
      <x:c r="G350" s="22" t="str">
        <x:v>— -Ballic Canference an =, 2025 - Sprnger</x:v>
      </x:c>
      <x:c r="H350" s="22" t="str">
        <x:v>Google Scholar result</x:v>
      </x:c>
      <x:c r="I350" s="22" t="str">
        <x:v>10.1007/978-3-031-96538-8_10</x:v>
      </x:c>
      <x:c r="J350" s="22" t="str">
        <x:v>NR</x:v>
      </x:c>
      <x:c r="K350" s="22" t="str">
        <x:v>https://link.springer.com/chapter/10.1007/978-3-031-96538-8_10</x:v>
      </x:c>
      <x:c r="L350" s="22" t="str">
        <x:v>Accurate classification between dry and wet age-related macular degeneration (AMD) is crucial for determining appropriate treatment strategies and improving patient outcomes. However, deep learning convolutional neural networks (CNNs) often face challenges when...</x:v>
      </x:c>
      <x:c r="M350" s="22" t="str">
        <x:v>No duplicate</x:v>
      </x:c>
      <x:c r="N350" s="22" t="str">
        <x:v>DG-024</x:v>
      </x:c>
      <x:c r="O350" s="22" t="str">
        <x:v>Not applicable</x:v>
      </x:c>
      <x:c r="P350" s="22" t="str">
        <x:v>Yes</x:v>
      </x:c>
      <x:c r="Q350" s="22" t="str">
        <x:v>Include</x:v>
      </x:c>
      <x:c r="R350" s="22" t="str">
        <x:v>Direct OCT classification study using symbolic medical knowledge.</x:v>
      </x:c>
      <x:c r="S350" s="22" t="str">
        <x:v>Verification documented at process level</x:v>
      </x:c>
      <x:c r="T350" s="22" t="str">
        <x:v>Two additional authors performed random spot checks; individual spot-check assignments are not recorded in this register.</x:v>
      </x:c>
      <x:c r="U350" s="22" t="str">
        <x:v>Include</x:v>
      </x:c>
      <x:c r="V350" s="22" t="str">
        <x:v>Primary decision by the corresponding author; two additional authors performed random spot checks as a quality-control step.</x:v>
      </x:c>
      <x:c r="W350" s="22" t="str">
        <x:v>Yes</x:v>
      </x:c>
      <x:c r="X350" s="22" t="str">
        <x:v>Yes</x:v>
      </x:c>
      <x:c r="Y350" s="22" t="str">
        <x:v>Include</x:v>
      </x:c>
      <x:c r="Z350" s="22" t="str">
        <x:v>The corresponding author confirmed full-text assessment. Abstract/official-record rationale (I2–I4): The abstract integrates symbolic medical knowledge with a neural model for dry/wet AMD classification from OCT and reports empirical performance, providing direct retinal neuro-symbolic evidence.</x:v>
      </x:c>
      <x:c r="AA350" s="22" t="str">
        <x:v>Verification documented at process level</x:v>
      </x:c>
      <x:c r="AB350" s="22" t="str">
        <x:v>Two additional authors performed random spot checks; individual spot-check assignments are not recorded in this register.</x:v>
      </x:c>
      <x:c r="AC350" s="22" t="str">
        <x:v>Include</x:v>
      </x:c>
      <x:c r="AD350" s="22" t="str">
        <x:v>Primary decision by the corresponding author; two additional authors performed random spot checks as a quality-control step.</x:v>
      </x:c>
      <x:c r="AE350" s="22" t="str">
        <x:v>Include</x:v>
      </x:c>
      <x:c r="AF350" s="22" t="str">
        <x:v>Direct retinal/ophthalmic evidence</x:v>
      </x:c>
      <x:c r="AG350" s="22" t="str">
        <x:v>Evidence: 4c89d576-5969-4984-98b5-f64e26760643.png; page 1, result 3. Metadata transcribed from captured Google Scholar page; OCR-normalised, verify against publication before citation.</x:v>
      </x:c>
      <x:c r="AH350" s="20" t="str">
        <x:v>Confirmed using normalized title across captured searches.</x:v>
      </x:c>
    </x:row>
    <x:row r="351" ht="42" customHeight="1">
      <x:c r="A351" s="22" t="str">
        <x:v>GS-04-004</x:v>
      </x:c>
      <x:c r="B351" s="22" t="str">
        <x:v>Google Scholar</x:v>
      </x:c>
      <x:c r="C351" s="22" t="str">
        <x:v>GS-04</x:v>
      </x:c>
      <x:c r="D351" s="22" t="str">
        <x:v>(4TML] Explainable artificial intelligence framework for predicting treatment outcomes in age-related macular degeneration</x:v>
      </x:c>
      <x:c r="E351" s="22" t="str">
        <x:v>MH \rang</x:v>
      </x:c>
      <x:c r="F351" s="22" t="n">
        <x:v>2025</x:v>
      </x:c>
      <x:c r="G351" s="22" t="str">
        <x:v>Sensors 2025 - mdpi cam</x:v>
      </x:c>
      <x:c r="H351" s="22" t="str">
        <x:v>Google Scholar result</x:v>
      </x:c>
      <x:c r="I351" s="22" t="str">
        <x:v>NR</x:v>
      </x:c>
      <x:c r="J351" s="22" t="str">
        <x:v>NR</x:v>
      </x:c>
      <x:c r="K351" s="22" t="str">
        <x:v>NR — URL not captured in the available source record</x:v>
      </x:c>
      <x:c r="L351" s="22" t="str">
        <x:v>Not available in the captured evidence; the screening decision used the title and available source metadata.</x:v>
      </x:c>
      <x:c r="M351" s="22" t="str">
        <x:v>Confirmed duplicate</x:v>
      </x:c>
      <x:c r="N351" s="22" t="str">
        <x:v>DG-006</x:v>
      </x:c>
      <x:c r="O351" s="22" t="str">
        <x:v>PM-017</x:v>
      </x:c>
      <x:c r="P351" s="22" t="str">
        <x:v>No</x:v>
      </x:c>
      <x:c r="Q351" s="22" t="str">
        <x:v>Not screened</x:v>
      </x:c>
      <x:c r="R351" s="22" t="str">
        <x:v>Removed before title/abstract screening as a confirmed duplicate.</x:v>
      </x:c>
      <x:c r="S351" s="22" t="str">
        <x:v>Not applicable — removed before screening</x:v>
      </x:c>
      <x:c r="T351" s="22" t="str">
        <x:v>Record was outside the active screening set.</x:v>
      </x:c>
      <x:c r="U351" s="22" t="str">
        <x:v>Removed before screening</x:v>
      </x:c>
      <x:c r="V351" s="22" t="str">
        <x:v>Confirmed duplicate removed during deduplication.</x:v>
      </x:c>
      <x:c r="W351" s="22" t="str">
        <x:v>No</x:v>
      </x:c>
      <x:c r="X351" s="22" t="str">
        <x:v>Not applicable</x:v>
      </x:c>
      <x:c r="Y351" s="22" t="str">
        <x:v>Not assessed</x:v>
      </x:c>
      <x:c r="Z351" s="22" t="str">
        <x:v>Not applicable — record removed before screening.</x:v>
      </x:c>
      <x:c r="AA351" s="22" t="str">
        <x:v>Not applicable</x:v>
      </x:c>
      <x:c r="AB351" s="22" t="str">
        <x:v>Record was not advanced to full-text assessment.</x:v>
      </x:c>
      <x:c r="AC351" s="22" t="str">
        <x:v>Not assessed</x:v>
      </x:c>
      <x:c r="AD351" s="22" t="str">
        <x:v>Not applicable — no full-text assessment was required.</x:v>
      </x:c>
      <x:c r="AE351" s="22" t="str">
        <x:v>Removed before screening</x:v>
      </x:c>
      <x:c r="AF351" s="22" t="str">
        <x:v>Not applicable — not included</x:v>
      </x:c>
      <x:c r="AG351" s="22" t="str">
        <x:v>Evidence: 4c89d576-5969-4984-98b5-f64e26760643.png; page 1, result 4. Metadata transcribed from captured Google Scholar page; OCR-normalised, verify against publication before citation.</x:v>
      </x:c>
      <x:c r="AH351" s="20" t="str">
        <x:v>Confirmed using DOI/title evidence; identifier/title evidence; normalized title across captured searches.</x:v>
      </x:c>
    </x:row>
    <x:row r="352" ht="42" customHeight="1">
      <x:c r="A352" s="22" t="str">
        <x:v>GS-04-005</x:v>
      </x:c>
      <x:c r="B352" s="22" t="str">
        <x:v>Google Scholar</x:v>
      </x:c>
      <x:c r="C352" s="22" t="str">
        <x:v>GS-04</x:v>
      </x:c>
      <x:c r="D352" s="22" t="str">
        <x:v>EXPLORING NEURO-SYMBOLIC ARTIFICIAL INTELLIGENCE THROUGH BIONIC VISION</x:v>
      </x:c>
      <x:c r="E352" s="22" t="str">
        <x:v>N Saleem</x:v>
      </x:c>
      <x:c r="F352" s="22" t="n">
        <x:v>2026</x:v>
      </x:c>
      <x:c r="G352" s="22" t="str">
        <x:v>2026 - escholarship org</x:v>
      </x:c>
      <x:c r="H352" s="22" t="str">
        <x:v>Google Scholar result</x:v>
      </x:c>
      <x:c r="I352" s="22" t="str">
        <x:v>NR</x:v>
      </x:c>
      <x:c r="J352" s="22" t="str">
        <x:v>NR</x:v>
      </x:c>
      <x:c r="K352" s="22" t="str">
        <x:v>NR — URL not captured in the available source record</x:v>
      </x:c>
      <x:c r="L352" s="22" t="str">
        <x:v>Not available in the captured evidence; the screening decision used the title and available source metadata.</x:v>
      </x:c>
      <x:c r="M352" s="22" t="str">
        <x:v>No duplicate</x:v>
      </x:c>
      <x:c r="N352" s="22" t="str">
        <x:v>DG-085</x:v>
      </x:c>
      <x:c r="O352" s="22" t="str">
        <x:v>Not applicable</x:v>
      </x:c>
      <x:c r="P352" s="22" t="str">
        <x:v>Yes</x:v>
      </x:c>
      <x:c r="Q352" s="22" t="str">
        <x:v>Exclude</x:v>
      </x:c>
      <x:c r="R352" s="22" t="str">
        <x:v>Broad conceptual work without retinal-imaging empirical evidence.</x:v>
      </x:c>
      <x:c r="S352" s="22" t="str">
        <x:v>Verification documented at process level</x:v>
      </x:c>
      <x:c r="T352" s="22" t="str">
        <x:v>Two additional authors performed random spot checks; individual spot-check assignments are not recorded in this register.</x:v>
      </x:c>
      <x:c r="U352" s="22" t="str">
        <x:v>Exclude</x:v>
      </x:c>
      <x:c r="V352" s="22" t="str">
        <x:v>Primary decision by the corresponding author; two additional authors performed random spot checks as a quality-control step.</x:v>
      </x:c>
      <x:c r="W352" s="22" t="str">
        <x:v>No</x:v>
      </x:c>
      <x:c r="X352" s="22" t="str">
        <x:v>Not applicable</x:v>
      </x:c>
      <x:c r="Y352" s="22" t="str">
        <x:v>Not assessed</x:v>
      </x:c>
      <x:c r="Z352" s="22" t="str">
        <x:v>Not advanced to full-text assessment after the title/abstract decision.</x:v>
      </x:c>
      <x:c r="AA352" s="22" t="str">
        <x:v>Not applicable</x:v>
      </x:c>
      <x:c r="AB352" s="22" t="str">
        <x:v>Record was not advanced to full-text assessment.</x:v>
      </x:c>
      <x:c r="AC352" s="22" t="str">
        <x:v>Not assessed</x:v>
      </x:c>
      <x:c r="AD352" s="22" t="str">
        <x:v>Not applicable — no full-text assessment was required.</x:v>
      </x:c>
      <x:c r="AE352" s="22" t="str">
        <x:v>Not included — title/abstract exclusion</x:v>
      </x:c>
      <x:c r="AF352" s="22" t="str">
        <x:v>Not applicable — not included</x:v>
      </x:c>
      <x:c r="AG352" s="22" t="str">
        <x:v>Evidence: 4c89d576-5969-4984-98b5-f64e26760643.png; page 1, result 5. Metadata transcribed from captured Google Scholar page; OCR-normalised, verify against publication before citation.</x:v>
      </x:c>
      <x:c r="AH352" s="20" t="str">
        <x:v>No duplicate identified under the documented matching rules.</x:v>
      </x:c>
    </x:row>
    <x:row r="353" ht="42" customHeight="1">
      <x:c r="A353" s="22" t="str">
        <x:v>GS-04-006</x:v>
      </x:c>
      <x:c r="B353" s="22" t="str">
        <x:v>Google Scholar</x:v>
      </x:c>
      <x:c r="C353" s="22" t="str">
        <x:v>GS-04</x:v>
      </x:c>
      <x:c r="D353" s="22" t="str">
        <x:v>KG-BG: Knowledgs-Guided Domain Generalization via Neuro-Symbolic Fusion</x:v>
      </x:c>
      <x:c r="E353" s="22" t="str">
        <x:v>M Jrsoj ABanetjae S Gupta</x:v>
      </x:c>
      <x:c r="F353" s="22" t="str">
        <x:v>NR</x:v>
      </x:c>
      <x:c r="G353" s="22" t="str">
        <x:v>openreview ne!</x:v>
      </x:c>
      <x:c r="H353" s="22" t="str">
        <x:v>Google Scholar result</x:v>
      </x:c>
      <x:c r="I353" s="22" t="str">
        <x:v>NR</x:v>
      </x:c>
      <x:c r="J353" s="22" t="str">
        <x:v>NR</x:v>
      </x:c>
      <x:c r="K353" s="22" t="str">
        <x:v>https://openreview.net/pdf?id=xAtYHNe0Ey</x:v>
      </x:c>
      <x:c r="L353" s="22" t="str">
        <x:v>Domain generalization is a critical challenge in medical imaging. KG-DG is a neuro-symbolic framework for diabetic-retinopathy classification that integrates vision transformers with expert-guided symbolic reasoning. It uses clinical lesion ontologies, rule-based features and retinal-vessel segmentation, fused with visual representations through confidence-weighted integration, and aligns high-level clinical semantics across domains. Experiments on APTOS, EyePACS, Messidor-1 and Messidor-2 show up to 5.2% accuracy improvement in cross-domain settings and 6% over baseline vision transformers. Lesion-based symbolic features achieve 84.65% accuracy, supporting their role as clinical regularizers.</x:v>
      </x:c>
      <x:c r="M353" s="22" t="str">
        <x:v>No duplicate</x:v>
      </x:c>
      <x:c r="N353" s="22" t="str">
        <x:v>DG-102</x:v>
      </x:c>
      <x:c r="O353" s="22" t="str">
        <x:v>Not applicable</x:v>
      </x:c>
      <x:c r="P353" s="22" t="str">
        <x:v>Yes</x:v>
      </x:c>
      <x:c r="Q353" s="22" t="str">
        <x:v>Include</x:v>
      </x:c>
      <x:c r="R353" s="22" t="str">
        <x:v>Direct DR fundus study using lesion ontology and symbolic reasoning.</x:v>
      </x:c>
      <x:c r="S353" s="22" t="str">
        <x:v>Verification documented at process level</x:v>
      </x:c>
      <x:c r="T353" s="22" t="str">
        <x:v>Two additional authors performed random spot checks; individual spot-check assignments are not recorded in this register.</x:v>
      </x:c>
      <x:c r="U353" s="22" t="str">
        <x:v>Include</x:v>
      </x:c>
      <x:c r="V353" s="22" t="str">
        <x:v>Primary decision by the corresponding author; two additional authors performed random spot checks as a quality-control step.</x:v>
      </x:c>
      <x:c r="W353" s="22" t="str">
        <x:v>Yes</x:v>
      </x:c>
      <x:c r="X353" s="22" t="str">
        <x:v>Yes</x:v>
      </x:c>
      <x:c r="Y353" s="22" t="str">
        <x:v>Include</x:v>
      </x:c>
      <x:c r="Z353" s="22" t="str">
        <x:v>The corresponding author assessed the complete report and judged it eligible for inclusion in the review.</x:v>
      </x:c>
      <x:c r="AA353" s="22" t="str">
        <x:v>Verification documented at process level</x:v>
      </x:c>
      <x:c r="AB353" s="22" t="str">
        <x:v>Two additional authors performed random spot checks; individual spot-check assignments are not recorded in this register.</x:v>
      </x:c>
      <x:c r="AC353" s="22" t="str">
        <x:v>Include</x:v>
      </x:c>
      <x:c r="AD353" s="22" t="str">
        <x:v>Primary decision by the corresponding author; two additional authors performed random spot checks as a quality-control step.</x:v>
      </x:c>
      <x:c r="AE353" s="22" t="str">
        <x:v>Include</x:v>
      </x:c>
      <x:c r="AF353" s="22" t="str">
        <x:v>Contextual medical concept-XAI evidence</x:v>
      </x:c>
      <x:c r="AG353" s="22" t="str">
        <x:v>Evidence: 4c89d576-5969-4984-98b5-f64e26760643.png; page 1, result 6. Metadata transcribed from captured Google Scholar page; OCR-normalised, verify against publication before citation.</x:v>
      </x:c>
      <x:c r="AH353" s="20" t="str">
        <x:v>No duplicate identified under the documented matching rules.</x:v>
      </x:c>
    </x:row>
    <x:row r="354" ht="42" customHeight="1">
      <x:c r="A354" s="22" t="str">
        <x:v>GS-04-007</x:v>
      </x:c>
      <x:c r="B354" s="22" t="str">
        <x:v>Google Scholar</x:v>
      </x:c>
      <x:c r="C354" s="22" t="str">
        <x:v>GS-04</x:v>
      </x:c>
      <x:c r="D354" s="22" t="str">
        <x:v>Neurosymbolic Al Approach for Dry and Wet AMD Classification Using OCT (mages</x:v>
      </x:c>
      <x:c r="E354" s="22" t="str">
        <x:v>L Interrera</x:v>
      </x:c>
      <x:c r="F354" s="22" t="n">
        <x:v>2025</x:v>
      </x:c>
      <x:c r="G354" s="22" t="str">
        <x:v>Joint 201" Nordic-Baltic Con‘arance or Biomedical. 2025- books goog-e cam</x:v>
      </x:c>
      <x:c r="H354" s="22" t="str">
        <x:v>Google Scholar result</x:v>
      </x:c>
      <x:c r="I354" s="22" t="str">
        <x:v>NR</x:v>
      </x:c>
      <x:c r="J354" s="22" t="str">
        <x:v>NR</x:v>
      </x:c>
      <x:c r="K354" s="22" t="str">
        <x:v>NR — URL not captured in the available source record</x:v>
      </x:c>
      <x:c r="L354" s="22" t="str">
        <x:v>Not available in the captured evidence; the screening decision used the title and available source metadata.</x:v>
      </x:c>
      <x:c r="M354" s="22" t="str">
        <x:v>Confirmed duplicate</x:v>
      </x:c>
      <x:c r="N354" s="22" t="str">
        <x:v>DG-024</x:v>
      </x:c>
      <x:c r="O354" s="22" t="str">
        <x:v>GS-04-003</x:v>
      </x:c>
      <x:c r="P354" s="22" t="str">
        <x:v>No</x:v>
      </x:c>
      <x:c r="Q354" s="22" t="str">
        <x:v>Not screened</x:v>
      </x:c>
      <x:c r="R354" s="22" t="str">
        <x:v>Removed before title/abstract screening as a confirmed duplicate.</x:v>
      </x:c>
      <x:c r="S354" s="22" t="str">
        <x:v>Not applicable — removed before screening</x:v>
      </x:c>
      <x:c r="T354" s="22" t="str">
        <x:v>Record was outside the active screening set.</x:v>
      </x:c>
      <x:c r="U354" s="22" t="str">
        <x:v>Removed before screening</x:v>
      </x:c>
      <x:c r="V354" s="22" t="str">
        <x:v>Confirmed duplicate removed during deduplication.</x:v>
      </x:c>
      <x:c r="W354" s="22" t="str">
        <x:v>No</x:v>
      </x:c>
      <x:c r="X354" s="22" t="str">
        <x:v>Not applicable</x:v>
      </x:c>
      <x:c r="Y354" s="22" t="str">
        <x:v>Not assessed</x:v>
      </x:c>
      <x:c r="Z354" s="22" t="str">
        <x:v>Not applicable — record removed before screening.</x:v>
      </x:c>
      <x:c r="AA354" s="22" t="str">
        <x:v>Not applicable</x:v>
      </x:c>
      <x:c r="AB354" s="22" t="str">
        <x:v>Record was not advanced to full-text assessment.</x:v>
      </x:c>
      <x:c r="AC354" s="22" t="str">
        <x:v>Not assessed</x:v>
      </x:c>
      <x:c r="AD354" s="22" t="str">
        <x:v>Not applicable — no full-text assessment was required.</x:v>
      </x:c>
      <x:c r="AE354" s="22" t="str">
        <x:v>Removed before screening</x:v>
      </x:c>
      <x:c r="AF354" s="22" t="str">
        <x:v>Not applicable — not included</x:v>
      </x:c>
      <x:c r="AG354" s="22" t="str">
        <x:v>Evidence: 4c89d576-5969-4984-98b5-f64e26760643.png; page 1, result 7. Metadata transcribed from captured Google Scholar page; OCR-normalised, verify against publication before citation.</x:v>
      </x:c>
      <x:c r="AH354" s="20" t="str">
        <x:v>Confirmed using normalized title across captured searches.</x:v>
      </x:c>
    </x:row>
    <x:row r="355" ht="42" customHeight="1">
      <x:c r="A355" s="22" t="str">
        <x:v>GS-04-008</x:v>
      </x:c>
      <x:c r="B355" s="22" t="str">
        <x:v>Google Scholar</x:v>
      </x:c>
      <x:c r="C355" s="22" t="str">
        <x:v>GS-04</x:v>
      </x:c>
      <x:c r="D355" s="22" t="str">
        <x:v>Towards trustworthy and explainable Al for ocular disease diagnosis using an ontalogy-guided neuro-symbolic framework</x:v>
      </x:c>
      <x:c r="E355" s="22" t="str">
        <x:v>AM Dohaim AM 4)Bakry</x:v>
      </x:c>
      <x:c r="F355" s="22" t="n">
        <x:v>2026</x:v>
      </x:c>
      <x:c r="G355" s="22" t="str">
        <x:v>Biomecical Signal Processing and Cortral 2026 - Elsevier</x:v>
      </x:c>
      <x:c r="H355" s="22" t="str">
        <x:v>Google Scholar result</x:v>
      </x:c>
      <x:c r="I355" s="22" t="str">
        <x:v>NR</x:v>
      </x:c>
      <x:c r="J355" s="22" t="str">
        <x:v>NR</x:v>
      </x:c>
      <x:c r="K355" s="22" t="str">
        <x:v>https://www.sciencedirect.com/science/article/pii/S1746809426017520</x:v>
      </x:c>
      <x:c r="L355" s="22" t="str">
        <x:v>Not available in the captured evidence; the screening decision used the title and available source metadata.</x:v>
      </x:c>
      <x:c r="M355" s="22" t="str">
        <x:v>No duplicate</x:v>
      </x:c>
      <x:c r="N355" s="22" t="str">
        <x:v>DG-025</x:v>
      </x:c>
      <x:c r="O355" s="22" t="str">
        <x:v>Not applicable</x:v>
      </x:c>
      <x:c r="P355" s="22" t="str">
        <x:v>Yes</x:v>
      </x:c>
      <x:c r="Q355" s="22" t="str">
        <x:v>Include</x:v>
      </x:c>
      <x:c r="R355" s="22" t="str">
        <x:v>Direct ocular-imaging study with ontology-guided neurosymbolic reasoning.</x:v>
      </x:c>
      <x:c r="S355" s="22" t="str">
        <x:v>Verification documented at process level</x:v>
      </x:c>
      <x:c r="T355" s="22" t="str">
        <x:v>Two additional authors performed random spot checks; individual spot-check assignments are not recorded in this register.</x:v>
      </x:c>
      <x:c r="U355" s="22" t="str">
        <x:v>Include</x:v>
      </x:c>
      <x:c r="V355" s="22" t="str">
        <x:v>Primary decision by the corresponding author; two additional authors performed random spot checks as a quality-control step.</x:v>
      </x:c>
      <x:c r="W355" s="22" t="str">
        <x:v>Yes</x:v>
      </x:c>
      <x:c r="X355" s="22" t="str">
        <x:v>Yes</x:v>
      </x:c>
      <x:c r="Y355" s="22" t="str">
        <x:v>Exclude</x:v>
      </x:c>
      <x:c r="Z355" s="22" t="str">
        <x:v>The corresponding author confirmed full-text assessment. Abstract/official-record rationale (E5): The abstract describes a broad multi-class ocular classifier covering cataract, diabetic retinopathy, glaucoma and normal images, but does not report a distinct retinal-specific evaluation of the ontology-derived explanations sufficient for the predefined retinal concept-XAI synthesis.</x:v>
      </x:c>
      <x:c r="AA355" s="22" t="str">
        <x:v>Verification documented at process level</x:v>
      </x:c>
      <x:c r="AB355" s="22" t="str">
        <x:v>Two additional authors performed random spot checks; individual spot-check assignments are not recorded in this register.</x:v>
      </x:c>
      <x:c r="AC355" s="22" t="str">
        <x:v>Exclude</x:v>
      </x:c>
      <x:c r="AD355" s="22" t="str">
        <x:v>Primary decision by the corresponding author; two additional authors performed random spot checks as a quality-control step.</x:v>
      </x:c>
      <x:c r="AE355" s="22" t="str">
        <x:v>Exclude</x:v>
      </x:c>
      <x:c r="AF355" s="22" t="str">
        <x:v>Not applicable — excluded at full text</x:v>
      </x:c>
      <x:c r="AG355" s="22" t="str">
        <x:v>Evidence: 4c89d576-5969-4984-98b5-f64e26760643.png; page 1, result 8. Metadata transcribed from captured Google Scholar page; OCR-normalised, verify against publication before citation.</x:v>
      </x:c>
      <x:c r="AH355" s="20" t="str">
        <x:v>Confirmed using normalized title across captured searches.</x:v>
      </x:c>
    </x:row>
    <x:row r="356" ht="42" customHeight="1">
      <x:c r="A356" s="22" t="str">
        <x:v>GS-04-009</x:v>
      </x:c>
      <x:c r="B356" s="22" t="str">
        <x:v>Google Scholar</x:v>
      </x:c>
      <x:c r="C356" s="22" t="str">
        <x:v>GS-04</x:v>
      </x:c>
      <x:c r="D356" s="22" t="str">
        <x:v>Por] RETINAL IMAGE ANALYSIS USING NEURO-SYMBOLIC Al TO DIAGNOSE NEURODEGENERATIVE DISEASES</x:v>
      </x:c>
      <x:c r="E356" s="22" t="str">
        <x:v>DCyrus, OD Varghese TAde: R Kaleih</x:v>
      </x:c>
      <x:c r="F356" s="22" t="str">
        <x:v>NR</x:v>
      </x:c>
      <x:c r="G356" s="22" t="str">
        <x:v>smi-lab github ic</x:v>
      </x:c>
      <x:c r="H356" s="22" t="str">
        <x:v>Google Scholar result</x:v>
      </x:c>
      <x:c r="I356" s="22" t="str">
        <x:v>NR</x:v>
      </x:c>
      <x:c r="J356" s="22" t="str">
        <x:v>NR</x:v>
      </x:c>
      <x:c r="K356" s="22" t="str">
        <x:v>NR — URL not captured in the available source record</x:v>
      </x:c>
      <x:c r="L356" s="22" t="str">
        <x:v>Not available in the captured evidence; the screening decision used the title and available source metadata.</x:v>
      </x:c>
      <x:c r="M356" s="22" t="str">
        <x:v>No duplicate</x:v>
      </x:c>
      <x:c r="N356" s="22" t="str">
        <x:v>DG-026</x:v>
      </x:c>
      <x:c r="O356" s="22" t="str">
        <x:v>Not applicable</x:v>
      </x:c>
      <x:c r="P356" s="22" t="str">
        <x:v>Yes</x:v>
      </x:c>
      <x:c r="Q356" s="22" t="str">
        <x:v>Exclude</x:v>
      </x:c>
      <x:c r="R356" s="22" t="str">
        <x:v>Excluded by Reviewer 1 after human review.</x:v>
      </x:c>
      <x:c r="S356" s="22" t="str">
        <x:v>Verification documented at process level</x:v>
      </x:c>
      <x:c r="T356" s="22" t="str">
        <x:v>Two additional authors performed random spot checks; individual spot-check assignments are not recorded in this register.</x:v>
      </x:c>
      <x:c r="U356" s="22" t="str">
        <x:v>Exclude</x:v>
      </x:c>
      <x:c r="V356" s="22" t="str">
        <x:v>Primary decision by the corresponding author; two additional authors performed random spot checks as a quality-control step.</x:v>
      </x:c>
      <x:c r="W356" s="22" t="str">
        <x:v>No</x:v>
      </x:c>
      <x:c r="X356" s="22" t="str">
        <x:v>Not applicable</x:v>
      </x:c>
      <x:c r="Y356" s="22" t="str">
        <x:v>Not assessed</x:v>
      </x:c>
      <x:c r="Z356" s="22" t="str">
        <x:v>Not advanced to full-text assessment after the title/abstract decision.</x:v>
      </x:c>
      <x:c r="AA356" s="22" t="str">
        <x:v>Not applicable</x:v>
      </x:c>
      <x:c r="AB356" s="22" t="str">
        <x:v>Record was not advanced to full-text assessment.</x:v>
      </x:c>
      <x:c r="AC356" s="22" t="str">
        <x:v>Not assessed</x:v>
      </x:c>
      <x:c r="AD356" s="22" t="str">
        <x:v>Not applicable — no full-text assessment was required.</x:v>
      </x:c>
      <x:c r="AE356" s="22" t="str">
        <x:v>Not included — title/abstract exclusion</x:v>
      </x:c>
      <x:c r="AF356" s="22" t="str">
        <x:v>Not applicable — not included</x:v>
      </x:c>
      <x:c r="AG356" s="22" t="str">
        <x:v>Evidence: 4c89d576-5969-4984-98b5-f64e26760643.png; page 1, result 9. Metadata transcribed from captured Google Scholar page; OCR-normalised, verify against publication before citation.</x:v>
      </x:c>
      <x:c r="AH356" s="20" t="str">
        <x:v>Confirmed using normalized title across captured searches.</x:v>
      </x:c>
    </x:row>
    <x:row r="357" ht="42" customHeight="1">
      <x:c r="A357" s="22" t="str">
        <x:v>GS-04-010</x:v>
      </x:c>
      <x:c r="B357" s="22" t="str">
        <x:v>Google Scholar</x:v>
      </x:c>
      <x:c r="C357" s="22" t="str">
        <x:v>GS-04</x:v>
      </x:c>
      <x:c r="D357" s="22" t="str">
        <x:v>Neuro-symbolic tearning: Principles and applications in ophthalmology</x:v>
      </x:c>
      <x:c r="E357" s="22" t="str">
        <x:v>M Hassan H Goan AMeition ¥ Wang C Sun.</x:v>
      </x:c>
      <x:c r="F357" s="22" t="str">
        <x:v>NR</x:v>
      </x:c>
      <x:c r="G357" s="22" t="str">
        <x:v>arXiv creprint arxiv = 20.22 - arxiv org</x:v>
      </x:c>
      <x:c r="H357" s="22" t="str">
        <x:v>Google Scholar result</x:v>
      </x:c>
      <x:c r="I357" s="22" t="str">
        <x:v>NR</x:v>
      </x:c>
      <x:c r="J357" s="22" t="str">
        <x:v>NR</x:v>
      </x:c>
      <x:c r="K357" s="22" t="str">
        <x:v>NR — URL not captured in the available source record</x:v>
      </x:c>
      <x:c r="L357" s="22" t="str">
        <x:v>Not available in the captured evidence; the screening decision used the title and available source metadata.</x:v>
      </x:c>
      <x:c r="M357" s="22" t="str">
        <x:v>No duplicate</x:v>
      </x:c>
      <x:c r="N357" s="22" t="str">
        <x:v>DG-086</x:v>
      </x:c>
      <x:c r="O357" s="22" t="str">
        <x:v>Not applicable</x:v>
      </x:c>
      <x:c r="P357" s="22" t="str">
        <x:v>Yes</x:v>
      </x:c>
      <x:c r="Q357" s="22" t="str">
        <x:v>Exclude</x:v>
      </x:c>
      <x:c r="R357" s="22" t="str">
        <x:v>Review/principles paper; not original empirical research.</x:v>
      </x:c>
      <x:c r="S357" s="22" t="str">
        <x:v>Verification documented at process level</x:v>
      </x:c>
      <x:c r="T357" s="22" t="str">
        <x:v>Two additional authors performed random spot checks; individual spot-check assignments are not recorded in this register.</x:v>
      </x:c>
      <x:c r="U357" s="22" t="str">
        <x:v>Exclude</x:v>
      </x:c>
      <x:c r="V357" s="22" t="str">
        <x:v>Primary decision by the corresponding author; two additional authors performed random spot checks as a quality-control step.</x:v>
      </x:c>
      <x:c r="W357" s="22" t="str">
        <x:v>No</x:v>
      </x:c>
      <x:c r="X357" s="22" t="str">
        <x:v>Not applicable</x:v>
      </x:c>
      <x:c r="Y357" s="22" t="str">
        <x:v>Not assessed</x:v>
      </x:c>
      <x:c r="Z357" s="22" t="str">
        <x:v>Not advanced to full-text assessment after the title/abstract decision.</x:v>
      </x:c>
      <x:c r="AA357" s="22" t="str">
        <x:v>Not applicable</x:v>
      </x:c>
      <x:c r="AB357" s="22" t="str">
        <x:v>Record was not advanced to full-text assessment.</x:v>
      </x:c>
      <x:c r="AC357" s="22" t="str">
        <x:v>Not assessed</x:v>
      </x:c>
      <x:c r="AD357" s="22" t="str">
        <x:v>Not applicable — no full-text assessment was required.</x:v>
      </x:c>
      <x:c r="AE357" s="22" t="str">
        <x:v>Not included — title/abstract exclusion</x:v>
      </x:c>
      <x:c r="AF357" s="22" t="str">
        <x:v>Not applicable — not included</x:v>
      </x:c>
      <x:c r="AG357" s="22" t="str">
        <x:v>Evidence: 4c89d576-5969-4984-98b5-f64e26760643.png; page 1, result 10. Metadata transcribed from captured Google Scholar page; OCR-normalised, verify against publication before citation.</x:v>
      </x:c>
      <x:c r="AH357" s="20" t="str">
        <x:v>No duplicate identified under the documented matching rules.</x:v>
      </x:c>
    </x:row>
    <x:row r="358" ht="42" customHeight="1">
      <x:c r="A358" s="22" t="str">
        <x:v>GS-04-011</x:v>
      </x:c>
      <x:c r="B358" s="22" t="str">
        <x:v>Google Scholar</x:v>
      </x:c>
      <x:c r="C358" s="22" t="str">
        <x:v>GS-04</x:v>
      </x:c>
      <x:c r="D358" s="22" t="str">
        <x:v>NEURO-GUARD: Neuro-Symbolic Generalization and Unbiased Adaptive Routing for Diagnostics -Explainable Medical Al</x:v>
      </x:c>
      <x:c r="E358" s="22" t="str">
        <x:v>M Jrsoj ABanerjee S Gupta</x:v>
      </x:c>
      <x:c r="F358" s="22" t="n">
        <x:v>2026</x:v>
      </x:c>
      <x:c r="G358" s="22" t="str">
        <x:v>Proceedings ofthe ESE 2026 - openaccess thea‘ cam</x:v>
      </x:c>
      <x:c r="H358" s="22" t="str">
        <x:v>Google Scholar result</x:v>
      </x:c>
      <x:c r="I358" s="22" t="str">
        <x:v>NR</x:v>
      </x:c>
      <x:c r="J358" s="22" t="str">
        <x:v>NR</x:v>
      </x:c>
      <x:c r="K358" s="22" t="str">
        <x:v>NR — URL not captured in the available source record</x:v>
      </x:c>
      <x:c r="L358" s="22" t="str">
        <x:v>Not available in the captured evidence; the screening decision used the title and available source metadata.</x:v>
      </x:c>
      <x:c r="M358" s="22" t="str">
        <x:v>Confirmed duplicate</x:v>
      </x:c>
      <x:c r="N358" s="22" t="str">
        <x:v>DG-027</x:v>
      </x:c>
      <x:c r="O358" s="22" t="str">
        <x:v>ARXIV-05-002</x:v>
      </x:c>
      <x:c r="P358" s="22" t="str">
        <x:v>No</x:v>
      </x:c>
      <x:c r="Q358" s="22" t="str">
        <x:v>Not screened</x:v>
      </x:c>
      <x:c r="R358" s="22" t="str">
        <x:v>Removed before title/abstract screening as a confirmed duplicate.</x:v>
      </x:c>
      <x:c r="S358" s="22" t="str">
        <x:v>Not applicable — removed before screening</x:v>
      </x:c>
      <x:c r="T358" s="22" t="str">
        <x:v>Record was outside the active screening set.</x:v>
      </x:c>
      <x:c r="U358" s="22" t="str">
        <x:v>Removed before screening</x:v>
      </x:c>
      <x:c r="V358" s="22" t="str">
        <x:v>Confirmed duplicate removed during deduplication.</x:v>
      </x:c>
      <x:c r="W358" s="22" t="str">
        <x:v>No</x:v>
      </x:c>
      <x:c r="X358" s="22" t="str">
        <x:v>Not applicable</x:v>
      </x:c>
      <x:c r="Y358" s="22" t="str">
        <x:v>Not assessed</x:v>
      </x:c>
      <x:c r="Z358" s="22" t="str">
        <x:v>Not applicable — record removed before screening.</x:v>
      </x:c>
      <x:c r="AA358" s="22" t="str">
        <x:v>Not applicable</x:v>
      </x:c>
      <x:c r="AB358" s="22" t="str">
        <x:v>Record was not advanced to full-text assessment.</x:v>
      </x:c>
      <x:c r="AC358" s="22" t="str">
        <x:v>Not assessed</x:v>
      </x:c>
      <x:c r="AD358" s="22" t="str">
        <x:v>Not applicable — no full-text assessment was required.</x:v>
      </x:c>
      <x:c r="AE358" s="22" t="str">
        <x:v>Removed before screening</x:v>
      </x:c>
      <x:c r="AF358" s="22" t="str">
        <x:v>Not applicable — not included</x:v>
      </x:c>
      <x:c r="AG358" s="22" t="str">
        <x:v>Evidence: 7d6c0452-9566-4e26-8204-d5ce13a3863d.png; page 2, result 1. Metadata transcribed from captured Google Scholar page; OCR-normalised, verify against publication before citation.</x:v>
      </x:c>
      <x:c r="AH358" s="20" t="str">
        <x:v>Confirmed using identifier/title evidence; normalized title across captured searches.</x:v>
      </x:c>
    </x:row>
    <x:row r="359" ht="42" customHeight="1">
      <x:c r="A359" s="22" t="str">
        <x:v>GS-04-012</x:v>
      </x:c>
      <x:c r="B359" s="22" t="str">
        <x:v>Google Scholar</x:v>
      </x:c>
      <x:c r="C359" s="22" t="str">
        <x:v>GS-04</x:v>
      </x:c>
      <x:c r="D359" s="22" t="str">
        <x:v>A Neuro-Symbolic Framework for Automated Glaucoma Detection using Optic Disc-Cup Segmentation and Deep Learning</x:v>
      </x:c>
      <x:c r="E359" s="22" t="str">
        <x:v>TSanjgeelha USangamitha</x:v>
      </x:c>
      <x:c r="F359" s="22" t="n">
        <x:v>2026</x:v>
      </x:c>
      <x:c r="G359" s="22" t="str">
        <x:v>on Expert Clouds 2026 -ieeexplore iees og</x:v>
      </x:c>
      <x:c r="H359" s="22" t="str">
        <x:v>Google Scholar result</x:v>
      </x:c>
      <x:c r="I359" s="22" t="str">
        <x:v>NR</x:v>
      </x:c>
      <x:c r="J359" s="22" t="str">
        <x:v>NR</x:v>
      </x:c>
      <x:c r="K359" s="22" t="str">
        <x:v>NR — URL not captured in the available source record</x:v>
      </x:c>
      <x:c r="L359" s="22" t="str">
        <x:v>Not available in the captured evidence; the screening decision used the title and available source metadata.</x:v>
      </x:c>
      <x:c r="M359" s="22" t="str">
        <x:v>Confirmed duplicate</x:v>
      </x:c>
      <x:c r="N359" s="22" t="str">
        <x:v>DG-116</x:v>
      </x:c>
      <x:c r="O359" s="22" t="str">
        <x:v>IEEE-004</x:v>
      </x:c>
      <x:c r="P359" s="22" t="str">
        <x:v>No</x:v>
      </x:c>
      <x:c r="Q359" s="22" t="str">
        <x:v>Not screened</x:v>
      </x:c>
      <x:c r="R359" s="22" t="str">
        <x:v>Removed before title/abstract screening as a confirmed duplicate.</x:v>
      </x:c>
      <x:c r="S359" s="22" t="str">
        <x:v>Not applicable — removed before screening</x:v>
      </x:c>
      <x:c r="T359" s="22" t="str">
        <x:v>Record was outside the active screening set.</x:v>
      </x:c>
      <x:c r="U359" s="22" t="str">
        <x:v>Removed before screening</x:v>
      </x:c>
      <x:c r="V359" s="22" t="str">
        <x:v>Confirmed duplicate removed during deduplication.</x:v>
      </x:c>
      <x:c r="W359" s="22" t="str">
        <x:v>No</x:v>
      </x:c>
      <x:c r="X359" s="22" t="str">
        <x:v>Not applicable</x:v>
      </x:c>
      <x:c r="Y359" s="22" t="str">
        <x:v>Not assessed</x:v>
      </x:c>
      <x:c r="Z359" s="22" t="str">
        <x:v>Not applicable — record removed before screening.</x:v>
      </x:c>
      <x:c r="AA359" s="22" t="str">
        <x:v>Not applicable</x:v>
      </x:c>
      <x:c r="AB359" s="22" t="str">
        <x:v>Record was not advanced to full-text assessment.</x:v>
      </x:c>
      <x:c r="AC359" s="22" t="str">
        <x:v>Not assessed</x:v>
      </x:c>
      <x:c r="AD359" s="22" t="str">
        <x:v>Not applicable — no full-text assessment was required.</x:v>
      </x:c>
      <x:c r="AE359" s="22" t="str">
        <x:v>Removed before screening</x:v>
      </x:c>
      <x:c r="AF359" s="22" t="str">
        <x:v>Not applicable — not included</x:v>
      </x:c>
      <x:c r="AG359" s="22" t="str">
        <x:v>Evidence: 7d6c0452-9566-4e26-8204-d5ce13a3863d.png; page 2, result 2. Metadata transcribed from captured Google Scholar page; OCR-normalised, verify against publication before citation.</x:v>
      </x:c>
      <x:c r="AH359" s="20" t="str">
        <x:v>Confirmed using normalized title across captured searches.</x:v>
      </x:c>
    </x:row>
    <x:row r="360" ht="42" customHeight="1">
      <x:c r="A360" s="22" t="str">
        <x:v>GS-04-013</x:v>
      </x:c>
      <x:c r="B360" s="22" t="str">
        <x:v>Google Scholar</x:v>
      </x:c>
      <x:c r="C360" s="22" t="str">
        <x:v>GS-04</x:v>
      </x:c>
      <x:c r="D360" s="22" t="str">
        <x:v>Explainable Diabetic Retinopathy Classification Based on Neural-Symbolic Learning.</x:v>
      </x:c>
      <x:c r="E360" s="22" t="str">
        <x:v>SlJang MJA Guard 4H *hiery</x:v>
      </x:c>
      <x:c r="F360" s="22" t="str">
        <x:v>NR</x:v>
      </x:c>
      <x:c r="G360" s="22" t="str">
        <x:v>heSy 202° - cecrspl wikidata dbis nvth-aachen</x:v>
      </x:c>
      <x:c r="H360" s="22" t="str">
        <x:v>Google Scholar result</x:v>
      </x:c>
      <x:c r="I360" s="22" t="str">
        <x:v>NR</x:v>
      </x:c>
      <x:c r="J360" s="22" t="str">
        <x:v>NR</x:v>
      </x:c>
      <x:c r="K360" s="22" t="str">
        <x:v>NR — URL not captured in the available source record</x:v>
      </x:c>
      <x:c r="L360" s="22" t="str">
        <x:v>Not available in the captured evidence; the screening decision used the title and available source metadata.</x:v>
      </x:c>
      <x:c r="M360" s="22" t="str">
        <x:v>Confirmed duplicate</x:v>
      </x:c>
      <x:c r="N360" s="22" t="str">
        <x:v>DG-101</x:v>
      </x:c>
      <x:c r="O360" s="22" t="str">
        <x:v>ARXIV-10-030</x:v>
      </x:c>
      <x:c r="P360" s="22" t="str">
        <x:v>No</x:v>
      </x:c>
      <x:c r="Q360" s="22" t="str">
        <x:v>Not screened</x:v>
      </x:c>
      <x:c r="R360" s="22" t="str">
        <x:v>Removed before title/abstract screening as a confirmed duplicate.</x:v>
      </x:c>
      <x:c r="S360" s="22" t="str">
        <x:v>Not applicable — removed before screening</x:v>
      </x:c>
      <x:c r="T360" s="22" t="str">
        <x:v>Record was outside the active screening set.</x:v>
      </x:c>
      <x:c r="U360" s="22" t="str">
        <x:v>Removed before screening</x:v>
      </x:c>
      <x:c r="V360" s="22" t="str">
        <x:v>Confirmed duplicate removed during deduplication.</x:v>
      </x:c>
      <x:c r="W360" s="22" t="str">
        <x:v>No</x:v>
      </x:c>
      <x:c r="X360" s="22" t="str">
        <x:v>Not applicable</x:v>
      </x:c>
      <x:c r="Y360" s="22" t="str">
        <x:v>Not assessed</x:v>
      </x:c>
      <x:c r="Z360" s="22" t="str">
        <x:v>Not applicable — record removed before screening.</x:v>
      </x:c>
      <x:c r="AA360" s="22" t="str">
        <x:v>Not applicable</x:v>
      </x:c>
      <x:c r="AB360" s="22" t="str">
        <x:v>Record was not advanced to full-text assessment.</x:v>
      </x:c>
      <x:c r="AC360" s="22" t="str">
        <x:v>Not assessed</x:v>
      </x:c>
      <x:c r="AD360" s="22" t="str">
        <x:v>Not applicable — no full-text assessment was required.</x:v>
      </x:c>
      <x:c r="AE360" s="22" t="str">
        <x:v>Removed before screening</x:v>
      </x:c>
      <x:c r="AF360" s="22" t="str">
        <x:v>Not applicable — not included</x:v>
      </x:c>
      <x:c r="AG360" s="22" t="str">
        <x:v>Evidence: 7d6c0452-9566-4e26-8204-d5ce13a3863d.png; page 2, result 3. Metadata transcribed from captured Google Scholar page; OCR-normalised, verify against publication before citation.</x:v>
      </x:c>
      <x:c r="AH360" s="20" t="str">
        <x:v>No duplicate identified under the documented matching rules.</x:v>
      </x:c>
    </x:row>
    <x:row r="361" ht="42" customHeight="1">
      <x:c r="A361" s="22" t="str">
        <x:v>GS-04-014</x:v>
      </x:c>
      <x:c r="B361" s="22" t="str">
        <x:v>Google Scholar</x:v>
      </x:c>
      <x:c r="C361" s="22" t="str">
        <x:v>GS-04</x:v>
      </x:c>
      <x:c r="D361" s="22" t="str">
        <x:v>system far chronic eye disease management a digital health implementation study</x:v>
      </x:c>
      <x:c r="E361" s="22" t="str">
        <x:v>MH Wang. SM Lee G Hou ¥ Wang</x:v>
      </x:c>
      <x:c r="F361" s="22" t="n">
        <x:v>2026</x:v>
      </x:c>
      <x:c r="G361" s="22" t="str">
        <x:v>Frantiavsin Digital $=. 2026 - pme ncbi nim.nih gov</x:v>
      </x:c>
      <x:c r="H361" s="22" t="str">
        <x:v>Google Scholar result</x:v>
      </x:c>
      <x:c r="I361" s="22" t="str">
        <x:v>NR</x:v>
      </x:c>
      <x:c r="J361" s="22" t="str">
        <x:v>NR</x:v>
      </x:c>
      <x:c r="K361" s="22" t="str">
        <x:v>NR — URL not captured in the available source record</x:v>
      </x:c>
      <x:c r="L361" s="22" t="str">
        <x:v>Not available in the captured evidence; the screening decision used the title and available source metadata.</x:v>
      </x:c>
      <x:c r="M361" s="22" t="str">
        <x:v>Confirmed duplicate</x:v>
      </x:c>
      <x:c r="N361" s="22" t="str">
        <x:v>DG-121</x:v>
      </x:c>
      <x:c r="O361" s="22" t="str">
        <x:v>PM-024</x:v>
      </x:c>
      <x:c r="P361" s="22" t="str">
        <x:v>No</x:v>
      </x:c>
      <x:c r="Q361" s="22" t="str">
        <x:v>Not screened</x:v>
      </x:c>
      <x:c r="R361" s="22" t="str">
        <x:v>Removed before title/abstract screening as a confirmed duplicate.</x:v>
      </x:c>
      <x:c r="S361" s="22" t="str">
        <x:v>Not applicable — removed before screening</x:v>
      </x:c>
      <x:c r="T361" s="22" t="str">
        <x:v>Record was outside the active screening set.</x:v>
      </x:c>
      <x:c r="U361" s="22" t="str">
        <x:v>Removed before screening</x:v>
      </x:c>
      <x:c r="V361" s="22" t="str">
        <x:v>Confirmed duplicate removed during deduplication.</x:v>
      </x:c>
      <x:c r="W361" s="22" t="str">
        <x:v>No</x:v>
      </x:c>
      <x:c r="X361" s="22" t="str">
        <x:v>Not applicable</x:v>
      </x:c>
      <x:c r="Y361" s="22" t="str">
        <x:v>Not assessed</x:v>
      </x:c>
      <x:c r="Z361" s="22" t="str">
        <x:v>Not applicable — record removed before screening.</x:v>
      </x:c>
      <x:c r="AA361" s="22" t="str">
        <x:v>Not applicable</x:v>
      </x:c>
      <x:c r="AB361" s="22" t="str">
        <x:v>Record was not advanced to full-text assessment.</x:v>
      </x:c>
      <x:c r="AC361" s="22" t="str">
        <x:v>Not assessed</x:v>
      </x:c>
      <x:c r="AD361" s="22" t="str">
        <x:v>Not applicable — no full-text assessment was required.</x:v>
      </x:c>
      <x:c r="AE361" s="22" t="str">
        <x:v>Removed before screening</x:v>
      </x:c>
      <x:c r="AF361" s="22" t="str">
        <x:v>Not applicable — not included</x:v>
      </x:c>
      <x:c r="AG361" s="22" t="str">
        <x:v>Evidence: 7d6c0452-9566-4e26-8204-d5ce13a3863d.png; page 2, result 4. Metadata transcribed from captured Google Scholar page; OCR-normalised, verify against publication before citation.</x:v>
      </x:c>
      <x:c r="AH361" s="20" t="str">
        <x:v>Confirmed using normalized title across captured searches.</x:v>
      </x:c>
    </x:row>
    <x:row r="362" ht="42" customHeight="1">
      <x:c r="A362" s="22" t="str">
        <x:v>GS-04-015</x:v>
      </x:c>
      <x:c r="B362" s="22" t="str">
        <x:v>Google Scholar</x:v>
      </x:c>
      <x:c r="C362" s="22" t="str">
        <x:v>GS-04</x:v>
      </x:c>
      <x:c r="D362" s="22" t="str">
        <x:v>Fairness-Aware Multimodal Glaucoma Detectian via Neurosymbolic Learning with Differentiable Clinical Constraints</x:v>
      </x:c>
      <x:c r="E362" s="22" t="str">
        <x:v>Afertaro Mlammarino, = Pecoreli</x:v>
      </x:c>
      <x:c r="F362" s="22" t="n">
        <x:v>2025</x:v>
      </x:c>
      <x:c r="G362" s="22" t="str">
        <x:v>2028 6th = 2025 - ieeexplare ieee org</x:v>
      </x:c>
      <x:c r="H362" s="22" t="str">
        <x:v>Google Scholar result</x:v>
      </x:c>
      <x:c r="I362" s="22" t="str">
        <x:v>NR</x:v>
      </x:c>
      <x:c r="J362" s="22" t="str">
        <x:v>NR</x:v>
      </x:c>
      <x:c r="K362" s="22" t="str">
        <x:v>NR — URL not captured in the available source record</x:v>
      </x:c>
      <x:c r="L362" s="22" t="str">
        <x:v>Not available in the captured evidence; the screening decision used the title and available source metadata.</x:v>
      </x:c>
      <x:c r="M362" s="22" t="str">
        <x:v>Confirmed duplicate</x:v>
      </x:c>
      <x:c r="N362" s="22" t="str">
        <x:v>DG-118</x:v>
      </x:c>
      <x:c r="O362" s="22" t="str">
        <x:v>IEEE-007</x:v>
      </x:c>
      <x:c r="P362" s="22" t="str">
        <x:v>No</x:v>
      </x:c>
      <x:c r="Q362" s="22" t="str">
        <x:v>Not screened</x:v>
      </x:c>
      <x:c r="R362" s="22" t="str">
        <x:v>Removed before title/abstract screening as a confirmed duplicate.</x:v>
      </x:c>
      <x:c r="S362" s="22" t="str">
        <x:v>Not applicable — removed before screening</x:v>
      </x:c>
      <x:c r="T362" s="22" t="str">
        <x:v>Record was outside the active screening set.</x:v>
      </x:c>
      <x:c r="U362" s="22" t="str">
        <x:v>Removed before screening</x:v>
      </x:c>
      <x:c r="V362" s="22" t="str">
        <x:v>Confirmed duplicate removed during deduplication.</x:v>
      </x:c>
      <x:c r="W362" s="22" t="str">
        <x:v>No</x:v>
      </x:c>
      <x:c r="X362" s="22" t="str">
        <x:v>Not applicable</x:v>
      </x:c>
      <x:c r="Y362" s="22" t="str">
        <x:v>Not assessed</x:v>
      </x:c>
      <x:c r="Z362" s="22" t="str">
        <x:v>Not applicable — record removed before screening.</x:v>
      </x:c>
      <x:c r="AA362" s="22" t="str">
        <x:v>Not applicable</x:v>
      </x:c>
      <x:c r="AB362" s="22" t="str">
        <x:v>Record was not advanced to full-text assessment.</x:v>
      </x:c>
      <x:c r="AC362" s="22" t="str">
        <x:v>Not assessed</x:v>
      </x:c>
      <x:c r="AD362" s="22" t="str">
        <x:v>Not applicable — no full-text assessment was required.</x:v>
      </x:c>
      <x:c r="AE362" s="22" t="str">
        <x:v>Removed before screening</x:v>
      </x:c>
      <x:c r="AF362" s="22" t="str">
        <x:v>Not applicable — not included</x:v>
      </x:c>
      <x:c r="AG362" s="22" t="str">
        <x:v>Evidence: 7d6c0452-9566-4e26-8204-d5ce13a3863d.png; page 2, result 5. Metadata transcribed from captured Google Scholar page; OCR-normalised, verify against publication before citation.</x:v>
      </x:c>
      <x:c r="AH362" s="20" t="str">
        <x:v>No duplicate identified under the documented matching rules.</x:v>
      </x:c>
    </x:row>
    <x:row r="363" ht="42" customHeight="1">
      <x:c r="A363" s="22" t="str">
        <x:v>GS-04-016</x:v>
      </x:c>
      <x:c r="B363" s="22" t="str">
        <x:v>Google Scholar</x:v>
      </x:c>
      <x:c r="C363" s="22" t="str">
        <x:v>GS-04</x:v>
      </x:c>
      <x:c r="D363" s="22" t="str">
        <x:v>Visual Categonzatian Across Minds and Models Cagnitive Analysis of Human Labeling and Neuro-Symbolic Integration</x:v>
      </x:c>
      <x:c r="E363" s="22" t="str">
        <x:v>CP Kaboere</x:v>
      </x:c>
      <x:c r="F363" s="22" t="n">
        <x:v>2025</x:v>
      </x:c>
      <x:c r="G363" s="22" t="str">
        <x:v>arXiv preprint arXiv 2512.09340, 2025 - arxv.otg</x:v>
      </x:c>
      <x:c r="H363" s="22" t="str">
        <x:v>Google Scholar result</x:v>
      </x:c>
      <x:c r="I363" s="22" t="str">
        <x:v>NR</x:v>
      </x:c>
      <x:c r="J363" s="22" t="str">
        <x:v>NR</x:v>
      </x:c>
      <x:c r="K363" s="22" t="str">
        <x:v>NR — URL not captured in the available source record</x:v>
      </x:c>
      <x:c r="L363" s="22" t="str">
        <x:v>Not available in the captured evidence; the screening decision used the title and available source metadata.</x:v>
      </x:c>
      <x:c r="M363" s="22" t="str">
        <x:v>No duplicate</x:v>
      </x:c>
      <x:c r="N363" s="22" t="str">
        <x:v>DG-030</x:v>
      </x:c>
      <x:c r="O363" s="22" t="str">
        <x:v>Not applicable</x:v>
      </x:c>
      <x:c r="P363" s="22" t="str">
        <x:v>Yes</x:v>
      </x:c>
      <x:c r="Q363" s="22" t="str">
        <x:v>Exclude</x:v>
      </x:c>
      <x:c r="R363" s="22" t="str">
        <x:v>General cognitive categorisation; not medical imaging.</x:v>
      </x:c>
      <x:c r="S363" s="22" t="str">
        <x:v>Verification documented at process level</x:v>
      </x:c>
      <x:c r="T363" s="22" t="str">
        <x:v>Two additional authors performed random spot checks; individual spot-check assignments are not recorded in this register.</x:v>
      </x:c>
      <x:c r="U363" s="22" t="str">
        <x:v>Exclude</x:v>
      </x:c>
      <x:c r="V363" s="22" t="str">
        <x:v>Primary decision by the corresponding author; two additional authors performed random spot checks as a quality-control step.</x:v>
      </x:c>
      <x:c r="W363" s="22" t="str">
        <x:v>No</x:v>
      </x:c>
      <x:c r="X363" s="22" t="str">
        <x:v>Not applicable</x:v>
      </x:c>
      <x:c r="Y363" s="22" t="str">
        <x:v>Not assessed</x:v>
      </x:c>
      <x:c r="Z363" s="22" t="str">
        <x:v>Not advanced to full-text assessment after the title/abstract decision.</x:v>
      </x:c>
      <x:c r="AA363" s="22" t="str">
        <x:v>Not applicable</x:v>
      </x:c>
      <x:c r="AB363" s="22" t="str">
        <x:v>Record was not advanced to full-text assessment.</x:v>
      </x:c>
      <x:c r="AC363" s="22" t="str">
        <x:v>Not assessed</x:v>
      </x:c>
      <x:c r="AD363" s="22" t="str">
        <x:v>Not applicable — no full-text assessment was required.</x:v>
      </x:c>
      <x:c r="AE363" s="22" t="str">
        <x:v>Not included — title/abstract exclusion</x:v>
      </x:c>
      <x:c r="AF363" s="22" t="str">
        <x:v>Not applicable — not included</x:v>
      </x:c>
      <x:c r="AG363" s="22" t="str">
        <x:v>Evidence: 7d6c0452-9566-4e26-8204-d5ce13a3863d.png; page 2, result 6. Metadata transcribed from captured Google Scholar page; OCR-normalised, verify against publication before citation.</x:v>
      </x:c>
      <x:c r="AH363" s="20" t="str">
        <x:v>Confirmed using normalized title across captured searches.</x:v>
      </x:c>
    </x:row>
    <x:row r="364" ht="42" customHeight="1">
      <x:c r="A364" s="22" t="str">
        <x:v>GS-04-017</x:v>
      </x:c>
      <x:c r="B364" s="22" t="str">
        <x:v>Google Scholar</x:v>
      </x:c>
      <x:c r="C364" s="22" t="str">
        <x:v>GS-04</x:v>
      </x:c>
      <x:c r="D364" s="22" t="str">
        <x:v>Bridging the gap: The rise of neurosymbolic artificial intelligence in advanced computing</x:v>
      </x:c>
      <x:c r="E364" s="22" t="str">
        <x:v>P Sanguly | Mukherjse</x:v>
      </x:c>
      <x:c r="F364" s="22" t="n">
        <x:v>2025</x:v>
      </x:c>
      <x:c r="G364" s="22" t="str">
        <x:v>T Professional, 2025 - iazexplore iege org</x:v>
      </x:c>
      <x:c r="H364" s="22" t="str">
        <x:v>Google Scholar result</x:v>
      </x:c>
      <x:c r="I364" s="22" t="str">
        <x:v>NR</x:v>
      </x:c>
      <x:c r="J364" s="22" t="str">
        <x:v>NR</x:v>
      </x:c>
      <x:c r="K364" s="22" t="str">
        <x:v>NR — URL not captured in the available source record</x:v>
      </x:c>
      <x:c r="L364" s="22" t="str">
        <x:v>Not available in the captured evidence; the screening decision used the title and available source metadata.</x:v>
      </x:c>
      <x:c r="M364" s="22" t="str">
        <x:v>No duplicate</x:v>
      </x:c>
      <x:c r="N364" s="22" t="str">
        <x:v>Not applicable — no duplicate group</x:v>
      </x:c>
      <x:c r="O364" s="22" t="str">
        <x:v>Not applicable</x:v>
      </x:c>
      <x:c r="P364" s="22" t="str">
        <x:v>Yes</x:v>
      </x:c>
      <x:c r="Q364" s="22" t="str">
        <x:v>Exclude</x:v>
      </x:c>
      <x:c r="R364" s="22" t="str">
        <x:v>Broad overview; not original retinal research.</x:v>
      </x:c>
      <x:c r="S364" s="22" t="str">
        <x:v>Verification documented at process level</x:v>
      </x:c>
      <x:c r="T364" s="22" t="str">
        <x:v>Two additional authors performed random spot checks; individual spot-check assignments are not recorded in this register.</x:v>
      </x:c>
      <x:c r="U364" s="22" t="str">
        <x:v>Exclude</x:v>
      </x:c>
      <x:c r="V364" s="22" t="str">
        <x:v>Primary decision by the corresponding author; two additional authors performed random spot checks as a quality-control step.</x:v>
      </x:c>
      <x:c r="W364" s="22" t="str">
        <x:v>No</x:v>
      </x:c>
      <x:c r="X364" s="22" t="str">
        <x:v>Not applicable</x:v>
      </x:c>
      <x:c r="Y364" s="22" t="str">
        <x:v>Not assessed</x:v>
      </x:c>
      <x:c r="Z364" s="22" t="str">
        <x:v>Not advanced to full-text assessment after the title/abstract decision.</x:v>
      </x:c>
      <x:c r="AA364" s="22" t="str">
        <x:v>Not applicable</x:v>
      </x:c>
      <x:c r="AB364" s="22" t="str">
        <x:v>Record was not advanced to full-text assessment.</x:v>
      </x:c>
      <x:c r="AC364" s="22" t="str">
        <x:v>Not assessed</x:v>
      </x:c>
      <x:c r="AD364" s="22" t="str">
        <x:v>Not applicable — no full-text assessment was required.</x:v>
      </x:c>
      <x:c r="AE364" s="22" t="str">
        <x:v>Not included — title/abstract exclusion</x:v>
      </x:c>
      <x:c r="AF364" s="22" t="str">
        <x:v>Not applicable — not included</x:v>
      </x:c>
      <x:c r="AG364" s="22" t="str">
        <x:v>Evidence: 7d6c0452-9566-4e26-8204-d5ce13a3863d.png; page 2, result 7. Metadata transcribed from captured Google Scholar page; OCR-normalised, verify against publication before citation.</x:v>
      </x:c>
      <x:c r="AH364" s="20" t="str">
        <x:v>No duplicate identified under the documented matching rules.</x:v>
      </x:c>
    </x:row>
    <x:row r="365" ht="42" customHeight="1">
      <x:c r="A365" s="22" t="str">
        <x:v>GS-04-018</x:v>
      </x:c>
      <x:c r="B365" s="22" t="str">
        <x:v>Google Scholar</x:v>
      </x:c>
      <x:c r="C365" s="22" t="str">
        <x:v>GS-04</x:v>
      </x:c>
      <x:c r="D365" s="22" t="str">
        <x:v>Rapid image labeling via neuro-symbolic learning</x:v>
      </x:c>
      <x:c r="E365" s="22" t="str">
        <x:v>Yang Z™u Y Xang. S2rou X Chan. Bi</x:v>
      </x:c>
      <x:c r="F365" s="22" t="n">
        <x:v>2023</x:v>
      </x:c>
      <x:c r="G365" s="22" t="str">
        <x:v>Proceedings oltha 29th . 2023- dl acm srg</x:v>
      </x:c>
      <x:c r="H365" s="22" t="str">
        <x:v>Google Scholar result</x:v>
      </x:c>
      <x:c r="I365" s="22" t="str">
        <x:v>NR</x:v>
      </x:c>
      <x:c r="J365" s="22" t="str">
        <x:v>NR</x:v>
      </x:c>
      <x:c r="K365" s="22" t="str">
        <x:v>NR — URL not captured in the available source record</x:v>
      </x:c>
      <x:c r="L365" s="22" t="str">
        <x:v>Not available in the captured evidence; the screening decision used the title and available source metadata.</x:v>
      </x:c>
      <x:c r="M365" s="22" t="str">
        <x:v>No duplicate</x:v>
      </x:c>
      <x:c r="N365" s="22" t="str">
        <x:v>DG-095</x:v>
      </x:c>
      <x:c r="O365" s="22" t="str">
        <x:v>Not applicable</x:v>
      </x:c>
      <x:c r="P365" s="22" t="str">
        <x:v>Yes</x:v>
      </x:c>
      <x:c r="Q365" s="22" t="str">
        <x:v>Exclude</x:v>
      </x:c>
      <x:c r="R365" s="22" t="str">
        <x:v>Generic computer-vision image labelling.</x:v>
      </x:c>
      <x:c r="S365" s="22" t="str">
        <x:v>Verification documented at process level</x:v>
      </x:c>
      <x:c r="T365" s="22" t="str">
        <x:v>Two additional authors performed random spot checks; individual spot-check assignments are not recorded in this register.</x:v>
      </x:c>
      <x:c r="U365" s="22" t="str">
        <x:v>Exclude</x:v>
      </x:c>
      <x:c r="V365" s="22" t="str">
        <x:v>Primary decision by the corresponding author; two additional authors performed random spot checks as a quality-control step.</x:v>
      </x:c>
      <x:c r="W365" s="22" t="str">
        <x:v>No</x:v>
      </x:c>
      <x:c r="X365" s="22" t="str">
        <x:v>Not applicable</x:v>
      </x:c>
      <x:c r="Y365" s="22" t="str">
        <x:v>Not assessed</x:v>
      </x:c>
      <x:c r="Z365" s="22" t="str">
        <x:v>Not advanced to full-text assessment after the title/abstract decision.</x:v>
      </x:c>
      <x:c r="AA365" s="22" t="str">
        <x:v>Not applicable</x:v>
      </x:c>
      <x:c r="AB365" s="22" t="str">
        <x:v>Record was not advanced to full-text assessment.</x:v>
      </x:c>
      <x:c r="AC365" s="22" t="str">
        <x:v>Not assessed</x:v>
      </x:c>
      <x:c r="AD365" s="22" t="str">
        <x:v>Not applicable — no full-text assessment was required.</x:v>
      </x:c>
      <x:c r="AE365" s="22" t="str">
        <x:v>Not included — title/abstract exclusion</x:v>
      </x:c>
      <x:c r="AF365" s="22" t="str">
        <x:v>Not applicable — not included</x:v>
      </x:c>
      <x:c r="AG365" s="22" t="str">
        <x:v>Evidence: 7d6c0452-9566-4e26-8204-d5ce13a3863d.png; page 2, result 8. Metadata transcribed from captured Google Scholar page; OCR-normalised, verify against publication before citation.</x:v>
      </x:c>
      <x:c r="AH365" s="20" t="str">
        <x:v>No duplicate identified under the documented matching rules.</x:v>
      </x:c>
    </x:row>
    <x:row r="366" ht="42" customHeight="1">
      <x:c r="A366" s="22" t="str">
        <x:v>GS-04-019</x:v>
      </x:c>
      <x:c r="B366" s="22" t="str">
        <x:v>Google Scholar</x:v>
      </x:c>
      <x:c r="C366" s="22" t="str">
        <x:v>GS-04</x:v>
      </x:c>
      <x:c r="D366" s="22" t="str">
        <x:v>Explainable neuro-symbolic artificial intelligence for automated interpretation of comeal topography and early keratoconus detection</x:v>
      </x:c>
      <x:c r="E366" s="22" t="str">
        <x:v>MH ‘ang S Qin</x:v>
      </x:c>
      <x:c r="F366" s="22" t="n">
        <x:v>2026</x:v>
      </x:c>
      <x:c r="G366" s="22" t="str">
        <x:v>“rontiers in 4rtiicial Invallgece 2026 - frontiarsin arg</x:v>
      </x:c>
      <x:c r="H366" s="22" t="str">
        <x:v>Google Scholar result</x:v>
      </x:c>
      <x:c r="I366" s="22" t="str">
        <x:v>NR</x:v>
      </x:c>
      <x:c r="J366" s="22" t="str">
        <x:v>NR</x:v>
      </x:c>
      <x:c r="K366" s="22" t="str">
        <x:v>NR — URL not captured in the available source record</x:v>
      </x:c>
      <x:c r="L366" s="22" t="str">
        <x:v>Not available in the captured evidence; the screening decision used the title and available source metadata.</x:v>
      </x:c>
      <x:c r="M366" s="22" t="str">
        <x:v>Confirmed duplicate</x:v>
      </x:c>
      <x:c r="N366" s="22" t="str">
        <x:v>DG-007</x:v>
      </x:c>
      <x:c r="O366" s="22" t="str">
        <x:v>PM-018</x:v>
      </x:c>
      <x:c r="P366" s="22" t="str">
        <x:v>No</x:v>
      </x:c>
      <x:c r="Q366" s="22" t="str">
        <x:v>Not screened</x:v>
      </x:c>
      <x:c r="R366" s="22" t="str">
        <x:v>Removed before title/abstract screening as a confirmed duplicate.</x:v>
      </x:c>
      <x:c r="S366" s="22" t="str">
        <x:v>Not applicable — removed before screening</x:v>
      </x:c>
      <x:c r="T366" s="22" t="str">
        <x:v>Record was outside the active screening set.</x:v>
      </x:c>
      <x:c r="U366" s="22" t="str">
        <x:v>Removed before screening</x:v>
      </x:c>
      <x:c r="V366" s="22" t="str">
        <x:v>Confirmed duplicate removed during deduplication.</x:v>
      </x:c>
      <x:c r="W366" s="22" t="str">
        <x:v>No</x:v>
      </x:c>
      <x:c r="X366" s="22" t="str">
        <x:v>Not applicable</x:v>
      </x:c>
      <x:c r="Y366" s="22" t="str">
        <x:v>Not assessed</x:v>
      </x:c>
      <x:c r="Z366" s="22" t="str">
        <x:v>Not applicable — record removed before screening.</x:v>
      </x:c>
      <x:c r="AA366" s="22" t="str">
        <x:v>Not applicable</x:v>
      </x:c>
      <x:c r="AB366" s="22" t="str">
        <x:v>Record was not advanced to full-text assessment.</x:v>
      </x:c>
      <x:c r="AC366" s="22" t="str">
        <x:v>Not assessed</x:v>
      </x:c>
      <x:c r="AD366" s="22" t="str">
        <x:v>Not applicable — no full-text assessment was required.</x:v>
      </x:c>
      <x:c r="AE366" s="22" t="str">
        <x:v>Removed before screening</x:v>
      </x:c>
      <x:c r="AF366" s="22" t="str">
        <x:v>Not applicable — not included</x:v>
      </x:c>
      <x:c r="AG366" s="22" t="str">
        <x:v>Evidence: 7d6c0452-9566-4e26-8204-d5ce13a3863d.png; page 2, result 9. Metadata transcribed from captured Google Scholar page; OCR-normalised, verify against publication before citation.</x:v>
      </x:c>
      <x:c r="AH366" s="20" t="str">
        <x:v>Confirmed using DOI/title evidence; identifier/title evidence; normalized title across captured searches.</x:v>
      </x:c>
    </x:row>
    <x:row r="367" ht="42" customHeight="1">
      <x:c r="A367" s="22" t="str">
        <x:v>GS-04-020</x:v>
      </x:c>
      <x:c r="B367" s="22" t="str">
        <x:v>Google Scholar</x:v>
      </x:c>
      <x:c r="C367" s="22" t="str">
        <x:v>GS-04</x:v>
      </x:c>
      <x:c r="D367" s="22" t="str">
        <x:v>4TML] An explainable Al framework for corneal imaging interpretation and refractive surgery decision support</x:v>
      </x:c>
      <x:c r="E367" s="22" t="str">
        <x:v>MH \Wang</x:v>
      </x:c>
      <x:c r="F367" s="22" t="n">
        <x:v>2025</x:v>
      </x:c>
      <x:c r="G367" s="22" t="str">
        <x:v>Binengineenng 2025 ~ mapi carr</x:v>
      </x:c>
      <x:c r="H367" s="22" t="str">
        <x:v>Google Scholar result</x:v>
      </x:c>
      <x:c r="I367" s="22" t="str">
        <x:v>NR</x:v>
      </x:c>
      <x:c r="J367" s="22" t="str">
        <x:v>NR</x:v>
      </x:c>
      <x:c r="K367" s="22" t="str">
        <x:v>NR — URL not captured in the available source record</x:v>
      </x:c>
      <x:c r="L367" s="22" t="str">
        <x:v>Not available in the captured evidence; the screening decision used the title and available source metadata.</x:v>
      </x:c>
      <x:c r="M367" s="22" t="str">
        <x:v>Confirmed duplicate</x:v>
      </x:c>
      <x:c r="N367" s="22" t="str">
        <x:v>DG-005</x:v>
      </x:c>
      <x:c r="O367" s="22" t="str">
        <x:v>PM-016</x:v>
      </x:c>
      <x:c r="P367" s="22" t="str">
        <x:v>No</x:v>
      </x:c>
      <x:c r="Q367" s="22" t="str">
        <x:v>Not screened</x:v>
      </x:c>
      <x:c r="R367" s="22" t="str">
        <x:v>Removed before title/abstract screening as a confirmed duplicate.</x:v>
      </x:c>
      <x:c r="S367" s="22" t="str">
        <x:v>Not applicable — removed before screening</x:v>
      </x:c>
      <x:c r="T367" s="22" t="str">
        <x:v>Record was outside the active screening set.</x:v>
      </x:c>
      <x:c r="U367" s="22" t="str">
        <x:v>Removed before screening</x:v>
      </x:c>
      <x:c r="V367" s="22" t="str">
        <x:v>Confirmed duplicate removed during deduplication.</x:v>
      </x:c>
      <x:c r="W367" s="22" t="str">
        <x:v>No</x:v>
      </x:c>
      <x:c r="X367" s="22" t="str">
        <x:v>Not applicable</x:v>
      </x:c>
      <x:c r="Y367" s="22" t="str">
        <x:v>Not assessed</x:v>
      </x:c>
      <x:c r="Z367" s="22" t="str">
        <x:v>Not applicable — record removed before screening.</x:v>
      </x:c>
      <x:c r="AA367" s="22" t="str">
        <x:v>Not applicable</x:v>
      </x:c>
      <x:c r="AB367" s="22" t="str">
        <x:v>Record was not advanced to full-text assessment.</x:v>
      </x:c>
      <x:c r="AC367" s="22" t="str">
        <x:v>Not assessed</x:v>
      </x:c>
      <x:c r="AD367" s="22" t="str">
        <x:v>Not applicable — no full-text assessment was required.</x:v>
      </x:c>
      <x:c r="AE367" s="22" t="str">
        <x:v>Removed before screening</x:v>
      </x:c>
      <x:c r="AF367" s="22" t="str">
        <x:v>Not applicable — not included</x:v>
      </x:c>
      <x:c r="AG367" s="22" t="str">
        <x:v>Evidence: 7d6c0452-9566-4e26-8204-d5ce13a3863d.png; page 2, result 10. Metadata transcribed from captured Google Scholar page; OCR-normalised, verify against publication before citation.</x:v>
      </x:c>
      <x:c r="AH367" s="20" t="str">
        <x:v>Confirmed using DOI/title evidence; identifier/title evidence; normalized title across captured searches.</x:v>
      </x:c>
    </x:row>
    <x:row r="368" ht="42" customHeight="1">
      <x:c r="A368" s="22" t="str">
        <x:v>GS-04-021</x:v>
      </x:c>
      <x:c r="B368" s="22" t="str">
        <x:v>Google Scholar</x:v>
      </x:c>
      <x:c r="C368" s="22" t="str">
        <x:v>GS-04</x:v>
      </x:c>
      <x:c r="D368" s="22" t="str">
        <x:v>Neuro-symbolic Al in various domains</x:v>
      </x:c>
      <x:c r="E368" s="22" t="str">
        <x:v>BF Bhuysn, 4Ramdane-Chen TP Singh =</x:v>
      </x:c>
      <x:c r="F368" s="22" t="n">
        <x:v>2024</x:v>
      </x:c>
      <x:c r="G368" s="22" t="str">
        <x:v>Neuro-Symbolic Artificial 2024 - Springer</x:v>
      </x:c>
      <x:c r="H368" s="22" t="str">
        <x:v>Google Scholar result</x:v>
      </x:c>
      <x:c r="I368" s="22" t="str">
        <x:v>NR</x:v>
      </x:c>
      <x:c r="J368" s="22" t="str">
        <x:v>NR</x:v>
      </x:c>
      <x:c r="K368" s="22" t="str">
        <x:v>NR — URL not captured in the available source record</x:v>
      </x:c>
      <x:c r="L368" s="22" t="str">
        <x:v>Not available in the captured evidence; the screening decision used the title and available source metadata.</x:v>
      </x:c>
      <x:c r="M368" s="22" t="str">
        <x:v>No duplicate</x:v>
      </x:c>
      <x:c r="N368" s="22" t="str">
        <x:v>DG-031</x:v>
      </x:c>
      <x:c r="O368" s="22" t="str">
        <x:v>Not applicable</x:v>
      </x:c>
      <x:c r="P368" s="22" t="str">
        <x:v>Yes</x:v>
      </x:c>
      <x:c r="Q368" s="22" t="str">
        <x:v>Exclude</x:v>
      </x:c>
      <x:c r="R368" s="22" t="str">
        <x:v>Broad review/book chapter; not original empirical research.</x:v>
      </x:c>
      <x:c r="S368" s="22" t="str">
        <x:v>Verification documented at process level</x:v>
      </x:c>
      <x:c r="T368" s="22" t="str">
        <x:v>Two additional authors performed random spot checks; individual spot-check assignments are not recorded in this register.</x:v>
      </x:c>
      <x:c r="U368" s="22" t="str">
        <x:v>Exclude</x:v>
      </x:c>
      <x:c r="V368" s="22" t="str">
        <x:v>Primary decision by the corresponding author; two additional authors performed random spot checks as a quality-control step.</x:v>
      </x:c>
      <x:c r="W368" s="22" t="str">
        <x:v>No</x:v>
      </x:c>
      <x:c r="X368" s="22" t="str">
        <x:v>Not applicable</x:v>
      </x:c>
      <x:c r="Y368" s="22" t="str">
        <x:v>Not assessed</x:v>
      </x:c>
      <x:c r="Z368" s="22" t="str">
        <x:v>Not advanced to full-text assessment after the title/abstract decision.</x:v>
      </x:c>
      <x:c r="AA368" s="22" t="str">
        <x:v>Not applicable</x:v>
      </x:c>
      <x:c r="AB368" s="22" t="str">
        <x:v>Record was not advanced to full-text assessment.</x:v>
      </x:c>
      <x:c r="AC368" s="22" t="str">
        <x:v>Not assessed</x:v>
      </x:c>
      <x:c r="AD368" s="22" t="str">
        <x:v>Not applicable — no full-text assessment was required.</x:v>
      </x:c>
      <x:c r="AE368" s="22" t="str">
        <x:v>Not included — title/abstract exclusion</x:v>
      </x:c>
      <x:c r="AF368" s="22" t="str">
        <x:v>Not applicable — not included</x:v>
      </x:c>
      <x:c r="AG368" s="22" t="str">
        <x:v>Evidence: c39f5381-e36d-462c-9f59-c8daf241fc18.png; page 3, result 1. Metadata transcribed from captured Google Scholar page; OCR-normalised, verify against publication before citation.</x:v>
      </x:c>
      <x:c r="AH368" s="20" t="str">
        <x:v>Confirmed using normalized title across captured searches.</x:v>
      </x:c>
    </x:row>
    <x:row r="369" ht="42" customHeight="1">
      <x:c r="A369" s="22" t="str">
        <x:v>GS-04-022</x:v>
      </x:c>
      <x:c r="B369" s="22" t="str">
        <x:v>Google Scholar</x:v>
      </x:c>
      <x:c r="C369" s="22" t="str">
        <x:v>GS-04</x:v>
      </x:c>
      <x:c r="D369" s="22" t="str">
        <x:v>Explainable and interpretable diabetic retinopathy classification based on neural - symbolic tearning</x:v>
      </x:c>
      <x:c r="E369" s="22" t="str">
        <x:v>Si Jang MJA Girard, AH Thiary</x:v>
      </x:c>
      <x:c r="F369" s="22" t="n">
        <x:v>2022</x:v>
      </x:c>
      <x:c r="G369" s="22" t="str">
        <x:v>arX preprint arXiv 2204 00624 2022 - ancy org</x:v>
      </x:c>
      <x:c r="H369" s="22" t="str">
        <x:v>Google Scholar result</x:v>
      </x:c>
      <x:c r="I369" s="22" t="str">
        <x:v>NR</x:v>
      </x:c>
      <x:c r="J369" s="22" t="str">
        <x:v>NR</x:v>
      </x:c>
      <x:c r="K369" s="22" t="str">
        <x:v>NR — URL not captured in the available source record</x:v>
      </x:c>
      <x:c r="L369" s="22" t="str">
        <x:v>Not available in the captured evidence; the screening decision used the title and available source metadata.</x:v>
      </x:c>
      <x:c r="M369" s="22" t="str">
        <x:v>Confirmed duplicate</x:v>
      </x:c>
      <x:c r="N369" s="22" t="str">
        <x:v>DG-032</x:v>
      </x:c>
      <x:c r="O369" s="22" t="str">
        <x:v>ARXIV-10-030</x:v>
      </x:c>
      <x:c r="P369" s="22" t="str">
        <x:v>No</x:v>
      </x:c>
      <x:c r="Q369" s="22" t="str">
        <x:v>Not screened</x:v>
      </x:c>
      <x:c r="R369" s="22" t="str">
        <x:v>Removed before title/abstract screening as a confirmed duplicate.</x:v>
      </x:c>
      <x:c r="S369" s="22" t="str">
        <x:v>Not applicable — removed before screening</x:v>
      </x:c>
      <x:c r="T369" s="22" t="str">
        <x:v>Record was outside the active screening set.</x:v>
      </x:c>
      <x:c r="U369" s="22" t="str">
        <x:v>Removed before screening</x:v>
      </x:c>
      <x:c r="V369" s="22" t="str">
        <x:v>Confirmed duplicate removed during deduplication.</x:v>
      </x:c>
      <x:c r="W369" s="22" t="str">
        <x:v>No</x:v>
      </x:c>
      <x:c r="X369" s="22" t="str">
        <x:v>Not applicable</x:v>
      </x:c>
      <x:c r="Y369" s="22" t="str">
        <x:v>Not assessed</x:v>
      </x:c>
      <x:c r="Z369" s="22" t="str">
        <x:v>Not applicable — record removed before screening.</x:v>
      </x:c>
      <x:c r="AA369" s="22" t="str">
        <x:v>Not applicable</x:v>
      </x:c>
      <x:c r="AB369" s="22" t="str">
        <x:v>Record was not advanced to full-text assessment.</x:v>
      </x:c>
      <x:c r="AC369" s="22" t="str">
        <x:v>Not assessed</x:v>
      </x:c>
      <x:c r="AD369" s="22" t="str">
        <x:v>Not applicable — no full-text assessment was required.</x:v>
      </x:c>
      <x:c r="AE369" s="22" t="str">
        <x:v>Removed before screening</x:v>
      </x:c>
      <x:c r="AF369" s="22" t="str">
        <x:v>Not applicable — not included</x:v>
      </x:c>
      <x:c r="AG369" s="22" t="str">
        <x:v>Evidence: c39f5381-e36d-462c-9f59-c8daf241fc18.png; page 3, result 2. Metadata transcribed from captured Google Scholar page; OCR-normalised, verify against publication before citation.</x:v>
      </x:c>
      <x:c r="AH369" s="20" t="str">
        <x:v>Confirmed using normalized title across captured searches.</x:v>
      </x:c>
    </x:row>
    <x:row r="370" ht="42" customHeight="1">
      <x:c r="A370" s="22" t="str">
        <x:v>GS-04-023</x:v>
      </x:c>
      <x:c r="B370" s="22" t="str">
        <x:v>Google Scholar</x:v>
      </x:c>
      <x:c r="C370" s="22" t="str">
        <x:v>GS-04</x:v>
      </x:c>
      <x:c r="D370" s="22" t="str">
        <x:v>DeepInfusion A dynamic infusion based-neuro-symbolic Al madel for segmentation of intracranial aneurysms</x:v>
      </x:c>
      <x:c r="E370" s="22" t="str">
        <x:v>| Abduilah. A Javed KM Malik G Malik</x:v>
      </x:c>
      <x:c r="F370" s="22" t="n">
        <x:v>2023</x:v>
      </x:c>
      <x:c r="G370" s="22" t="str">
        <x:v>Neurocor puting, 2023 - Elsavier</x:v>
      </x:c>
      <x:c r="H370" s="22" t="str">
        <x:v>Google Scholar result</x:v>
      </x:c>
      <x:c r="I370" s="22" t="str">
        <x:v>10.1016/j.neucom.2023.126510</x:v>
      </x:c>
      <x:c r="J370" s="22" t="str">
        <x:v>NR</x:v>
      </x:c>
      <x:c r="K370" s="22" t="str">
        <x:v>https://www.sciencedirect.com/science/article/pii/S0925231223006331</x:v>
      </x:c>
      <x:c r="L370" s="22" t="str">
        <x:v>DeepInfusion is a neuro-symbolic model for cerebral-aneurysm segmentation that injects expert-advised hand-crafted features into deep neural networks and dynamically selects layers and feature weights. It is evaluated on 409 in-house DSA images, achieving 96.76% IoU and 94.15% F1 on unseen images. Tests on the public Kvasir-SEG polyp dataset and DRIVE retinal-vessel dataset show improvement over existing methods and indicate cross-task generalizability.</x:v>
      </x:c>
      <x:c r="M370" s="22" t="str">
        <x:v>No duplicate</x:v>
      </x:c>
      <x:c r="N370" s="22" t="str">
        <x:v>DG-033</x:v>
      </x:c>
      <x:c r="O370" s="22" t="str">
        <x:v>Not applicable</x:v>
      </x:c>
      <x:c r="P370" s="22" t="str">
        <x:v>Yes</x:v>
      </x:c>
      <x:c r="Q370" s="22" t="str">
        <x:v>Include</x:v>
      </x:c>
      <x:c r="R370" s="22" t="str">
        <x:v>Contextual original neurosymbolic medical-imaging study.</x:v>
      </x:c>
      <x:c r="S370" s="22" t="str">
        <x:v>Verification documented at process level</x:v>
      </x:c>
      <x:c r="T370" s="22" t="str">
        <x:v>Two additional authors performed random spot checks; individual spot-check assignments are not recorded in this register.</x:v>
      </x:c>
      <x:c r="U370" s="22" t="str">
        <x:v>Include</x:v>
      </x:c>
      <x:c r="V370" s="22" t="str">
        <x:v>Primary decision by the corresponding author; two additional authors performed random spot checks as a quality-control step.</x:v>
      </x:c>
      <x:c r="W370" s="22" t="str">
        <x:v>Yes</x:v>
      </x:c>
      <x:c r="X370" s="22" t="str">
        <x:v>Yes</x:v>
      </x:c>
      <x:c r="Y370" s="22" t="str">
        <x:v>Include</x:v>
      </x:c>
      <x:c r="Z370" s="22" t="str">
        <x:v>The corresponding author confirmed full-text assessment. Abstract/official-record rationale (I5): The abstract proposes DeepInfusion, a neuro-symbolic model for intracranial-aneurysm segmentation; it is retained as contextual original neuro-symbolic medical-imaging evidence.</x:v>
      </x:c>
      <x:c r="AA370" s="22" t="str">
        <x:v>Verification documented at process level</x:v>
      </x:c>
      <x:c r="AB370" s="22" t="str">
        <x:v>Two additional authors performed random spot checks; individual spot-check assignments are not recorded in this register.</x:v>
      </x:c>
      <x:c r="AC370" s="22" t="str">
        <x:v>Include</x:v>
      </x:c>
      <x:c r="AD370" s="22" t="str">
        <x:v>Primary decision by the corresponding author; two additional authors performed random spot checks as a quality-control step.</x:v>
      </x:c>
      <x:c r="AE370" s="22" t="str">
        <x:v>Include</x:v>
      </x:c>
      <x:c r="AF370" s="22" t="str">
        <x:v>Contextual medical concept-XAI evidence</x:v>
      </x:c>
      <x:c r="AG370" s="22" t="str">
        <x:v>Evidence: c39f5381-e36d-462c-9f59-c8daf241fc18.png; page 3, result 3. Metadata transcribed from captured Google Scholar page; OCR-normalised, verify against publication before citation.</x:v>
      </x:c>
      <x:c r="AH370" s="20" t="str">
        <x:v>Confirmed using normalized title across captured searches.</x:v>
      </x:c>
    </x:row>
    <x:row r="371" ht="42" customHeight="1">
      <x:c r="A371" s="22" t="str">
        <x:v>GS-04-024</x:v>
      </x:c>
      <x:c r="B371" s="22" t="str">
        <x:v>Google Scholar</x:v>
      </x:c>
      <x:c r="C371" s="22" t="str">
        <x:v>GS-04</x:v>
      </x:c>
      <x:c r="D371" s="22" t="str">
        <x:v>XAI-MeD Explainable Knowledge Guided Neuro-Symbolic Framework for Domain Generalization and Rare Class Detection in Medical Imaging</x:v>
      </x:c>
      <x:c r="E371" s="22" t="str">
        <x:v>M Jrcoj ABanerjee S Gupta</x:v>
      </x:c>
      <x:c r="F371" s="22" t="n">
        <x:v>2026</x:v>
      </x:c>
      <x:c r="G371" s="22" t="str">
        <x:v>arXiv precric| a-Xiv 2611 12008 2026 - arxivars</x:v>
      </x:c>
      <x:c r="H371" s="22" t="str">
        <x:v>Google Scholar result</x:v>
      </x:c>
      <x:c r="I371" s="22" t="str">
        <x:v>NR</x:v>
      </x:c>
      <x:c r="J371" s="22" t="str">
        <x:v>NR</x:v>
      </x:c>
      <x:c r="K371" s="22" t="str">
        <x:v>NR — URL not captured in the available source record</x:v>
      </x:c>
      <x:c r="L371" s="22" t="str">
        <x:v>Not available in the captured evidence; the screening decision used the title and available source metadata.</x:v>
      </x:c>
      <x:c r="M371" s="22" t="str">
        <x:v>Confirmed duplicate</x:v>
      </x:c>
      <x:c r="N371" s="22" t="str">
        <x:v>DG-034</x:v>
      </x:c>
      <x:c r="O371" s="22" t="str">
        <x:v>ARXIV-05-001</x:v>
      </x:c>
      <x:c r="P371" s="22" t="str">
        <x:v>No</x:v>
      </x:c>
      <x:c r="Q371" s="22" t="str">
        <x:v>Not screened</x:v>
      </x:c>
      <x:c r="R371" s="22" t="str">
        <x:v>Removed before title/abstract screening as a confirmed duplicate.</x:v>
      </x:c>
      <x:c r="S371" s="22" t="str">
        <x:v>Not applicable — removed before screening</x:v>
      </x:c>
      <x:c r="T371" s="22" t="str">
        <x:v>Record was outside the active screening set.</x:v>
      </x:c>
      <x:c r="U371" s="22" t="str">
        <x:v>Removed before screening</x:v>
      </x:c>
      <x:c r="V371" s="22" t="str">
        <x:v>Confirmed duplicate removed during deduplication.</x:v>
      </x:c>
      <x:c r="W371" s="22" t="str">
        <x:v>No</x:v>
      </x:c>
      <x:c r="X371" s="22" t="str">
        <x:v>Not applicable</x:v>
      </x:c>
      <x:c r="Y371" s="22" t="str">
        <x:v>Not assessed</x:v>
      </x:c>
      <x:c r="Z371" s="22" t="str">
        <x:v>Not applicable — record removed before screening.</x:v>
      </x:c>
      <x:c r="AA371" s="22" t="str">
        <x:v>Not applicable</x:v>
      </x:c>
      <x:c r="AB371" s="22" t="str">
        <x:v>Record was not advanced to full-text assessment.</x:v>
      </x:c>
      <x:c r="AC371" s="22" t="str">
        <x:v>Not assessed</x:v>
      </x:c>
      <x:c r="AD371" s="22" t="str">
        <x:v>Not applicable — no full-text assessment was required.</x:v>
      </x:c>
      <x:c r="AE371" s="22" t="str">
        <x:v>Removed before screening</x:v>
      </x:c>
      <x:c r="AF371" s="22" t="str">
        <x:v>Not applicable — not included</x:v>
      </x:c>
      <x:c r="AG371" s="22" t="str">
        <x:v>Evidence: c39f5381-e36d-462c-9f59-c8daf241fc18.png; page 3, result 4. Metadata transcribed from captured Google Scholar page; OCR-normalised, verify against publication before citation.</x:v>
      </x:c>
      <x:c r="AH371" s="20" t="str">
        <x:v>Confirmed using identifier/title evidence; normalized title across captured searches.</x:v>
      </x:c>
    </x:row>
    <x:row r="372" ht="42" customHeight="1">
      <x:c r="A372" s="22" t="str">
        <x:v>GS-04-025</x:v>
      </x:c>
      <x:c r="B372" s="22" t="str">
        <x:v>Google Scholar</x:v>
      </x:c>
      <x:c r="C372" s="22" t="str">
        <x:v>GS-04</x:v>
      </x:c>
      <x:c r="D372" s="22" t="str">
        <x:v>Neurosymbolic inference on foundation models for remote sensing text-to- image retrieval with complex queries</x:v>
      </x:c>
      <x:c r="E372" s="22" t="str">
        <x:v>EMezzi G Burghouls M Kruithof</x:v>
      </x:c>
      <x:c r="F372" s="22" t="str">
        <x:v>NR</x:v>
      </x:c>
      <x:c r="G372" s="22" t="str">
        <x:v>ACM Transactions an Spatial 2326 + d' acm org</x:v>
      </x:c>
      <x:c r="H372" s="22" t="str">
        <x:v>Google Scholar result</x:v>
      </x:c>
      <x:c r="I372" s="22" t="str">
        <x:v>NR</x:v>
      </x:c>
      <x:c r="J372" s="22" t="str">
        <x:v>NR</x:v>
      </x:c>
      <x:c r="K372" s="22" t="str">
        <x:v>NR — URL not captured in the available source record</x:v>
      </x:c>
      <x:c r="L372" s="22" t="str">
        <x:v>Not available in the captured evidence; the screening decision used the title and available source metadata.</x:v>
      </x:c>
      <x:c r="M372" s="22" t="str">
        <x:v>No duplicate</x:v>
      </x:c>
      <x:c r="N372" s="22" t="str">
        <x:v>DG-087</x:v>
      </x:c>
      <x:c r="O372" s="22" t="str">
        <x:v>Not applicable</x:v>
      </x:c>
      <x:c r="P372" s="22" t="str">
        <x:v>Yes</x:v>
      </x:c>
      <x:c r="Q372" s="22" t="str">
        <x:v>Exclude</x:v>
      </x:c>
      <x:c r="R372" s="22" t="str">
        <x:v>Wrong domain: remote-sensing imagery.</x:v>
      </x:c>
      <x:c r="S372" s="22" t="str">
        <x:v>Verification documented at process level</x:v>
      </x:c>
      <x:c r="T372" s="22" t="str">
        <x:v>Two additional authors performed random spot checks; individual spot-check assignments are not recorded in this register.</x:v>
      </x:c>
      <x:c r="U372" s="22" t="str">
        <x:v>Exclude</x:v>
      </x:c>
      <x:c r="V372" s="22" t="str">
        <x:v>Primary decision by the corresponding author; two additional authors performed random spot checks as a quality-control step.</x:v>
      </x:c>
      <x:c r="W372" s="22" t="str">
        <x:v>No</x:v>
      </x:c>
      <x:c r="X372" s="22" t="str">
        <x:v>Not applicable</x:v>
      </x:c>
      <x:c r="Y372" s="22" t="str">
        <x:v>Not assessed</x:v>
      </x:c>
      <x:c r="Z372" s="22" t="str">
        <x:v>Not advanced to full-text assessment after the title/abstract decision.</x:v>
      </x:c>
      <x:c r="AA372" s="22" t="str">
        <x:v>Not applicable</x:v>
      </x:c>
      <x:c r="AB372" s="22" t="str">
        <x:v>Record was not advanced to full-text assessment.</x:v>
      </x:c>
      <x:c r="AC372" s="22" t="str">
        <x:v>Not assessed</x:v>
      </x:c>
      <x:c r="AD372" s="22" t="str">
        <x:v>Not applicable — no full-text assessment was required.</x:v>
      </x:c>
      <x:c r="AE372" s="22" t="str">
        <x:v>Not included — title/abstract exclusion</x:v>
      </x:c>
      <x:c r="AF372" s="22" t="str">
        <x:v>Not applicable — not included</x:v>
      </x:c>
      <x:c r="AG372" s="22" t="str">
        <x:v>Evidence: c39f5381-e36d-462c-9f59-c8daf241fc18.png; page 3, result 5. Metadata transcribed from captured Google Scholar page; OCR-normalised, verify against publication before citation.</x:v>
      </x:c>
      <x:c r="AH372" s="20" t="str">
        <x:v>No duplicate identified under the documented matching rules.</x:v>
      </x:c>
    </x:row>
    <x:row r="373" ht="42" customHeight="1">
      <x:c r="A373" s="22" t="str">
        <x:v>GS-04-026</x:v>
      </x:c>
      <x:c r="B373" s="22" t="str">
        <x:v>Google Scholar</x:v>
      </x:c>
      <x:c r="C373" s="22" t="str">
        <x:v>GS-04</x:v>
      </x:c>
      <x:c r="D373" s="22" t="str">
        <x:v>NeRDO: Neuro-Symbolic Rule Distilatian far Efficient Ontology-Grounded Chain- of-Thought in Medical (mage Diagnosis</x:v>
      </x:c>
      <x:c r="E373" s="22" t="str">
        <x:v>HYang ¥ Jiang SYai JCrow EL! 2 Poon -srXvprepnant art = 202G</x:v>
      </x:c>
      <x:c r="F373" s="22" t="str">
        <x:v>NR</x:v>
      </x:c>
      <x:c r="G373" s="22" t="str">
        <x:v>arxivorg</x:v>
      </x:c>
      <x:c r="H373" s="22" t="str">
        <x:v>Google Scholar result</x:v>
      </x:c>
      <x:c r="I373" s="22" t="str">
        <x:v>NR</x:v>
      </x:c>
      <x:c r="J373" s="22" t="str">
        <x:v>NR</x:v>
      </x:c>
      <x:c r="K373" s="22" t="str">
        <x:v>NR — URL not captured in the available source record</x:v>
      </x:c>
      <x:c r="L373" s="22" t="str">
        <x:v>Not available in the captured evidence; the screening decision used the title and available source metadata.</x:v>
      </x:c>
      <x:c r="M373" s="22" t="str">
        <x:v>Confirmed duplicate</x:v>
      </x:c>
      <x:c r="N373" s="22" t="str">
        <x:v>DG-088</x:v>
      </x:c>
      <x:c r="O373" s="22" t="str">
        <x:v>GS-01-050</x:v>
      </x:c>
      <x:c r="P373" s="22" t="str">
        <x:v>No</x:v>
      </x:c>
      <x:c r="Q373" s="22" t="str">
        <x:v>Not screened</x:v>
      </x:c>
      <x:c r="R373" s="22" t="str">
        <x:v>Removed before title/abstract screening as a confirmed duplicate.</x:v>
      </x:c>
      <x:c r="S373" s="22" t="str">
        <x:v>Not applicable — removed before screening</x:v>
      </x:c>
      <x:c r="T373" s="22" t="str">
        <x:v>Record was outside the active screening set.</x:v>
      </x:c>
      <x:c r="U373" s="22" t="str">
        <x:v>Removed before screening</x:v>
      </x:c>
      <x:c r="V373" s="22" t="str">
        <x:v>Confirmed duplicate removed during deduplication.</x:v>
      </x:c>
      <x:c r="W373" s="22" t="str">
        <x:v>No</x:v>
      </x:c>
      <x:c r="X373" s="22" t="str">
        <x:v>Not applicable</x:v>
      </x:c>
      <x:c r="Y373" s="22" t="str">
        <x:v>Not assessed</x:v>
      </x:c>
      <x:c r="Z373" s="22" t="str">
        <x:v>Not applicable — record removed before screening.</x:v>
      </x:c>
      <x:c r="AA373" s="22" t="str">
        <x:v>Not applicable</x:v>
      </x:c>
      <x:c r="AB373" s="22" t="str">
        <x:v>Record was not advanced to full-text assessment.</x:v>
      </x:c>
      <x:c r="AC373" s="22" t="str">
        <x:v>Not assessed</x:v>
      </x:c>
      <x:c r="AD373" s="22" t="str">
        <x:v>Not applicable — no full-text assessment was required.</x:v>
      </x:c>
      <x:c r="AE373" s="22" t="str">
        <x:v>Removed before screening</x:v>
      </x:c>
      <x:c r="AF373" s="22" t="str">
        <x:v>Not applicable — not included</x:v>
      </x:c>
      <x:c r="AG373" s="22" t="str">
        <x:v>Evidence: c39f5381-e36d-462c-9f59-c8daf241fc18.png; page 3, result 6. Metadata transcribed from captured Google Scholar page; OCR-normalised, verify against publication before citation.</x:v>
      </x:c>
      <x:c r="AH373" s="20" t="str">
        <x:v>No duplicate identified under the documented matching rules.</x:v>
      </x:c>
    </x:row>
    <x:row r="374" ht="42" customHeight="1">
      <x:c r="A374" s="22" t="str">
        <x:v>GS-04-027</x:v>
      </x:c>
      <x:c r="B374" s="22" t="str">
        <x:v>Google Scholar</x:v>
      </x:c>
      <x:c r="C374" s="22" t="str">
        <x:v>GS-04</x:v>
      </x:c>
      <x:c r="D374" s="22" t="str">
        <x:v>A KMemory-Assisted Neuro-Symbolic Approach for Chestradiography Classification</x:v>
      </x:c>
      <x:c r="E374" s="22" t="str">
        <x:v>H Zhang €S Lima, R Samorinha A Tavares</x:v>
      </x:c>
      <x:c r="F374" s="22" t="str">
        <x:v>NR</x:v>
      </x:c>
      <x:c r="G374" s="22" t="str">
        <x:v>Available al SSRN - papers ssrn com</x:v>
      </x:c>
      <x:c r="H374" s="22" t="str">
        <x:v>Google Scholar result</x:v>
      </x:c>
      <x:c r="I374" s="22" t="str">
        <x:v>NR</x:v>
      </x:c>
      <x:c r="J374" s="22" t="str">
        <x:v>NR</x:v>
      </x:c>
      <x:c r="K374" s="22" t="str">
        <x:v>NR — URL not captured in the available source record</x:v>
      </x:c>
      <x:c r="L374" s="22" t="str">
        <x:v>Not available in the captured evidence; the screening decision used the title and available source metadata.</x:v>
      </x:c>
      <x:c r="M374" s="22" t="str">
        <x:v>No duplicate</x:v>
      </x:c>
      <x:c r="N374" s="22" t="str">
        <x:v>DG-035</x:v>
      </x:c>
      <x:c r="O374" s="22" t="str">
        <x:v>Not applicable</x:v>
      </x:c>
      <x:c r="P374" s="22" t="str">
        <x:v>Yes</x:v>
      </x:c>
      <x:c r="Q374" s="22" t="str">
        <x:v>Exclude</x:v>
      </x:c>
      <x:c r="R374" s="22" t="str">
        <x:v>Excluded by Reviewer 1 after human review.</x:v>
      </x:c>
      <x:c r="S374" s="22" t="str">
        <x:v>Verification documented at process level</x:v>
      </x:c>
      <x:c r="T374" s="22" t="str">
        <x:v>Two additional authors performed random spot checks; individual spot-check assignments are not recorded in this register.</x:v>
      </x:c>
      <x:c r="U374" s="22" t="str">
        <x:v>Exclude</x:v>
      </x:c>
      <x:c r="V374" s="22" t="str">
        <x:v>Primary decision by the corresponding author; two additional authors performed random spot checks as a quality-control step.</x:v>
      </x:c>
      <x:c r="W374" s="22" t="str">
        <x:v>No</x:v>
      </x:c>
      <x:c r="X374" s="22" t="str">
        <x:v>Not applicable</x:v>
      </x:c>
      <x:c r="Y374" s="22" t="str">
        <x:v>Not assessed</x:v>
      </x:c>
      <x:c r="Z374" s="22" t="str">
        <x:v>Not advanced to full-text assessment after the title/abstract decision.</x:v>
      </x:c>
      <x:c r="AA374" s="22" t="str">
        <x:v>Not applicable</x:v>
      </x:c>
      <x:c r="AB374" s="22" t="str">
        <x:v>Record was not advanced to full-text assessment.</x:v>
      </x:c>
      <x:c r="AC374" s="22" t="str">
        <x:v>Not assessed</x:v>
      </x:c>
      <x:c r="AD374" s="22" t="str">
        <x:v>Not applicable — no full-text assessment was required.</x:v>
      </x:c>
      <x:c r="AE374" s="22" t="str">
        <x:v>Not included — title/abstract exclusion</x:v>
      </x:c>
      <x:c r="AF374" s="22" t="str">
        <x:v>Not applicable — not included</x:v>
      </x:c>
      <x:c r="AG374" s="22" t="str">
        <x:v>Evidence: c39f5381-e36d-462c-9f59-c8daf241fc18.png; page 3, result 7. Metadata transcribed from captured Google Scholar page; OCR-normalised, verify against publication before citation.</x:v>
      </x:c>
      <x:c r="AH374" s="20" t="str">
        <x:v>Confirmed using normalized title across captured searches.</x:v>
      </x:c>
    </x:row>
    <x:row r="375" ht="42" customHeight="1">
      <x:c r="A375" s="22" t="str">
        <x:v>GS-04-028</x:v>
      </x:c>
      <x:c r="B375" s="22" t="str">
        <x:v>Google Scholar</x:v>
      </x:c>
      <x:c r="C375" s="22" t="str">
        <x:v>GS-04</x:v>
      </x:c>
      <x:c r="D375" s="22" t="str">
        <x:v>The roles af symbols in neural-based Al: they are not what you think!</x:v>
      </x:c>
      <x:c r="E375" s="22" t="str">
        <x:v>DL Silver TM Mitchel]</x:v>
      </x:c>
      <x:c r="F375" s="22" t="n">
        <x:v>2023</x:v>
      </x:c>
      <x:c r="G375" s="22" t="str">
        <x:v>Compardium of Neurosymbolic 2023 - joumals sagepub com</x:v>
      </x:c>
      <x:c r="H375" s="22" t="str">
        <x:v>Google Scholar result</x:v>
      </x:c>
      <x:c r="I375" s="22" t="str">
        <x:v>NR</x:v>
      </x:c>
      <x:c r="J375" s="22" t="str">
        <x:v>NR</x:v>
      </x:c>
      <x:c r="K375" s="22" t="str">
        <x:v>NR — URL not captured in the available source record</x:v>
      </x:c>
      <x:c r="L375" s="22" t="str">
        <x:v>Not available in the captured evidence; the screening decision used the title and available source metadata.</x:v>
      </x:c>
      <x:c r="M375" s="22" t="str">
        <x:v>No duplicate</x:v>
      </x:c>
      <x:c r="N375" s="22" t="str">
        <x:v>DG-036</x:v>
      </x:c>
      <x:c r="O375" s="22" t="str">
        <x:v>Not applicable</x:v>
      </x:c>
      <x:c r="P375" s="22" t="str">
        <x:v>Yes</x:v>
      </x:c>
      <x:c r="Q375" s="22" t="str">
        <x:v>Exclude</x:v>
      </x:c>
      <x:c r="R375" s="22" t="str">
        <x:v>General theoretical discussion; no relevant medical imaging.</x:v>
      </x:c>
      <x:c r="S375" s="22" t="str">
        <x:v>Verification documented at process level</x:v>
      </x:c>
      <x:c r="T375" s="22" t="str">
        <x:v>Two additional authors performed random spot checks; individual spot-check assignments are not recorded in this register.</x:v>
      </x:c>
      <x:c r="U375" s="22" t="str">
        <x:v>Exclude</x:v>
      </x:c>
      <x:c r="V375" s="22" t="str">
        <x:v>Primary decision by the corresponding author; two additional authors performed random spot checks as a quality-control step.</x:v>
      </x:c>
      <x:c r="W375" s="22" t="str">
        <x:v>No</x:v>
      </x:c>
      <x:c r="X375" s="22" t="str">
        <x:v>Not applicable</x:v>
      </x:c>
      <x:c r="Y375" s="22" t="str">
        <x:v>Not assessed</x:v>
      </x:c>
      <x:c r="Z375" s="22" t="str">
        <x:v>Not advanced to full-text assessment after the title/abstract decision.</x:v>
      </x:c>
      <x:c r="AA375" s="22" t="str">
        <x:v>Not applicable</x:v>
      </x:c>
      <x:c r="AB375" s="22" t="str">
        <x:v>Record was not advanced to full-text assessment.</x:v>
      </x:c>
      <x:c r="AC375" s="22" t="str">
        <x:v>Not assessed</x:v>
      </x:c>
      <x:c r="AD375" s="22" t="str">
        <x:v>Not applicable — no full-text assessment was required.</x:v>
      </x:c>
      <x:c r="AE375" s="22" t="str">
        <x:v>Not included — title/abstract exclusion</x:v>
      </x:c>
      <x:c r="AF375" s="22" t="str">
        <x:v>Not applicable — not included</x:v>
      </x:c>
      <x:c r="AG375" s="22" t="str">
        <x:v>Evidence: c39f5381-e36d-462c-9f59-c8daf241fc18.png; page 3, result 8. Metadata transcribed from captured Google Scholar page; OCR-normalised, verify against publication before citation.</x:v>
      </x:c>
      <x:c r="AH375" s="20" t="str">
        <x:v>Confirmed using normalized title across captured searches.</x:v>
      </x:c>
    </x:row>
    <x:row r="376" ht="42" customHeight="1">
      <x:c r="A376" s="22" t="str">
        <x:v>GS-04-029</x:v>
      </x:c>
      <x:c r="B376" s="22" t="str">
        <x:v>Google Scholar</x:v>
      </x:c>
      <x:c r="C376" s="22" t="str">
        <x:v>GS-04</x:v>
      </x:c>
      <x:c r="D376" s="22" t="str">
        <x:v>Noisy Pixels, Credible Decisions—A Rabust, Edge-Ready Neuro- Symbolic Architecture for Rural {African} Clinics</x:v>
      </x:c>
      <x:c r="E376" s="22" t="str">
        <x:v>CK Ky bakisg K Kyamakya, Wy Kambale =</x:v>
      </x:c>
      <x:c r="F376" s="22" t="n">
        <x:v>2025</x:v>
      </x:c>
      <x:c r="G376" s="22" t="str">
        <x:v>2325 IEEE 2025 - ieeexglore ieee og</x:v>
      </x:c>
      <x:c r="H376" s="22" t="str">
        <x:v>Google Scholar result</x:v>
      </x:c>
      <x:c r="I376" s="22" t="str">
        <x:v>NR</x:v>
      </x:c>
      <x:c r="J376" s="22" t="str">
        <x:v>NR</x:v>
      </x:c>
      <x:c r="K376" s="22" t="str">
        <x:v>NR — URL not captured in the available source record</x:v>
      </x:c>
      <x:c r="L376" s="22" t="str">
        <x:v>Not available in the captured evidence; the screening decision used the title and available source metadata.</x:v>
      </x:c>
      <x:c r="M376" s="22" t="str">
        <x:v>No duplicate</x:v>
      </x:c>
      <x:c r="N376" s="22" t="str">
        <x:v>DG-091</x:v>
      </x:c>
      <x:c r="O376" s="22" t="str">
        <x:v>Not applicable</x:v>
      </x:c>
      <x:c r="P376" s="22" t="str">
        <x:v>Yes</x:v>
      </x:c>
      <x:c r="Q376" s="22" t="str">
        <x:v>Exclude</x:v>
      </x:c>
      <x:c r="R376" s="22" t="str">
        <x:v>Conceptual architecture without empirical validation.</x:v>
      </x:c>
      <x:c r="S376" s="22" t="str">
        <x:v>Verification documented at process level</x:v>
      </x:c>
      <x:c r="T376" s="22" t="str">
        <x:v>Two additional authors performed random spot checks; individual spot-check assignments are not recorded in this register.</x:v>
      </x:c>
      <x:c r="U376" s="22" t="str">
        <x:v>Exclude</x:v>
      </x:c>
      <x:c r="V376" s="22" t="str">
        <x:v>Primary decision by the corresponding author; two additional authors performed random spot checks as a quality-control step.</x:v>
      </x:c>
      <x:c r="W376" s="22" t="str">
        <x:v>No</x:v>
      </x:c>
      <x:c r="X376" s="22" t="str">
        <x:v>Not applicable</x:v>
      </x:c>
      <x:c r="Y376" s="22" t="str">
        <x:v>Not assessed</x:v>
      </x:c>
      <x:c r="Z376" s="22" t="str">
        <x:v>Not advanced to full-text assessment after the title/abstract decision.</x:v>
      </x:c>
      <x:c r="AA376" s="22" t="str">
        <x:v>Not applicable</x:v>
      </x:c>
      <x:c r="AB376" s="22" t="str">
        <x:v>Record was not advanced to full-text assessment.</x:v>
      </x:c>
      <x:c r="AC376" s="22" t="str">
        <x:v>Not assessed</x:v>
      </x:c>
      <x:c r="AD376" s="22" t="str">
        <x:v>Not applicable — no full-text assessment was required.</x:v>
      </x:c>
      <x:c r="AE376" s="22" t="str">
        <x:v>Not included — title/abstract exclusion</x:v>
      </x:c>
      <x:c r="AF376" s="22" t="str">
        <x:v>Not applicable — not included</x:v>
      </x:c>
      <x:c r="AG376" s="22" t="str">
        <x:v>Evidence: c39f5381-e36d-462c-9f59-c8daf241fc18.png; page 3, result 9. Metadata transcribed from captured Google Scholar page; OCR-normalised, verify against publication before citation.</x:v>
      </x:c>
      <x:c r="AH376" s="20" t="str">
        <x:v>No duplicate identified under the documented matching rules.</x:v>
      </x:c>
    </x:row>
    <x:row r="377" ht="42" customHeight="1">
      <x:c r="A377" s="22" t="str">
        <x:v>GS-04-030</x:v>
      </x:c>
      <x:c r="B377" s="22" t="str">
        <x:v>Google Scholar</x:v>
      </x:c>
      <x:c r="C377" s="22" t="str">
        <x:v>GS-04</x:v>
      </x:c>
      <x:c r="D377" s="22" t="str">
        <x:v>Teach me how to tearn A perspective review towards user-centered neuro- symbolic learning far robotic surgical systems</x:v>
      </x:c>
      <x:c r="E377" s="22" t="str">
        <x:v>AGomaa BMabd,; NKleer At Fed F Kirchner</x:v>
      </x:c>
      <x:c r="F377" s="22" t="n">
        <x:v>2023</x:v>
      </x:c>
      <x:c r="G377" s="22" t="str">
        <x:v>arXiv preprintarXiy 2023 - arxiverg</x:v>
      </x:c>
      <x:c r="H377" s="22" t="str">
        <x:v>Google Scholar result</x:v>
      </x:c>
      <x:c r="I377" s="22" t="str">
        <x:v>NR</x:v>
      </x:c>
      <x:c r="J377" s="22" t="str">
        <x:v>NR</x:v>
      </x:c>
      <x:c r="K377" s="22" t="str">
        <x:v>NR — URL not captured in the available source record</x:v>
      </x:c>
      <x:c r="L377" s="22" t="str">
        <x:v>Not available in the captured evidence; the screening decision used the title and available source metadata.</x:v>
      </x:c>
      <x:c r="M377" s="22" t="str">
        <x:v>No duplicate</x:v>
      </x:c>
      <x:c r="N377" s="22" t="str">
        <x:v>DG-037</x:v>
      </x:c>
      <x:c r="O377" s="22" t="str">
        <x:v>Not applicable</x:v>
      </x:c>
      <x:c r="P377" s="22" t="str">
        <x:v>Yes</x:v>
      </x:c>
      <x:c r="Q377" s="22" t="str">
        <x:v>Exclude</x:v>
      </x:c>
      <x:c r="R377" s="22" t="str">
        <x:v>Perspective review; not original empirical research.</x:v>
      </x:c>
      <x:c r="S377" s="22" t="str">
        <x:v>Verification documented at process level</x:v>
      </x:c>
      <x:c r="T377" s="22" t="str">
        <x:v>Two additional authors performed random spot checks; individual spot-check assignments are not recorded in this register.</x:v>
      </x:c>
      <x:c r="U377" s="22" t="str">
        <x:v>Exclude</x:v>
      </x:c>
      <x:c r="V377" s="22" t="str">
        <x:v>Primary decision by the corresponding author; two additional authors performed random spot checks as a quality-control step.</x:v>
      </x:c>
      <x:c r="W377" s="22" t="str">
        <x:v>No</x:v>
      </x:c>
      <x:c r="X377" s="22" t="str">
        <x:v>Not applicable</x:v>
      </x:c>
      <x:c r="Y377" s="22" t="str">
        <x:v>Not assessed</x:v>
      </x:c>
      <x:c r="Z377" s="22" t="str">
        <x:v>Not advanced to full-text assessment after the title/abstract decision.</x:v>
      </x:c>
      <x:c r="AA377" s="22" t="str">
        <x:v>Not applicable</x:v>
      </x:c>
      <x:c r="AB377" s="22" t="str">
        <x:v>Record was not advanced to full-text assessment.</x:v>
      </x:c>
      <x:c r="AC377" s="22" t="str">
        <x:v>Not assessed</x:v>
      </x:c>
      <x:c r="AD377" s="22" t="str">
        <x:v>Not applicable — no full-text assessment was required.</x:v>
      </x:c>
      <x:c r="AE377" s="22" t="str">
        <x:v>Not included — title/abstract exclusion</x:v>
      </x:c>
      <x:c r="AF377" s="22" t="str">
        <x:v>Not applicable — not included</x:v>
      </x:c>
      <x:c r="AG377" s="22" t="str">
        <x:v>Evidence: c39f5381-e36d-462c-9f59-c8daf241fc18.png; page 3, result 10. Metadata transcribed from captured Google Scholar page; OCR-normalised, verify against publication before citation.</x:v>
      </x:c>
      <x:c r="AH377" s="20" t="str">
        <x:v>Confirmed using normalized title across captured searches.</x:v>
      </x:c>
    </x:row>
    <x:row r="378" ht="42" customHeight="1">
      <x:c r="A378" s="22" t="str">
        <x:v>GS-04-031</x:v>
      </x:c>
      <x:c r="B378" s="22" t="str">
        <x:v>Google Scholar</x:v>
      </x:c>
      <x:c r="C378" s="22" t="str">
        <x:v>GS-04</x:v>
      </x:c>
      <x:c r="D378" s="22" t="str">
        <x:v>Attention-based Neuro-Symbolic Regularization for Multi-Label Prediction of Diabetic Complications</x:v>
      </x:c>
      <x:c r="E378" s="22" t="str">
        <x:v>ZLiang, W in, ¥ De-g. Ruiang LZhu</x:v>
      </x:c>
      <x:c r="F378" s="22" t="str">
        <x:v>NR</x:v>
      </x:c>
      <x:c r="G378" s="22" t="str">
        <x:v>Available at SSRN. - papers ssm.com</x:v>
      </x:c>
      <x:c r="H378" s="22" t="str">
        <x:v>Google Scholar result</x:v>
      </x:c>
      <x:c r="I378" s="22" t="str">
        <x:v>NR</x:v>
      </x:c>
      <x:c r="J378" s="22" t="str">
        <x:v>NR</x:v>
      </x:c>
      <x:c r="K378" s="22" t="str">
        <x:v>NR — URL not captured in the available source record</x:v>
      </x:c>
      <x:c r="L378" s="22" t="str">
        <x:v>Not available in the captured evidence; the screening decision used the title and available source metadata.</x:v>
      </x:c>
      <x:c r="M378" s="22" t="str">
        <x:v>No duplicate</x:v>
      </x:c>
      <x:c r="N378" s="22" t="str">
        <x:v>DG-038</x:v>
      </x:c>
      <x:c r="O378" s="22" t="str">
        <x:v>Not applicable</x:v>
      </x:c>
      <x:c r="P378" s="22" t="str">
        <x:v>Yes</x:v>
      </x:c>
      <x:c r="Q378" s="22" t="str">
        <x:v>Exclude</x:v>
      </x:c>
      <x:c r="R378" s="22" t="str">
        <x:v>Uses laboratory biomarkers rather than retinal images.</x:v>
      </x:c>
      <x:c r="S378" s="22" t="str">
        <x:v>Verification documented at process level</x:v>
      </x:c>
      <x:c r="T378" s="22" t="str">
        <x:v>Two additional authors performed random spot checks; individual spot-check assignments are not recorded in this register.</x:v>
      </x:c>
      <x:c r="U378" s="22" t="str">
        <x:v>Exclude</x:v>
      </x:c>
      <x:c r="V378" s="22" t="str">
        <x:v>Primary decision by the corresponding author; two additional authors performed random spot checks as a quality-control step.</x:v>
      </x:c>
      <x:c r="W378" s="22" t="str">
        <x:v>No</x:v>
      </x:c>
      <x:c r="X378" s="22" t="str">
        <x:v>Not applicable</x:v>
      </x:c>
      <x:c r="Y378" s="22" t="str">
        <x:v>Not assessed</x:v>
      </x:c>
      <x:c r="Z378" s="22" t="str">
        <x:v>Not advanced to full-text assessment after the title/abstract decision.</x:v>
      </x:c>
      <x:c r="AA378" s="22" t="str">
        <x:v>Not applicable</x:v>
      </x:c>
      <x:c r="AB378" s="22" t="str">
        <x:v>Record was not advanced to full-text assessment.</x:v>
      </x:c>
      <x:c r="AC378" s="22" t="str">
        <x:v>Not assessed</x:v>
      </x:c>
      <x:c r="AD378" s="22" t="str">
        <x:v>Not applicable — no full-text assessment was required.</x:v>
      </x:c>
      <x:c r="AE378" s="22" t="str">
        <x:v>Not included — title/abstract exclusion</x:v>
      </x:c>
      <x:c r="AF378" s="22" t="str">
        <x:v>Not applicable — not included</x:v>
      </x:c>
      <x:c r="AG378" s="22" t="str">
        <x:v>Evidence: ef6981c2-fa22-4057-b5f5-679643dc9258.png; page 4, result 1. Metadata transcribed from captured Google Scholar page; OCR-normalised, verify against publication before citation.</x:v>
      </x:c>
      <x:c r="AH378" s="20" t="str">
        <x:v>Confirmed using normalized title across captured searches.</x:v>
      </x:c>
    </x:row>
    <x:row r="379" ht="42" customHeight="1">
      <x:c r="A379" s="22" t="str">
        <x:v>GS-04-032</x:v>
      </x:c>
      <x:c r="B379" s="22" t="str">
        <x:v>Google Scholar</x:v>
      </x:c>
      <x:c r="C379" s="22" t="str">
        <x:v>GS-04</x:v>
      </x:c>
      <x:c r="D379" s="22" t="str">
        <x:v>Neurosymbolic Framework for Concept-Driven Logical Reasoning in Skeleton- Based Human Action Recognition</x:v>
      </x:c>
      <x:c r="E379" s="22" t="str">
        <x:v>Tilyas O Mehta Z Ge</x:v>
      </x:c>
      <x:c r="F379" s="22" t="n">
        <x:v>2026</x:v>
      </x:c>
      <x:c r="G379" s="22" t="str">
        <x:v>arXiv prepomt arXiv 2605 C7140. 2026 - arxry org</x:v>
      </x:c>
      <x:c r="H379" s="22" t="str">
        <x:v>Google Scholar result</x:v>
      </x:c>
      <x:c r="I379" s="22" t="str">
        <x:v>NR</x:v>
      </x:c>
      <x:c r="J379" s="22" t="str">
        <x:v>NR</x:v>
      </x:c>
      <x:c r="K379" s="22" t="str">
        <x:v>NR — URL not captured in the available source record</x:v>
      </x:c>
      <x:c r="L379" s="22" t="str">
        <x:v>Not available in the captured evidence; the screening decision used the title and available source metadata.</x:v>
      </x:c>
      <x:c r="M379" s="22" t="str">
        <x:v>No duplicate</x:v>
      </x:c>
      <x:c r="N379" s="22" t="str">
        <x:v>DG-039</x:v>
      </x:c>
      <x:c r="O379" s="22" t="str">
        <x:v>Not applicable</x:v>
      </x:c>
      <x:c r="P379" s="22" t="str">
        <x:v>Yes</x:v>
      </x:c>
      <x:c r="Q379" s="22" t="str">
        <x:v>Exclude</x:v>
      </x:c>
      <x:c r="R379" s="22" t="str">
        <x:v>Wrong domain: human-action recognition.</x:v>
      </x:c>
      <x:c r="S379" s="22" t="str">
        <x:v>Verification documented at process level</x:v>
      </x:c>
      <x:c r="T379" s="22" t="str">
        <x:v>Two additional authors performed random spot checks; individual spot-check assignments are not recorded in this register.</x:v>
      </x:c>
      <x:c r="U379" s="22" t="str">
        <x:v>Exclude</x:v>
      </x:c>
      <x:c r="V379" s="22" t="str">
        <x:v>Primary decision by the corresponding author; two additional authors performed random spot checks as a quality-control step.</x:v>
      </x:c>
      <x:c r="W379" s="22" t="str">
        <x:v>No</x:v>
      </x:c>
      <x:c r="X379" s="22" t="str">
        <x:v>Not applicable</x:v>
      </x:c>
      <x:c r="Y379" s="22" t="str">
        <x:v>Not assessed</x:v>
      </x:c>
      <x:c r="Z379" s="22" t="str">
        <x:v>Not advanced to full-text assessment after the title/abstract decision.</x:v>
      </x:c>
      <x:c r="AA379" s="22" t="str">
        <x:v>Not applicable</x:v>
      </x:c>
      <x:c r="AB379" s="22" t="str">
        <x:v>Record was not advanced to full-text assessment.</x:v>
      </x:c>
      <x:c r="AC379" s="22" t="str">
        <x:v>Not assessed</x:v>
      </x:c>
      <x:c r="AD379" s="22" t="str">
        <x:v>Not applicable — no full-text assessment was required.</x:v>
      </x:c>
      <x:c r="AE379" s="22" t="str">
        <x:v>Not included — title/abstract exclusion</x:v>
      </x:c>
      <x:c r="AF379" s="22" t="str">
        <x:v>Not applicable — not included</x:v>
      </x:c>
      <x:c r="AG379" s="22" t="str">
        <x:v>Evidence: ef6981c2-fa22-4057-b5f5-679643dc9258.png; page 4, result 2. Metadata transcribed from captured Google Scholar page; OCR-normalised, verify against publication before citation.</x:v>
      </x:c>
      <x:c r="AH379" s="20" t="str">
        <x:v>Confirmed using normalized title across captured searches.</x:v>
      </x:c>
    </x:row>
    <x:row r="380" ht="42" customHeight="1">
      <x:c r="A380" s="22" t="str">
        <x:v>GS-04-033</x:v>
      </x:c>
      <x:c r="B380" s="22" t="str">
        <x:v>Google Scholar</x:v>
      </x:c>
      <x:c r="C380" s="22" t="str">
        <x:v>GS-04</x:v>
      </x:c>
      <x:c r="D380" s="22" t="str">
        <x:v>interpretable hybrid CNN-ViT framework with neuro-symbolic clinical decision support for early cervical cancer diagnosis</x:v>
      </x:c>
      <x:c r="E380" s="22" t="str">
        <x:v>HT Halawani EM Seran EMAsen Othman ..</x:v>
      </x:c>
      <x:c r="F380" s="22" t="n">
        <x:v>2026</x:v>
      </x:c>
      <x:c r="G380" s="22" t="str">
        <x:v>Scientific Reporis 2026 - nature corr</x:v>
      </x:c>
      <x:c r="H380" s="22" t="str">
        <x:v>Google Scholar result</x:v>
      </x:c>
      <x:c r="I380" s="22" t="str">
        <x:v>10.1038/s41598-026-58334-z</x:v>
      </x:c>
      <x:c r="J380" s="22" t="str">
        <x:v>NR</x:v>
      </x:c>
      <x:c r="K380" s="22" t="str">
        <x:v>https://www.nature.com/articles/s41598-026-58334-z.pdf</x:v>
      </x:c>
      <x:c r="L380" s="22" t="str">
        <x:v>Abstract Accurate classification of cervical cytology images remains challenging because of subtle morphological differences, staining variability, and visual similarity among cell categories. Although deep learning methods have achieved strong classification performance, many existing approaches provide limited transparency regarding the image regions and morphological features that influence their predictions. This study presents an interpretable hybrid classification framework that combines GoogLeNet and MobileNet with a Vision Transformer (ViT) to extract multi-scale local morphology, fine-grained texture, and global contextual information from cervical cytology images. The framework incorporates a biomarker-guided Grad-CAM module, a neuro-symbolic inference component, and an ontology-aware semantic consistency module. The proposed Cervical Cytology Biomarker Ontology (CCBO) was constructed by adapting established principles of biomedical semantic representation and published cervical cytomorphological descriptions. The ontology represents hierarchical cell categories, biomarker associations, semantic compatibility constraints, and exclusion relationships to support structured verification of model outputs. Fuzzy IF–THEN rules were used to assess neural predictions according to predefined combinations of morphology-related biomarkers. In addition, an IoU-based Grad-CAM localization framework was introduced to quantify the spatial agreement between activation regions and morphology-guided biomarker reference masks. This multi-stage design extends the framework beyond conventional black-box classification by linking visual attribution, fuzzy rule evaluation, and ontology-based consistency assessment. Experimental results showed that the proposed hybrid model achieved an average AUC of 99.23%, sensitivity of 98.86%, and accuracy of 98.80% on the SIPaKMeD dataset. Illustrative case analyses further demonstrated the framework’s ability to produce structured explanations. For dyskeratotic samples, the Grad-CAM maps emphasized keratinization-related cytoplasmic regions and hyperchromatic nuclear areas, while the neuro-symbolic component identified agreement with the predefined dyskeratotic biomarker rules.</x:v>
      </x:c>
      <x:c r="M380" s="22" t="str">
        <x:v>No duplicate</x:v>
      </x:c>
      <x:c r="N380" s="22" t="str">
        <x:v>DG-040</x:v>
      </x:c>
      <x:c r="O380" s="22" t="str">
        <x:v>Not applicable</x:v>
      </x:c>
      <x:c r="P380" s="22" t="str">
        <x:v>Yes</x:v>
      </x:c>
      <x:c r="Q380" s="22" t="str">
        <x:v>Include</x:v>
      </x:c>
      <x:c r="R380" s="22" t="str">
        <x:v>Contextual original concept-oriented medical-imaging study.</x:v>
      </x:c>
      <x:c r="S380" s="22" t="str">
        <x:v>Verification documented at process level</x:v>
      </x:c>
      <x:c r="T380" s="22" t="str">
        <x:v>Two additional authors performed random spot checks; individual spot-check assignments are not recorded in this register.</x:v>
      </x:c>
      <x:c r="U380" s="22" t="str">
        <x:v>Include</x:v>
      </x:c>
      <x:c r="V380" s="22" t="str">
        <x:v>Primary decision by the corresponding author; two additional authors performed random spot checks as a quality-control step.</x:v>
      </x:c>
      <x:c r="W380" s="22" t="str">
        <x:v>Yes</x:v>
      </x:c>
      <x:c r="X380" s="22" t="str">
        <x:v>Yes</x:v>
      </x:c>
      <x:c r="Y380" s="22" t="str">
        <x:v>Include</x:v>
      </x:c>
      <x:c r="Z380" s="22" t="str">
        <x:v>The corresponding author assessed the complete report and judged it eligible for inclusion in the review.</x:v>
      </x:c>
      <x:c r="AA380" s="22" t="str">
        <x:v>Verification documented at process level</x:v>
      </x:c>
      <x:c r="AB380" s="22" t="str">
        <x:v>Two additional authors performed random spot checks; individual spot-check assignments are not recorded in this register.</x:v>
      </x:c>
      <x:c r="AC380" s="22" t="str">
        <x:v>Include</x:v>
      </x:c>
      <x:c r="AD380" s="22" t="str">
        <x:v>Primary decision by the corresponding author; two additional authors performed random spot checks as a quality-control step.</x:v>
      </x:c>
      <x:c r="AE380" s="22" t="str">
        <x:v>Include</x:v>
      </x:c>
      <x:c r="AF380" s="22" t="str">
        <x:v>Contextual medical concept-XAI evidence</x:v>
      </x:c>
      <x:c r="AG380" s="22" t="str">
        <x:v>Evidence: ef6981c2-fa22-4057-b5f5-679643dc9258.png; page 4, result 3. Metadata transcribed from captured Google Scholar page; OCR-normalised, verify against publication before citation.</x:v>
      </x:c>
      <x:c r="AH380" s="20" t="str">
        <x:v>Confirmed using normalized title across captured searches.</x:v>
      </x:c>
    </x:row>
    <x:row r="381" ht="42" customHeight="1">
      <x:c r="A381" s="22" t="str">
        <x:v>GS-04-034</x:v>
      </x:c>
      <x:c r="B381" s="22" t="str">
        <x:v>Google Scholar</x:v>
      </x:c>
      <x:c r="C381" s="22" t="str">
        <x:v>GS-04</x:v>
      </x:c>
      <x:c r="D381" s="22" t="str">
        <x:v>Trustworthy Retinopathy Of Prematurity Diagnosis Using Explainable Vision- Language Model</x:v>
      </x:c>
      <x:c r="E381" s="22" t="str">
        <x:v>HZ Netra RM Ghadban</x:v>
      </x:c>
      <x:c r="F381" s="22" t="n">
        <x:v>2026</x:v>
      </x:c>
      <x:c r="G381" s="22" t="str">
        <x:v>JournalafAnplied . 2026 - faculty uobasran edu. ig</x:v>
      </x:c>
      <x:c r="H381" s="22" t="str">
        <x:v>Google Scholar result</x:v>
      </x:c>
      <x:c r="I381" s="22" t="str">
        <x:v>10.6180/jase.2026.26030006</x:v>
      </x:c>
      <x:c r="J381" s="22" t="str">
        <x:v>NR</x:v>
      </x:c>
      <x:c r="K381" s="22" t="str">
        <x:v>https://classic.jase.tku.edu.tw/articles/jase-202607-30-006</x:v>
      </x:c>
      <x:c r="L381" s="22" t="str">
        <x:v>Retinopathy of Prematurity (ROP) remains one of the leading causes of preventable childhood blindness, particularly in low-resource settings where specialist access is limited. Although deep learning has improved automated ROP detection, most existing models rely solely on retinal images and function as opaque black boxes, limiting clinical trust and realworld adoption. This study proposes a robust and trustworthy ROP diagnosis framework that combines Vision-Language Modeling (VLM) and Explainable AI. The pipeline fuses high-resolution wide-field retinal fundus images with neonatal NICU text records using a lightweight Vision Transformer, a clinical text encoder, and a neuro-symbolic reasoning layer for human-in-the-loop corrections. A key technical enhancement applies Weighted-Fuzzy Histogram Equalization (WFHE) to boost local vascular contrast while avoiding artifacts, outperforming Contrast Limited Adaptive Histogram Equalization CLAHE in highlighting subtle pathological cues. Evaluations on benchmark ROP datasets, paired with semi-structured NICU reports, demonstrate that the multimodal system improves diagnostic AUC by 7-9 % compared to image-only baselines, and delivers dual explanations through Grad-CAM heatmaps and SHAP token-level attributions. Structured clinician feedback confirms that the system’s explanations align with expert annotations and improve interpretability and trust. This framework demonstrates that integrating WFHE, Vision-Language fusion, and multi-level explainability can enable transparent, deployable AI for equitable neonatal vision care.</x:v>
      </x:c>
      <x:c r="M381" s="22" t="str">
        <x:v>No duplicate</x:v>
      </x:c>
      <x:c r="N381" s="22" t="str">
        <x:v>DG-111</x:v>
      </x:c>
      <x:c r="O381" s="22" t="str">
        <x:v>Not applicable</x:v>
      </x:c>
      <x:c r="P381" s="22" t="str">
        <x:v>Yes</x:v>
      </x:c>
      <x:c r="Q381" s="22" t="str">
        <x:v>Include</x:v>
      </x:c>
      <x:c r="R381" s="22" t="str">
        <x:v>Direct retinal fundus study with neuro-symbolic reasoning.</x:v>
      </x:c>
      <x:c r="S381" s="22" t="str">
        <x:v>Verification documented at process level</x:v>
      </x:c>
      <x:c r="T381" s="22" t="str">
        <x:v>Two additional authors performed random spot checks; individual spot-check assignments are not recorded in this register.</x:v>
      </x:c>
      <x:c r="U381" s="22" t="str">
        <x:v>Include</x:v>
      </x:c>
      <x:c r="V381" s="22" t="str">
        <x:v>Primary decision by the corresponding author; two additional authors performed random spot checks as a quality-control step.</x:v>
      </x:c>
      <x:c r="W381" s="22" t="str">
        <x:v>Yes</x:v>
      </x:c>
      <x:c r="X381" s="22" t="str">
        <x:v>Yes</x:v>
      </x:c>
      <x:c r="Y381" s="22" t="str">
        <x:v>Include</x:v>
      </x:c>
      <x:c r="Z381" s="22" t="str">
        <x:v>The corresponding author assessed the complete report and judged it eligible for inclusion in the review.</x:v>
      </x:c>
      <x:c r="AA381" s="22" t="str">
        <x:v>Verification documented at process level</x:v>
      </x:c>
      <x:c r="AB381" s="22" t="str">
        <x:v>Two additional authors performed random spot checks; individual spot-check assignments are not recorded in this register.</x:v>
      </x:c>
      <x:c r="AC381" s="22" t="str">
        <x:v>Include</x:v>
      </x:c>
      <x:c r="AD381" s="22" t="str">
        <x:v>Primary decision by the corresponding author; two additional authors performed random spot checks as a quality-control step.</x:v>
      </x:c>
      <x:c r="AE381" s="22" t="str">
        <x:v>Include</x:v>
      </x:c>
      <x:c r="AF381" s="22" t="str">
        <x:v>Contextual medical concept-XAI evidence</x:v>
      </x:c>
      <x:c r="AG381" s="22" t="str">
        <x:v>Evidence: ef6981c2-fa22-4057-b5f5-679643dc9258.png; page 4, result 4. Metadata transcribed from captured Google Scholar page; OCR-normalised, verify against publication before citation.</x:v>
      </x:c>
      <x:c r="AH381" s="20" t="str">
        <x:v>No duplicate identified under the documented matching rules.</x:v>
      </x:c>
    </x:row>
    <x:row r="382" ht="42" customHeight="1">
      <x:c r="A382" s="22" t="str">
        <x:v>GS-04-035</x:v>
      </x:c>
      <x:c r="B382" s="22" t="str">
        <x:v>Google Scholar</x:v>
      </x:c>
      <x:c r="C382" s="22" t="str">
        <x:v>GS-04</x:v>
      </x:c>
      <x:c r="D382" s="22" t="str">
        <x:v>Author Response Using Provenance Dispersion to Trage Uncertain Neurosymbolic OCT Diagnases</x:v>
      </x:c>
      <x:c r="E382" s="22" t="str">
        <x:v>Atdiladinovié A Bistontn MAdevic..</x:v>
      </x:c>
      <x:c r="F382" s="22" t="n">
        <x:v>2026</x:v>
      </x:c>
      <x:c r="G382" s="22" t="str">
        <x:v>wsion science &amp; .. 2026 - prre nebi nim nih gov</x:v>
      </x:c>
      <x:c r="H382" s="22" t="str">
        <x:v>Google Scholar result</x:v>
      </x:c>
      <x:c r="I382" s="22" t="str">
        <x:v>NR</x:v>
      </x:c>
      <x:c r="J382" s="22" t="str">
        <x:v>NR</x:v>
      </x:c>
      <x:c r="K382" s="22" t="str">
        <x:v>NR — URL not captured in the available source record</x:v>
      </x:c>
      <x:c r="L382" s="22" t="str">
        <x:v>Not available in the captured evidence; the screening decision used the title and available source metadata.</x:v>
      </x:c>
      <x:c r="M382" s="22" t="str">
        <x:v>Confirmed duplicate</x:v>
      </x:c>
      <x:c r="N382" s="22" t="str">
        <x:v>DG-092</x:v>
      </x:c>
      <x:c r="O382" s="22" t="str">
        <x:v>PM-025</x:v>
      </x:c>
      <x:c r="P382" s="22" t="str">
        <x:v>No</x:v>
      </x:c>
      <x:c r="Q382" s="22" t="str">
        <x:v>Not screened</x:v>
      </x:c>
      <x:c r="R382" s="22" t="str">
        <x:v>Removed before title/abstract screening as a confirmed duplicate.</x:v>
      </x:c>
      <x:c r="S382" s="22" t="str">
        <x:v>Not applicable — removed before screening</x:v>
      </x:c>
      <x:c r="T382" s="22" t="str">
        <x:v>Record was outside the active screening set.</x:v>
      </x:c>
      <x:c r="U382" s="22" t="str">
        <x:v>Removed before screening</x:v>
      </x:c>
      <x:c r="V382" s="22" t="str">
        <x:v>Confirmed duplicate removed during deduplication.</x:v>
      </x:c>
      <x:c r="W382" s="22" t="str">
        <x:v>No</x:v>
      </x:c>
      <x:c r="X382" s="22" t="str">
        <x:v>Not applicable</x:v>
      </x:c>
      <x:c r="Y382" s="22" t="str">
        <x:v>Not assessed</x:v>
      </x:c>
      <x:c r="Z382" s="22" t="str">
        <x:v>Not applicable — record removed before screening.</x:v>
      </x:c>
      <x:c r="AA382" s="22" t="str">
        <x:v>Not applicable</x:v>
      </x:c>
      <x:c r="AB382" s="22" t="str">
        <x:v>Record was not advanced to full-text assessment.</x:v>
      </x:c>
      <x:c r="AC382" s="22" t="str">
        <x:v>Not assessed</x:v>
      </x:c>
      <x:c r="AD382" s="22" t="str">
        <x:v>Not applicable — no full-text assessment was required.</x:v>
      </x:c>
      <x:c r="AE382" s="22" t="str">
        <x:v>Removed before screening</x:v>
      </x:c>
      <x:c r="AF382" s="22" t="str">
        <x:v>Not applicable — not included</x:v>
      </x:c>
      <x:c r="AG382" s="22" t="str">
        <x:v>Evidence: ef6981c2-fa22-4057-b5f5-679643dc9258.png; page 4, result 5. Metadata transcribed from captured Google Scholar page; OCR-normalised, verify against publication before citation.</x:v>
      </x:c>
      <x:c r="AH382" s="20" t="str">
        <x:v>No duplicate identified under the documented matching rules.</x:v>
      </x:c>
    </x:row>
    <x:row r="383" ht="42" customHeight="1">
      <x:c r="A383" s="22" t="str">
        <x:v>GS-04-036</x:v>
      </x:c>
      <x:c r="B383" s="22" t="str">
        <x:v>Google Scholar</x:v>
      </x:c>
      <x:c r="C383" s="22" t="str">
        <x:v>GS-04</x:v>
      </x:c>
      <x:c r="D383" s="22" t="str">
        <x:v>A neuro-symbolic approach to GPS trajectory classification</x:v>
      </x:c>
      <x:c r="E383" s="22" t="str">
        <x:v>R Barbosa DO Cardesa DO Carvalho</x:v>
      </x:c>
      <x:c r="F383" s="22" t="n">
        <x:v>2017</x:v>
      </x:c>
      <x:c r="G383" s="22" t="str">
        <x:v>Proceedings of Eurapean =. 2017 - esann aig</x:v>
      </x:c>
      <x:c r="H383" s="22" t="str">
        <x:v>Google Scholar result</x:v>
      </x:c>
      <x:c r="I383" s="22" t="str">
        <x:v>NR</x:v>
      </x:c>
      <x:c r="J383" s="22" t="str">
        <x:v>NR</x:v>
      </x:c>
      <x:c r="K383" s="22" t="str">
        <x:v>NR — URL not captured in the available source record</x:v>
      </x:c>
      <x:c r="L383" s="22" t="str">
        <x:v>Not available in the captured evidence; the screening decision used the title and available source metadata.</x:v>
      </x:c>
      <x:c r="M383" s="22" t="str">
        <x:v>No duplicate</x:v>
      </x:c>
      <x:c r="N383" s="22" t="str">
        <x:v>DG-106</x:v>
      </x:c>
      <x:c r="O383" s="22" t="str">
        <x:v>Not applicable</x:v>
      </x:c>
      <x:c r="P383" s="22" t="str">
        <x:v>Yes</x:v>
      </x:c>
      <x:c r="Q383" s="22" t="str">
        <x:v>Exclude</x:v>
      </x:c>
      <x:c r="R383" s="22" t="str">
        <x:v>Wrong domain: GPS trajectories.</x:v>
      </x:c>
      <x:c r="S383" s="22" t="str">
        <x:v>Verification documented at process level</x:v>
      </x:c>
      <x:c r="T383" s="22" t="str">
        <x:v>Two additional authors performed random spot checks; individual spot-check assignments are not recorded in this register.</x:v>
      </x:c>
      <x:c r="U383" s="22" t="str">
        <x:v>Exclude</x:v>
      </x:c>
      <x:c r="V383" s="22" t="str">
        <x:v>Primary decision by the corresponding author; two additional authors performed random spot checks as a quality-control step.</x:v>
      </x:c>
      <x:c r="W383" s="22" t="str">
        <x:v>No</x:v>
      </x:c>
      <x:c r="X383" s="22" t="str">
        <x:v>Not applicable</x:v>
      </x:c>
      <x:c r="Y383" s="22" t="str">
        <x:v>Not assessed</x:v>
      </x:c>
      <x:c r="Z383" s="22" t="str">
        <x:v>Not advanced to full-text assessment after the title/abstract decision.</x:v>
      </x:c>
      <x:c r="AA383" s="22" t="str">
        <x:v>Not applicable</x:v>
      </x:c>
      <x:c r="AB383" s="22" t="str">
        <x:v>Record was not advanced to full-text assessment.</x:v>
      </x:c>
      <x:c r="AC383" s="22" t="str">
        <x:v>Not assessed</x:v>
      </x:c>
      <x:c r="AD383" s="22" t="str">
        <x:v>Not applicable — no full-text assessment was required.</x:v>
      </x:c>
      <x:c r="AE383" s="22" t="str">
        <x:v>Not included — title/abstract exclusion</x:v>
      </x:c>
      <x:c r="AF383" s="22" t="str">
        <x:v>Not applicable — not included</x:v>
      </x:c>
      <x:c r="AG383" s="22" t="str">
        <x:v>Evidence: ef6981c2-fa22-4057-b5f5-679643dc9258.png; page 4, result 6. Metadata transcribed from captured Google Scholar page; OCR-normalised, verify against publication before citation.</x:v>
      </x:c>
      <x:c r="AH383" s="20" t="str">
        <x:v>No duplicate identified under the documented matching rules.</x:v>
      </x:c>
    </x:row>
    <x:row r="384" ht="42" customHeight="1">
      <x:c r="A384" s="22" t="str">
        <x:v>GS-04-037</x:v>
      </x:c>
      <x:c r="B384" s="22" t="str">
        <x:v>Google Scholar</x:v>
      </x:c>
      <x:c r="C384" s="22" t="str">
        <x:v>GS-04</x:v>
      </x:c>
      <x:c r="D384" s="22" t="str">
        <x:v>Neuro-symbolic artificial intelligence in medicine</x:v>
      </x:c>
      <x:c r="E384" s="22" t="str">
        <x:v>MYH Wong JCL Ong N Shsh JC Klanofl</x:v>
      </x:c>
      <x:c r="F384" s="22" t="n">
        <x:v>2026</x:v>
      </x:c>
      <x:c r="G384" s="22" t="str">
        <x:v>Nature Biomedical | 2026 - ma:ure com</x:v>
      </x:c>
      <x:c r="H384" s="22" t="str">
        <x:v>Google Scholar result</x:v>
      </x:c>
      <x:c r="I384" s="22" t="str">
        <x:v>NR</x:v>
      </x:c>
      <x:c r="J384" s="22" t="str">
        <x:v>NR</x:v>
      </x:c>
      <x:c r="K384" s="22" t="str">
        <x:v>NR — URL not captured in the available source record</x:v>
      </x:c>
      <x:c r="L384" s="22" t="str">
        <x:v>Not available in the captured evidence; the screening decision used the title and available source metadata.</x:v>
      </x:c>
      <x:c r="M384" s="22" t="str">
        <x:v>No duplicate</x:v>
      </x:c>
      <x:c r="N384" s="22" t="str">
        <x:v>DG-094</x:v>
      </x:c>
      <x:c r="O384" s="22" t="str">
        <x:v>Not applicable</x:v>
      </x:c>
      <x:c r="P384" s="22" t="str">
        <x:v>Yes</x:v>
      </x:c>
      <x:c r="Q384" s="22" t="str">
        <x:v>Exclude</x:v>
      </x:c>
      <x:c r="R384" s="22" t="str">
        <x:v>Review article; not original empirical research.</x:v>
      </x:c>
      <x:c r="S384" s="22" t="str">
        <x:v>Verification documented at process level</x:v>
      </x:c>
      <x:c r="T384" s="22" t="str">
        <x:v>Two additional authors performed random spot checks; individual spot-check assignments are not recorded in this register.</x:v>
      </x:c>
      <x:c r="U384" s="22" t="str">
        <x:v>Exclude</x:v>
      </x:c>
      <x:c r="V384" s="22" t="str">
        <x:v>Primary decision by the corresponding author; two additional authors performed random spot checks as a quality-control step.</x:v>
      </x:c>
      <x:c r="W384" s="22" t="str">
        <x:v>No</x:v>
      </x:c>
      <x:c r="X384" s="22" t="str">
        <x:v>Not applicable</x:v>
      </x:c>
      <x:c r="Y384" s="22" t="str">
        <x:v>Not assessed</x:v>
      </x:c>
      <x:c r="Z384" s="22" t="str">
        <x:v>Not advanced to full-text assessment after the title/abstract decision.</x:v>
      </x:c>
      <x:c r="AA384" s="22" t="str">
        <x:v>Not applicable</x:v>
      </x:c>
      <x:c r="AB384" s="22" t="str">
        <x:v>Record was not advanced to full-text assessment.</x:v>
      </x:c>
      <x:c r="AC384" s="22" t="str">
        <x:v>Not assessed</x:v>
      </x:c>
      <x:c r="AD384" s="22" t="str">
        <x:v>Not applicable — no full-text assessment was required.</x:v>
      </x:c>
      <x:c r="AE384" s="22" t="str">
        <x:v>Not included — title/abstract exclusion</x:v>
      </x:c>
      <x:c r="AF384" s="22" t="str">
        <x:v>Not applicable — not included</x:v>
      </x:c>
      <x:c r="AG384" s="22" t="str">
        <x:v>Evidence: ef6981c2-fa22-4057-b5f5-679643dc9258.png; page 4, result 7. Metadata transcribed from captured Google Scholar page; OCR-normalised, verify against publication before citation.</x:v>
      </x:c>
      <x:c r="AH384" s="20" t="str">
        <x:v>No duplicate identified under the documented matching rules.</x:v>
      </x:c>
    </x:row>
    <x:row r="385" ht="42" customHeight="1">
      <x:c r="A385" s="22" t="str">
        <x:v>GS-04-038</x:v>
      </x:c>
      <x:c r="B385" s="22" t="str">
        <x:v>Google Scholar</x:v>
      </x:c>
      <x:c r="C385" s="22" t="str">
        <x:v>GS-04</x:v>
      </x:c>
      <x:c r="D385" s="22" t="str">
        <x:v>From Retinal Pixels to Patients’ Evolution of Deep Learning Research in Diabetic Retinopathy Screening</x:v>
      </x:c>
      <x:c r="E385" s="22" t="str">
        <x:v>M Chopra. Sparcenberg ABergac + CanferenceonBig 202°</x:v>
      </x:c>
      <x:c r="F385" s="22" t="str">
        <x:v>NR</x:v>
      </x:c>
      <x:c r="G385" s="22" t="str">
        <x:v>ieeexplare ieee org</x:v>
      </x:c>
      <x:c r="H385" s="22" t="str">
        <x:v>Google Scholar result</x:v>
      </x:c>
      <x:c r="I385" s="22" t="str">
        <x:v>NR</x:v>
      </x:c>
      <x:c r="J385" s="22" t="str">
        <x:v>NR</x:v>
      </x:c>
      <x:c r="K385" s="22" t="str">
        <x:v>NR — URL not captured in the available source record</x:v>
      </x:c>
      <x:c r="L385" s="22" t="str">
        <x:v>Not available in the captured evidence; the screening decision used the title and available source metadata.</x:v>
      </x:c>
      <x:c r="M385" s="22" t="str">
        <x:v>Confirmed duplicate</x:v>
      </x:c>
      <x:c r="N385" s="22" t="str">
        <x:v>DG-041</x:v>
      </x:c>
      <x:c r="O385" s="22" t="str">
        <x:v>ARXIV-05-003</x:v>
      </x:c>
      <x:c r="P385" s="22" t="str">
        <x:v>No</x:v>
      </x:c>
      <x:c r="Q385" s="22" t="str">
        <x:v>Not screened</x:v>
      </x:c>
      <x:c r="R385" s="22" t="str">
        <x:v>Removed before title/abstract screening as a confirmed duplicate.</x:v>
      </x:c>
      <x:c r="S385" s="22" t="str">
        <x:v>Not applicable — removed before screening</x:v>
      </x:c>
      <x:c r="T385" s="22" t="str">
        <x:v>Record was outside the active screening set.</x:v>
      </x:c>
      <x:c r="U385" s="22" t="str">
        <x:v>Removed before screening</x:v>
      </x:c>
      <x:c r="V385" s="22" t="str">
        <x:v>Confirmed duplicate removed during deduplication.</x:v>
      </x:c>
      <x:c r="W385" s="22" t="str">
        <x:v>No</x:v>
      </x:c>
      <x:c r="X385" s="22" t="str">
        <x:v>Not applicable</x:v>
      </x:c>
      <x:c r="Y385" s="22" t="str">
        <x:v>Not assessed</x:v>
      </x:c>
      <x:c r="Z385" s="22" t="str">
        <x:v>Not applicable — record removed before screening.</x:v>
      </x:c>
      <x:c r="AA385" s="22" t="str">
        <x:v>Not applicable</x:v>
      </x:c>
      <x:c r="AB385" s="22" t="str">
        <x:v>Record was not advanced to full-text assessment.</x:v>
      </x:c>
      <x:c r="AC385" s="22" t="str">
        <x:v>Not assessed</x:v>
      </x:c>
      <x:c r="AD385" s="22" t="str">
        <x:v>Not applicable — no full-text assessment was required.</x:v>
      </x:c>
      <x:c r="AE385" s="22" t="str">
        <x:v>Removed before screening</x:v>
      </x:c>
      <x:c r="AF385" s="22" t="str">
        <x:v>Not applicable — not included</x:v>
      </x:c>
      <x:c r="AG385" s="22" t="str">
        <x:v>Evidence: ef6981c2-fa22-4057-b5f5-679643dc9258.png; page 4, result 8. Metadata transcribed from captured Google Scholar page; OCR-normalised, verify against publication before citation.</x:v>
      </x:c>
      <x:c r="AH385" s="20" t="str">
        <x:v>Confirmed using identifier/title evidence; normalized title across captured searches.</x:v>
      </x:c>
    </x:row>
    <x:row r="386" ht="42" customHeight="1">
      <x:c r="A386" s="22" t="str">
        <x:v>GS-04-039</x:v>
      </x:c>
      <x:c r="B386" s="22" t="str">
        <x:v>Google Scholar</x:v>
      </x:c>
      <x:c r="C386" s="22" t="str">
        <x:v>GS-04</x:v>
      </x:c>
      <x:c r="D386" s="22" t="str">
        <x:v>(kTML] Weighttess neure-symbolic GPS trajectory classification</x:v>
      </x:c>
      <x:c r="E386" s="22" t="str">
        <x:v>R Barbosa DO Ca-deso, D Carvalho, MG Fraica</x:v>
      </x:c>
      <x:c r="F386" s="22" t="n">
        <x:v>2018</x:v>
      </x:c>
      <x:c r="G386" s="22" t="str">
        <x:v>Neurocomputing 2018 - Elsevier</x:v>
      </x:c>
      <x:c r="H386" s="22" t="str">
        <x:v>Google Scholar result</x:v>
      </x:c>
      <x:c r="I386" s="22" t="str">
        <x:v>NR</x:v>
      </x:c>
      <x:c r="J386" s="22" t="str">
        <x:v>NR</x:v>
      </x:c>
      <x:c r="K386" s="22" t="str">
        <x:v>NR — URL not captured in the available source record</x:v>
      </x:c>
      <x:c r="L386" s="22" t="str">
        <x:v>Not available in the captured evidence; the screening decision used the title and available source metadata.</x:v>
      </x:c>
      <x:c r="M386" s="22" t="str">
        <x:v>No duplicate</x:v>
      </x:c>
      <x:c r="N386" s="22" t="str">
        <x:v>DG-119</x:v>
      </x:c>
      <x:c r="O386" s="22" t="str">
        <x:v>Not applicable</x:v>
      </x:c>
      <x:c r="P386" s="22" t="str">
        <x:v>Yes</x:v>
      </x:c>
      <x:c r="Q386" s="22" t="str">
        <x:v>Exclude</x:v>
      </x:c>
      <x:c r="R386" s="22" t="str">
        <x:v>Wrong domain: GPS trajectories.</x:v>
      </x:c>
      <x:c r="S386" s="22" t="str">
        <x:v>Verification documented at process level</x:v>
      </x:c>
      <x:c r="T386" s="22" t="str">
        <x:v>Two additional authors performed random spot checks; individual spot-check assignments are not recorded in this register.</x:v>
      </x:c>
      <x:c r="U386" s="22" t="str">
        <x:v>Exclude</x:v>
      </x:c>
      <x:c r="V386" s="22" t="str">
        <x:v>Primary decision by the corresponding author; two additional authors performed random spot checks as a quality-control step.</x:v>
      </x:c>
      <x:c r="W386" s="22" t="str">
        <x:v>No</x:v>
      </x:c>
      <x:c r="X386" s="22" t="str">
        <x:v>Not applicable</x:v>
      </x:c>
      <x:c r="Y386" s="22" t="str">
        <x:v>Not assessed</x:v>
      </x:c>
      <x:c r="Z386" s="22" t="str">
        <x:v>Not advanced to full-text assessment after the title/abstract decision.</x:v>
      </x:c>
      <x:c r="AA386" s="22" t="str">
        <x:v>Not applicable</x:v>
      </x:c>
      <x:c r="AB386" s="22" t="str">
        <x:v>Record was not advanced to full-text assessment.</x:v>
      </x:c>
      <x:c r="AC386" s="22" t="str">
        <x:v>Not assessed</x:v>
      </x:c>
      <x:c r="AD386" s="22" t="str">
        <x:v>Not applicable — no full-text assessment was required.</x:v>
      </x:c>
      <x:c r="AE386" s="22" t="str">
        <x:v>Not included — title/abstract exclusion</x:v>
      </x:c>
      <x:c r="AF386" s="22" t="str">
        <x:v>Not applicable — not included</x:v>
      </x:c>
      <x:c r="AG386" s="22" t="str">
        <x:v>Evidence: ef6981c2-fa22-4057-b5f5-679643dc9258.png; page 4, result 9. Metadata transcribed from captured Google Scholar page; OCR-normalised, verify against publication before citation.</x:v>
      </x:c>
      <x:c r="AH386" s="20" t="str">
        <x:v>No duplicate identified under the documented matching rules.</x:v>
      </x:c>
    </x:row>
    <x:row r="387" ht="42" customHeight="1">
      <x:c r="A387" s="22" t="str">
        <x:v>GS-04-040</x:v>
      </x:c>
      <x:c r="B387" s="22" t="str">
        <x:v>Google Scholar</x:v>
      </x:c>
      <x:c r="C387" s="22" t="str">
        <x:v>GS-04</x:v>
      </x:c>
      <x:c r="D387" s="22" t="str">
        <x:v>Cogsys Efficient and scalable neurosymbolic cagnition system via algorithm- hardware co-design</x:v>
      </x:c>
      <x:c r="E387" s="22" t="str">
        <x:v>Zar HYaig.RRaj CKLiv «© SympasitmanHigh . 202</x:v>
      </x:c>
      <x:c r="F387" s="22" t="str">
        <x:v>NR</x:v>
      </x:c>
      <x:c r="G387" s="22" t="str">
        <x:v>iceaxplcre ieee arg</x:v>
      </x:c>
      <x:c r="H387" s="22" t="str">
        <x:v>Google Scholar result</x:v>
      </x:c>
      <x:c r="I387" s="22" t="str">
        <x:v>NR</x:v>
      </x:c>
      <x:c r="J387" s="22" t="str">
        <x:v>NR</x:v>
      </x:c>
      <x:c r="K387" s="22" t="str">
        <x:v>NR — URL not captured in the available source record</x:v>
      </x:c>
      <x:c r="L387" s="22" t="str">
        <x:v>Not available in the captured evidence; the screening decision used the title and available source metadata.</x:v>
      </x:c>
      <x:c r="M387" s="22" t="str">
        <x:v>No duplicate</x:v>
      </x:c>
      <x:c r="N387" s="22" t="str">
        <x:v>DG-110</x:v>
      </x:c>
      <x:c r="O387" s="22" t="str">
        <x:v>Not applicable</x:v>
      </x:c>
      <x:c r="P387" s="22" t="str">
        <x:v>Yes</x:v>
      </x:c>
      <x:c r="Q387" s="22" t="str">
        <x:v>Exclude</x:v>
      </x:c>
      <x:c r="R387" s="22" t="str">
        <x:v>Computing hardware study; not medical imaging.</x:v>
      </x:c>
      <x:c r="S387" s="22" t="str">
        <x:v>Verification documented at process level</x:v>
      </x:c>
      <x:c r="T387" s="22" t="str">
        <x:v>Two additional authors performed random spot checks; individual spot-check assignments are not recorded in this register.</x:v>
      </x:c>
      <x:c r="U387" s="22" t="str">
        <x:v>Exclude</x:v>
      </x:c>
      <x:c r="V387" s="22" t="str">
        <x:v>Primary decision by the corresponding author; two additional authors performed random spot checks as a quality-control step.</x:v>
      </x:c>
      <x:c r="W387" s="22" t="str">
        <x:v>No</x:v>
      </x:c>
      <x:c r="X387" s="22" t="str">
        <x:v>Not applicable</x:v>
      </x:c>
      <x:c r="Y387" s="22" t="str">
        <x:v>Not assessed</x:v>
      </x:c>
      <x:c r="Z387" s="22" t="str">
        <x:v>Not advanced to full-text assessment after the title/abstract decision.</x:v>
      </x:c>
      <x:c r="AA387" s="22" t="str">
        <x:v>Not applicable</x:v>
      </x:c>
      <x:c r="AB387" s="22" t="str">
        <x:v>Record was not advanced to full-text assessment.</x:v>
      </x:c>
      <x:c r="AC387" s="22" t="str">
        <x:v>Not assessed</x:v>
      </x:c>
      <x:c r="AD387" s="22" t="str">
        <x:v>Not applicable — no full-text assessment was required.</x:v>
      </x:c>
      <x:c r="AE387" s="22" t="str">
        <x:v>Not included — title/abstract exclusion</x:v>
      </x:c>
      <x:c r="AF387" s="22" t="str">
        <x:v>Not applicable — not included</x:v>
      </x:c>
      <x:c r="AG387" s="22" t="str">
        <x:v>Evidence: ef6981c2-fa22-4057-b5f5-679643dc9258.png; page 4, result 10. Metadata transcribed from captured Google Scholar page; OCR-normalised, verify against publication before citation.</x:v>
      </x:c>
      <x:c r="AH387" s="20" t="str">
        <x:v>No duplicate identified under the documented matching rules.</x:v>
      </x:c>
    </x:row>
    <x:row r="388" ht="42" customHeight="1">
      <x:c r="A388" s="22" t="str">
        <x:v>GS-04-041</x:v>
      </x:c>
      <x:c r="B388" s="22" t="str">
        <x:v>Google Scholar</x:v>
      </x:c>
      <x:c r="C388" s="22" t="str">
        <x:v>GS-04</x:v>
      </x:c>
      <x:c r="D388" s="22" t="str">
        <x:v>Neuroba Neuro-symbolic bitrate adaptation for irs-aided mobile video streaming</x:v>
      </x:c>
      <x:c r="E388" s="22" t="str">
        <x:v>M Chen. v¥ Xiso ALiu AFarouk.. -(EE&amp; Transactio-s 2026. eeexpiore ieee arg</x:v>
      </x:c>
      <x:c r="F388" s="22" t="n">
        <x:v>2026</x:v>
      </x:c>
      <x:c r="G388" s="22" t="str">
        <x:v>M Chen. v¥ Xiso ALiu AFarouk.. -(EE&amp; Transactio-s 2026. eeexpiore ieee arg</x:v>
      </x:c>
      <x:c r="H388" s="22" t="str">
        <x:v>Google Scholar result</x:v>
      </x:c>
      <x:c r="I388" s="22" t="str">
        <x:v>NR</x:v>
      </x:c>
      <x:c r="J388" s="22" t="str">
        <x:v>NR</x:v>
      </x:c>
      <x:c r="K388" s="22" t="str">
        <x:v>NR — URL not captured in the available source record</x:v>
      </x:c>
      <x:c r="L388" s="22" t="str">
        <x:v>Not available in the captured evidence; the screening decision used the title and available source metadata.</x:v>
      </x:c>
      <x:c r="M388" s="22" t="str">
        <x:v>No duplicate</x:v>
      </x:c>
      <x:c r="N388" s="22" t="str">
        <x:v>DG-042</x:v>
      </x:c>
      <x:c r="O388" s="22" t="str">
        <x:v>Not applicable</x:v>
      </x:c>
      <x:c r="P388" s="22" t="str">
        <x:v>Yes</x:v>
      </x:c>
      <x:c r="Q388" s="22" t="str">
        <x:v>Exclude</x:v>
      </x:c>
      <x:c r="R388" s="22" t="str">
        <x:v>Wrong domain: mobile-video streaming.</x:v>
      </x:c>
      <x:c r="S388" s="22" t="str">
        <x:v>Verification documented at process level</x:v>
      </x:c>
      <x:c r="T388" s="22" t="str">
        <x:v>Two additional authors performed random spot checks; individual spot-check assignments are not recorded in this register.</x:v>
      </x:c>
      <x:c r="U388" s="22" t="str">
        <x:v>Exclude</x:v>
      </x:c>
      <x:c r="V388" s="22" t="str">
        <x:v>Primary decision by the corresponding author; two additional authors performed random spot checks as a quality-control step.</x:v>
      </x:c>
      <x:c r="W388" s="22" t="str">
        <x:v>No</x:v>
      </x:c>
      <x:c r="X388" s="22" t="str">
        <x:v>Not applicable</x:v>
      </x:c>
      <x:c r="Y388" s="22" t="str">
        <x:v>Not assessed</x:v>
      </x:c>
      <x:c r="Z388" s="22" t="str">
        <x:v>Not advanced to full-text assessment after the title/abstract decision.</x:v>
      </x:c>
      <x:c r="AA388" s="22" t="str">
        <x:v>Not applicable</x:v>
      </x:c>
      <x:c r="AB388" s="22" t="str">
        <x:v>Record was not advanced to full-text assessment.</x:v>
      </x:c>
      <x:c r="AC388" s="22" t="str">
        <x:v>Not assessed</x:v>
      </x:c>
      <x:c r="AD388" s="22" t="str">
        <x:v>Not applicable — no full-text assessment was required.</x:v>
      </x:c>
      <x:c r="AE388" s="22" t="str">
        <x:v>Not included — title/abstract exclusion</x:v>
      </x:c>
      <x:c r="AF388" s="22" t="str">
        <x:v>Not applicable — not included</x:v>
      </x:c>
      <x:c r="AG388" s="22" t="str">
        <x:v>Evidence: 0e554cf9-4da3-49fb-b34b-fb47ef89156b.png; page 5, result 1. Metadata transcribed from captured Google Scholar page; OCR-normalised, verify against publication before citation.</x:v>
      </x:c>
      <x:c r="AH388" s="20" t="str">
        <x:v>Confirmed using normalized title across captured searches.</x:v>
      </x:c>
    </x:row>
    <x:row r="389" ht="42" customHeight="1">
      <x:c r="A389" s="22" t="str">
        <x:v>GS-04-042</x:v>
      </x:c>
      <x:c r="B389" s="22" t="str">
        <x:v>Google Scholar</x:v>
      </x:c>
      <x:c r="C389" s="22" t="str">
        <x:v>GS-04</x:v>
      </x:c>
      <x:c r="D389" s="22" t="str">
        <x:v>Sequential Decision Making using Neurosymbolic Al</x:v>
      </x:c>
      <x:c r="E389" s="22" t="str">
        <x:v>K. Singh</x:v>
      </x:c>
      <x:c r="F389" s="22" t="str">
        <x:v>NR</x:v>
      </x:c>
      <x:c r="G389" s="22" t="str">
        <x:v>rasearch gate ral</x:v>
      </x:c>
      <x:c r="H389" s="22" t="str">
        <x:v>Google Scholar result</x:v>
      </x:c>
      <x:c r="I389" s="22" t="str">
        <x:v>NR</x:v>
      </x:c>
      <x:c r="J389" s="22" t="str">
        <x:v>NR</x:v>
      </x:c>
      <x:c r="K389" s="22" t="str">
        <x:v>NR — URL not captured in the available source record</x:v>
      </x:c>
      <x:c r="L389" s="22" t="str">
        <x:v>Not available in the captured evidence; the screening decision used the title and available source metadata.</x:v>
      </x:c>
      <x:c r="M389" s="22" t="str">
        <x:v>No duplicate</x:v>
      </x:c>
      <x:c r="N389" s="22" t="str">
        <x:v>Not applicable — no duplicate group</x:v>
      </x:c>
      <x:c r="O389" s="22" t="str">
        <x:v>Not applicable</x:v>
      </x:c>
      <x:c r="P389" s="22" t="str">
        <x:v>Yes</x:v>
      </x:c>
      <x:c r="Q389" s="22" t="str">
        <x:v>Exclude</x:v>
      </x:c>
      <x:c r="R389" s="22" t="str">
        <x:v>Generic neurosymbolic decision-making; no relevant imaging application.</x:v>
      </x:c>
      <x:c r="S389" s="22" t="str">
        <x:v>Verification documented at process level</x:v>
      </x:c>
      <x:c r="T389" s="22" t="str">
        <x:v>Two additional authors performed random spot checks; individual spot-check assignments are not recorded in this register.</x:v>
      </x:c>
      <x:c r="U389" s="22" t="str">
        <x:v>Exclude</x:v>
      </x:c>
      <x:c r="V389" s="22" t="str">
        <x:v>Primary decision by the corresponding author; two additional authors performed random spot checks as a quality-control step.</x:v>
      </x:c>
      <x:c r="W389" s="22" t="str">
        <x:v>No</x:v>
      </x:c>
      <x:c r="X389" s="22" t="str">
        <x:v>Not applicable</x:v>
      </x:c>
      <x:c r="Y389" s="22" t="str">
        <x:v>Not assessed</x:v>
      </x:c>
      <x:c r="Z389" s="22" t="str">
        <x:v>Not advanced to full-text assessment after the title/abstract decision.</x:v>
      </x:c>
      <x:c r="AA389" s="22" t="str">
        <x:v>Not applicable</x:v>
      </x:c>
      <x:c r="AB389" s="22" t="str">
        <x:v>Record was not advanced to full-text assessment.</x:v>
      </x:c>
      <x:c r="AC389" s="22" t="str">
        <x:v>Not assessed</x:v>
      </x:c>
      <x:c r="AD389" s="22" t="str">
        <x:v>Not applicable — no full-text assessment was required.</x:v>
      </x:c>
      <x:c r="AE389" s="22" t="str">
        <x:v>Not included — title/abstract exclusion</x:v>
      </x:c>
      <x:c r="AF389" s="22" t="str">
        <x:v>Not applicable — not included</x:v>
      </x:c>
      <x:c r="AG389" s="22" t="str">
        <x:v>Evidence: 0e554cf9-4da3-49fb-b34b-fb47ef89156b.png; page 5, result 2. Metadata transcribed from captured Google Scholar page; OCR-normalised, verify against publication before citation.</x:v>
      </x:c>
      <x:c r="AH389" s="20" t="str">
        <x:v>No duplicate identified under the documented matching rules.</x:v>
      </x:c>
    </x:row>
    <x:row r="390" ht="42" customHeight="1">
      <x:c r="A390" s="22" t="str">
        <x:v>GS-04-043</x:v>
      </x:c>
      <x:c r="B390" s="22" t="str">
        <x:v>Google Scholar</x:v>
      </x:c>
      <x:c r="C390" s="22" t="str">
        <x:v>GS-04</x:v>
      </x:c>
      <x:c r="D390" s="22" t="str">
        <x:v>re rr ire, er aes Computing (HCC) Healthcare, Education and Research, Emphasizing Ethics and Safety ..</x:v>
      </x:c>
      <x:c r="E390" s="22" t="str">
        <x:v>AAlzal</x:v>
      </x:c>
      <x:c r="F390" s="22" t="n">
        <x:v>2025</x:v>
      </x:c>
      <x:c r="G390" s="22" t="str">
        <x:v>2025 IEEE Smari Wvarld Congress (54vC). 2025 - iezexploré wee org</x:v>
      </x:c>
      <x:c r="H390" s="22" t="str">
        <x:v>Google Scholar result</x:v>
      </x:c>
      <x:c r="I390" s="22" t="str">
        <x:v>NR</x:v>
      </x:c>
      <x:c r="J390" s="22" t="str">
        <x:v>NR</x:v>
      </x:c>
      <x:c r="K390" s="22" t="str">
        <x:v>NR — URL not captured in the available source record</x:v>
      </x:c>
      <x:c r="L390" s="22" t="str">
        <x:v>Not available in the captured evidence; the screening decision used the title and available source metadata.</x:v>
      </x:c>
      <x:c r="M390" s="22" t="str">
        <x:v>No duplicate</x:v>
      </x:c>
      <x:c r="N390" s="22" t="str">
        <x:v>DG-120</x:v>
      </x:c>
      <x:c r="O390" s="22" t="str">
        <x:v>Not applicable</x:v>
      </x:c>
      <x:c r="P390" s="22" t="str">
        <x:v>Yes</x:v>
      </x:c>
      <x:c r="Q390" s="22" t="str">
        <x:v>Exclude</x:v>
      </x:c>
      <x:c r="R390" s="22" t="str">
        <x:v>General healthcare/ethics discussion without relevant imaging method.</x:v>
      </x:c>
      <x:c r="S390" s="22" t="str">
        <x:v>Verification documented at process level</x:v>
      </x:c>
      <x:c r="T390" s="22" t="str">
        <x:v>Two additional authors performed random spot checks; individual spot-check assignments are not recorded in this register.</x:v>
      </x:c>
      <x:c r="U390" s="22" t="str">
        <x:v>Exclude</x:v>
      </x:c>
      <x:c r="V390" s="22" t="str">
        <x:v>Primary decision by the corresponding author; two additional authors performed random spot checks as a quality-control step.</x:v>
      </x:c>
      <x:c r="W390" s="22" t="str">
        <x:v>No</x:v>
      </x:c>
      <x:c r="X390" s="22" t="str">
        <x:v>Not applicable</x:v>
      </x:c>
      <x:c r="Y390" s="22" t="str">
        <x:v>Not assessed</x:v>
      </x:c>
      <x:c r="Z390" s="22" t="str">
        <x:v>Not advanced to full-text assessment after the title/abstract decision.</x:v>
      </x:c>
      <x:c r="AA390" s="22" t="str">
        <x:v>Not applicable</x:v>
      </x:c>
      <x:c r="AB390" s="22" t="str">
        <x:v>Record was not advanced to full-text assessment.</x:v>
      </x:c>
      <x:c r="AC390" s="22" t="str">
        <x:v>Not assessed</x:v>
      </x:c>
      <x:c r="AD390" s="22" t="str">
        <x:v>Not applicable — no full-text assessment was required.</x:v>
      </x:c>
      <x:c r="AE390" s="22" t="str">
        <x:v>Not included — title/abstract exclusion</x:v>
      </x:c>
      <x:c r="AF390" s="22" t="str">
        <x:v>Not applicable — not included</x:v>
      </x:c>
      <x:c r="AG390" s="22" t="str">
        <x:v>Evidence: 0e554cf9-4da3-49fb-b34b-fb47ef89156b.png; page 5, result 3. Metadata transcribed from captured Google Scholar page; OCR-normalised, verify against publication before citation.</x:v>
      </x:c>
      <x:c r="AH390" s="20" t="str">
        <x:v>No duplicate identified under the documented matching rules.</x:v>
      </x:c>
    </x:row>
    <x:row r="391" ht="42" customHeight="1">
      <x:c r="A391" s="22" t="str">
        <x:v>GS-04-044</x:v>
      </x:c>
      <x:c r="B391" s="22" t="str">
        <x:v>Google Scholar</x:v>
      </x:c>
      <x:c r="C391" s="22" t="str">
        <x:v>GS-04</x:v>
      </x:c>
      <x:c r="D391" s="22" t="str">
        <x:v>Neurosymbolic Multi-Agent Artificial Inteligance versus General-Purpase Large Language Models for Clinical Dectsion Support in Ileus and Valvulus</x:v>
      </x:c>
      <x:c r="E391" s="22" t="str">
        <x:v>S Keskin. L Eybateva</x:v>
      </x:c>
      <x:c r="F391" s="22" t="str">
        <x:v>NR</x:v>
      </x:c>
      <x:c r="G391" s="22" t="str">
        <x:v>202€ - assets-eu researchsquare com</x:v>
      </x:c>
      <x:c r="H391" s="22" t="str">
        <x:v>Google Scholar result</x:v>
      </x:c>
      <x:c r="I391" s="22" t="str">
        <x:v>NR</x:v>
      </x:c>
      <x:c r="J391" s="22" t="str">
        <x:v>NR</x:v>
      </x:c>
      <x:c r="K391" s="22" t="str">
        <x:v>NR — URL not captured in the available source record</x:v>
      </x:c>
      <x:c r="L391" s="22" t="str">
        <x:v>Not available in the captured evidence; the screening decision used the title and available source metadata.</x:v>
      </x:c>
      <x:c r="M391" s="22" t="str">
        <x:v>No duplicate</x:v>
      </x:c>
      <x:c r="N391" s="22" t="str">
        <x:v>Not applicable — no duplicate group</x:v>
      </x:c>
      <x:c r="O391" s="22" t="str">
        <x:v>Not applicable</x:v>
      </x:c>
      <x:c r="P391" s="22" t="str">
        <x:v>Yes</x:v>
      </x:c>
      <x:c r="Q391" s="22" t="str">
        <x:v>Exclude</x:v>
      </x:c>
      <x:c r="R391" s="22" t="str">
        <x:v>Wrong clinical domain and no relevant imaging method.</x:v>
      </x:c>
      <x:c r="S391" s="22" t="str">
        <x:v>Verification documented at process level</x:v>
      </x:c>
      <x:c r="T391" s="22" t="str">
        <x:v>Two additional authors performed random spot checks; individual spot-check assignments are not recorded in this register.</x:v>
      </x:c>
      <x:c r="U391" s="22" t="str">
        <x:v>Exclude</x:v>
      </x:c>
      <x:c r="V391" s="22" t="str">
        <x:v>Primary decision by the corresponding author; two additional authors performed random spot checks as a quality-control step.</x:v>
      </x:c>
      <x:c r="W391" s="22" t="str">
        <x:v>No</x:v>
      </x:c>
      <x:c r="X391" s="22" t="str">
        <x:v>Not applicable</x:v>
      </x:c>
      <x:c r="Y391" s="22" t="str">
        <x:v>Not assessed</x:v>
      </x:c>
      <x:c r="Z391" s="22" t="str">
        <x:v>Not advanced to full-text assessment after the title/abstract decision.</x:v>
      </x:c>
      <x:c r="AA391" s="22" t="str">
        <x:v>Not applicable</x:v>
      </x:c>
      <x:c r="AB391" s="22" t="str">
        <x:v>Record was not advanced to full-text assessment.</x:v>
      </x:c>
      <x:c r="AC391" s="22" t="str">
        <x:v>Not assessed</x:v>
      </x:c>
      <x:c r="AD391" s="22" t="str">
        <x:v>Not applicable — no full-text assessment was required.</x:v>
      </x:c>
      <x:c r="AE391" s="22" t="str">
        <x:v>Not included — title/abstract exclusion</x:v>
      </x:c>
      <x:c r="AF391" s="22" t="str">
        <x:v>Not applicable — not included</x:v>
      </x:c>
      <x:c r="AG391" s="22" t="str">
        <x:v>Evidence: 0e554cf9-4da3-49fb-b34b-fb47ef89156b.png; page 5, result 4. Metadata transcribed from captured Google Scholar page; OCR-normalised, verify against publication before citation.</x:v>
      </x:c>
      <x:c r="AH391" s="20" t="str">
        <x:v>No duplicate identified under the documented matching rules.</x:v>
      </x:c>
    </x:row>
    <x:row r="392" ht="42" customHeight="1">
      <x:c r="A392" s="22" t="str">
        <x:v>GS-04-045</x:v>
      </x:c>
      <x:c r="B392" s="22" t="str">
        <x:v>Google Scholar</x:v>
      </x:c>
      <x:c r="C392" s="22" t="str">
        <x:v>GS-04</x:v>
      </x:c>
      <x:c r="D392" s="22" t="str">
        <x:v>Neuro-Symbolic Sentiment Analysis Integrating Lexicon Features with Deep Learning Models</x:v>
      </x:c>
      <x:c r="E392" s="22" t="str">
        <x:v>NC Madala. SDSPD Tallapudi V5 Malladi.</x:v>
      </x:c>
      <x:c r="F392" s="22" t="n">
        <x:v>2025</x:v>
      </x:c>
      <x:c r="G392" s="22" t="str">
        <x:v>Con‘erencé o* Machine =. 2025 - Springer</x:v>
      </x:c>
      <x:c r="H392" s="22" t="str">
        <x:v>Google Scholar result</x:v>
      </x:c>
      <x:c r="I392" s="22" t="str">
        <x:v>NR</x:v>
      </x:c>
      <x:c r="J392" s="22" t="str">
        <x:v>NR</x:v>
      </x:c>
      <x:c r="K392" s="22" t="str">
        <x:v>NR — URL not captured in the available source record</x:v>
      </x:c>
      <x:c r="L392" s="22" t="str">
        <x:v>Not available in the captured evidence; the screening decision used the title and available source metadata.</x:v>
      </x:c>
      <x:c r="M392" s="22" t="str">
        <x:v>No duplicate</x:v>
      </x:c>
      <x:c r="N392" s="22" t="str">
        <x:v>DG-108</x:v>
      </x:c>
      <x:c r="O392" s="22" t="str">
        <x:v>Not applicable</x:v>
      </x:c>
      <x:c r="P392" s="22" t="str">
        <x:v>Yes</x:v>
      </x:c>
      <x:c r="Q392" s="22" t="str">
        <x:v>Exclude</x:v>
      </x:c>
      <x:c r="R392" s="22" t="str">
        <x:v>Wrong domain: sentiment analysis.</x:v>
      </x:c>
      <x:c r="S392" s="22" t="str">
        <x:v>Verification documented at process level</x:v>
      </x:c>
      <x:c r="T392" s="22" t="str">
        <x:v>Two additional authors performed random spot checks; individual spot-check assignments are not recorded in this register.</x:v>
      </x:c>
      <x:c r="U392" s="22" t="str">
        <x:v>Exclude</x:v>
      </x:c>
      <x:c r="V392" s="22" t="str">
        <x:v>Primary decision by the corresponding author; two additional authors performed random spot checks as a quality-control step.</x:v>
      </x:c>
      <x:c r="W392" s="22" t="str">
        <x:v>No</x:v>
      </x:c>
      <x:c r="X392" s="22" t="str">
        <x:v>Not applicable</x:v>
      </x:c>
      <x:c r="Y392" s="22" t="str">
        <x:v>Not assessed</x:v>
      </x:c>
      <x:c r="Z392" s="22" t="str">
        <x:v>Not advanced to full-text assessment after the title/abstract decision.</x:v>
      </x:c>
      <x:c r="AA392" s="22" t="str">
        <x:v>Not applicable</x:v>
      </x:c>
      <x:c r="AB392" s="22" t="str">
        <x:v>Record was not advanced to full-text assessment.</x:v>
      </x:c>
      <x:c r="AC392" s="22" t="str">
        <x:v>Not assessed</x:v>
      </x:c>
      <x:c r="AD392" s="22" t="str">
        <x:v>Not applicable — no full-text assessment was required.</x:v>
      </x:c>
      <x:c r="AE392" s="22" t="str">
        <x:v>Not included — title/abstract exclusion</x:v>
      </x:c>
      <x:c r="AF392" s="22" t="str">
        <x:v>Not applicable — not included</x:v>
      </x:c>
      <x:c r="AG392" s="22" t="str">
        <x:v>Evidence: 0e554cf9-4da3-49fb-b34b-fb47ef89156b.png; page 5, result 5. Metadata transcribed from captured Google Scholar page; OCR-normalised, verify against publication before citation.</x:v>
      </x:c>
      <x:c r="AH392" s="20" t="str">
        <x:v>No duplicate identified under the documented matching rules.</x:v>
      </x:c>
    </x:row>
    <x:row r="393" ht="42" customHeight="1">
      <x:c r="A393" s="22" t="str">
        <x:v>GS-04-046</x:v>
      </x:c>
      <x:c r="B393" s="22" t="str">
        <x:v>Google Scholar</x:v>
      </x:c>
      <x:c r="C393" s="22" t="str">
        <x:v>GS-04</x:v>
      </x:c>
      <x:c r="D393" s="22" t="str">
        <x:v>Lightning tak: Trinity-assured neuro-symbolic model inspired by hierarchical predictive coding</x:v>
      </x:c>
      <x:c r="E393" s="22" t="str">
        <x:v>S Jha</x:v>
      </x:c>
      <x:c r="F393" s="22" t="n">
        <x:v>2022</x:v>
      </x:c>
      <x:c r="G393" s="22" t="str">
        <x:v>2022 60h ACM EEE Design Autemalion Conference 2123 - iseexplore eee org</x:v>
      </x:c>
      <x:c r="H393" s="22" t="str">
        <x:v>Google Scholar result</x:v>
      </x:c>
      <x:c r="I393" s="22" t="str">
        <x:v>NR</x:v>
      </x:c>
      <x:c r="J393" s="22" t="str">
        <x:v>NR</x:v>
      </x:c>
      <x:c r="K393" s="22" t="str">
        <x:v>NR — URL not captured in the available source record</x:v>
      </x:c>
      <x:c r="L393" s="22" t="str">
        <x:v>Not available in the captured evidence; the screening decision used the title and available source metadata.</x:v>
      </x:c>
      <x:c r="M393" s="22" t="str">
        <x:v>No duplicate</x:v>
      </x:c>
      <x:c r="N393" s="22" t="str">
        <x:v>DG-043</x:v>
      </x:c>
      <x:c r="O393" s="22" t="str">
        <x:v>Not applicable</x:v>
      </x:c>
      <x:c r="P393" s="22" t="str">
        <x:v>Yes</x:v>
      </x:c>
      <x:c r="Q393" s="22" t="str">
        <x:v>Exclude</x:v>
      </x:c>
      <x:c r="R393" s="22" t="str">
        <x:v>Hardware/model concept without medical imaging evidence.</x:v>
      </x:c>
      <x:c r="S393" s="22" t="str">
        <x:v>Verification documented at process level</x:v>
      </x:c>
      <x:c r="T393" s="22" t="str">
        <x:v>Two additional authors performed random spot checks; individual spot-check assignments are not recorded in this register.</x:v>
      </x:c>
      <x:c r="U393" s="22" t="str">
        <x:v>Exclude</x:v>
      </x:c>
      <x:c r="V393" s="22" t="str">
        <x:v>Primary decision by the corresponding author; two additional authors performed random spot checks as a quality-control step.</x:v>
      </x:c>
      <x:c r="W393" s="22" t="str">
        <x:v>No</x:v>
      </x:c>
      <x:c r="X393" s="22" t="str">
        <x:v>Not applicable</x:v>
      </x:c>
      <x:c r="Y393" s="22" t="str">
        <x:v>Not assessed</x:v>
      </x:c>
      <x:c r="Z393" s="22" t="str">
        <x:v>Not advanced to full-text assessment after the title/abstract decision.</x:v>
      </x:c>
      <x:c r="AA393" s="22" t="str">
        <x:v>Not applicable</x:v>
      </x:c>
      <x:c r="AB393" s="22" t="str">
        <x:v>Record was not advanced to full-text assessment.</x:v>
      </x:c>
      <x:c r="AC393" s="22" t="str">
        <x:v>Not assessed</x:v>
      </x:c>
      <x:c r="AD393" s="22" t="str">
        <x:v>Not applicable — no full-text assessment was required.</x:v>
      </x:c>
      <x:c r="AE393" s="22" t="str">
        <x:v>Not included — title/abstract exclusion</x:v>
      </x:c>
      <x:c r="AF393" s="22" t="str">
        <x:v>Not applicable — not included</x:v>
      </x:c>
      <x:c r="AG393" s="22" t="str">
        <x:v>Evidence: 0e554cf9-4da3-49fb-b34b-fb47ef89156b.png; page 5, result 6. Metadata transcribed from captured Google Scholar page; OCR-normalised, verify against publication before citation.</x:v>
      </x:c>
      <x:c r="AH393" s="20" t="str">
        <x:v>Confirmed using normalized title across captured searches.</x:v>
      </x:c>
    </x:row>
    <x:row r="394" ht="42" customHeight="1">
      <x:c r="A394" s="22" t="str">
        <x:v>GS-04-047</x:v>
      </x:c>
      <x:c r="B394" s="22" t="str">
        <x:v>Google Scholar</x:v>
      </x:c>
      <x:c r="C394" s="22" t="str">
        <x:v>GS-04</x:v>
      </x:c>
      <x:c r="D394" s="22" t="str">
        <x:v>Modeling cagnitive processes within a creative problem-solving task’ from symbolic to neuro- symbolic approaches in computational learning sciences</x:v>
      </x:c>
      <x:c r="E394" s="22" t="str">
        <x:v>C Mercier</x:v>
      </x:c>
      <x:c r="F394" s="22" t="n">
        <x:v>2024</x:v>
      </x:c>
      <x:c r="G394" s="22" t="str">
        <x:v>2024 «theses ha scierce</x:v>
      </x:c>
      <x:c r="H394" s="22" t="str">
        <x:v>Google Scholar result</x:v>
      </x:c>
      <x:c r="I394" s="22" t="str">
        <x:v>NR</x:v>
      </x:c>
      <x:c r="J394" s="22" t="str">
        <x:v>NR</x:v>
      </x:c>
      <x:c r="K394" s="22" t="str">
        <x:v>NR — URL not captured in the available source record</x:v>
      </x:c>
      <x:c r="L394" s="22" t="str">
        <x:v>Not available in the captured evidence; the screening decision used the title and available source metadata.</x:v>
      </x:c>
      <x:c r="M394" s="22" t="str">
        <x:v>No duplicate</x:v>
      </x:c>
      <x:c r="N394" s="22" t="str">
        <x:v>DG-103</x:v>
      </x:c>
      <x:c r="O394" s="22" t="str">
        <x:v>Not applicable</x:v>
      </x:c>
      <x:c r="P394" s="22" t="str">
        <x:v>Yes</x:v>
      </x:c>
      <x:c r="Q394" s="22" t="str">
        <x:v>Exclude</x:v>
      </x:c>
      <x:c r="R394" s="22" t="str">
        <x:v>Wrong domain: computational learning sciences.</x:v>
      </x:c>
      <x:c r="S394" s="22" t="str">
        <x:v>Verification documented at process level</x:v>
      </x:c>
      <x:c r="T394" s="22" t="str">
        <x:v>Two additional authors performed random spot checks; individual spot-check assignments are not recorded in this register.</x:v>
      </x:c>
      <x:c r="U394" s="22" t="str">
        <x:v>Exclude</x:v>
      </x:c>
      <x:c r="V394" s="22" t="str">
        <x:v>Primary decision by the corresponding author; two additional authors performed random spot checks as a quality-control step.</x:v>
      </x:c>
      <x:c r="W394" s="22" t="str">
        <x:v>No</x:v>
      </x:c>
      <x:c r="X394" s="22" t="str">
        <x:v>Not applicable</x:v>
      </x:c>
      <x:c r="Y394" s="22" t="str">
        <x:v>Not assessed</x:v>
      </x:c>
      <x:c r="Z394" s="22" t="str">
        <x:v>Not advanced to full-text assessment after the title/abstract decision.</x:v>
      </x:c>
      <x:c r="AA394" s="22" t="str">
        <x:v>Not applicable</x:v>
      </x:c>
      <x:c r="AB394" s="22" t="str">
        <x:v>Record was not advanced to full-text assessment.</x:v>
      </x:c>
      <x:c r="AC394" s="22" t="str">
        <x:v>Not assessed</x:v>
      </x:c>
      <x:c r="AD394" s="22" t="str">
        <x:v>Not applicable — no full-text assessment was required.</x:v>
      </x:c>
      <x:c r="AE394" s="22" t="str">
        <x:v>Not included — title/abstract exclusion</x:v>
      </x:c>
      <x:c r="AF394" s="22" t="str">
        <x:v>Not applicable — not included</x:v>
      </x:c>
      <x:c r="AG394" s="22" t="str">
        <x:v>Evidence: 0e554cf9-4da3-49fb-b34b-fb47ef89156b.png; page 5, result 7. Metadata transcribed from captured Google Scholar page; OCR-normalised, verify against publication before citation.</x:v>
      </x:c>
      <x:c r="AH394" s="20" t="str">
        <x:v>No duplicate identified under the documented matching rules.</x:v>
      </x:c>
    </x:row>
    <x:row r="395" ht="42" customHeight="1">
      <x:c r="A395" s="22" t="str">
        <x:v>GS-04-048</x:v>
      </x:c>
      <x:c r="B395" s="22" t="str">
        <x:v>Google Scholar</x:v>
      </x:c>
      <x:c r="C395" s="22" t="str">
        <x:v>GS-04</x:v>
      </x:c>
      <x:c r="D395" s="22" t="str">
        <x:v>Neuro-Symbolic Al with Edge Computing and Reinforcement Learning Optimizing Autonomous Engineering Design Workflows</x:v>
      </x:c>
      <x:c r="E395" s="22" t="str">
        <x:v>V “hatiiarasi</x:v>
      </x:c>
      <x:c r="F395" s="22" t="n">
        <x:v>2026</x:v>
      </x:c>
      <x:c r="G395" s="22" t="str">
        <x:v>2026 - preprints arg</x:v>
      </x:c>
      <x:c r="H395" s="22" t="str">
        <x:v>Google Scholar result</x:v>
      </x:c>
      <x:c r="I395" s="22" t="str">
        <x:v>NR</x:v>
      </x:c>
      <x:c r="J395" s="22" t="str">
        <x:v>NR</x:v>
      </x:c>
      <x:c r="K395" s="22" t="str">
        <x:v>NR — URL not captured in the available source record</x:v>
      </x:c>
      <x:c r="L395" s="22" t="str">
        <x:v>Not available in the captured evidence; the screening decision used the title and available source metadata.</x:v>
      </x:c>
      <x:c r="M395" s="22" t="str">
        <x:v>No duplicate</x:v>
      </x:c>
      <x:c r="N395" s="22" t="str">
        <x:v>DG-044</x:v>
      </x:c>
      <x:c r="O395" s="22" t="str">
        <x:v>Not applicable</x:v>
      </x:c>
      <x:c r="P395" s="22" t="str">
        <x:v>Yes</x:v>
      </x:c>
      <x:c r="Q395" s="22" t="str">
        <x:v>Exclude</x:v>
      </x:c>
      <x:c r="R395" s="22" t="str">
        <x:v>Wrong domain: autonomous engineering design.</x:v>
      </x:c>
      <x:c r="S395" s="22" t="str">
        <x:v>Verification documented at process level</x:v>
      </x:c>
      <x:c r="T395" s="22" t="str">
        <x:v>Two additional authors performed random spot checks; individual spot-check assignments are not recorded in this register.</x:v>
      </x:c>
      <x:c r="U395" s="22" t="str">
        <x:v>Exclude</x:v>
      </x:c>
      <x:c r="V395" s="22" t="str">
        <x:v>Primary decision by the corresponding author; two additional authors performed random spot checks as a quality-control step.</x:v>
      </x:c>
      <x:c r="W395" s="22" t="str">
        <x:v>No</x:v>
      </x:c>
      <x:c r="X395" s="22" t="str">
        <x:v>Not applicable</x:v>
      </x:c>
      <x:c r="Y395" s="22" t="str">
        <x:v>Not assessed</x:v>
      </x:c>
      <x:c r="Z395" s="22" t="str">
        <x:v>Not advanced to full-text assessment after the title/abstract decision.</x:v>
      </x:c>
      <x:c r="AA395" s="22" t="str">
        <x:v>Not applicable</x:v>
      </x:c>
      <x:c r="AB395" s="22" t="str">
        <x:v>Record was not advanced to full-text assessment.</x:v>
      </x:c>
      <x:c r="AC395" s="22" t="str">
        <x:v>Not assessed</x:v>
      </x:c>
      <x:c r="AD395" s="22" t="str">
        <x:v>Not applicable — no full-text assessment was required.</x:v>
      </x:c>
      <x:c r="AE395" s="22" t="str">
        <x:v>Not included — title/abstract exclusion</x:v>
      </x:c>
      <x:c r="AF395" s="22" t="str">
        <x:v>Not applicable — not included</x:v>
      </x:c>
      <x:c r="AG395" s="22" t="str">
        <x:v>Evidence: 0e554cf9-4da3-49fb-b34b-fb47ef89156b.png; page 5, result 8. Metadata transcribed from captured Google Scholar page; OCR-normalised, verify against publication before citation.</x:v>
      </x:c>
      <x:c r="AH395" s="20" t="str">
        <x:v>Confirmed using normalized title across captured searches.</x:v>
      </x:c>
    </x:row>
    <x:row r="396" ht="42" customHeight="1">
      <x:c r="A396" s="22" t="str">
        <x:v>GS-04-049</x:v>
      </x:c>
      <x:c r="B396" s="22" t="str">
        <x:v>Google Scholar</x:v>
      </x:c>
      <x:c r="C396" s="22" t="str">
        <x:v>GS-04</x:v>
      </x:c>
      <x:c r="D396" s="22" t="str">
        <x:v>Cataract Detection Systems Using Deep Learning Technique A Survey</x:v>
      </x:c>
      <x:c r="E396" s="22" t="str">
        <x:v>AM Rao SK Gandhimathi- Neura-Symbolic Al Concepis anc 2026</x:v>
      </x:c>
      <x:c r="F396" s="22" t="n">
        <x:v>2026</x:v>
      </x:c>
      <x:c r="G396" s="22" t="str">
        <x:v>books goagle com</x:v>
      </x:c>
      <x:c r="H396" s="22" t="str">
        <x:v>Google Scholar result</x:v>
      </x:c>
      <x:c r="I396" s="22" t="str">
        <x:v>NR</x:v>
      </x:c>
      <x:c r="J396" s="22" t="str">
        <x:v>NR</x:v>
      </x:c>
      <x:c r="K396" s="22" t="str">
        <x:v>NR — URL not captured in the available source record</x:v>
      </x:c>
      <x:c r="L396" s="22" t="str">
        <x:v>Not available in the captured evidence; the screening decision used the title and available source metadata.</x:v>
      </x:c>
      <x:c r="M396" s="22" t="str">
        <x:v>No duplicate</x:v>
      </x:c>
      <x:c r="N396" s="22" t="str">
        <x:v>DG-045</x:v>
      </x:c>
      <x:c r="O396" s="22" t="str">
        <x:v>Not applicable</x:v>
      </x:c>
      <x:c r="P396" s="22" t="str">
        <x:v>Yes</x:v>
      </x:c>
      <x:c r="Q396" s="22" t="str">
        <x:v>Exclude</x:v>
      </x:c>
      <x:c r="R396" s="22" t="str">
        <x:v>Survey article; not original empirical research.</x:v>
      </x:c>
      <x:c r="S396" s="22" t="str">
        <x:v>Verification documented at process level</x:v>
      </x:c>
      <x:c r="T396" s="22" t="str">
        <x:v>Two additional authors performed random spot checks; individual spot-check assignments are not recorded in this register.</x:v>
      </x:c>
      <x:c r="U396" s="22" t="str">
        <x:v>Exclude</x:v>
      </x:c>
      <x:c r="V396" s="22" t="str">
        <x:v>Primary decision by the corresponding author; two additional authors performed random spot checks as a quality-control step.</x:v>
      </x:c>
      <x:c r="W396" s="22" t="str">
        <x:v>No</x:v>
      </x:c>
      <x:c r="X396" s="22" t="str">
        <x:v>Not applicable</x:v>
      </x:c>
      <x:c r="Y396" s="22" t="str">
        <x:v>Not assessed</x:v>
      </x:c>
      <x:c r="Z396" s="22" t="str">
        <x:v>Not advanced to full-text assessment after the title/abstract decision.</x:v>
      </x:c>
      <x:c r="AA396" s="22" t="str">
        <x:v>Not applicable</x:v>
      </x:c>
      <x:c r="AB396" s="22" t="str">
        <x:v>Record was not advanced to full-text assessment.</x:v>
      </x:c>
      <x:c r="AC396" s="22" t="str">
        <x:v>Not assessed</x:v>
      </x:c>
      <x:c r="AD396" s="22" t="str">
        <x:v>Not applicable — no full-text assessment was required.</x:v>
      </x:c>
      <x:c r="AE396" s="22" t="str">
        <x:v>Not included — title/abstract exclusion</x:v>
      </x:c>
      <x:c r="AF396" s="22" t="str">
        <x:v>Not applicable — not included</x:v>
      </x:c>
      <x:c r="AG396" s="22" t="str">
        <x:v>Evidence: 0e554cf9-4da3-49fb-b34b-fb47ef89156b.png; page 5, result 9. Metadata transcribed from captured Google Scholar page; OCR-normalised, verify against publication before citation.</x:v>
      </x:c>
      <x:c r="AH396" s="20" t="str">
        <x:v>Confirmed using normalized title across captured searches.</x:v>
      </x:c>
    </x:row>
    <x:row r="397" ht="42" customHeight="1">
      <x:c r="A397" s="22" t="str">
        <x:v>GS-04-050</x:v>
      </x:c>
      <x:c r="B397" s="22" t="str">
        <x:v>Google Scholar</x:v>
      </x:c>
      <x:c r="C397" s="22" t="str">
        <x:v>GS-04</x:v>
      </x:c>
      <x:c r="D397" s="22" t="str">
        <x:v>(4TML] ACNN-DR’ Adaptive convolutional neural network for diabetic retinopathy using bias correction and continual leaming</x:v>
      </x:c>
      <x:c r="E397" s="22" t="str">
        <x:v>AJadbay RNAwae RR ogle- B-omedical Signa Processing and Contral 2026 . Elsevier</x:v>
      </x:c>
      <x:c r="F397" s="22" t="n">
        <x:v>2026</x:v>
      </x:c>
      <x:c r="G397" s="22" t="str">
        <x:v>AJadbay RNAwae RR ogle- B-omedical Signa Processing and Contral 2026 . Elsevier</x:v>
      </x:c>
      <x:c r="H397" s="22" t="str">
        <x:v>Google Scholar result</x:v>
      </x:c>
      <x:c r="I397" s="22" t="str">
        <x:v>NR</x:v>
      </x:c>
      <x:c r="J397" s="22" t="str">
        <x:v>NR</x:v>
      </x:c>
      <x:c r="K397" s="22" t="str">
        <x:v>NR — URL not captured in the available source record</x:v>
      </x:c>
      <x:c r="L397" s="22" t="str">
        <x:v>Not available in the captured evidence; the screening decision used the title and available source metadata.</x:v>
      </x:c>
      <x:c r="M397" s="22" t="str">
        <x:v>No duplicate</x:v>
      </x:c>
      <x:c r="N397" s="22" t="str">
        <x:v>DG-083</x:v>
      </x:c>
      <x:c r="O397" s="22" t="str">
        <x:v>Not applicable</x:v>
      </x:c>
      <x:c r="P397" s="22" t="str">
        <x:v>Yes</x:v>
      </x:c>
      <x:c r="Q397" s="22" t="str">
        <x:v>Exclude</x:v>
      </x:c>
      <x:c r="R397" s="22" t="str">
        <x:v>Retinal imaging but no concept-based or structured explanation method.</x:v>
      </x:c>
      <x:c r="S397" s="22" t="str">
        <x:v>Verification documented at process level</x:v>
      </x:c>
      <x:c r="T397" s="22" t="str">
        <x:v>Two additional authors performed random spot checks; individual spot-check assignments are not recorded in this register.</x:v>
      </x:c>
      <x:c r="U397" s="22" t="str">
        <x:v>Exclude</x:v>
      </x:c>
      <x:c r="V397" s="22" t="str">
        <x:v>Primary decision by the corresponding author; two additional authors performed random spot checks as a quality-control step.</x:v>
      </x:c>
      <x:c r="W397" s="22" t="str">
        <x:v>No</x:v>
      </x:c>
      <x:c r="X397" s="22" t="str">
        <x:v>Not applicable</x:v>
      </x:c>
      <x:c r="Y397" s="22" t="str">
        <x:v>Not assessed</x:v>
      </x:c>
      <x:c r="Z397" s="22" t="str">
        <x:v>Not advanced to full-text assessment after the title/abstract decision.</x:v>
      </x:c>
      <x:c r="AA397" s="22" t="str">
        <x:v>Not applicable</x:v>
      </x:c>
      <x:c r="AB397" s="22" t="str">
        <x:v>Record was not advanced to full-text assessment.</x:v>
      </x:c>
      <x:c r="AC397" s="22" t="str">
        <x:v>Not assessed</x:v>
      </x:c>
      <x:c r="AD397" s="22" t="str">
        <x:v>Not applicable — no full-text assessment was required.</x:v>
      </x:c>
      <x:c r="AE397" s="22" t="str">
        <x:v>Not included — title/abstract exclusion</x:v>
      </x:c>
      <x:c r="AF397" s="22" t="str">
        <x:v>Not applicable — not included</x:v>
      </x:c>
      <x:c r="AG397" s="22" t="str">
        <x:v>Evidence: 0e554cf9-4da3-49fb-b34b-fb47ef89156b.png; page 5, result 10. Metadata transcribed from captured Google Scholar page; OCR-normalised, verify against publication before citation.</x:v>
      </x:c>
      <x:c r="AH397" s="20" t="str">
        <x:v>No duplicate identified under the documented matching rules.</x:v>
      </x:c>
    </x:row>
    <x:row r="398" ht="42" customHeight="1">
      <x:c r="A398" s="22" t="str">
        <x:v>GS-04-051</x:v>
      </x:c>
      <x:c r="B398" s="22" t="str">
        <x:v>Google Scholar</x:v>
      </x:c>
      <x:c r="C398" s="22" t="str">
        <x:v>GS-04</x:v>
      </x:c>
      <x:c r="D398" s="22" t="str">
        <x:v>Retinal Prosthesis as an Experimental Pathway to the Spike-Based Neural Code</x:v>
      </x:c>
      <x:c r="E398" s="22" t="str">
        <x:v>X “Yuan</x:v>
      </x:c>
      <x:c r="F398" s="22" t="str">
        <x:v>NR</x:v>
      </x:c>
      <x:c r="G398" s="22" t="str">
        <x:v>researchgale net</x:v>
      </x:c>
      <x:c r="H398" s="22" t="str">
        <x:v>Google Scholar result</x:v>
      </x:c>
      <x:c r="I398" s="22" t="str">
        <x:v>NR</x:v>
      </x:c>
      <x:c r="J398" s="22" t="str">
        <x:v>NR</x:v>
      </x:c>
      <x:c r="K398" s="22" t="str">
        <x:v>NR — URL not captured in the available source record</x:v>
      </x:c>
      <x:c r="L398" s="22" t="str">
        <x:v>Not available in the captured evidence; the screening decision used the title and available source metadata.</x:v>
      </x:c>
      <x:c r="M398" s="22" t="str">
        <x:v>No duplicate</x:v>
      </x:c>
      <x:c r="N398" s="22" t="str">
        <x:v>DG-046</x:v>
      </x:c>
      <x:c r="O398" s="22" t="str">
        <x:v>Not applicable</x:v>
      </x:c>
      <x:c r="P398" s="22" t="str">
        <x:v>Yes</x:v>
      </x:c>
      <x:c r="Q398" s="22" t="str">
        <x:v>Exclude</x:v>
      </x:c>
      <x:c r="R398" s="22" t="str">
        <x:v>Retinal neuroscience study without concept-based XAI.</x:v>
      </x:c>
      <x:c r="S398" s="22" t="str">
        <x:v>Verification documented at process level</x:v>
      </x:c>
      <x:c r="T398" s="22" t="str">
        <x:v>Two additional authors performed random spot checks; individual spot-check assignments are not recorded in this register.</x:v>
      </x:c>
      <x:c r="U398" s="22" t="str">
        <x:v>Exclude</x:v>
      </x:c>
      <x:c r="V398" s="22" t="str">
        <x:v>Primary decision by the corresponding author; two additional authors performed random spot checks as a quality-control step.</x:v>
      </x:c>
      <x:c r="W398" s="22" t="str">
        <x:v>No</x:v>
      </x:c>
      <x:c r="X398" s="22" t="str">
        <x:v>Not applicable</x:v>
      </x:c>
      <x:c r="Y398" s="22" t="str">
        <x:v>Not assessed</x:v>
      </x:c>
      <x:c r="Z398" s="22" t="str">
        <x:v>Not advanced to full-text assessment after the title/abstract decision.</x:v>
      </x:c>
      <x:c r="AA398" s="22" t="str">
        <x:v>Not applicable</x:v>
      </x:c>
      <x:c r="AB398" s="22" t="str">
        <x:v>Record was not advanced to full-text assessment.</x:v>
      </x:c>
      <x:c r="AC398" s="22" t="str">
        <x:v>Not assessed</x:v>
      </x:c>
      <x:c r="AD398" s="22" t="str">
        <x:v>Not applicable — no full-text assessment was required.</x:v>
      </x:c>
      <x:c r="AE398" s="22" t="str">
        <x:v>Not included — title/abstract exclusion</x:v>
      </x:c>
      <x:c r="AF398" s="22" t="str">
        <x:v>Not applicable — not included</x:v>
      </x:c>
      <x:c r="AG398" s="22" t="str">
        <x:v>Evidence: c789db3f-1dab-4ecf-9db0-85bd92d2d0fe.png; page 6, result 1. Metadata transcribed from captured Google Scholar page; OCR-normalised, verify against publication before citation.</x:v>
      </x:c>
      <x:c r="AH398" s="20" t="str">
        <x:v>Confirmed using normalized title across captured searches.</x:v>
      </x:c>
    </x:row>
    <x:row r="399" ht="42" customHeight="1">
      <x:c r="A399" s="22" t="str">
        <x:v>GS-04-052</x:v>
      </x:c>
      <x:c r="B399" s="22" t="str">
        <x:v>Google Scholar</x:v>
      </x:c>
      <x:c r="C399" s="22" t="str">
        <x:v>GS-04</x:v>
      </x:c>
      <x:c r="D399" s="22" t="str">
        <x:v>From Signals to Causes A Causal Signal Processing Framework for Robust and (nterpretable Clinical Risk Prediction</x:v>
      </x:c>
      <x:c r="E399" s="22" t="str">
        <x:v>S Das M Tat</x:v>
      </x:c>
      <x:c r="F399" s="22" t="n">
        <x:v>2026</x:v>
      </x:c>
      <x:c r="G399" s="22" t="str">
        <x:v>arXiv sreprint arXiv 2602 23877 2026 - arxiv org</x:v>
      </x:c>
      <x:c r="H399" s="22" t="str">
        <x:v>Google Scholar result</x:v>
      </x:c>
      <x:c r="I399" s="22" t="str">
        <x:v>NR</x:v>
      </x:c>
      <x:c r="J399" s="22" t="str">
        <x:v>NR</x:v>
      </x:c>
      <x:c r="K399" s="22" t="str">
        <x:v>NR — URL not captured in the available source record</x:v>
      </x:c>
      <x:c r="L399" s="22" t="str">
        <x:v>Not available in the captured evidence; the screening decision used the title and available source metadata.</x:v>
      </x:c>
      <x:c r="M399" s="22" t="str">
        <x:v>No duplicate</x:v>
      </x:c>
      <x:c r="N399" s="22" t="str">
        <x:v>DG-047</x:v>
      </x:c>
      <x:c r="O399" s="22" t="str">
        <x:v>Not applicable</x:v>
      </x:c>
      <x:c r="P399" s="22" t="str">
        <x:v>Yes</x:v>
      </x:c>
      <x:c r="Q399" s="22" t="str">
        <x:v>Exclude</x:v>
      </x:c>
      <x:c r="R399" s="22" t="str">
        <x:v>Non-imaging clinical risk prediction; wrong application domain.</x:v>
      </x:c>
      <x:c r="S399" s="22" t="str">
        <x:v>Verification documented at process level</x:v>
      </x:c>
      <x:c r="T399" s="22" t="str">
        <x:v>Two additional authors performed random spot checks; individual spot-check assignments are not recorded in this register.</x:v>
      </x:c>
      <x:c r="U399" s="22" t="str">
        <x:v>Exclude</x:v>
      </x:c>
      <x:c r="V399" s="22" t="str">
        <x:v>Primary decision by the corresponding author; two additional authors performed random spot checks as a quality-control step.</x:v>
      </x:c>
      <x:c r="W399" s="22" t="str">
        <x:v>No</x:v>
      </x:c>
      <x:c r="X399" s="22" t="str">
        <x:v>Not applicable</x:v>
      </x:c>
      <x:c r="Y399" s="22" t="str">
        <x:v>Not assessed</x:v>
      </x:c>
      <x:c r="Z399" s="22" t="str">
        <x:v>Not advanced to full-text assessment after the title/abstract decision.</x:v>
      </x:c>
      <x:c r="AA399" s="22" t="str">
        <x:v>Not applicable</x:v>
      </x:c>
      <x:c r="AB399" s="22" t="str">
        <x:v>Record was not advanced to full-text assessment.</x:v>
      </x:c>
      <x:c r="AC399" s="22" t="str">
        <x:v>Not assessed</x:v>
      </x:c>
      <x:c r="AD399" s="22" t="str">
        <x:v>Not applicable — no full-text assessment was required.</x:v>
      </x:c>
      <x:c r="AE399" s="22" t="str">
        <x:v>Not included — title/abstract exclusion</x:v>
      </x:c>
      <x:c r="AF399" s="22" t="str">
        <x:v>Not applicable — not included</x:v>
      </x:c>
      <x:c r="AG399" s="22" t="str">
        <x:v>Evidence: c789db3f-1dab-4ecf-9db0-85bd92d2d0fe.png; page 6, result 2. Metadata transcribed from captured Google Scholar page; OCR-normalised, verify against publication before citation.</x:v>
      </x:c>
      <x:c r="AH399" s="20" t="str">
        <x:v>Confirmed using normalized title across captured searches.</x:v>
      </x:c>
    </x:row>
    <x:row r="400" ht="42" customHeight="1">
      <x:c r="A400" s="22" t="str">
        <x:v>GS-04-053</x:v>
      </x:c>
      <x:c r="B400" s="22" t="str">
        <x:v>Google Scholar</x:v>
      </x:c>
      <x:c r="C400" s="22" t="str">
        <x:v>GS-04</x:v>
      </x:c>
      <x:c r="D400" s="22" t="str">
        <x:v>Predicting high coronary artery calcium score from retinal fundus images with deep learning algorithms</x:v>
      </x:c>
      <x:c r="E400" s="22" t="str">
        <x:v>d5on. Jv Shin, Eu. Ceun KH ung = -~visior science &amp; 2920</x:v>
      </x:c>
      <x:c r="F400" s="22" t="str">
        <x:v>NR</x:v>
      </x:c>
      <x:c r="G400" s="22" t="str">
        <x:v>tysl arvojcurnals arg</x:v>
      </x:c>
      <x:c r="H400" s="22" t="str">
        <x:v>Google Scholar result</x:v>
      </x:c>
      <x:c r="I400" s="22" t="str">
        <x:v>NR</x:v>
      </x:c>
      <x:c r="J400" s="22" t="str">
        <x:v>NR</x:v>
      </x:c>
      <x:c r="K400" s="22" t="str">
        <x:v>NR — URL not captured in the available source record</x:v>
      </x:c>
      <x:c r="L400" s="22" t="str">
        <x:v>Not available in the captured evidence; the screening decision used the title and available source metadata.</x:v>
      </x:c>
      <x:c r="M400" s="22" t="str">
        <x:v>No duplicate</x:v>
      </x:c>
      <x:c r="N400" s="22" t="str">
        <x:v>Not applicable — no duplicate group</x:v>
      </x:c>
      <x:c r="O400" s="22" t="str">
        <x:v>Not applicable</x:v>
      </x:c>
      <x:c r="P400" s="22" t="str">
        <x:v>Yes</x:v>
      </x:c>
      <x:c r="Q400" s="22" t="str">
        <x:v>Exclude</x:v>
      </x:c>
      <x:c r="R400" s="22" t="str">
        <x:v>Fundus-based prediction without a concept-oriented explanation method.</x:v>
      </x:c>
      <x:c r="S400" s="22" t="str">
        <x:v>Verification documented at process level</x:v>
      </x:c>
      <x:c r="T400" s="22" t="str">
        <x:v>Two additional authors performed random spot checks; individual spot-check assignments are not recorded in this register.</x:v>
      </x:c>
      <x:c r="U400" s="22" t="str">
        <x:v>Exclude</x:v>
      </x:c>
      <x:c r="V400" s="22" t="str">
        <x:v>Primary decision by the corresponding author; two additional authors performed random spot checks as a quality-control step.</x:v>
      </x:c>
      <x:c r="W400" s="22" t="str">
        <x:v>No</x:v>
      </x:c>
      <x:c r="X400" s="22" t="str">
        <x:v>Not applicable</x:v>
      </x:c>
      <x:c r="Y400" s="22" t="str">
        <x:v>Not assessed</x:v>
      </x:c>
      <x:c r="Z400" s="22" t="str">
        <x:v>Not advanced to full-text assessment after the title/abstract decision.</x:v>
      </x:c>
      <x:c r="AA400" s="22" t="str">
        <x:v>Not applicable</x:v>
      </x:c>
      <x:c r="AB400" s="22" t="str">
        <x:v>Record was not advanced to full-text assessment.</x:v>
      </x:c>
      <x:c r="AC400" s="22" t="str">
        <x:v>Not assessed</x:v>
      </x:c>
      <x:c r="AD400" s="22" t="str">
        <x:v>Not applicable — no full-text assessment was required.</x:v>
      </x:c>
      <x:c r="AE400" s="22" t="str">
        <x:v>Not included — title/abstract exclusion</x:v>
      </x:c>
      <x:c r="AF400" s="22" t="str">
        <x:v>Not applicable — not included</x:v>
      </x:c>
      <x:c r="AG400" s="22" t="str">
        <x:v>Evidence: c789db3f-1dab-4ecf-9db0-85bd92d2d0fe.png; page 6, result 3. Metadata transcribed from captured Google Scholar page; OCR-normalised, verify against publication before citation.</x:v>
      </x:c>
      <x:c r="AH400" s="20" t="str">
        <x:v>No duplicate identified under the documented matching rules.</x:v>
      </x:c>
    </x:row>
    <x:row r="401" ht="42" customHeight="1">
      <x:c r="A401" s="22" t="str">
        <x:v>GS-04-054</x:v>
      </x:c>
      <x:c r="B401" s="22" t="str">
        <x:v>Google Scholar</x:v>
      </x:c>
      <x:c r="C401" s="22" t="str">
        <x:v>GS-04</x:v>
      </x:c>
      <x:c r="D401" s="22" t="str">
        <x:v>Brain-Inspired Artificial Neural Nehwork for Energy-Efficient and Adaptive Learning</x:v>
      </x:c>
      <x:c r="E401" s="22" t="str">
        <x:v>RGhanalakshmi SB Prathiba -Neuro-Symbolic Al 2026</x:v>
      </x:c>
      <x:c r="F401" s="22" t="n">
        <x:v>2026</x:v>
      </x:c>
      <x:c r="G401" s="22" t="str">
        <x:v>booxs google com</x:v>
      </x:c>
      <x:c r="H401" s="22" t="str">
        <x:v>Google Scholar result</x:v>
      </x:c>
      <x:c r="I401" s="22" t="str">
        <x:v>NR</x:v>
      </x:c>
      <x:c r="J401" s="22" t="str">
        <x:v>NR</x:v>
      </x:c>
      <x:c r="K401" s="22" t="str">
        <x:v>NR — URL not captured in the available source record</x:v>
      </x:c>
      <x:c r="L401" s="22" t="str">
        <x:v>Not available in the captured evidence; the screening decision used the title and available source metadata.</x:v>
      </x:c>
      <x:c r="M401" s="22" t="str">
        <x:v>No duplicate</x:v>
      </x:c>
      <x:c r="N401" s="22" t="str">
        <x:v>DG-048</x:v>
      </x:c>
      <x:c r="O401" s="22" t="str">
        <x:v>Not applicable</x:v>
      </x:c>
      <x:c r="P401" s="22" t="str">
        <x:v>Yes</x:v>
      </x:c>
      <x:c r="Q401" s="22" t="str">
        <x:v>Exclude</x:v>
      </x:c>
      <x:c r="R401" s="22" t="str">
        <x:v>Generic brain-inspired AI; no relevant medical-imaging application.</x:v>
      </x:c>
      <x:c r="S401" s="22" t="str">
        <x:v>Verification documented at process level</x:v>
      </x:c>
      <x:c r="T401" s="22" t="str">
        <x:v>Two additional authors performed random spot checks; individual spot-check assignments are not recorded in this register.</x:v>
      </x:c>
      <x:c r="U401" s="22" t="str">
        <x:v>Exclude</x:v>
      </x:c>
      <x:c r="V401" s="22" t="str">
        <x:v>Primary decision by the corresponding author; two additional authors performed random spot checks as a quality-control step.</x:v>
      </x:c>
      <x:c r="W401" s="22" t="str">
        <x:v>No</x:v>
      </x:c>
      <x:c r="X401" s="22" t="str">
        <x:v>Not applicable</x:v>
      </x:c>
      <x:c r="Y401" s="22" t="str">
        <x:v>Not assessed</x:v>
      </x:c>
      <x:c r="Z401" s="22" t="str">
        <x:v>Not advanced to full-text assessment after the title/abstract decision.</x:v>
      </x:c>
      <x:c r="AA401" s="22" t="str">
        <x:v>Not applicable</x:v>
      </x:c>
      <x:c r="AB401" s="22" t="str">
        <x:v>Record was not advanced to full-text assessment.</x:v>
      </x:c>
      <x:c r="AC401" s="22" t="str">
        <x:v>Not assessed</x:v>
      </x:c>
      <x:c r="AD401" s="22" t="str">
        <x:v>Not applicable — no full-text assessment was required.</x:v>
      </x:c>
      <x:c r="AE401" s="22" t="str">
        <x:v>Not included — title/abstract exclusion</x:v>
      </x:c>
      <x:c r="AF401" s="22" t="str">
        <x:v>Not applicable — not included</x:v>
      </x:c>
      <x:c r="AG401" s="22" t="str">
        <x:v>Evidence: c789db3f-1dab-4ecf-9db0-85bd92d2d0fe.png; page 6, result 4. Metadata transcribed from captured Google Scholar page; OCR-normalised, verify against publication before citation.</x:v>
      </x:c>
      <x:c r="AH401" s="20" t="str">
        <x:v>Confirmed using normalized title across captured searches.</x:v>
      </x:c>
    </x:row>
    <x:row r="402" ht="42" customHeight="1">
      <x:c r="A402" s="22" t="str">
        <x:v>GS-04-055</x:v>
      </x:c>
      <x:c r="B402" s="22" t="str">
        <x:v>Google Scholar</x:v>
      </x:c>
      <x:c r="C402" s="22" t="str">
        <x:v>GS-04</x:v>
      </x:c>
      <x:c r="D402" s="22" t="str">
        <x:v>GraphMERT Efficrent and scalable distillation of reliable knowledge graphs from unstructured data</x:v>
      </x:c>
      <x:c r="E402" s="22" t="str">
        <x:v>M 3eova J Xiaa S Tuli, NK Jha ~ arXiv preprint armen 2510 09580, 2925</x:v>
      </x:c>
      <x:c r="F402" s="22" t="str">
        <x:v>NR</x:v>
      </x:c>
      <x:c r="G402" s="22" t="str">
        <x:v>axiv org</x:v>
      </x:c>
      <x:c r="H402" s="22" t="str">
        <x:v>Google Scholar result</x:v>
      </x:c>
      <x:c r="I402" s="22" t="str">
        <x:v>NR</x:v>
      </x:c>
      <x:c r="J402" s="22" t="str">
        <x:v>NR</x:v>
      </x:c>
      <x:c r="K402" s="22" t="str">
        <x:v>NR — URL not captured in the available source record</x:v>
      </x:c>
      <x:c r="L402" s="22" t="str">
        <x:v>Not available in the captured evidence; the screening decision used the title and available source metadata.</x:v>
      </x:c>
      <x:c r="M402" s="22" t="str">
        <x:v>No duplicate</x:v>
      </x:c>
      <x:c r="N402" s="22" t="str">
        <x:v>Not applicable — no duplicate group</x:v>
      </x:c>
      <x:c r="O402" s="22" t="str">
        <x:v>Not applicable</x:v>
      </x:c>
      <x:c r="P402" s="22" t="str">
        <x:v>Yes</x:v>
      </x:c>
      <x:c r="Q402" s="22" t="str">
        <x:v>Exclude</x:v>
      </x:c>
      <x:c r="R402" s="22" t="str">
        <x:v>General knowledge-graph distillation; no relevant medical imaging.</x:v>
      </x:c>
      <x:c r="S402" s="22" t="str">
        <x:v>Verification documented at process level</x:v>
      </x:c>
      <x:c r="T402" s="22" t="str">
        <x:v>Two additional authors performed random spot checks; individual spot-check assignments are not recorded in this register.</x:v>
      </x:c>
      <x:c r="U402" s="22" t="str">
        <x:v>Exclude</x:v>
      </x:c>
      <x:c r="V402" s="22" t="str">
        <x:v>Primary decision by the corresponding author; two additional authors performed random spot checks as a quality-control step.</x:v>
      </x:c>
      <x:c r="W402" s="22" t="str">
        <x:v>No</x:v>
      </x:c>
      <x:c r="X402" s="22" t="str">
        <x:v>Not applicable</x:v>
      </x:c>
      <x:c r="Y402" s="22" t="str">
        <x:v>Not assessed</x:v>
      </x:c>
      <x:c r="Z402" s="22" t="str">
        <x:v>Not advanced to full-text assessment after the title/abstract decision.</x:v>
      </x:c>
      <x:c r="AA402" s="22" t="str">
        <x:v>Not applicable</x:v>
      </x:c>
      <x:c r="AB402" s="22" t="str">
        <x:v>Record was not advanced to full-text assessment.</x:v>
      </x:c>
      <x:c r="AC402" s="22" t="str">
        <x:v>Not assessed</x:v>
      </x:c>
      <x:c r="AD402" s="22" t="str">
        <x:v>Not applicable — no full-text assessment was required.</x:v>
      </x:c>
      <x:c r="AE402" s="22" t="str">
        <x:v>Not included — title/abstract exclusion</x:v>
      </x:c>
      <x:c r="AF402" s="22" t="str">
        <x:v>Not applicable — not included</x:v>
      </x:c>
      <x:c r="AG402" s="22" t="str">
        <x:v>Evidence: c789db3f-1dab-4ecf-9db0-85bd92d2d0fe.png; page 6, result 5. Metadata transcribed from captured Google Scholar page; OCR-normalised, verify against publication before citation.</x:v>
      </x:c>
      <x:c r="AH402" s="20" t="str">
        <x:v>No duplicate identified under the documented matching rules.</x:v>
      </x:c>
    </x:row>
    <x:row r="403" ht="42" customHeight="1">
      <x:c r="A403" s="22" t="str">
        <x:v>GS-04-056</x:v>
      </x:c>
      <x:c r="B403" s="22" t="str">
        <x:v>Google Scholar</x:v>
      </x:c>
      <x:c r="C403" s="22" t="str">
        <x:v>GS-04</x:v>
      </x:c>
      <x:c r="D403" s="22" t="str">
        <x:v>RetinaDetachNet Automated Deep Learning Quantification of Photoreceptor Cell Death for Neuroprotection Studies in Experimental Retinal Detachment</x:v>
      </x:c>
      <x:c r="E403" s="22" t="str">
        <x:v>KG Baroutis H =| Helwa. K Yamamoto + Visron Scrence &amp; 2026</x:v>
      </x:c>
      <x:c r="F403" s="22" t="n">
        <x:v>2026</x:v>
      </x:c>
      <x:c r="G403" s="22" t="str">
        <x:v>tysl arvojoumals org</x:v>
      </x:c>
      <x:c r="H403" s="22" t="str">
        <x:v>Google Scholar result</x:v>
      </x:c>
      <x:c r="I403" s="22" t="str">
        <x:v>NR</x:v>
      </x:c>
      <x:c r="J403" s="22" t="str">
        <x:v>NR</x:v>
      </x:c>
      <x:c r="K403" s="22" t="str">
        <x:v>NR — URL not captured in the available source record</x:v>
      </x:c>
      <x:c r="L403" s="22" t="str">
        <x:v>Not available in the captured evidence; the screening decision used the title and available source metadata.</x:v>
      </x:c>
      <x:c r="M403" s="22" t="str">
        <x:v>No duplicate</x:v>
      </x:c>
      <x:c r="N403" s="22" t="str">
        <x:v>Not applicable — no duplicate group</x:v>
      </x:c>
      <x:c r="O403" s="22" t="str">
        <x:v>Not applicable</x:v>
      </x:c>
      <x:c r="P403" s="22" t="str">
        <x:v>Yes</x:v>
      </x:c>
      <x:c r="Q403" s="22" t="str">
        <x:v>Exclude</x:v>
      </x:c>
      <x:c r="R403" s="22" t="str">
        <x:v>Retinal quantification without concept-based explanation.</x:v>
      </x:c>
      <x:c r="S403" s="22" t="str">
        <x:v>Verification documented at process level</x:v>
      </x:c>
      <x:c r="T403" s="22" t="str">
        <x:v>Two additional authors performed random spot checks; individual spot-check assignments are not recorded in this register.</x:v>
      </x:c>
      <x:c r="U403" s="22" t="str">
        <x:v>Exclude</x:v>
      </x:c>
      <x:c r="V403" s="22" t="str">
        <x:v>Primary decision by the corresponding author; two additional authors performed random spot checks as a quality-control step.</x:v>
      </x:c>
      <x:c r="W403" s="22" t="str">
        <x:v>No</x:v>
      </x:c>
      <x:c r="X403" s="22" t="str">
        <x:v>Not applicable</x:v>
      </x:c>
      <x:c r="Y403" s="22" t="str">
        <x:v>Not assessed</x:v>
      </x:c>
      <x:c r="Z403" s="22" t="str">
        <x:v>Not advanced to full-text assessment after the title/abstract decision.</x:v>
      </x:c>
      <x:c r="AA403" s="22" t="str">
        <x:v>Not applicable</x:v>
      </x:c>
      <x:c r="AB403" s="22" t="str">
        <x:v>Record was not advanced to full-text assessment.</x:v>
      </x:c>
      <x:c r="AC403" s="22" t="str">
        <x:v>Not assessed</x:v>
      </x:c>
      <x:c r="AD403" s="22" t="str">
        <x:v>Not applicable — no full-text assessment was required.</x:v>
      </x:c>
      <x:c r="AE403" s="22" t="str">
        <x:v>Not included — title/abstract exclusion</x:v>
      </x:c>
      <x:c r="AF403" s="22" t="str">
        <x:v>Not applicable — not included</x:v>
      </x:c>
      <x:c r="AG403" s="22" t="str">
        <x:v>Evidence: c789db3f-1dab-4ecf-9db0-85bd92d2d0fe.png; page 6, result 6. Metadata transcribed from captured Google Scholar page; OCR-normalised, verify against publication before citation.</x:v>
      </x:c>
      <x:c r="AH403" s="20" t="str">
        <x:v>No duplicate identified under the documented matching rules.</x:v>
      </x:c>
    </x:row>
    <x:row r="404" ht="42" customHeight="1">
      <x:c r="A404" s="22" t="str">
        <x:v>GS-04-057</x:v>
      </x:c>
      <x:c r="B404" s="22" t="str">
        <x:v>Google Scholar</x:v>
      </x:c>
      <x:c r="C404" s="22" t="str">
        <x:v>GS-04</x:v>
      </x:c>
      <x:c r="D404" s="22" t="str">
        <x:v>Neuro-Al-Driven Image Augmentation and Data Leak Prevention via Automated Classification Agents</x:v>
      </x:c>
      <x:c r="E404" s="22" t="str">
        <x:v>SM Keethana, X Vijayakumar</x:v>
      </x:c>
      <x:c r="F404" s="22" t="n">
        <x:v>2026</x:v>
      </x:c>
      <x:c r="G404" s="22" t="str">
        <x:v>Neuro-Symbolic Al Concepts . 2026 - books google com</x:v>
      </x:c>
      <x:c r="H404" s="22" t="str">
        <x:v>Google Scholar result</x:v>
      </x:c>
      <x:c r="I404" s="22" t="str">
        <x:v>NR</x:v>
      </x:c>
      <x:c r="J404" s="22" t="str">
        <x:v>NR</x:v>
      </x:c>
      <x:c r="K404" s="22" t="str">
        <x:v>NR — URL not captured in the available source record</x:v>
      </x:c>
      <x:c r="L404" s="22" t="str">
        <x:v>Not available in the captured evidence; the screening decision used the title and available source metadata.</x:v>
      </x:c>
      <x:c r="M404" s="22" t="str">
        <x:v>No duplicate</x:v>
      </x:c>
      <x:c r="N404" s="22" t="str">
        <x:v>DG-049</x:v>
      </x:c>
      <x:c r="O404" s="22" t="str">
        <x:v>Not applicable</x:v>
      </x:c>
      <x:c r="P404" s="22" t="str">
        <x:v>Yes</x:v>
      </x:c>
      <x:c r="Q404" s="22" t="str">
        <x:v>Exclude</x:v>
      </x:c>
      <x:c r="R404" s="22" t="str">
        <x:v>Generic image augmentation and data-leak prevention.</x:v>
      </x:c>
      <x:c r="S404" s="22" t="str">
        <x:v>Verification documented at process level</x:v>
      </x:c>
      <x:c r="T404" s="22" t="str">
        <x:v>Two additional authors performed random spot checks; individual spot-check assignments are not recorded in this register.</x:v>
      </x:c>
      <x:c r="U404" s="22" t="str">
        <x:v>Exclude</x:v>
      </x:c>
      <x:c r="V404" s="22" t="str">
        <x:v>Primary decision by the corresponding author; two additional authors performed random spot checks as a quality-control step.</x:v>
      </x:c>
      <x:c r="W404" s="22" t="str">
        <x:v>No</x:v>
      </x:c>
      <x:c r="X404" s="22" t="str">
        <x:v>Not applicable</x:v>
      </x:c>
      <x:c r="Y404" s="22" t="str">
        <x:v>Not assessed</x:v>
      </x:c>
      <x:c r="Z404" s="22" t="str">
        <x:v>Not advanced to full-text assessment after the title/abstract decision.</x:v>
      </x:c>
      <x:c r="AA404" s="22" t="str">
        <x:v>Not applicable</x:v>
      </x:c>
      <x:c r="AB404" s="22" t="str">
        <x:v>Record was not advanced to full-text assessment.</x:v>
      </x:c>
      <x:c r="AC404" s="22" t="str">
        <x:v>Not assessed</x:v>
      </x:c>
      <x:c r="AD404" s="22" t="str">
        <x:v>Not applicable — no full-text assessment was required.</x:v>
      </x:c>
      <x:c r="AE404" s="22" t="str">
        <x:v>Not included — title/abstract exclusion</x:v>
      </x:c>
      <x:c r="AF404" s="22" t="str">
        <x:v>Not applicable — not included</x:v>
      </x:c>
      <x:c r="AG404" s="22" t="str">
        <x:v>Evidence: c789db3f-1dab-4ecf-9db0-85bd92d2d0fe.png; page 6, result 7. Metadata transcribed from captured Google Scholar page; OCR-normalised, verify against publication before citation.</x:v>
      </x:c>
      <x:c r="AH404" s="20" t="str">
        <x:v>Confirmed using normalized title across captured searches.</x:v>
      </x:c>
    </x:row>
    <x:row r="405" ht="42" customHeight="1">
      <x:c r="A405" s="22" t="str">
        <x:v>GS-04-058</x:v>
      </x:c>
      <x:c r="B405" s="22" t="str">
        <x:v>Google Scholar</x:v>
      </x:c>
      <x:c r="C405" s="22" t="str">
        <x:v>GS-04</x:v>
      </x:c>
      <x:c r="D405" s="22" t="str">
        <x:v>Selective retina therapy with fundus mage—based titration in central serous chorioretincpathy Prospective outcomes and predictive factors</x:v>
      </x:c>
      <x:c r="E405" s="22" t="str">
        <x:v>SH Jeon D Kim ¥J Roh</x:v>
      </x:c>
      <x:c r="F405" s="22" t="n">
        <x:v>2026</x:v>
      </x:c>
      <x:c r="G405" s="22" t="str">
        <x:v>Trarslational Vision Science &amp; =. 2026 - jov arvojournals crg</x:v>
      </x:c>
      <x:c r="H405" s="22" t="str">
        <x:v>Google Scholar result</x:v>
      </x:c>
      <x:c r="I405" s="22" t="str">
        <x:v>NR</x:v>
      </x:c>
      <x:c r="J405" s="22" t="str">
        <x:v>NR</x:v>
      </x:c>
      <x:c r="K405" s="22" t="str">
        <x:v>NR — URL not captured in the available source record</x:v>
      </x:c>
      <x:c r="L405" s="22" t="str">
        <x:v>Not available in the captured evidence; the screening decision used the title and available source metadata.</x:v>
      </x:c>
      <x:c r="M405" s="22" t="str">
        <x:v>No duplicate</x:v>
      </x:c>
      <x:c r="N405" s="22" t="str">
        <x:v>Not applicable — no duplicate group</x:v>
      </x:c>
      <x:c r="O405" s="22" t="str">
        <x:v>Not applicable</x:v>
      </x:c>
      <x:c r="P405" s="22" t="str">
        <x:v>Yes</x:v>
      </x:c>
      <x:c r="Q405" s="22" t="str">
        <x:v>Exclude</x:v>
      </x:c>
      <x:c r="R405" s="22" t="str">
        <x:v>Clinical retinal treatment study without relevant AI explanation.</x:v>
      </x:c>
      <x:c r="S405" s="22" t="str">
        <x:v>Verification documented at process level</x:v>
      </x:c>
      <x:c r="T405" s="22" t="str">
        <x:v>Two additional authors performed random spot checks; individual spot-check assignments are not recorded in this register.</x:v>
      </x:c>
      <x:c r="U405" s="22" t="str">
        <x:v>Exclude</x:v>
      </x:c>
      <x:c r="V405" s="22" t="str">
        <x:v>Primary decision by the corresponding author; two additional authors performed random spot checks as a quality-control step.</x:v>
      </x:c>
      <x:c r="W405" s="22" t="str">
        <x:v>No</x:v>
      </x:c>
      <x:c r="X405" s="22" t="str">
        <x:v>Not applicable</x:v>
      </x:c>
      <x:c r="Y405" s="22" t="str">
        <x:v>Not assessed</x:v>
      </x:c>
      <x:c r="Z405" s="22" t="str">
        <x:v>Not advanced to full-text assessment after the title/abstract decision.</x:v>
      </x:c>
      <x:c r="AA405" s="22" t="str">
        <x:v>Not applicable</x:v>
      </x:c>
      <x:c r="AB405" s="22" t="str">
        <x:v>Record was not advanced to full-text assessment.</x:v>
      </x:c>
      <x:c r="AC405" s="22" t="str">
        <x:v>Not assessed</x:v>
      </x:c>
      <x:c r="AD405" s="22" t="str">
        <x:v>Not applicable — no full-text assessment was required.</x:v>
      </x:c>
      <x:c r="AE405" s="22" t="str">
        <x:v>Not included — title/abstract exclusion</x:v>
      </x:c>
      <x:c r="AF405" s="22" t="str">
        <x:v>Not applicable — not included</x:v>
      </x:c>
      <x:c r="AG405" s="22" t="str">
        <x:v>Evidence: c789db3f-1dab-4ecf-9db0-85bd92d2d0fe.png; page 6, result 8. Metadata transcribed from captured Google Scholar page; OCR-normalised, verify against publication before citation.</x:v>
      </x:c>
      <x:c r="AH405" s="20" t="str">
        <x:v>No duplicate identified under the documented matching rules.</x:v>
      </x:c>
    </x:row>
    <x:row r="406" ht="42" customHeight="1">
      <x:c r="A406" s="22" t="str">
        <x:v>GS-04-059</x:v>
      </x:c>
      <x:c r="B406" s="22" t="str">
        <x:v>Google Scholar</x:v>
      </x:c>
      <x:c r="C406" s="22" t="str">
        <x:v>GS-04</x:v>
      </x:c>
      <x:c r="D406" s="22" t="str">
        <x:v>(HTM) Identifying retinal features using a self-configuring CNN for clinical Intervention</x:v>
      </x:c>
      <x:c r="E406" s="22" t="str">
        <x:v>DS Karmany Vi Pson ABawiskar + &amp;Vis.al Scence 2025</x:v>
      </x:c>
      <x:c r="F406" s="22" t="n">
        <x:v>2025</x:v>
      </x:c>
      <x:c r="G406" s="22" t="str">
        <x:v>Ivst avoournals org</x:v>
      </x:c>
      <x:c r="H406" s="22" t="str">
        <x:v>Google Scholar result</x:v>
      </x:c>
      <x:c r="I406" s="22" t="str">
        <x:v>NR</x:v>
      </x:c>
      <x:c r="J406" s="22" t="str">
        <x:v>NR</x:v>
      </x:c>
      <x:c r="K406" s="22" t="str">
        <x:v>NR — URL not captured in the available source record</x:v>
      </x:c>
      <x:c r="L406" s="22" t="str">
        <x:v>Not available in the captured evidence; the screening decision used the title and available source metadata.</x:v>
      </x:c>
      <x:c r="M406" s="22" t="str">
        <x:v>No duplicate</x:v>
      </x:c>
      <x:c r="N406" s="22" t="str">
        <x:v>Not applicable — no duplicate group</x:v>
      </x:c>
      <x:c r="O406" s="22" t="str">
        <x:v>Not applicable</x:v>
      </x:c>
      <x:c r="P406" s="22" t="str">
        <x:v>Yes</x:v>
      </x:c>
      <x:c r="Q406" s="22" t="str">
        <x:v>Exclude</x:v>
      </x:c>
      <x:c r="R406" s="22" t="str">
        <x:v>Retinal segmentation rather than a concept-based explanation framework.</x:v>
      </x:c>
      <x:c r="S406" s="22" t="str">
        <x:v>Verification documented at process level</x:v>
      </x:c>
      <x:c r="T406" s="22" t="str">
        <x:v>Two additional authors performed random spot checks; individual spot-check assignments are not recorded in this register.</x:v>
      </x:c>
      <x:c r="U406" s="22" t="str">
        <x:v>Exclude</x:v>
      </x:c>
      <x:c r="V406" s="22" t="str">
        <x:v>Primary decision by the corresponding author; two additional authors performed random spot checks as a quality-control step.</x:v>
      </x:c>
      <x:c r="W406" s="22" t="str">
        <x:v>No</x:v>
      </x:c>
      <x:c r="X406" s="22" t="str">
        <x:v>Not applicable</x:v>
      </x:c>
      <x:c r="Y406" s="22" t="str">
        <x:v>Not assessed</x:v>
      </x:c>
      <x:c r="Z406" s="22" t="str">
        <x:v>Not advanced to full-text assessment after the title/abstract decision.</x:v>
      </x:c>
      <x:c r="AA406" s="22" t="str">
        <x:v>Not applicable</x:v>
      </x:c>
      <x:c r="AB406" s="22" t="str">
        <x:v>Record was not advanced to full-text assessment.</x:v>
      </x:c>
      <x:c r="AC406" s="22" t="str">
        <x:v>Not assessed</x:v>
      </x:c>
      <x:c r="AD406" s="22" t="str">
        <x:v>Not applicable — no full-text assessment was required.</x:v>
      </x:c>
      <x:c r="AE406" s="22" t="str">
        <x:v>Not included — title/abstract exclusion</x:v>
      </x:c>
      <x:c r="AF406" s="22" t="str">
        <x:v>Not applicable — not included</x:v>
      </x:c>
      <x:c r="AG406" s="22" t="str">
        <x:v>Evidence: c789db3f-1dab-4ecf-9db0-85bd92d2d0fe.png; page 6, result 9. Metadata transcribed from captured Google Scholar page; OCR-normalised, verify against publication before citation.</x:v>
      </x:c>
      <x:c r="AH406" s="20" t="str">
        <x:v>No duplicate identified under the documented matching rules.</x:v>
      </x:c>
    </x:row>
    <x:row r="407" ht="42" customHeight="1">
      <x:c r="A407" s="22" t="str">
        <x:v>GS-04-060</x:v>
      </x:c>
      <x:c r="B407" s="22" t="str">
        <x:v>Google Scholar</x:v>
      </x:c>
      <x:c r="C407" s="22" t="str">
        <x:v>GS-04</x:v>
      </x:c>
      <x:c r="D407" s="22" t="str">
        <x:v>Explainable (Multi-Task Retinal Imaging Reveals Microvascular Signals for Systemic Risk Stratification in Type 2 Diabetes: A Pilot Study</x:v>
      </x:c>
      <x:c r="E407" s="22" t="str">
        <x:v>MH Mang L Heang WY kong &amp; Wingwon- arX-y preprintartiv =. 2026</x:v>
      </x:c>
      <x:c r="F407" s="22" t="n">
        <x:v>2026</x:v>
      </x:c>
      <x:c r="G407" s="22" t="str">
        <x:v>arxiy org</x:v>
      </x:c>
      <x:c r="H407" s="22" t="str">
        <x:v>Google Scholar result</x:v>
      </x:c>
      <x:c r="I407" s="22" t="str">
        <x:v>NR</x:v>
      </x:c>
      <x:c r="J407" s="22" t="str">
        <x:v>NR</x:v>
      </x:c>
      <x:c r="K407" s="22" t="str">
        <x:v>NR — URL not captured in the available source record</x:v>
      </x:c>
      <x:c r="L407" s="22" t="str">
        <x:v>Not available in the captured evidence; the screening decision used the title and available source metadata.</x:v>
      </x:c>
      <x:c r="M407" s="22" t="str">
        <x:v>Confirmed duplicate</x:v>
      </x:c>
      <x:c r="N407" s="22" t="str">
        <x:v>DG-050</x:v>
      </x:c>
      <x:c r="O407" s="22" t="str">
        <x:v>ARXIV-10-004</x:v>
      </x:c>
      <x:c r="P407" s="22" t="str">
        <x:v>No</x:v>
      </x:c>
      <x:c r="Q407" s="22" t="str">
        <x:v>Not screened</x:v>
      </x:c>
      <x:c r="R407" s="22" t="str">
        <x:v>Removed before title/abstract screening as a confirmed duplicate.</x:v>
      </x:c>
      <x:c r="S407" s="22" t="str">
        <x:v>Not applicable — removed before screening</x:v>
      </x:c>
      <x:c r="T407" s="22" t="str">
        <x:v>Record was outside the active screening set.</x:v>
      </x:c>
      <x:c r="U407" s="22" t="str">
        <x:v>Removed before screening</x:v>
      </x:c>
      <x:c r="V407" s="22" t="str">
        <x:v>Confirmed duplicate removed during deduplication.</x:v>
      </x:c>
      <x:c r="W407" s="22" t="str">
        <x:v>No</x:v>
      </x:c>
      <x:c r="X407" s="22" t="str">
        <x:v>Not applicable</x:v>
      </x:c>
      <x:c r="Y407" s="22" t="str">
        <x:v>Not assessed</x:v>
      </x:c>
      <x:c r="Z407" s="22" t="str">
        <x:v>Not applicable — record removed before screening.</x:v>
      </x:c>
      <x:c r="AA407" s="22" t="str">
        <x:v>Not applicable</x:v>
      </x:c>
      <x:c r="AB407" s="22" t="str">
        <x:v>Record was not advanced to full-text assessment.</x:v>
      </x:c>
      <x:c r="AC407" s="22" t="str">
        <x:v>Not assessed</x:v>
      </x:c>
      <x:c r="AD407" s="22" t="str">
        <x:v>Not applicable — no full-text assessment was required.</x:v>
      </x:c>
      <x:c r="AE407" s="22" t="str">
        <x:v>Removed before screening</x:v>
      </x:c>
      <x:c r="AF407" s="22" t="str">
        <x:v>Not applicable — not included</x:v>
      </x:c>
      <x:c r="AG407" s="22" t="str">
        <x:v>Evidence: c789db3f-1dab-4ecf-9db0-85bd92d2d0fe.png; page 6, result 10. Metadata transcribed from captured Google Scholar page; OCR-normalised, verify against publication before citation.</x:v>
      </x:c>
      <x:c r="AH407" s="20" t="str">
        <x:v>Confirmed using normalized title across captured searches.</x:v>
      </x:c>
    </x:row>
    <x:row r="408" ht="42" customHeight="1">
      <x:c r="A408" s="22" t="str">
        <x:v>GS-04-061</x:v>
      </x:c>
      <x:c r="B408" s="22" t="str">
        <x:v>Google Scholar</x:v>
      </x:c>
      <x:c r="C408" s="22" t="str">
        <x:v>GS-04</x:v>
      </x:c>
      <x:c r="D408" s="22" t="str">
        <x:v>Retinal disease projection conditioning by biological traits</x:v>
      </x:c>
      <x:c r="E408" s="22" t="str">
        <x:v>M 4assan H Zhang 44 Sateh SMa, WY _iang) =</x:v>
      </x:c>
      <x:c r="F408" s="22" t="n">
        <x:v>2024</x:v>
      </x:c>
      <x:c r="G408" s="22" t="str">
        <x:v>Complex é nteligent 2024 - Spnnger</x:v>
      </x:c>
      <x:c r="H408" s="22" t="str">
        <x:v>Google Scholar result</x:v>
      </x:c>
      <x:c r="I408" s="22" t="str">
        <x:v>NR</x:v>
      </x:c>
      <x:c r="J408" s="22" t="str">
        <x:v>NR</x:v>
      </x:c>
      <x:c r="K408" s="22" t="str">
        <x:v>NR — URL not captured in the available source record</x:v>
      </x:c>
      <x:c r="L408" s="22" t="str">
        <x:v>Not available in the captured evidence; the screening decision used the title and available source metadata.</x:v>
      </x:c>
      <x:c r="M408" s="22" t="str">
        <x:v>No duplicate</x:v>
      </x:c>
      <x:c r="N408" s="22" t="str">
        <x:v>DG-051</x:v>
      </x:c>
      <x:c r="O408" s="22" t="str">
        <x:v>Not applicable</x:v>
      </x:c>
      <x:c r="P408" s="22" t="str">
        <x:v>Yes</x:v>
      </x:c>
      <x:c r="Q408" s="22" t="str">
        <x:v>Exclude</x:v>
      </x:c>
      <x:c r="R408" s="22" t="str">
        <x:v>Trait-conditioned retinal image generation without concept explanation.</x:v>
      </x:c>
      <x:c r="S408" s="22" t="str">
        <x:v>Verification documented at process level</x:v>
      </x:c>
      <x:c r="T408" s="22" t="str">
        <x:v>Two additional authors performed random spot checks; individual spot-check assignments are not recorded in this register.</x:v>
      </x:c>
      <x:c r="U408" s="22" t="str">
        <x:v>Exclude</x:v>
      </x:c>
      <x:c r="V408" s="22" t="str">
        <x:v>Primary decision by the corresponding author; two additional authors performed random spot checks as a quality-control step.</x:v>
      </x:c>
      <x:c r="W408" s="22" t="str">
        <x:v>No</x:v>
      </x:c>
      <x:c r="X408" s="22" t="str">
        <x:v>Not applicable</x:v>
      </x:c>
      <x:c r="Y408" s="22" t="str">
        <x:v>Not assessed</x:v>
      </x:c>
      <x:c r="Z408" s="22" t="str">
        <x:v>Not advanced to full-text assessment after the title/abstract decision.</x:v>
      </x:c>
      <x:c r="AA408" s="22" t="str">
        <x:v>Not applicable</x:v>
      </x:c>
      <x:c r="AB408" s="22" t="str">
        <x:v>Record was not advanced to full-text assessment.</x:v>
      </x:c>
      <x:c r="AC408" s="22" t="str">
        <x:v>Not assessed</x:v>
      </x:c>
      <x:c r="AD408" s="22" t="str">
        <x:v>Not applicable — no full-text assessment was required.</x:v>
      </x:c>
      <x:c r="AE408" s="22" t="str">
        <x:v>Not included — title/abstract exclusion</x:v>
      </x:c>
      <x:c r="AF408" s="22" t="str">
        <x:v>Not applicable — not included</x:v>
      </x:c>
      <x:c r="AG408" s="22" t="str">
        <x:v>Evidence: 5d352f55-a0d9-464a-b389-71c4fa3a5bac.png; page 7, result 1. Metadata transcribed from captured Google Scholar page; OCR-normalised, verify against publication before citation.</x:v>
      </x:c>
      <x:c r="AH408" s="20" t="str">
        <x:v>Confirmed using normalized title across captured searches.</x:v>
      </x:c>
    </x:row>
    <x:row r="409" ht="42" customHeight="1">
      <x:c r="A409" s="22" t="str">
        <x:v>GS-04-062</x:v>
      </x:c>
      <x:c r="B409" s="22" t="str">
        <x:v>Google Scholar</x:v>
      </x:c>
      <x:c r="C409" s="22" t="str">
        <x:v>GS-04</x:v>
      </x:c>
      <x:c r="D409" s="22" t="str">
        <x:v>ZERO Mind Self-Evolving Lifelang Multimodal Memory Architectures for Autonomous Space Digital Twins</x:v>
      </x:c>
      <x:c r="E409" s="22" t="str">
        <x:v>K Dhinaxaran 7G Balavigneshwar + 2026 EEE 2nd . 2026- iesexplore isee org</x:v>
      </x:c>
      <x:c r="F409" s="22" t="n">
        <x:v>2026</x:v>
      </x:c>
      <x:c r="G409" s="22" t="str">
        <x:v>K Dhinaxaran 7G Balavigneshwar + 2026 EEE 2nd . 2026- iesexplore isee org</x:v>
      </x:c>
      <x:c r="H409" s="22" t="str">
        <x:v>Google Scholar result</x:v>
      </x:c>
      <x:c r="I409" s="22" t="str">
        <x:v>NR</x:v>
      </x:c>
      <x:c r="J409" s="22" t="str">
        <x:v>NR</x:v>
      </x:c>
      <x:c r="K409" s="22" t="str">
        <x:v>NR — URL not captured in the available source record</x:v>
      </x:c>
      <x:c r="L409" s="22" t="str">
        <x:v>Not available in the captured evidence; the screening decision used the title and available source metadata.</x:v>
      </x:c>
      <x:c r="M409" s="22" t="str">
        <x:v>No duplicate</x:v>
      </x:c>
      <x:c r="N409" s="22" t="str">
        <x:v>DG-052</x:v>
      </x:c>
      <x:c r="O409" s="22" t="str">
        <x:v>Not applicable</x:v>
      </x:c>
      <x:c r="P409" s="22" t="str">
        <x:v>Yes</x:v>
      </x:c>
      <x:c r="Q409" s="22" t="str">
        <x:v>Exclude</x:v>
      </x:c>
      <x:c r="R409" s="22" t="str">
        <x:v>Wrong domain: autonomous space digital twins.</x:v>
      </x:c>
      <x:c r="S409" s="22" t="str">
        <x:v>Verification documented at process level</x:v>
      </x:c>
      <x:c r="T409" s="22" t="str">
        <x:v>Two additional authors performed random spot checks; individual spot-check assignments are not recorded in this register.</x:v>
      </x:c>
      <x:c r="U409" s="22" t="str">
        <x:v>Exclude</x:v>
      </x:c>
      <x:c r="V409" s="22" t="str">
        <x:v>Primary decision by the corresponding author; two additional authors performed random spot checks as a quality-control step.</x:v>
      </x:c>
      <x:c r="W409" s="22" t="str">
        <x:v>No</x:v>
      </x:c>
      <x:c r="X409" s="22" t="str">
        <x:v>Not applicable</x:v>
      </x:c>
      <x:c r="Y409" s="22" t="str">
        <x:v>Not assessed</x:v>
      </x:c>
      <x:c r="Z409" s="22" t="str">
        <x:v>Not advanced to full-text assessment after the title/abstract decision.</x:v>
      </x:c>
      <x:c r="AA409" s="22" t="str">
        <x:v>Not applicable</x:v>
      </x:c>
      <x:c r="AB409" s="22" t="str">
        <x:v>Record was not advanced to full-text assessment.</x:v>
      </x:c>
      <x:c r="AC409" s="22" t="str">
        <x:v>Not assessed</x:v>
      </x:c>
      <x:c r="AD409" s="22" t="str">
        <x:v>Not applicable — no full-text assessment was required.</x:v>
      </x:c>
      <x:c r="AE409" s="22" t="str">
        <x:v>Not included — title/abstract exclusion</x:v>
      </x:c>
      <x:c r="AF409" s="22" t="str">
        <x:v>Not applicable — not included</x:v>
      </x:c>
      <x:c r="AG409" s="22" t="str">
        <x:v>Evidence: 5d352f55-a0d9-464a-b389-71c4fa3a5bac.png; page 7, result 2. Metadata transcribed from captured Google Scholar page; OCR-normalised, verify against publication before citation.</x:v>
      </x:c>
      <x:c r="AH409" s="20" t="str">
        <x:v>Confirmed using normalized title across captured searches.</x:v>
      </x:c>
    </x:row>
    <x:row r="410" ht="42" customHeight="1">
      <x:c r="A410" s="22" t="str">
        <x:v>GS-04-063</x:v>
      </x:c>
      <x:c r="B410" s="22" t="str">
        <x:v>Google Scholar</x:v>
      </x:c>
      <x:c r="C410" s="22" t="str">
        <x:v>GS-04</x:v>
      </x:c>
      <x:c r="D410" s="22" t="str">
        <x:v>Automated identification of referable retinal pathology in teleophthalmology setting</x:v>
      </x:c>
      <x:c r="E410" s="22" t="str">
        <x:v>QO Gao JAmasan, S Cousins. MPajic</x:v>
      </x:c>
      <x:c r="F410" s="22" t="str">
        <x:v>NR</x:v>
      </x:c>
      <x:c r="G410" s="22" t="str">
        <x:v>visior science A = 2921 - tvs! arvojoureals org</x:v>
      </x:c>
      <x:c r="H410" s="22" t="str">
        <x:v>Google Scholar result</x:v>
      </x:c>
      <x:c r="I410" s="22" t="str">
        <x:v>NR</x:v>
      </x:c>
      <x:c r="J410" s="22" t="str">
        <x:v>NR</x:v>
      </x:c>
      <x:c r="K410" s="22" t="str">
        <x:v>NR — URL not captured in the available source record</x:v>
      </x:c>
      <x:c r="L410" s="22" t="str">
        <x:v>Not available in the captured evidence; the screening decision used the title and available source metadata.</x:v>
      </x:c>
      <x:c r="M410" s="22" t="str">
        <x:v>No duplicate</x:v>
      </x:c>
      <x:c r="N410" s="22" t="str">
        <x:v>Not applicable — no duplicate group</x:v>
      </x:c>
      <x:c r="O410" s="22" t="str">
        <x:v>Not applicable</x:v>
      </x:c>
      <x:c r="P410" s="22" t="str">
        <x:v>Yes</x:v>
      </x:c>
      <x:c r="Q410" s="22" t="str">
        <x:v>Exclude</x:v>
      </x:c>
      <x:c r="R410" s="22" t="str">
        <x:v>Retinal pathology detection without concept-based XAI.</x:v>
      </x:c>
      <x:c r="S410" s="22" t="str">
        <x:v>Verification documented at process level</x:v>
      </x:c>
      <x:c r="T410" s="22" t="str">
        <x:v>Two additional authors performed random spot checks; individual spot-check assignments are not recorded in this register.</x:v>
      </x:c>
      <x:c r="U410" s="22" t="str">
        <x:v>Exclude</x:v>
      </x:c>
      <x:c r="V410" s="22" t="str">
        <x:v>Primary decision by the corresponding author; two additional authors performed random spot checks as a quality-control step.</x:v>
      </x:c>
      <x:c r="W410" s="22" t="str">
        <x:v>No</x:v>
      </x:c>
      <x:c r="X410" s="22" t="str">
        <x:v>Not applicable</x:v>
      </x:c>
      <x:c r="Y410" s="22" t="str">
        <x:v>Not assessed</x:v>
      </x:c>
      <x:c r="Z410" s="22" t="str">
        <x:v>Not advanced to full-text assessment after the title/abstract decision.</x:v>
      </x:c>
      <x:c r="AA410" s="22" t="str">
        <x:v>Not applicable</x:v>
      </x:c>
      <x:c r="AB410" s="22" t="str">
        <x:v>Record was not advanced to full-text assessment.</x:v>
      </x:c>
      <x:c r="AC410" s="22" t="str">
        <x:v>Not assessed</x:v>
      </x:c>
      <x:c r="AD410" s="22" t="str">
        <x:v>Not applicable — no full-text assessment was required.</x:v>
      </x:c>
      <x:c r="AE410" s="22" t="str">
        <x:v>Not included — title/abstract exclusion</x:v>
      </x:c>
      <x:c r="AF410" s="22" t="str">
        <x:v>Not applicable — not included</x:v>
      </x:c>
      <x:c r="AG410" s="22" t="str">
        <x:v>Evidence: 5d352f55-a0d9-464a-b389-71c4fa3a5bac.png; page 7, result 3. Metadata transcribed from captured Google Scholar page; OCR-normalised, verify against publication before citation.</x:v>
      </x:c>
      <x:c r="AH410" s="20" t="str">
        <x:v>No duplicate identified under the documented matching rules.</x:v>
      </x:c>
    </x:row>
    <x:row r="411" ht="42" customHeight="1">
      <x:c r="A411" s="22" t="str">
        <x:v>GS-04-064</x:v>
      </x:c>
      <x:c r="B411" s="22" t="str">
        <x:v>Google Scholar</x:v>
      </x:c>
      <x:c r="C411" s="22" t="str">
        <x:v>GS-04</x:v>
      </x:c>
      <x:c r="D411" s="22" t="str">
        <x:v>Weakly Supervised Segmentation as Semantic-Based Regularization</x:v>
      </x:c>
      <x:c r="E411" s="22" t="str">
        <x:v>S Colamonace, AB Florea J Maere</x:v>
      </x:c>
      <x:c r="F411" s="22" t="n">
        <x:v>2026</x:v>
      </x:c>
      <x:c r="G411" s="22" t="str">
        <x:v>arXiv precrini aXiv 2625 13674 2026 - arxiv org</x:v>
      </x:c>
      <x:c r="H411" s="22" t="str">
        <x:v>Google Scholar result</x:v>
      </x:c>
      <x:c r="I411" s="22" t="str">
        <x:v>NR</x:v>
      </x:c>
      <x:c r="J411" s="22" t="str">
        <x:v>NR</x:v>
      </x:c>
      <x:c r="K411" s="22" t="str">
        <x:v>NR — URL not captured in the available source record</x:v>
      </x:c>
      <x:c r="L411" s="22" t="str">
        <x:v>Not available in the captured evidence; the screening decision used the title and available source metadata.</x:v>
      </x:c>
      <x:c r="M411" s="22" t="str">
        <x:v>No duplicate</x:v>
      </x:c>
      <x:c r="N411" s="22" t="str">
        <x:v>Not applicable — no duplicate group</x:v>
      </x:c>
      <x:c r="O411" s="22" t="str">
        <x:v>Not applicable</x:v>
      </x:c>
      <x:c r="P411" s="22" t="str">
        <x:v>Yes</x:v>
      </x:c>
      <x:c r="Q411" s="22" t="str">
        <x:v>Exclude</x:v>
      </x:c>
      <x:c r="R411" s="22" t="str">
        <x:v>Generic weakly supervised segmentation method.</x:v>
      </x:c>
      <x:c r="S411" s="22" t="str">
        <x:v>Verification documented at process level</x:v>
      </x:c>
      <x:c r="T411" s="22" t="str">
        <x:v>Two additional authors performed random spot checks; individual spot-check assignments are not recorded in this register.</x:v>
      </x:c>
      <x:c r="U411" s="22" t="str">
        <x:v>Exclude</x:v>
      </x:c>
      <x:c r="V411" s="22" t="str">
        <x:v>Primary decision by the corresponding author; two additional authors performed random spot checks as a quality-control step.</x:v>
      </x:c>
      <x:c r="W411" s="22" t="str">
        <x:v>No</x:v>
      </x:c>
      <x:c r="X411" s="22" t="str">
        <x:v>Not applicable</x:v>
      </x:c>
      <x:c r="Y411" s="22" t="str">
        <x:v>Not assessed</x:v>
      </x:c>
      <x:c r="Z411" s="22" t="str">
        <x:v>Not advanced to full-text assessment after the title/abstract decision.</x:v>
      </x:c>
      <x:c r="AA411" s="22" t="str">
        <x:v>Not applicable</x:v>
      </x:c>
      <x:c r="AB411" s="22" t="str">
        <x:v>Record was not advanced to full-text assessment.</x:v>
      </x:c>
      <x:c r="AC411" s="22" t="str">
        <x:v>Not assessed</x:v>
      </x:c>
      <x:c r="AD411" s="22" t="str">
        <x:v>Not applicable — no full-text assessment was required.</x:v>
      </x:c>
      <x:c r="AE411" s="22" t="str">
        <x:v>Not included — title/abstract exclusion</x:v>
      </x:c>
      <x:c r="AF411" s="22" t="str">
        <x:v>Not applicable — not included</x:v>
      </x:c>
      <x:c r="AG411" s="22" t="str">
        <x:v>Evidence: 5d352f55-a0d9-464a-b389-71c4fa3a5bac.png; page 7, result 4. Metadata transcribed from captured Google Scholar page; OCR-normalised, verify against publication before citation.</x:v>
      </x:c>
      <x:c r="AH411" s="20" t="str">
        <x:v>No duplicate identified under the documented matching rules.</x:v>
      </x:c>
    </x:row>
    <x:row r="412" ht="42" customHeight="1">
      <x:c r="A412" s="22" t="str">
        <x:v>GS-04-065</x:v>
      </x:c>
      <x:c r="B412" s="22" t="str">
        <x:v>Google Scholar</x:v>
      </x:c>
      <x:c r="C412" s="22" t="str">
        <x:v>GS-04</x:v>
      </x:c>
      <x:c r="D412" s="22" t="str">
        <x:v>Explainable Retinal Imaging for Prediction of Mult-Organ Dysfunction in Type 2 Diabetes</x:v>
      </x:c>
      <x:c r="E412" s="22" t="str">
        <x:v>MH Wang L H.ang ¥¥ Kong B Wingwon</x:v>
      </x:c>
      <x:c r="F412" s="22" t="n">
        <x:v>2026</x:v>
      </x:c>
      <x:c r="G412" s="22" t="str">
        <x:v>arX-y preprint arXiv. 2026 - ary org</x:v>
      </x:c>
      <x:c r="H412" s="22" t="str">
        <x:v>Google Scholar result</x:v>
      </x:c>
      <x:c r="I412" s="22" t="str">
        <x:v>NR</x:v>
      </x:c>
      <x:c r="J412" s="22" t="str">
        <x:v>NR</x:v>
      </x:c>
      <x:c r="K412" s="22" t="str">
        <x:v>NR — URL not captured in the available source record</x:v>
      </x:c>
      <x:c r="L412" s="22" t="str">
        <x:v>Not available in the captured evidence; the screening decision used the title and available source metadata.</x:v>
      </x:c>
      <x:c r="M412" s="22" t="str">
        <x:v>No duplicate</x:v>
      </x:c>
      <x:c r="N412" s="22" t="str">
        <x:v>Not applicable — no duplicate group</x:v>
      </x:c>
      <x:c r="O412" s="22" t="str">
        <x:v>Not applicable</x:v>
      </x:c>
      <x:c r="P412" s="22" t="str">
        <x:v>Yes</x:v>
      </x:c>
      <x:c r="Q412" s="22" t="str">
        <x:v>Exclude</x:v>
      </x:c>
      <x:c r="R412" s="22" t="str">
        <x:v>Uses laboratory biomarkers and SHAP rather than retinal concept-based imaging XAI.</x:v>
      </x:c>
      <x:c r="S412" s="22" t="str">
        <x:v>Verification documented at process level</x:v>
      </x:c>
      <x:c r="T412" s="22" t="str">
        <x:v>Two additional authors performed random spot checks; individual spot-check assignments are not recorded in this register.</x:v>
      </x:c>
      <x:c r="U412" s="22" t="str">
        <x:v>Exclude</x:v>
      </x:c>
      <x:c r="V412" s="22" t="str">
        <x:v>Primary decision by the corresponding author; two additional authors performed random spot checks as a quality-control step.</x:v>
      </x:c>
      <x:c r="W412" s="22" t="str">
        <x:v>No</x:v>
      </x:c>
      <x:c r="X412" s="22" t="str">
        <x:v>Not applicable</x:v>
      </x:c>
      <x:c r="Y412" s="22" t="str">
        <x:v>Not assessed</x:v>
      </x:c>
      <x:c r="Z412" s="22" t="str">
        <x:v>Not advanced to full-text assessment after the title/abstract decision.</x:v>
      </x:c>
      <x:c r="AA412" s="22" t="str">
        <x:v>Not applicable</x:v>
      </x:c>
      <x:c r="AB412" s="22" t="str">
        <x:v>Record was not advanced to full-text assessment.</x:v>
      </x:c>
      <x:c r="AC412" s="22" t="str">
        <x:v>Not assessed</x:v>
      </x:c>
      <x:c r="AD412" s="22" t="str">
        <x:v>Not applicable — no full-text assessment was required.</x:v>
      </x:c>
      <x:c r="AE412" s="22" t="str">
        <x:v>Not included — title/abstract exclusion</x:v>
      </x:c>
      <x:c r="AF412" s="22" t="str">
        <x:v>Not applicable — not included</x:v>
      </x:c>
      <x:c r="AG412" s="22" t="str">
        <x:v>Evidence: 5d352f55-a0d9-464a-b389-71c4fa3a5bac.png; page 7, result 5. Metadata transcribed from captured Google Scholar page; OCR-normalised, verify against publication before citation.</x:v>
      </x:c>
      <x:c r="AH412" s="20" t="str">
        <x:v>No duplicate identified under the documented matching rules.</x:v>
      </x:c>
    </x:row>
    <x:row r="413" ht="42" customHeight="1">
      <x:c r="A413" s="22" t="str">
        <x:v>GS-04-066</x:v>
      </x:c>
      <x:c r="B413" s="22" t="str">
        <x:v>Google Scholar</x:v>
      </x:c>
      <x:c r="C413" s="22" t="str">
        <x:v>GS-04</x:v>
      </x:c>
      <x:c r="D413" s="22" t="str">
        <x:v>Early Detection of Chronic Traumatic Encephalopathy (CTE) Risk Using Multimodal Digital Assessments and Al-Based Analysis</x:v>
      </x:c>
      <x:c r="E413" s="22" t="str">
        <x:v>AVinayak M Ryan + 2926 In’ernational Canference on =. 2026</x:v>
      </x:c>
      <x:c r="F413" s="22" t="n">
        <x:v>2026</x:v>
      </x:c>
      <x:c r="G413" s="22" t="str">
        <x:v>eeexplore ieee org</x:v>
      </x:c>
      <x:c r="H413" s="22" t="str">
        <x:v>Google Scholar result</x:v>
      </x:c>
      <x:c r="I413" s="22" t="str">
        <x:v>NR</x:v>
      </x:c>
      <x:c r="J413" s="22" t="str">
        <x:v>NR</x:v>
      </x:c>
      <x:c r="K413" s="22" t="str">
        <x:v>NR — URL not captured in the available source record</x:v>
      </x:c>
      <x:c r="L413" s="22" t="str">
        <x:v>Not available in the captured evidence; the screening decision used the title and available source metadata.</x:v>
      </x:c>
      <x:c r="M413" s="22" t="str">
        <x:v>No duplicate</x:v>
      </x:c>
      <x:c r="N413" s="22" t="str">
        <x:v>DG-053</x:v>
      </x:c>
      <x:c r="O413" s="22" t="str">
        <x:v>Not applicable</x:v>
      </x:c>
      <x:c r="P413" s="22" t="str">
        <x:v>Yes</x:v>
      </x:c>
      <x:c r="Q413" s="22" t="str">
        <x:v>Exclude</x:v>
      </x:c>
      <x:c r="R413" s="22" t="str">
        <x:v>Wrong clinical domain: chronic traumatic encephalopathy.</x:v>
      </x:c>
      <x:c r="S413" s="22" t="str">
        <x:v>Verification documented at process level</x:v>
      </x:c>
      <x:c r="T413" s="22" t="str">
        <x:v>Two additional authors performed random spot checks; individual spot-check assignments are not recorded in this register.</x:v>
      </x:c>
      <x:c r="U413" s="22" t="str">
        <x:v>Exclude</x:v>
      </x:c>
      <x:c r="V413" s="22" t="str">
        <x:v>Primary decision by the corresponding author; two additional authors performed random spot checks as a quality-control step.</x:v>
      </x:c>
      <x:c r="W413" s="22" t="str">
        <x:v>No</x:v>
      </x:c>
      <x:c r="X413" s="22" t="str">
        <x:v>Not applicable</x:v>
      </x:c>
      <x:c r="Y413" s="22" t="str">
        <x:v>Not assessed</x:v>
      </x:c>
      <x:c r="Z413" s="22" t="str">
        <x:v>Not advanced to full-text assessment after the title/abstract decision.</x:v>
      </x:c>
      <x:c r="AA413" s="22" t="str">
        <x:v>Not applicable</x:v>
      </x:c>
      <x:c r="AB413" s="22" t="str">
        <x:v>Record was not advanced to full-text assessment.</x:v>
      </x:c>
      <x:c r="AC413" s="22" t="str">
        <x:v>Not assessed</x:v>
      </x:c>
      <x:c r="AD413" s="22" t="str">
        <x:v>Not applicable — no full-text assessment was required.</x:v>
      </x:c>
      <x:c r="AE413" s="22" t="str">
        <x:v>Not included — title/abstract exclusion</x:v>
      </x:c>
      <x:c r="AF413" s="22" t="str">
        <x:v>Not applicable — not included</x:v>
      </x:c>
      <x:c r="AG413" s="22" t="str">
        <x:v>Evidence: 5d352f55-a0d9-464a-b389-71c4fa3a5bac.png; page 7, result 6. Metadata transcribed from captured Google Scholar page; OCR-normalised, verify against publication before citation.</x:v>
      </x:c>
      <x:c r="AH413" s="20" t="str">
        <x:v>Confirmed using normalized title across captured searches.</x:v>
      </x:c>
    </x:row>
    <x:row r="414" ht="42" customHeight="1">
      <x:c r="A414" s="22" t="str">
        <x:v>GS-04-067</x:v>
      </x:c>
      <x:c r="B414" s="22" t="str">
        <x:v>Google Scholar</x:v>
      </x:c>
      <x:c r="C414" s="22" t="str">
        <x:v>GS-04</x:v>
      </x:c>
      <x:c r="D414" s="22" t="str">
        <x:v>Tri-scale retinal feature fuston with multi-objective selection for efficient diabetic retinopathy grading</x:v>
      </x:c>
      <x:c r="E414" s="22" t="str">
        <x:v>AZafar WAKhan, Saba SAhmad SMasood -~he Visua 2026</x:v>
      </x:c>
      <x:c r="F414" s="22" t="n">
        <x:v>2026</x:v>
      </x:c>
      <x:c r="G414" s="22" t="str">
        <x:v>Sprirge-</x:v>
      </x:c>
      <x:c r="H414" s="22" t="str">
        <x:v>Google Scholar result</x:v>
      </x:c>
      <x:c r="I414" s="22" t="str">
        <x:v>NR</x:v>
      </x:c>
      <x:c r="J414" s="22" t="str">
        <x:v>NR</x:v>
      </x:c>
      <x:c r="K414" s="22" t="str">
        <x:v>NR — URL not captured in the available source record</x:v>
      </x:c>
      <x:c r="L414" s="22" t="str">
        <x:v>Not available in the captured evidence; the screening decision used the title and available source metadata.</x:v>
      </x:c>
      <x:c r="M414" s="22" t="str">
        <x:v>No duplicate</x:v>
      </x:c>
      <x:c r="N414" s="22" t="str">
        <x:v>Not applicable — no duplicate group</x:v>
      </x:c>
      <x:c r="O414" s="22" t="str">
        <x:v>Not applicable</x:v>
      </x:c>
      <x:c r="P414" s="22" t="str">
        <x:v>Yes</x:v>
      </x:c>
      <x:c r="Q414" s="22" t="str">
        <x:v>Exclude</x:v>
      </x:c>
      <x:c r="R414" s="22" t="str">
        <x:v>DR grading architecture without concept-oriented explanation.</x:v>
      </x:c>
      <x:c r="S414" s="22" t="str">
        <x:v>Verification documented at process level</x:v>
      </x:c>
      <x:c r="T414" s="22" t="str">
        <x:v>Two additional authors performed random spot checks; individual spot-check assignments are not recorded in this register.</x:v>
      </x:c>
      <x:c r="U414" s="22" t="str">
        <x:v>Exclude</x:v>
      </x:c>
      <x:c r="V414" s="22" t="str">
        <x:v>Primary decision by the corresponding author; two additional authors performed random spot checks as a quality-control step.</x:v>
      </x:c>
      <x:c r="W414" s="22" t="str">
        <x:v>No</x:v>
      </x:c>
      <x:c r="X414" s="22" t="str">
        <x:v>Not applicable</x:v>
      </x:c>
      <x:c r="Y414" s="22" t="str">
        <x:v>Not assessed</x:v>
      </x:c>
      <x:c r="Z414" s="22" t="str">
        <x:v>Not advanced to full-text assessment after the title/abstract decision.</x:v>
      </x:c>
      <x:c r="AA414" s="22" t="str">
        <x:v>Not applicable</x:v>
      </x:c>
      <x:c r="AB414" s="22" t="str">
        <x:v>Record was not advanced to full-text assessment.</x:v>
      </x:c>
      <x:c r="AC414" s="22" t="str">
        <x:v>Not assessed</x:v>
      </x:c>
      <x:c r="AD414" s="22" t="str">
        <x:v>Not applicable — no full-text assessment was required.</x:v>
      </x:c>
      <x:c r="AE414" s="22" t="str">
        <x:v>Not included — title/abstract exclusion</x:v>
      </x:c>
      <x:c r="AF414" s="22" t="str">
        <x:v>Not applicable — not included</x:v>
      </x:c>
      <x:c r="AG414" s="22" t="str">
        <x:v>Evidence: 5d352f55-a0d9-464a-b389-71c4fa3a5bac.png; page 7, result 7. Metadata transcribed from captured Google Scholar page; OCR-normalised, verify against publication before citation.</x:v>
      </x:c>
      <x:c r="AH414" s="20" t="str">
        <x:v>No duplicate identified under the documented matching rules.</x:v>
      </x:c>
    </x:row>
    <x:row r="415" ht="42" customHeight="1">
      <x:c r="A415" s="22" t="str">
        <x:v>GS-04-068</x:v>
      </x:c>
      <x:c r="B415" s="22" t="str">
        <x:v>Google Scholar</x:v>
      </x:c>
      <x:c r="C415" s="22" t="str">
        <x:v>GS-04</x:v>
      </x:c>
      <x:c r="D415" s="22" t="str">
        <x:v>Architectural Rewew of Early Alzhemmer's Diagnostics Neuro-Adaptive K-Means. Deep Embedding Clustering, and Edge-to-Claud Pipelines</x:v>
      </x:c>
      <x:c r="E415" s="22" t="str">
        <x:v>TMohanraj SS Hammed =</x:v>
      </x:c>
      <x:c r="F415" s="22" t="str">
        <x:v>NR</x:v>
      </x:c>
      <x:c r="G415" s="22" t="str">
        <x:v>2326 Intamaticna 2326 - ieeexplcre ees org</x:v>
      </x:c>
      <x:c r="H415" s="22" t="str">
        <x:v>Google Scholar result</x:v>
      </x:c>
      <x:c r="I415" s="22" t="str">
        <x:v>NR</x:v>
      </x:c>
      <x:c r="J415" s="22" t="str">
        <x:v>NR</x:v>
      </x:c>
      <x:c r="K415" s="22" t="str">
        <x:v>NR — URL not captured in the available source record</x:v>
      </x:c>
      <x:c r="L415" s="22" t="str">
        <x:v>Not available in the captured evidence; the screening decision used the title and available source metadata.</x:v>
      </x:c>
      <x:c r="M415" s="22" t="str">
        <x:v>No duplicate</x:v>
      </x:c>
      <x:c r="N415" s="22" t="str">
        <x:v>DG-107</x:v>
      </x:c>
      <x:c r="O415" s="22" t="str">
        <x:v>Not applicable</x:v>
      </x:c>
      <x:c r="P415" s="22" t="str">
        <x:v>Yes</x:v>
      </x:c>
      <x:c r="Q415" s="22" t="str">
        <x:v>Exclude</x:v>
      </x:c>
      <x:c r="R415" s="22" t="str">
        <x:v>Review in Alzheimer's diagnostics; wrong domain and non-original.</x:v>
      </x:c>
      <x:c r="S415" s="22" t="str">
        <x:v>Verification documented at process level</x:v>
      </x:c>
      <x:c r="T415" s="22" t="str">
        <x:v>Two additional authors performed random spot checks; individual spot-check assignments are not recorded in this register.</x:v>
      </x:c>
      <x:c r="U415" s="22" t="str">
        <x:v>Exclude</x:v>
      </x:c>
      <x:c r="V415" s="22" t="str">
        <x:v>Primary decision by the corresponding author; two additional authors performed random spot checks as a quality-control step.</x:v>
      </x:c>
      <x:c r="W415" s="22" t="str">
        <x:v>No</x:v>
      </x:c>
      <x:c r="X415" s="22" t="str">
        <x:v>Not applicable</x:v>
      </x:c>
      <x:c r="Y415" s="22" t="str">
        <x:v>Not assessed</x:v>
      </x:c>
      <x:c r="Z415" s="22" t="str">
        <x:v>Not advanced to full-text assessment after the title/abstract decision.</x:v>
      </x:c>
      <x:c r="AA415" s="22" t="str">
        <x:v>Not applicable</x:v>
      </x:c>
      <x:c r="AB415" s="22" t="str">
        <x:v>Record was not advanced to full-text assessment.</x:v>
      </x:c>
      <x:c r="AC415" s="22" t="str">
        <x:v>Not assessed</x:v>
      </x:c>
      <x:c r="AD415" s="22" t="str">
        <x:v>Not applicable — no full-text assessment was required.</x:v>
      </x:c>
      <x:c r="AE415" s="22" t="str">
        <x:v>Not included — title/abstract exclusion</x:v>
      </x:c>
      <x:c r="AF415" s="22" t="str">
        <x:v>Not applicable — not included</x:v>
      </x:c>
      <x:c r="AG415" s="22" t="str">
        <x:v>Evidence: 5d352f55-a0d9-464a-b389-71c4fa3a5bac.png; page 7, result 8. Metadata transcribed from captured Google Scholar page; OCR-normalised, verify against publication before citation.</x:v>
      </x:c>
      <x:c r="AH415" s="20" t="str">
        <x:v>No duplicate identified under the documented matching rules.</x:v>
      </x:c>
    </x:row>
    <x:row r="416" ht="42" customHeight="1">
      <x:c r="A416" s="22" t="str">
        <x:v>GS-04-069</x:v>
      </x:c>
      <x:c r="B416" s="22" t="str">
        <x:v>Google Scholar</x:v>
      </x:c>
      <x:c r="C416" s="22" t="str">
        <x:v>GS-04</x:v>
      </x:c>
      <x:c r="D416" s="22" t="str">
        <x:v>Enhance deep learning in few-shot datasets the role of implicit symbolic rules</x:v>
      </x:c>
      <x:c r="E416" s="22" t="str">
        <x:v>Mid, ATL C Gran. B Zheng SZhu</x:v>
      </x:c>
      <x:c r="F416" s="22" t="str">
        <x:v>NR</x:v>
      </x:c>
      <x:c r="G416" s="22" t="str">
        <x:v>Signal tmagz ard Video =. 20.28 - Springer</x:v>
      </x:c>
      <x:c r="H416" s="22" t="str">
        <x:v>Google Scholar result</x:v>
      </x:c>
      <x:c r="I416" s="22" t="str">
        <x:v>NR</x:v>
      </x:c>
      <x:c r="J416" s="22" t="str">
        <x:v>NR</x:v>
      </x:c>
      <x:c r="K416" s="22" t="str">
        <x:v>NR — URL not captured in the available source record</x:v>
      </x:c>
      <x:c r="L416" s="22" t="str">
        <x:v>Not available in the captured evidence; the screening decision used the title and available source metadata.</x:v>
      </x:c>
      <x:c r="M416" s="22" t="str">
        <x:v>No duplicate</x:v>
      </x:c>
      <x:c r="N416" s="22" t="str">
        <x:v>DG-054</x:v>
      </x:c>
      <x:c r="O416" s="22" t="str">
        <x:v>Not applicable</x:v>
      </x:c>
      <x:c r="P416" s="22" t="str">
        <x:v>Yes</x:v>
      </x:c>
      <x:c r="Q416" s="22" t="str">
        <x:v>Exclude</x:v>
      </x:c>
      <x:c r="R416" s="22" t="str">
        <x:v>Generic few-shot learning without medical-imaging application.</x:v>
      </x:c>
      <x:c r="S416" s="22" t="str">
        <x:v>Verification documented at process level</x:v>
      </x:c>
      <x:c r="T416" s="22" t="str">
        <x:v>Two additional authors performed random spot checks; individual spot-check assignments are not recorded in this register.</x:v>
      </x:c>
      <x:c r="U416" s="22" t="str">
        <x:v>Exclude</x:v>
      </x:c>
      <x:c r="V416" s="22" t="str">
        <x:v>Primary decision by the corresponding author; two additional authors performed random spot checks as a quality-control step.</x:v>
      </x:c>
      <x:c r="W416" s="22" t="str">
        <x:v>No</x:v>
      </x:c>
      <x:c r="X416" s="22" t="str">
        <x:v>Not applicable</x:v>
      </x:c>
      <x:c r="Y416" s="22" t="str">
        <x:v>Not assessed</x:v>
      </x:c>
      <x:c r="Z416" s="22" t="str">
        <x:v>Not advanced to full-text assessment after the title/abstract decision.</x:v>
      </x:c>
      <x:c r="AA416" s="22" t="str">
        <x:v>Not applicable</x:v>
      </x:c>
      <x:c r="AB416" s="22" t="str">
        <x:v>Record was not advanced to full-text assessment.</x:v>
      </x:c>
      <x:c r="AC416" s="22" t="str">
        <x:v>Not assessed</x:v>
      </x:c>
      <x:c r="AD416" s="22" t="str">
        <x:v>Not applicable — no full-text assessment was required.</x:v>
      </x:c>
      <x:c r="AE416" s="22" t="str">
        <x:v>Not included — title/abstract exclusion</x:v>
      </x:c>
      <x:c r="AF416" s="22" t="str">
        <x:v>Not applicable — not included</x:v>
      </x:c>
      <x:c r="AG416" s="22" t="str">
        <x:v>Evidence: 5d352f55-a0d9-464a-b389-71c4fa3a5bac.png; page 7, result 9. Metadata transcribed from captured Google Scholar page; OCR-normalised, verify against publication before citation.</x:v>
      </x:c>
      <x:c r="AH416" s="20" t="str">
        <x:v>Confirmed using normalized title across captured searches.</x:v>
      </x:c>
    </x:row>
    <x:row r="417" ht="42" customHeight="1">
      <x:c r="A417" s="22" t="str">
        <x:v>GS-04-070</x:v>
      </x:c>
      <x:c r="B417" s="22" t="str">
        <x:v>Google Scholar</x:v>
      </x:c>
      <x:c r="C417" s="22" t="str">
        <x:v>GS-04</x:v>
      </x:c>
      <x:c r="D417" s="22" t="str">
        <x:v>Por] Develapment of next generation Al by madeling brain information</x:v>
      </x:c>
      <x:c r="E417" s="22" t="str">
        <x:v>K Shki. XK Aibarg H Nakayama</x:v>
      </x:c>
      <x:c r="F417" s="22" t="str">
        <x:v>NR</x:v>
      </x:c>
      <x:c r="G417" s="22" t="str">
        <x:v>beycrdai jp</x:v>
      </x:c>
      <x:c r="H417" s="22" t="str">
        <x:v>Google Scholar result</x:v>
      </x:c>
      <x:c r="I417" s="22" t="str">
        <x:v>NR</x:v>
      </x:c>
      <x:c r="J417" s="22" t="str">
        <x:v>NR</x:v>
      </x:c>
      <x:c r="K417" s="22" t="str">
        <x:v>NR — URL not captured in the available source record</x:v>
      </x:c>
      <x:c r="L417" s="22" t="str">
        <x:v>Not available in the captured evidence; the screening decision used the title and available source metadata.</x:v>
      </x:c>
      <x:c r="M417" s="22" t="str">
        <x:v>No duplicate</x:v>
      </x:c>
      <x:c r="N417" s="22" t="str">
        <x:v>DG-112</x:v>
      </x:c>
      <x:c r="O417" s="22" t="str">
        <x:v>Not applicable</x:v>
      </x:c>
      <x:c r="P417" s="22" t="str">
        <x:v>Yes</x:v>
      </x:c>
      <x:c r="Q417" s="22" t="str">
        <x:v>Exclude</x:v>
      </x:c>
      <x:c r="R417" s="22" t="str">
        <x:v>General brain-inspired AI perspective; no relevant imaging evidence.</x:v>
      </x:c>
      <x:c r="S417" s="22" t="str">
        <x:v>Verification documented at process level</x:v>
      </x:c>
      <x:c r="T417" s="22" t="str">
        <x:v>Two additional authors performed random spot checks; individual spot-check assignments are not recorded in this register.</x:v>
      </x:c>
      <x:c r="U417" s="22" t="str">
        <x:v>Exclude</x:v>
      </x:c>
      <x:c r="V417" s="22" t="str">
        <x:v>Primary decision by the corresponding author; two additional authors performed random spot checks as a quality-control step.</x:v>
      </x:c>
      <x:c r="W417" s="22" t="str">
        <x:v>No</x:v>
      </x:c>
      <x:c r="X417" s="22" t="str">
        <x:v>Not applicable</x:v>
      </x:c>
      <x:c r="Y417" s="22" t="str">
        <x:v>Not assessed</x:v>
      </x:c>
      <x:c r="Z417" s="22" t="str">
        <x:v>Not advanced to full-text assessment after the title/abstract decision.</x:v>
      </x:c>
      <x:c r="AA417" s="22" t="str">
        <x:v>Not applicable</x:v>
      </x:c>
      <x:c r="AB417" s="22" t="str">
        <x:v>Record was not advanced to full-text assessment.</x:v>
      </x:c>
      <x:c r="AC417" s="22" t="str">
        <x:v>Not assessed</x:v>
      </x:c>
      <x:c r="AD417" s="22" t="str">
        <x:v>Not applicable — no full-text assessment was required.</x:v>
      </x:c>
      <x:c r="AE417" s="22" t="str">
        <x:v>Not included — title/abstract exclusion</x:v>
      </x:c>
      <x:c r="AF417" s="22" t="str">
        <x:v>Not applicable — not included</x:v>
      </x:c>
      <x:c r="AG417" s="22" t="str">
        <x:v>Evidence: 5d352f55-a0d9-464a-b389-71c4fa3a5bac.png; page 7, result 10. Metadata transcribed from captured Google Scholar page; OCR-normalised, verify against publication before citation.</x:v>
      </x:c>
      <x:c r="AH417" s="20" t="str">
        <x:v>No duplicate identified under the documented matching rules.</x:v>
      </x:c>
    </x:row>
    <x:row r="418" ht="42" customHeight="1">
      <x:c r="A418" s="22" t="str">
        <x:v>GS-04-071</x:v>
      </x:c>
      <x:c r="B418" s="22" t="str">
        <x:v>Google Scholar</x:v>
      </x:c>
      <x:c r="C418" s="22" t="str">
        <x:v>GS-04</x:v>
      </x:c>
      <x:c r="D418" s="22" t="str">
        <x:v>Chromatic pupillometry as a putative screening tool for heritable retinal disease In rhesus macaques</x:v>
      </x:c>
      <x:c r="E418" s="22" t="str">
        <x:v>EM Salpeler. A Moshiri MFemedirg.</x:v>
      </x:c>
      <x:c r="F418" s="22" t="str">
        <x:v>NR</x:v>
      </x:c>
      <x:c r="G418" s="22" t="str">
        <x:v>Vision Sciente &amp;. 2223- tvsl arvoiournals org</x:v>
      </x:c>
      <x:c r="H418" s="22" t="str">
        <x:v>Google Scholar result</x:v>
      </x:c>
      <x:c r="I418" s="22" t="str">
        <x:v>NR</x:v>
      </x:c>
      <x:c r="J418" s="22" t="str">
        <x:v>NR</x:v>
      </x:c>
      <x:c r="K418" s="22" t="str">
        <x:v>NR — URL not captured in the available source record</x:v>
      </x:c>
      <x:c r="L418" s="22" t="str">
        <x:v>Not available in the captured evidence; the screening decision used the title and available source metadata.</x:v>
      </x:c>
      <x:c r="M418" s="22" t="str">
        <x:v>No duplicate</x:v>
      </x:c>
      <x:c r="N418" s="22" t="str">
        <x:v>Not applicable — no duplicate group</x:v>
      </x:c>
      <x:c r="O418" s="22" t="str">
        <x:v>Not applicable</x:v>
      </x:c>
      <x:c r="P418" s="22" t="str">
        <x:v>Yes</x:v>
      </x:c>
      <x:c r="Q418" s="22" t="str">
        <x:v>Exclude</x:v>
      </x:c>
      <x:c r="R418" s="22" t="str">
        <x:v>Clinical pupillometry study without relevant AI/XAI.</x:v>
      </x:c>
      <x:c r="S418" s="22" t="str">
        <x:v>Verification documented at process level</x:v>
      </x:c>
      <x:c r="T418" s="22" t="str">
        <x:v>Two additional authors performed random spot checks; individual spot-check assignments are not recorded in this register.</x:v>
      </x:c>
      <x:c r="U418" s="22" t="str">
        <x:v>Exclude</x:v>
      </x:c>
      <x:c r="V418" s="22" t="str">
        <x:v>Primary decision by the corresponding author; two additional authors performed random spot checks as a quality-control step.</x:v>
      </x:c>
      <x:c r="W418" s="22" t="str">
        <x:v>No</x:v>
      </x:c>
      <x:c r="X418" s="22" t="str">
        <x:v>Not applicable</x:v>
      </x:c>
      <x:c r="Y418" s="22" t="str">
        <x:v>Not assessed</x:v>
      </x:c>
      <x:c r="Z418" s="22" t="str">
        <x:v>Not advanced to full-text assessment after the title/abstract decision.</x:v>
      </x:c>
      <x:c r="AA418" s="22" t="str">
        <x:v>Not applicable</x:v>
      </x:c>
      <x:c r="AB418" s="22" t="str">
        <x:v>Record was not advanced to full-text assessment.</x:v>
      </x:c>
      <x:c r="AC418" s="22" t="str">
        <x:v>Not assessed</x:v>
      </x:c>
      <x:c r="AD418" s="22" t="str">
        <x:v>Not applicable — no full-text assessment was required.</x:v>
      </x:c>
      <x:c r="AE418" s="22" t="str">
        <x:v>Not included — title/abstract exclusion</x:v>
      </x:c>
      <x:c r="AF418" s="22" t="str">
        <x:v>Not applicable — not included</x:v>
      </x:c>
      <x:c r="AG418" s="22" t="str">
        <x:v>Evidence: 27135b11-370b-44b0-95cb-60736277cfa1.png; page 8, result 1. Metadata transcribed from captured Google Scholar page; OCR-normalised, verify against publication before citation.</x:v>
      </x:c>
      <x:c r="AH418" s="20" t="str">
        <x:v>No duplicate identified under the documented matching rules.</x:v>
      </x:c>
    </x:row>
    <x:row r="419" ht="42" customHeight="1">
      <x:c r="A419" s="22" t="str">
        <x:v>GS-04-072</x:v>
      </x:c>
      <x:c r="B419" s="22" t="str">
        <x:v>Google Scholar</x:v>
      </x:c>
      <x:c r="C419" s="22" t="str">
        <x:v>GS-04</x:v>
      </x:c>
      <x:c r="D419" s="22" t="str">
        <x:v>(nterpretable Deep Learning for OCT-Based Diagnosis of Vitreoretinal Lymphoma Versus Uveitis</x:v>
      </x:c>
      <x:c r="E419" s="22" t="str">
        <x:v>Ahan OE Una ? Zang</x:v>
      </x:c>
      <x:c r="F419" s="22" t="n">
        <x:v>2026</x:v>
      </x:c>
      <x:c r="G419" s="22" t="str">
        <x:v>Vision Saence&amp; | 2026 - twsl arvajourals o'g</x:v>
      </x:c>
      <x:c r="H419" s="22" t="str">
        <x:v>Google Scholar result</x:v>
      </x:c>
      <x:c r="I419" s="22" t="str">
        <x:v>NR</x:v>
      </x:c>
      <x:c r="J419" s="22" t="str">
        <x:v>NR</x:v>
      </x:c>
      <x:c r="K419" s="22" t="str">
        <x:v>NR — URL not captured in the available source record</x:v>
      </x:c>
      <x:c r="L419" s="22" t="str">
        <x:v>Not available in the captured evidence; the screening decision used the title and available source metadata.</x:v>
      </x:c>
      <x:c r="M419" s="22" t="str">
        <x:v>No duplicate</x:v>
      </x:c>
      <x:c r="N419" s="22" t="str">
        <x:v>Not applicable — no duplicate group</x:v>
      </x:c>
      <x:c r="O419" s="22" t="str">
        <x:v>Not applicable</x:v>
      </x:c>
      <x:c r="P419" s="22" t="str">
        <x:v>Yes</x:v>
      </x:c>
      <x:c r="Q419" s="22" t="str">
        <x:v>Exclude</x:v>
      </x:c>
      <x:c r="R419" s="22" t="str">
        <x:v>Interpretability limited to Grad-CAM; excluded under E3.</x:v>
      </x:c>
      <x:c r="S419" s="22" t="str">
        <x:v>Verification documented at process level</x:v>
      </x:c>
      <x:c r="T419" s="22" t="str">
        <x:v>Two additional authors performed random spot checks; individual spot-check assignments are not recorded in this register.</x:v>
      </x:c>
      <x:c r="U419" s="22" t="str">
        <x:v>Exclude</x:v>
      </x:c>
      <x:c r="V419" s="22" t="str">
        <x:v>Primary decision by the corresponding author; two additional authors performed random spot checks as a quality-control step.</x:v>
      </x:c>
      <x:c r="W419" s="22" t="str">
        <x:v>No</x:v>
      </x:c>
      <x:c r="X419" s="22" t="str">
        <x:v>Not applicable</x:v>
      </x:c>
      <x:c r="Y419" s="22" t="str">
        <x:v>Not assessed</x:v>
      </x:c>
      <x:c r="Z419" s="22" t="str">
        <x:v>Not advanced to full-text assessment after the title/abstract decision.</x:v>
      </x:c>
      <x:c r="AA419" s="22" t="str">
        <x:v>Not applicable</x:v>
      </x:c>
      <x:c r="AB419" s="22" t="str">
        <x:v>Record was not advanced to full-text assessment.</x:v>
      </x:c>
      <x:c r="AC419" s="22" t="str">
        <x:v>Not assessed</x:v>
      </x:c>
      <x:c r="AD419" s="22" t="str">
        <x:v>Not applicable — no full-text assessment was required.</x:v>
      </x:c>
      <x:c r="AE419" s="22" t="str">
        <x:v>Not included — title/abstract exclusion</x:v>
      </x:c>
      <x:c r="AF419" s="22" t="str">
        <x:v>Not applicable — not included</x:v>
      </x:c>
      <x:c r="AG419" s="22" t="str">
        <x:v>Evidence: 27135b11-370b-44b0-95cb-60736277cfa1.png; page 8, result 2. Metadata transcribed from captured Google Scholar page; OCR-normalised, verify against publication before citation.</x:v>
      </x:c>
      <x:c r="AH419" s="20" t="str">
        <x:v>No duplicate identified under the documented matching rules.</x:v>
      </x:c>
    </x:row>
    <x:row r="420" ht="42" customHeight="1">
      <x:c r="A420" s="22" t="str">
        <x:v>GS-04-073</x:v>
      </x:c>
      <x:c r="B420" s="22" t="str">
        <x:v>Google Scholar</x:v>
      </x:c>
      <x:c r="C420" s="22" t="str">
        <x:v>GS-04</x:v>
      </x:c>
      <x:c r="D420" s="22" t="str">
        <x:v>800k] On Symbol Grounding in Machine Learning</x:v>
      </x:c>
      <x:c r="E420" s="22" t="str">
        <x:v>S “apan</x:v>
      </x:c>
      <x:c r="F420" s="22" t="str">
        <x:v>NR</x:v>
      </x:c>
      <x:c r="G420" s="22" t="str">
        <x:v>2222 - search oroquesl som</x:v>
      </x:c>
      <x:c r="H420" s="22" t="str">
        <x:v>Google Scholar result</x:v>
      </x:c>
      <x:c r="I420" s="22" t="str">
        <x:v>NR</x:v>
      </x:c>
      <x:c r="J420" s="22" t="str">
        <x:v>NR</x:v>
      </x:c>
      <x:c r="K420" s="22" t="str">
        <x:v>NR — URL not captured in the available source record</x:v>
      </x:c>
      <x:c r="L420" s="22" t="str">
        <x:v>Not available in the captured evidence; the screening decision used the title and available source metadata.</x:v>
      </x:c>
      <x:c r="M420" s="22" t="str">
        <x:v>No duplicate</x:v>
      </x:c>
      <x:c r="N420" s="22" t="str">
        <x:v>Not applicable — no duplicate group</x:v>
      </x:c>
      <x:c r="O420" s="22" t="str">
        <x:v>Not applicable</x:v>
      </x:c>
      <x:c r="P420" s="22" t="str">
        <x:v>Yes</x:v>
      </x:c>
      <x:c r="Q420" s="22" t="str">
        <x:v>Exclude</x:v>
      </x:c>
      <x:c r="R420" s="22" t="str">
        <x:v>Book/non-original work without medical-imaging application.</x:v>
      </x:c>
      <x:c r="S420" s="22" t="str">
        <x:v>Verification documented at process level</x:v>
      </x:c>
      <x:c r="T420" s="22" t="str">
        <x:v>Two additional authors performed random spot checks; individual spot-check assignments are not recorded in this register.</x:v>
      </x:c>
      <x:c r="U420" s="22" t="str">
        <x:v>Exclude</x:v>
      </x:c>
      <x:c r="V420" s="22" t="str">
        <x:v>Primary decision by the corresponding author; two additional authors performed random spot checks as a quality-control step.</x:v>
      </x:c>
      <x:c r="W420" s="22" t="str">
        <x:v>No</x:v>
      </x:c>
      <x:c r="X420" s="22" t="str">
        <x:v>Not applicable</x:v>
      </x:c>
      <x:c r="Y420" s="22" t="str">
        <x:v>Not assessed</x:v>
      </x:c>
      <x:c r="Z420" s="22" t="str">
        <x:v>Not advanced to full-text assessment after the title/abstract decision.</x:v>
      </x:c>
      <x:c r="AA420" s="22" t="str">
        <x:v>Not applicable</x:v>
      </x:c>
      <x:c r="AB420" s="22" t="str">
        <x:v>Record was not advanced to full-text assessment.</x:v>
      </x:c>
      <x:c r="AC420" s="22" t="str">
        <x:v>Not assessed</x:v>
      </x:c>
      <x:c r="AD420" s="22" t="str">
        <x:v>Not applicable — no full-text assessment was required.</x:v>
      </x:c>
      <x:c r="AE420" s="22" t="str">
        <x:v>Not included — title/abstract exclusion</x:v>
      </x:c>
      <x:c r="AF420" s="22" t="str">
        <x:v>Not applicable — not included</x:v>
      </x:c>
      <x:c r="AG420" s="22" t="str">
        <x:v>Evidence: 27135b11-370b-44b0-95cb-60736277cfa1.png; page 8, result 3. Metadata transcribed from captured Google Scholar page; OCR-normalised, verify against publication before citation.</x:v>
      </x:c>
      <x:c r="AH420" s="20" t="str">
        <x:v>No duplicate identified under the documented matching rules.</x:v>
      </x:c>
    </x:row>
    <x:row r="421" ht="42" customHeight="1">
      <x:c r="A421" s="22" t="str">
        <x:v>GS-04-074</x:v>
      </x:c>
      <x:c r="B421" s="22" t="str">
        <x:v>Google Scholar</x:v>
      </x:c>
      <x:c r="C421" s="22" t="str">
        <x:v>GS-04</x:v>
      </x:c>
      <x:c r="D421" s="22" t="str">
        <x:v>Advancing medical image classification through graph neural networks</x:v>
      </x:c>
      <x:c r="E421" s="22" t="str">
        <x:v>SK Swackar, MF Khan ¥ Dewangan -AIP Confare-ca = 2026</x:v>
      </x:c>
      <x:c r="F421" s="22" t="n">
        <x:v>2026</x:v>
      </x:c>
      <x:c r="G421" s="22" t="str">
        <x:v>pubs aip arg</x:v>
      </x:c>
      <x:c r="H421" s="22" t="str">
        <x:v>Google Scholar result</x:v>
      </x:c>
      <x:c r="I421" s="22" t="str">
        <x:v>NR</x:v>
      </x:c>
      <x:c r="J421" s="22" t="str">
        <x:v>NR</x:v>
      </x:c>
      <x:c r="K421" s="22" t="str">
        <x:v>NR — URL not captured in the available source record</x:v>
      </x:c>
      <x:c r="L421" s="22" t="str">
        <x:v>Not available in the captured evidence; the screening decision used the title and available source metadata.</x:v>
      </x:c>
      <x:c r="M421" s="22" t="str">
        <x:v>No duplicate</x:v>
      </x:c>
      <x:c r="N421" s="22" t="str">
        <x:v>DG-055</x:v>
      </x:c>
      <x:c r="O421" s="22" t="str">
        <x:v>Not applicable</x:v>
      </x:c>
      <x:c r="P421" s="22" t="str">
        <x:v>Yes</x:v>
      </x:c>
      <x:c r="Q421" s="22" t="str">
        <x:v>Exclude</x:v>
      </x:c>
      <x:c r="R421" s="22" t="str">
        <x:v>Medical-image classification without concept-oriented explanation.</x:v>
      </x:c>
      <x:c r="S421" s="22" t="str">
        <x:v>Verification documented at process level</x:v>
      </x:c>
      <x:c r="T421" s="22" t="str">
        <x:v>Two additional authors performed random spot checks; individual spot-check assignments are not recorded in this register.</x:v>
      </x:c>
      <x:c r="U421" s="22" t="str">
        <x:v>Exclude</x:v>
      </x:c>
      <x:c r="V421" s="22" t="str">
        <x:v>Primary decision by the corresponding author; two additional authors performed random spot checks as a quality-control step.</x:v>
      </x:c>
      <x:c r="W421" s="22" t="str">
        <x:v>No</x:v>
      </x:c>
      <x:c r="X421" s="22" t="str">
        <x:v>Not applicable</x:v>
      </x:c>
      <x:c r="Y421" s="22" t="str">
        <x:v>Not assessed</x:v>
      </x:c>
      <x:c r="Z421" s="22" t="str">
        <x:v>Not advanced to full-text assessment after the title/abstract decision.</x:v>
      </x:c>
      <x:c r="AA421" s="22" t="str">
        <x:v>Not applicable</x:v>
      </x:c>
      <x:c r="AB421" s="22" t="str">
        <x:v>Record was not advanced to full-text assessment.</x:v>
      </x:c>
      <x:c r="AC421" s="22" t="str">
        <x:v>Not assessed</x:v>
      </x:c>
      <x:c r="AD421" s="22" t="str">
        <x:v>Not applicable — no full-text assessment was required.</x:v>
      </x:c>
      <x:c r="AE421" s="22" t="str">
        <x:v>Not included — title/abstract exclusion</x:v>
      </x:c>
      <x:c r="AF421" s="22" t="str">
        <x:v>Not applicable — not included</x:v>
      </x:c>
      <x:c r="AG421" s="22" t="str">
        <x:v>Evidence: 27135b11-370b-44b0-95cb-60736277cfa1.png; page 8, result 4. Metadata transcribed from captured Google Scholar page; OCR-normalised, verify against publication before citation.</x:v>
      </x:c>
      <x:c r="AH421" s="20" t="str">
        <x:v>Confirmed using normalized title across captured searches.</x:v>
      </x:c>
    </x:row>
    <x:row r="422" ht="42" customHeight="1">
      <x:c r="A422" s="22" t="str">
        <x:v>GS-04-075</x:v>
      </x:c>
      <x:c r="B422" s="22" t="str">
        <x:v>Google Scholar</x:v>
      </x:c>
      <x:c r="C422" s="22" t="str">
        <x:v>GS-04</x:v>
      </x:c>
      <x:c r="D422" s="22" t="str">
        <x:v>RobOCTNet robotics and deep learning for referable postertor segment pathology detection in an emergency department population</x:v>
      </x:c>
      <x:c r="E422" s="22" t="str">
        <x:v>ASong .BLusk Kh Rem STHsu + Vision Science&amp; | 2024. tvel arvajoumals oy</x:v>
      </x:c>
      <x:c r="F422" s="22" t="n">
        <x:v>2024</x:v>
      </x:c>
      <x:c r="G422" s="22" t="str">
        <x:v>ASong .BLusk Kh Rem STHsu + Vision Science&amp; | 2024. tvel arvajoumals oy</x:v>
      </x:c>
      <x:c r="H422" s="22" t="str">
        <x:v>Google Scholar result</x:v>
      </x:c>
      <x:c r="I422" s="22" t="str">
        <x:v>NR</x:v>
      </x:c>
      <x:c r="J422" s="22" t="str">
        <x:v>NR</x:v>
      </x:c>
      <x:c r="K422" s="22" t="str">
        <x:v>NR — URL not captured in the available source record</x:v>
      </x:c>
      <x:c r="L422" s="22" t="str">
        <x:v>Not available in the captured evidence; the screening decision used the title and available source metadata.</x:v>
      </x:c>
      <x:c r="M422" s="22" t="str">
        <x:v>No duplicate</x:v>
      </x:c>
      <x:c r="N422" s="22" t="str">
        <x:v>Not applicable — no duplicate group</x:v>
      </x:c>
      <x:c r="O422" s="22" t="str">
        <x:v>Not applicable</x:v>
      </x:c>
      <x:c r="P422" s="22" t="str">
        <x:v>Yes</x:v>
      </x:c>
      <x:c r="Q422" s="22" t="str">
        <x:v>Exclude</x:v>
      </x:c>
      <x:c r="R422" s="22" t="str">
        <x:v>Retinal pathology detection without concept-based XAI.</x:v>
      </x:c>
      <x:c r="S422" s="22" t="str">
        <x:v>Verification documented at process level</x:v>
      </x:c>
      <x:c r="T422" s="22" t="str">
        <x:v>Two additional authors performed random spot checks; individual spot-check assignments are not recorded in this register.</x:v>
      </x:c>
      <x:c r="U422" s="22" t="str">
        <x:v>Exclude</x:v>
      </x:c>
      <x:c r="V422" s="22" t="str">
        <x:v>Primary decision by the corresponding author; two additional authors performed random spot checks as a quality-control step.</x:v>
      </x:c>
      <x:c r="W422" s="22" t="str">
        <x:v>No</x:v>
      </x:c>
      <x:c r="X422" s="22" t="str">
        <x:v>Not applicable</x:v>
      </x:c>
      <x:c r="Y422" s="22" t="str">
        <x:v>Not assessed</x:v>
      </x:c>
      <x:c r="Z422" s="22" t="str">
        <x:v>Not advanced to full-text assessment after the title/abstract decision.</x:v>
      </x:c>
      <x:c r="AA422" s="22" t="str">
        <x:v>Not applicable</x:v>
      </x:c>
      <x:c r="AB422" s="22" t="str">
        <x:v>Record was not advanced to full-text assessment.</x:v>
      </x:c>
      <x:c r="AC422" s="22" t="str">
        <x:v>Not assessed</x:v>
      </x:c>
      <x:c r="AD422" s="22" t="str">
        <x:v>Not applicable — no full-text assessment was required.</x:v>
      </x:c>
      <x:c r="AE422" s="22" t="str">
        <x:v>Not included — title/abstract exclusion</x:v>
      </x:c>
      <x:c r="AF422" s="22" t="str">
        <x:v>Not applicable — not included</x:v>
      </x:c>
      <x:c r="AG422" s="22" t="str">
        <x:v>Evidence: 27135b11-370b-44b0-95cb-60736277cfa1.png; page 8, result 5. Metadata transcribed from captured Google Scholar page; OCR-normalised, verify against publication before citation.</x:v>
      </x:c>
      <x:c r="AH422" s="20" t="str">
        <x:v>No duplicate identified under the documented matching rules.</x:v>
      </x:c>
    </x:row>
    <x:row r="423" ht="42" customHeight="1">
      <x:c r="A423" s="22" t="str">
        <x:v>GS-04-076</x:v>
      </x:c>
      <x:c r="B423" s="22" t="str">
        <x:v>Google Scholar</x:v>
      </x:c>
      <x:c r="C423" s="22" t="str">
        <x:v>GS-04</x:v>
      </x:c>
      <x:c r="D423" s="22" t="str">
        <x:v>Technological Advances in Generative and Explainable Al for Next-Generation Cyber Defense</x:v>
      </x:c>
      <x:c r="E423" s="22" t="str">
        <x:v>S$ 3a! J Shamed MS Bin-Fagal</x:v>
      </x:c>
      <x:c r="F423" s="22" t="n">
        <x:v>2026</x:v>
      </x:c>
      <x:c r="G423" s="22" t="str">
        <x:v>The Rise of . 2026 - igi-global com</x:v>
      </x:c>
      <x:c r="H423" s="22" t="str">
        <x:v>Google Scholar result</x:v>
      </x:c>
      <x:c r="I423" s="22" t="str">
        <x:v>NR</x:v>
      </x:c>
      <x:c r="J423" s="22" t="str">
        <x:v>NR</x:v>
      </x:c>
      <x:c r="K423" s="22" t="str">
        <x:v>NR — URL not captured in the available source record</x:v>
      </x:c>
      <x:c r="L423" s="22" t="str">
        <x:v>Not available in the captured evidence; the screening decision used the title and available source metadata.</x:v>
      </x:c>
      <x:c r="M423" s="22" t="str">
        <x:v>No duplicate</x:v>
      </x:c>
      <x:c r="N423" s="22" t="str">
        <x:v>DG-056</x:v>
      </x:c>
      <x:c r="O423" s="22" t="str">
        <x:v>Not applicable</x:v>
      </x:c>
      <x:c r="P423" s="22" t="str">
        <x:v>Yes</x:v>
      </x:c>
      <x:c r="Q423" s="22" t="str">
        <x:v>Exclude</x:v>
      </x:c>
      <x:c r="R423" s="22" t="str">
        <x:v>Wrong domain: cyber defence.</x:v>
      </x:c>
      <x:c r="S423" s="22" t="str">
        <x:v>Verification documented at process level</x:v>
      </x:c>
      <x:c r="T423" s="22" t="str">
        <x:v>Two additional authors performed random spot checks; individual spot-check assignments are not recorded in this register.</x:v>
      </x:c>
      <x:c r="U423" s="22" t="str">
        <x:v>Exclude</x:v>
      </x:c>
      <x:c r="V423" s="22" t="str">
        <x:v>Primary decision by the corresponding author; two additional authors performed random spot checks as a quality-control step.</x:v>
      </x:c>
      <x:c r="W423" s="22" t="str">
        <x:v>No</x:v>
      </x:c>
      <x:c r="X423" s="22" t="str">
        <x:v>Not applicable</x:v>
      </x:c>
      <x:c r="Y423" s="22" t="str">
        <x:v>Not assessed</x:v>
      </x:c>
      <x:c r="Z423" s="22" t="str">
        <x:v>Not advanced to full-text assessment after the title/abstract decision.</x:v>
      </x:c>
      <x:c r="AA423" s="22" t="str">
        <x:v>Not applicable</x:v>
      </x:c>
      <x:c r="AB423" s="22" t="str">
        <x:v>Record was not advanced to full-text assessment.</x:v>
      </x:c>
      <x:c r="AC423" s="22" t="str">
        <x:v>Not assessed</x:v>
      </x:c>
      <x:c r="AD423" s="22" t="str">
        <x:v>Not applicable — no full-text assessment was required.</x:v>
      </x:c>
      <x:c r="AE423" s="22" t="str">
        <x:v>Not included — title/abstract exclusion</x:v>
      </x:c>
      <x:c r="AF423" s="22" t="str">
        <x:v>Not applicable — not included</x:v>
      </x:c>
      <x:c r="AG423" s="22" t="str">
        <x:v>Evidence: 27135b11-370b-44b0-95cb-60736277cfa1.png; page 8, result 6. Metadata transcribed from captured Google Scholar page; OCR-normalised, verify against publication before citation.</x:v>
      </x:c>
      <x:c r="AH423" s="20" t="str">
        <x:v>Confirmed using normalized title across captured searches.</x:v>
      </x:c>
    </x:row>
    <x:row r="424" ht="42" customHeight="1">
      <x:c r="A424" s="22" t="str">
        <x:v>GS-04-077</x:v>
      </x:c>
      <x:c r="B424" s="22" t="str">
        <x:v>Google Scholar</x:v>
      </x:c>
      <x:c r="C424" s="22" t="str">
        <x:v>GS-04</x:v>
      </x:c>
      <x:c r="D424" s="22" t="str">
        <x:v>Towards explainable deep learning in computational neuroscience’ visual and clinical applications</x:v>
      </x:c>
      <x:c r="E424" s="22" t="str">
        <x:v>Atdahmooc E’Aeomaad J Kir</x:v>
      </x:c>
      <x:c r="F424" s="22" t="n">
        <x:v>2025</x:v>
      </x:c>
      <x:c r="G424" s="22" t="str">
        <x:v>Mathematics. 2025 - dpi con</x:v>
      </x:c>
      <x:c r="H424" s="22" t="str">
        <x:v>Google Scholar result</x:v>
      </x:c>
      <x:c r="I424" s="22" t="str">
        <x:v>NR</x:v>
      </x:c>
      <x:c r="J424" s="22" t="str">
        <x:v>NR</x:v>
      </x:c>
      <x:c r="K424" s="22" t="str">
        <x:v>NR — URL not captured in the available source record</x:v>
      </x:c>
      <x:c r="L424" s="22" t="str">
        <x:v>Not available in the captured evidence; the screening decision used the title and available source metadata.</x:v>
      </x:c>
      <x:c r="M424" s="22" t="str">
        <x:v>No duplicate</x:v>
      </x:c>
      <x:c r="N424" s="22" t="str">
        <x:v>DG-089</x:v>
      </x:c>
      <x:c r="O424" s="22" t="str">
        <x:v>Not applicable</x:v>
      </x:c>
      <x:c r="P424" s="22" t="str">
        <x:v>Yes</x:v>
      </x:c>
      <x:c r="Q424" s="22" t="str">
        <x:v>Exclude</x:v>
      </x:c>
      <x:c r="R424" s="22" t="str">
        <x:v>Review article; not original empirical research.</x:v>
      </x:c>
      <x:c r="S424" s="22" t="str">
        <x:v>Verification documented at process level</x:v>
      </x:c>
      <x:c r="T424" s="22" t="str">
        <x:v>Two additional authors performed random spot checks; individual spot-check assignments are not recorded in this register.</x:v>
      </x:c>
      <x:c r="U424" s="22" t="str">
        <x:v>Exclude</x:v>
      </x:c>
      <x:c r="V424" s="22" t="str">
        <x:v>Primary decision by the corresponding author; two additional authors performed random spot checks as a quality-control step.</x:v>
      </x:c>
      <x:c r="W424" s="22" t="str">
        <x:v>No</x:v>
      </x:c>
      <x:c r="X424" s="22" t="str">
        <x:v>Not applicable</x:v>
      </x:c>
      <x:c r="Y424" s="22" t="str">
        <x:v>Not assessed</x:v>
      </x:c>
      <x:c r="Z424" s="22" t="str">
        <x:v>Not advanced to full-text assessment after the title/abstract decision.</x:v>
      </x:c>
      <x:c r="AA424" s="22" t="str">
        <x:v>Not applicable</x:v>
      </x:c>
      <x:c r="AB424" s="22" t="str">
        <x:v>Record was not advanced to full-text assessment.</x:v>
      </x:c>
      <x:c r="AC424" s="22" t="str">
        <x:v>Not assessed</x:v>
      </x:c>
      <x:c r="AD424" s="22" t="str">
        <x:v>Not applicable — no full-text assessment was required.</x:v>
      </x:c>
      <x:c r="AE424" s="22" t="str">
        <x:v>Not included — title/abstract exclusion</x:v>
      </x:c>
      <x:c r="AF424" s="22" t="str">
        <x:v>Not applicable — not included</x:v>
      </x:c>
      <x:c r="AG424" s="22" t="str">
        <x:v>Evidence: 27135b11-370b-44b0-95cb-60736277cfa1.png; page 8, result 7. Metadata transcribed from captured Google Scholar page; OCR-normalised, verify against publication before citation.</x:v>
      </x:c>
      <x:c r="AH424" s="20" t="str">
        <x:v>Confirmed using normalized title across captured searches.</x:v>
      </x:c>
    </x:row>
    <x:row r="425" ht="42" customHeight="1">
      <x:c r="A425" s="22" t="str">
        <x:v>GS-04-078</x:v>
      </x:c>
      <x:c r="B425" s="22" t="str">
        <x:v>Google Scholar</x:v>
      </x:c>
      <x:c r="C425" s="22" t="str">
        <x:v>GS-04</x:v>
      </x:c>
      <x:c r="D425" s="22" t="str">
        <x:v>ROPNet: A novel deep learning framework for retinopathy of prematurity detection</x:v>
      </x:c>
      <x:c r="E425" s="22" t="str">
        <x:v>IP Okwwobi J Liu. J Wan J Jiacg</x:v>
      </x:c>
      <x:c r="F425" s="22" t="str">
        <x:v>NR</x:v>
      </x:c>
      <x:c r="G425" s="22" t="str">
        <x:v>Biamedical Sigral Processing and =. 2926 - Elsevier</x:v>
      </x:c>
      <x:c r="H425" s="22" t="str">
        <x:v>Google Scholar result</x:v>
      </x:c>
      <x:c r="I425" s="22" t="str">
        <x:v>NR</x:v>
      </x:c>
      <x:c r="J425" s="22" t="str">
        <x:v>NR</x:v>
      </x:c>
      <x:c r="K425" s="22" t="str">
        <x:v>NR — URL not captured in the available source record</x:v>
      </x:c>
      <x:c r="L425" s="22" t="str">
        <x:v>Not available in the captured evidence; the screening decision used the title and available source metadata.</x:v>
      </x:c>
      <x:c r="M425" s="22" t="str">
        <x:v>No duplicate</x:v>
      </x:c>
      <x:c r="N425" s="22" t="str">
        <x:v>DG-058</x:v>
      </x:c>
      <x:c r="O425" s="22" t="str">
        <x:v>Not applicable</x:v>
      </x:c>
      <x:c r="P425" s="22" t="str">
        <x:v>Yes</x:v>
      </x:c>
      <x:c r="Q425" s="22" t="str">
        <x:v>Exclude</x:v>
      </x:c>
      <x:c r="R425" s="22" t="str">
        <x:v>ROP detection without concept-oriented explanation.</x:v>
      </x:c>
      <x:c r="S425" s="22" t="str">
        <x:v>Verification documented at process level</x:v>
      </x:c>
      <x:c r="T425" s="22" t="str">
        <x:v>Two additional authors performed random spot checks; individual spot-check assignments are not recorded in this register.</x:v>
      </x:c>
      <x:c r="U425" s="22" t="str">
        <x:v>Exclude</x:v>
      </x:c>
      <x:c r="V425" s="22" t="str">
        <x:v>Primary decision by the corresponding author; two additional authors performed random spot checks as a quality-control step.</x:v>
      </x:c>
      <x:c r="W425" s="22" t="str">
        <x:v>No</x:v>
      </x:c>
      <x:c r="X425" s="22" t="str">
        <x:v>Not applicable</x:v>
      </x:c>
      <x:c r="Y425" s="22" t="str">
        <x:v>Not assessed</x:v>
      </x:c>
      <x:c r="Z425" s="22" t="str">
        <x:v>Not advanced to full-text assessment after the title/abstract decision.</x:v>
      </x:c>
      <x:c r="AA425" s="22" t="str">
        <x:v>Not applicable</x:v>
      </x:c>
      <x:c r="AB425" s="22" t="str">
        <x:v>Record was not advanced to full-text assessment.</x:v>
      </x:c>
      <x:c r="AC425" s="22" t="str">
        <x:v>Not assessed</x:v>
      </x:c>
      <x:c r="AD425" s="22" t="str">
        <x:v>Not applicable — no full-text assessment was required.</x:v>
      </x:c>
      <x:c r="AE425" s="22" t="str">
        <x:v>Not included — title/abstract exclusion</x:v>
      </x:c>
      <x:c r="AF425" s="22" t="str">
        <x:v>Not applicable — not included</x:v>
      </x:c>
      <x:c r="AG425" s="22" t="str">
        <x:v>Evidence: 27135b11-370b-44b0-95cb-60736277cfa1.png; page 8, result 8. Metadata transcribed from captured Google Scholar page; OCR-normalised, verify against publication before citation.</x:v>
      </x:c>
      <x:c r="AH425" s="20" t="str">
        <x:v>Confirmed using normalized title across captured searches.</x:v>
      </x:c>
    </x:row>
    <x:row r="426" ht="42" customHeight="1">
      <x:c r="A426" s="22" t="str">
        <x:v>GS-04-079</x:v>
      </x:c>
      <x:c r="B426" s="22" t="str">
        <x:v>Google Scholar</x:v>
      </x:c>
      <x:c r="C426" s="22" t="str">
        <x:v>GS-04</x:v>
      </x:c>
      <x:c r="D426" s="22" t="str">
        <x:v>The Turbulent Past and Uncertain Future of Al Is there a way out of Al's boom- and-bust cycle?</x:v>
      </x:c>
      <x:c r="E426" s="22" t="str">
        <x:v>E Stricklang</x:v>
      </x:c>
      <x:c r="F426" s="22" t="n">
        <x:v>2021</x:v>
      </x:c>
      <x:c r="G426" s="22" t="str">
        <x:v>IEEE Spectrum 2021 - ieaexplore igea org</x:v>
      </x:c>
      <x:c r="H426" s="22" t="str">
        <x:v>Google Scholar result</x:v>
      </x:c>
      <x:c r="I426" s="22" t="str">
        <x:v>NR</x:v>
      </x:c>
      <x:c r="J426" s="22" t="str">
        <x:v>NR</x:v>
      </x:c>
      <x:c r="K426" s="22" t="str">
        <x:v>NR — URL not captured in the available source record</x:v>
      </x:c>
      <x:c r="L426" s="22" t="str">
        <x:v>Not available in the captured evidence; the screening decision used the title and available source metadata.</x:v>
      </x:c>
      <x:c r="M426" s="22" t="str">
        <x:v>No duplicate</x:v>
      </x:c>
      <x:c r="N426" s="22" t="str">
        <x:v>DG-059</x:v>
      </x:c>
      <x:c r="O426" s="22" t="str">
        <x:v>Not applicable</x:v>
      </x:c>
      <x:c r="P426" s="22" t="str">
        <x:v>Yes</x:v>
      </x:c>
      <x:c r="Q426" s="22" t="str">
        <x:v>Exclude</x:v>
      </x:c>
      <x:c r="R426" s="22" t="str">
        <x:v>AI commentary; wrong topic and non-original.</x:v>
      </x:c>
      <x:c r="S426" s="22" t="str">
        <x:v>Verification documented at process level</x:v>
      </x:c>
      <x:c r="T426" s="22" t="str">
        <x:v>Two additional authors performed random spot checks; individual spot-check assignments are not recorded in this register.</x:v>
      </x:c>
      <x:c r="U426" s="22" t="str">
        <x:v>Exclude</x:v>
      </x:c>
      <x:c r="V426" s="22" t="str">
        <x:v>Primary decision by the corresponding author; two additional authors performed random spot checks as a quality-control step.</x:v>
      </x:c>
      <x:c r="W426" s="22" t="str">
        <x:v>No</x:v>
      </x:c>
      <x:c r="X426" s="22" t="str">
        <x:v>Not applicable</x:v>
      </x:c>
      <x:c r="Y426" s="22" t="str">
        <x:v>Not assessed</x:v>
      </x:c>
      <x:c r="Z426" s="22" t="str">
        <x:v>Not advanced to full-text assessment after the title/abstract decision.</x:v>
      </x:c>
      <x:c r="AA426" s="22" t="str">
        <x:v>Not applicable</x:v>
      </x:c>
      <x:c r="AB426" s="22" t="str">
        <x:v>Record was not advanced to full-text assessment.</x:v>
      </x:c>
      <x:c r="AC426" s="22" t="str">
        <x:v>Not assessed</x:v>
      </x:c>
      <x:c r="AD426" s="22" t="str">
        <x:v>Not applicable — no full-text assessment was required.</x:v>
      </x:c>
      <x:c r="AE426" s="22" t="str">
        <x:v>Not included — title/abstract exclusion</x:v>
      </x:c>
      <x:c r="AF426" s="22" t="str">
        <x:v>Not applicable — not included</x:v>
      </x:c>
      <x:c r="AG426" s="22" t="str">
        <x:v>Evidence: 27135b11-370b-44b0-95cb-60736277cfa1.png; page 8, result 9. Metadata transcribed from captured Google Scholar page; OCR-normalised, verify against publication before citation.</x:v>
      </x:c>
      <x:c r="AH426" s="20" t="str">
        <x:v>Confirmed using normalized title across captured searches.</x:v>
      </x:c>
    </x:row>
    <x:row r="427" ht="42" customHeight="1">
      <x:c r="A427" s="22" t="str">
        <x:v>GS-04-080</x:v>
      </x:c>
      <x:c r="B427" s="22" t="str">
        <x:v>Google Scholar</x:v>
      </x:c>
      <x:c r="C427" s="22" t="str">
        <x:v>GS-04</x:v>
      </x:c>
      <x:c r="D427" s="22" t="str">
        <x:v>Acute central serous choricretinopathy subtypes as assessed by multmodal imaging</x:v>
      </x:c>
      <x:c r="E427" s="22" t="str">
        <x:v>A4mgo EAragons ABsrdalo</x:v>
      </x:c>
      <x:c r="F427" s="22" t="str">
        <x:v>NR</x:v>
      </x:c>
      <x:c r="G427" s="22" t="str">
        <x:v>Visior Scerce &amp; = 2321 - tvs! arvojournals org</x:v>
      </x:c>
      <x:c r="H427" s="22" t="str">
        <x:v>Google Scholar result</x:v>
      </x:c>
      <x:c r="I427" s="22" t="str">
        <x:v>NR</x:v>
      </x:c>
      <x:c r="J427" s="22" t="str">
        <x:v>NR</x:v>
      </x:c>
      <x:c r="K427" s="22" t="str">
        <x:v>NR — URL not captured in the available source record</x:v>
      </x:c>
      <x:c r="L427" s="22" t="str">
        <x:v>Not available in the captured evidence; the screening decision used the title and available source metadata.</x:v>
      </x:c>
      <x:c r="M427" s="22" t="str">
        <x:v>No duplicate</x:v>
      </x:c>
      <x:c r="N427" s="22" t="str">
        <x:v>Not applicable — no duplicate group</x:v>
      </x:c>
      <x:c r="O427" s="22" t="str">
        <x:v>Not applicable</x:v>
      </x:c>
      <x:c r="P427" s="22" t="str">
        <x:v>Yes</x:v>
      </x:c>
      <x:c r="Q427" s="22" t="str">
        <x:v>Exclude</x:v>
      </x:c>
      <x:c r="R427" s="22" t="str">
        <x:v>Clinical retinal imaging study without relevant AI/XAI.</x:v>
      </x:c>
      <x:c r="S427" s="22" t="str">
        <x:v>Verification documented at process level</x:v>
      </x:c>
      <x:c r="T427" s="22" t="str">
        <x:v>Two additional authors performed random spot checks; individual spot-check assignments are not recorded in this register.</x:v>
      </x:c>
      <x:c r="U427" s="22" t="str">
        <x:v>Exclude</x:v>
      </x:c>
      <x:c r="V427" s="22" t="str">
        <x:v>Primary decision by the corresponding author; two additional authors performed random spot checks as a quality-control step.</x:v>
      </x:c>
      <x:c r="W427" s="22" t="str">
        <x:v>No</x:v>
      </x:c>
      <x:c r="X427" s="22" t="str">
        <x:v>Not applicable</x:v>
      </x:c>
      <x:c r="Y427" s="22" t="str">
        <x:v>Not assessed</x:v>
      </x:c>
      <x:c r="Z427" s="22" t="str">
        <x:v>Not advanced to full-text assessment after the title/abstract decision.</x:v>
      </x:c>
      <x:c r="AA427" s="22" t="str">
        <x:v>Not applicable</x:v>
      </x:c>
      <x:c r="AB427" s="22" t="str">
        <x:v>Record was not advanced to full-text assessment.</x:v>
      </x:c>
      <x:c r="AC427" s="22" t="str">
        <x:v>Not assessed</x:v>
      </x:c>
      <x:c r="AD427" s="22" t="str">
        <x:v>Not applicable — no full-text assessment was required.</x:v>
      </x:c>
      <x:c r="AE427" s="22" t="str">
        <x:v>Not included — title/abstract exclusion</x:v>
      </x:c>
      <x:c r="AF427" s="22" t="str">
        <x:v>Not applicable — not included</x:v>
      </x:c>
      <x:c r="AG427" s="22" t="str">
        <x:v>Evidence: 27135b11-370b-44b0-95cb-60736277cfa1.png; page 8, result 10. Metadata transcribed from captured Google Scholar page; OCR-normalised, verify against publication before citation.</x:v>
      </x:c>
      <x:c r="AH427" s="20" t="str">
        <x:v>No duplicate identified under the documented matching rules.</x:v>
      </x:c>
    </x:row>
    <x:row r="428" ht="42" customHeight="1">
      <x:c r="A428" s="22" t="str">
        <x:v>GS-04-081</x:v>
      </x:c>
      <x:c r="B428" s="22" t="str">
        <x:v>Google Scholar</x:v>
      </x:c>
      <x:c r="C428" s="22" t="str">
        <x:v>GS-04</x:v>
      </x:c>
      <x:c r="D428" s="22" t="str">
        <x:v>Anovel intelligent hybrid reinforcement learning framework for autonomous decision making in complex health cognitive systems</x:v>
      </x:c>
      <x:c r="E428" s="22" t="str">
        <x:v>Abdullah Z Fatma. MAAthar JLC Rodriguez</x:v>
      </x:c>
      <x:c r="F428" s="22" t="n">
        <x:v>2026</x:v>
      </x:c>
      <x:c r="G428" s="22" t="str">
        <x:v>Scientific Raports 2026 - naiure tom</x:v>
      </x:c>
      <x:c r="H428" s="22" t="str">
        <x:v>Google Scholar result</x:v>
      </x:c>
      <x:c r="I428" s="22" t="str">
        <x:v>NR</x:v>
      </x:c>
      <x:c r="J428" s="22" t="str">
        <x:v>NR</x:v>
      </x:c>
      <x:c r="K428" s="22" t="str">
        <x:v>NR — URL not captured in the available source record</x:v>
      </x:c>
      <x:c r="L428" s="22" t="str">
        <x:v>Not available in the captured evidence; the screening decision used the title and available source metadata.</x:v>
      </x:c>
      <x:c r="M428" s="22" t="str">
        <x:v>No duplicate</x:v>
      </x:c>
      <x:c r="N428" s="22" t="str">
        <x:v>DG-060</x:v>
      </x:c>
      <x:c r="O428" s="22" t="str">
        <x:v>Not applicable</x:v>
      </x:c>
      <x:c r="P428" s="22" t="str">
        <x:v>Yes</x:v>
      </x:c>
      <x:c r="Q428" s="22" t="str">
        <x:v>Exclude</x:v>
      </x:c>
      <x:c r="R428" s="22" t="str">
        <x:v>General health decision system without retinal imaging or concept XAI.</x:v>
      </x:c>
      <x:c r="S428" s="22" t="str">
        <x:v>Verification documented at process level</x:v>
      </x:c>
      <x:c r="T428" s="22" t="str">
        <x:v>Two additional authors performed random spot checks; individual spot-check assignments are not recorded in this register.</x:v>
      </x:c>
      <x:c r="U428" s="22" t="str">
        <x:v>Exclude</x:v>
      </x:c>
      <x:c r="V428" s="22" t="str">
        <x:v>Primary decision by the corresponding author; two additional authors performed random spot checks as a quality-control step.</x:v>
      </x:c>
      <x:c r="W428" s="22" t="str">
        <x:v>No</x:v>
      </x:c>
      <x:c r="X428" s="22" t="str">
        <x:v>Not applicable</x:v>
      </x:c>
      <x:c r="Y428" s="22" t="str">
        <x:v>Not assessed</x:v>
      </x:c>
      <x:c r="Z428" s="22" t="str">
        <x:v>Not advanced to full-text assessment after the title/abstract decision.</x:v>
      </x:c>
      <x:c r="AA428" s="22" t="str">
        <x:v>Not applicable</x:v>
      </x:c>
      <x:c r="AB428" s="22" t="str">
        <x:v>Record was not advanced to full-text assessment.</x:v>
      </x:c>
      <x:c r="AC428" s="22" t="str">
        <x:v>Not assessed</x:v>
      </x:c>
      <x:c r="AD428" s="22" t="str">
        <x:v>Not applicable — no full-text assessment was required.</x:v>
      </x:c>
      <x:c r="AE428" s="22" t="str">
        <x:v>Not included — title/abstract exclusion</x:v>
      </x:c>
      <x:c r="AF428" s="22" t="str">
        <x:v>Not applicable — not included</x:v>
      </x:c>
      <x:c r="AG428" s="22" t="str">
        <x:v>Evidence: 55323c11-645c-47fc-b383-04b4918f4b8b.png; page 9, result 1. Metadata transcribed from captured Google Scholar page; OCR-normalised, verify against publication before citation.</x:v>
      </x:c>
      <x:c r="AH428" s="20" t="str">
        <x:v>Confirmed using normalized title across captured searches.</x:v>
      </x:c>
    </x:row>
    <x:row r="429" ht="42" customHeight="1">
      <x:c r="A429" s="22" t="str">
        <x:v>GS-04-082</x:v>
      </x:c>
      <x:c r="B429" s="22" t="str">
        <x:v>Google Scholar</x:v>
      </x:c>
      <x:c r="C429" s="22" t="str">
        <x:v>GS-04</x:v>
      </x:c>
      <x:c r="D429" s="22" t="str">
        <x:v>Visual Transfer Leaming Using Knowledge Graphs</x:v>
      </x:c>
      <x:c r="E429" s="22" t="str">
        <x:v>S Moctka. ARetlingar- on Naurosymbolic 4) and Knowledga ==. 228</x:v>
      </x:c>
      <x:c r="F429" s="22" t="str">
        <x:v>NR</x:v>
      </x:c>
      <x:c r="G429" s="22" t="str">
        <x:v>journals sagepib com</x:v>
      </x:c>
      <x:c r="H429" s="22" t="str">
        <x:v>Google Scholar result</x:v>
      </x:c>
      <x:c r="I429" s="22" t="str">
        <x:v>NR</x:v>
      </x:c>
      <x:c r="J429" s="22" t="str">
        <x:v>NR</x:v>
      </x:c>
      <x:c r="K429" s="22" t="str">
        <x:v>NR — URL not captured in the available source record</x:v>
      </x:c>
      <x:c r="L429" s="22" t="str">
        <x:v>Not available in the captured evidence; the screening decision used the title and available source metadata.</x:v>
      </x:c>
      <x:c r="M429" s="22" t="str">
        <x:v>No duplicate</x:v>
      </x:c>
      <x:c r="N429" s="22" t="str">
        <x:v>Not applicable — no duplicate group</x:v>
      </x:c>
      <x:c r="O429" s="22" t="str">
        <x:v>Not applicable</x:v>
      </x:c>
      <x:c r="P429" s="22" t="str">
        <x:v>Yes</x:v>
      </x:c>
      <x:c r="Q429" s="22" t="str">
        <x:v>Exclude</x:v>
      </x:c>
      <x:c r="R429" s="22" t="str">
        <x:v>Generic visual transfer learning; no relevant medical imaging.</x:v>
      </x:c>
      <x:c r="S429" s="22" t="str">
        <x:v>Verification documented at process level</x:v>
      </x:c>
      <x:c r="T429" s="22" t="str">
        <x:v>Two additional authors performed random spot checks; individual spot-check assignments are not recorded in this register.</x:v>
      </x:c>
      <x:c r="U429" s="22" t="str">
        <x:v>Exclude</x:v>
      </x:c>
      <x:c r="V429" s="22" t="str">
        <x:v>Primary decision by the corresponding author; two additional authors performed random spot checks as a quality-control step.</x:v>
      </x:c>
      <x:c r="W429" s="22" t="str">
        <x:v>No</x:v>
      </x:c>
      <x:c r="X429" s="22" t="str">
        <x:v>Not applicable</x:v>
      </x:c>
      <x:c r="Y429" s="22" t="str">
        <x:v>Not assessed</x:v>
      </x:c>
      <x:c r="Z429" s="22" t="str">
        <x:v>Not advanced to full-text assessment after the title/abstract decision.</x:v>
      </x:c>
      <x:c r="AA429" s="22" t="str">
        <x:v>Not applicable</x:v>
      </x:c>
      <x:c r="AB429" s="22" t="str">
        <x:v>Record was not advanced to full-text assessment.</x:v>
      </x:c>
      <x:c r="AC429" s="22" t="str">
        <x:v>Not assessed</x:v>
      </x:c>
      <x:c r="AD429" s="22" t="str">
        <x:v>Not applicable — no full-text assessment was required.</x:v>
      </x:c>
      <x:c r="AE429" s="22" t="str">
        <x:v>Not included — title/abstract exclusion</x:v>
      </x:c>
      <x:c r="AF429" s="22" t="str">
        <x:v>Not applicable — not included</x:v>
      </x:c>
      <x:c r="AG429" s="22" t="str">
        <x:v>Evidence: 55323c11-645c-47fc-b383-04b4918f4b8b.png; page 9, result 2. Metadata transcribed from captured Google Scholar page; OCR-normalised, verify against publication before citation.</x:v>
      </x:c>
      <x:c r="AH429" s="20" t="str">
        <x:v>No duplicate identified under the documented matching rules.</x:v>
      </x:c>
    </x:row>
    <x:row r="430" ht="42" customHeight="1">
      <x:c r="A430" s="22" t="str">
        <x:v>GS-04-083</x:v>
      </x:c>
      <x:c r="B430" s="22" t="str">
        <x:v>Google Scholar</x:v>
      </x:c>
      <x:c r="C430" s="22" t="str">
        <x:v>GS-04</x:v>
      </x:c>
      <x:c r="D430" s="22" t="str">
        <x:v>Early Detection of Breast Cancer Using Multi-Modal Deep Learning Framework</x:v>
      </x:c>
      <x:c r="E430" s="22" t="str">
        <x:v>5 Morarmad, MA Shaik</x:v>
      </x:c>
      <x:c r="F430" s="22" t="n">
        <x:v>2026</x:v>
      </x:c>
      <x:c r="G430" s="22" t="str">
        <x:v>Neuro.Symbolic Artificial 2026 - Wiley Onine Litran</x:v>
      </x:c>
      <x:c r="H430" s="22" t="str">
        <x:v>Google Scholar result</x:v>
      </x:c>
      <x:c r="I430" s="22" t="str">
        <x:v>NR</x:v>
      </x:c>
      <x:c r="J430" s="22" t="str">
        <x:v>NR</x:v>
      </x:c>
      <x:c r="K430" s="22" t="str">
        <x:v>NR — URL not captured in the available source record</x:v>
      </x:c>
      <x:c r="L430" s="22" t="str">
        <x:v>Not available in the captured evidence; the screening decision used the title and available source metadata.</x:v>
      </x:c>
      <x:c r="M430" s="22" t="str">
        <x:v>No duplicate</x:v>
      </x:c>
      <x:c r="N430" s="22" t="str">
        <x:v>DG-061</x:v>
      </x:c>
      <x:c r="O430" s="22" t="str">
        <x:v>Not applicable</x:v>
      </x:c>
      <x:c r="P430" s="22" t="str">
        <x:v>Yes</x:v>
      </x:c>
      <x:c r="Q430" s="22" t="str">
        <x:v>Exclude</x:v>
      </x:c>
      <x:c r="R430" s="22" t="str">
        <x:v>Breast cancer classification without concept-oriented XAI.</x:v>
      </x:c>
      <x:c r="S430" s="22" t="str">
        <x:v>Verification documented at process level</x:v>
      </x:c>
      <x:c r="T430" s="22" t="str">
        <x:v>Two additional authors performed random spot checks; individual spot-check assignments are not recorded in this register.</x:v>
      </x:c>
      <x:c r="U430" s="22" t="str">
        <x:v>Exclude</x:v>
      </x:c>
      <x:c r="V430" s="22" t="str">
        <x:v>Primary decision by the corresponding author; two additional authors performed random spot checks as a quality-control step.</x:v>
      </x:c>
      <x:c r="W430" s="22" t="str">
        <x:v>No</x:v>
      </x:c>
      <x:c r="X430" s="22" t="str">
        <x:v>Not applicable</x:v>
      </x:c>
      <x:c r="Y430" s="22" t="str">
        <x:v>Not assessed</x:v>
      </x:c>
      <x:c r="Z430" s="22" t="str">
        <x:v>Not advanced to full-text assessment after the title/abstract decision.</x:v>
      </x:c>
      <x:c r="AA430" s="22" t="str">
        <x:v>Not applicable</x:v>
      </x:c>
      <x:c r="AB430" s="22" t="str">
        <x:v>Record was not advanced to full-text assessment.</x:v>
      </x:c>
      <x:c r="AC430" s="22" t="str">
        <x:v>Not assessed</x:v>
      </x:c>
      <x:c r="AD430" s="22" t="str">
        <x:v>Not applicable — no full-text assessment was required.</x:v>
      </x:c>
      <x:c r="AE430" s="22" t="str">
        <x:v>Not included — title/abstract exclusion</x:v>
      </x:c>
      <x:c r="AF430" s="22" t="str">
        <x:v>Not applicable — not included</x:v>
      </x:c>
      <x:c r="AG430" s="22" t="str">
        <x:v>Evidence: 55323c11-645c-47fc-b383-04b4918f4b8b.png; page 9, result 3. Metadata transcribed from captured Google Scholar page; OCR-normalised, verify against publication before citation.</x:v>
      </x:c>
      <x:c r="AH430" s="20" t="str">
        <x:v>Confirmed using normalized title across captured searches.</x:v>
      </x:c>
    </x:row>
    <x:row r="431" ht="42" customHeight="1">
      <x:c r="A431" s="22" t="str">
        <x:v>GS-04-084</x:v>
      </x:c>
      <x:c r="B431" s="22" t="str">
        <x:v>Google Scholar</x:v>
      </x:c>
      <x:c r="C431" s="22" t="str">
        <x:v>GS-04</x:v>
      </x:c>
      <x:c r="D431" s="22" t="str">
        <x:v>Convolutional neural networks for vision neuroscience’ significance, developments, and outstanding issues</x:v>
      </x:c>
      <x:c r="E431" s="22" t="str">
        <x:v>ACeeghn ABorrien D Orsenigo M Disno -Frombersir = 20.23</x:v>
      </x:c>
      <x:c r="F431" s="22" t="str">
        <x:v>NR</x:v>
      </x:c>
      <x:c r="G431" s="22" t="str">
        <x:v>froniiersin org</x:v>
      </x:c>
      <x:c r="H431" s="22" t="str">
        <x:v>Google Scholar result</x:v>
      </x:c>
      <x:c r="I431" s="22" t="str">
        <x:v>NR</x:v>
      </x:c>
      <x:c r="J431" s="22" t="str">
        <x:v>NR</x:v>
      </x:c>
      <x:c r="K431" s="22" t="str">
        <x:v>NR — URL not captured in the available source record</x:v>
      </x:c>
      <x:c r="L431" s="22" t="str">
        <x:v>Not available in the captured evidence; the screening decision used the title and available source metadata.</x:v>
      </x:c>
      <x:c r="M431" s="22" t="str">
        <x:v>No duplicate</x:v>
      </x:c>
      <x:c r="N431" s="22" t="str">
        <x:v>DG-081</x:v>
      </x:c>
      <x:c r="O431" s="22" t="str">
        <x:v>Not applicable</x:v>
      </x:c>
      <x:c r="P431" s="22" t="str">
        <x:v>Yes</x:v>
      </x:c>
      <x:c r="Q431" s="22" t="str">
        <x:v>Exclude</x:v>
      </x:c>
      <x:c r="R431" s="22" t="str">
        <x:v>Review article; not an original retinal-imaging study.</x:v>
      </x:c>
      <x:c r="S431" s="22" t="str">
        <x:v>Verification documented at process level</x:v>
      </x:c>
      <x:c r="T431" s="22" t="str">
        <x:v>Two additional authors performed random spot checks; individual spot-check assignments are not recorded in this register.</x:v>
      </x:c>
      <x:c r="U431" s="22" t="str">
        <x:v>Exclude</x:v>
      </x:c>
      <x:c r="V431" s="22" t="str">
        <x:v>Primary decision by the corresponding author; two additional authors performed random spot checks as a quality-control step.</x:v>
      </x:c>
      <x:c r="W431" s="22" t="str">
        <x:v>No</x:v>
      </x:c>
      <x:c r="X431" s="22" t="str">
        <x:v>Not applicable</x:v>
      </x:c>
      <x:c r="Y431" s="22" t="str">
        <x:v>Not assessed</x:v>
      </x:c>
      <x:c r="Z431" s="22" t="str">
        <x:v>Not advanced to full-text assessment after the title/abstract decision.</x:v>
      </x:c>
      <x:c r="AA431" s="22" t="str">
        <x:v>Not applicable</x:v>
      </x:c>
      <x:c r="AB431" s="22" t="str">
        <x:v>Record was not advanced to full-text assessment.</x:v>
      </x:c>
      <x:c r="AC431" s="22" t="str">
        <x:v>Not assessed</x:v>
      </x:c>
      <x:c r="AD431" s="22" t="str">
        <x:v>Not applicable — no full-text assessment was required.</x:v>
      </x:c>
      <x:c r="AE431" s="22" t="str">
        <x:v>Not included — title/abstract exclusion</x:v>
      </x:c>
      <x:c r="AF431" s="22" t="str">
        <x:v>Not applicable — not included</x:v>
      </x:c>
      <x:c r="AG431" s="22" t="str">
        <x:v>Evidence: 55323c11-645c-47fc-b383-04b4918f4b8b.png; page 9, result 4. Metadata transcribed from captured Google Scholar page; OCR-normalised, verify against publication before citation.</x:v>
      </x:c>
      <x:c r="AH431" s="20" t="str">
        <x:v>No duplicate identified under the documented matching rules.</x:v>
      </x:c>
    </x:row>
    <x:row r="432" ht="42" customHeight="1">
      <x:c r="A432" s="22" t="str">
        <x:v>GS-04-085</x:v>
      </x:c>
      <x:c r="B432" s="22" t="str">
        <x:v>Google Scholar</x:v>
      </x:c>
      <x:c r="C432" s="22" t="str">
        <x:v>GS-04</x:v>
      </x:c>
      <x:c r="D432" s="22" t="str">
        <x:v>Symbuotic Intelligence</x:v>
      </x:c>
      <x:c r="E432" s="22" t="str">
        <x:v>HAI Collaboraton</x:v>
      </x:c>
      <x:c r="F432" s="22" t="str">
        <x:v>NR</x:v>
      </x:c>
      <x:c r="G432" s="22" t="str">
        <x:v>api layfortancis com</x:v>
      </x:c>
      <x:c r="H432" s="22" t="str">
        <x:v>Google Scholar result</x:v>
      </x:c>
      <x:c r="I432" s="22" t="str">
        <x:v>NR</x:v>
      </x:c>
      <x:c r="J432" s="22" t="str">
        <x:v>NR</x:v>
      </x:c>
      <x:c r="K432" s="22" t="str">
        <x:v>NR — URL not captured in the available source record</x:v>
      </x:c>
      <x:c r="L432" s="22" t="str">
        <x:v>Not available in the captured evidence; the screening decision used the title and available source metadata.</x:v>
      </x:c>
      <x:c r="M432" s="22" t="str">
        <x:v>No duplicate</x:v>
      </x:c>
      <x:c r="N432" s="22" t="str">
        <x:v>DG-109</x:v>
      </x:c>
      <x:c r="O432" s="22" t="str">
        <x:v>Not applicable</x:v>
      </x:c>
      <x:c r="P432" s="22" t="str">
        <x:v>Yes</x:v>
      </x:c>
      <x:c r="Q432" s="22" t="str">
        <x:v>Exclude</x:v>
      </x:c>
      <x:c r="R432" s="22" t="str">
        <x:v>General AI topic without a relevant empirical application.</x:v>
      </x:c>
      <x:c r="S432" s="22" t="str">
        <x:v>Verification documented at process level</x:v>
      </x:c>
      <x:c r="T432" s="22" t="str">
        <x:v>Two additional authors performed random spot checks; individual spot-check assignments are not recorded in this register.</x:v>
      </x:c>
      <x:c r="U432" s="22" t="str">
        <x:v>Exclude</x:v>
      </x:c>
      <x:c r="V432" s="22" t="str">
        <x:v>Primary decision by the corresponding author; two additional authors performed random spot checks as a quality-control step.</x:v>
      </x:c>
      <x:c r="W432" s="22" t="str">
        <x:v>No</x:v>
      </x:c>
      <x:c r="X432" s="22" t="str">
        <x:v>Not applicable</x:v>
      </x:c>
      <x:c r="Y432" s="22" t="str">
        <x:v>Not assessed</x:v>
      </x:c>
      <x:c r="Z432" s="22" t="str">
        <x:v>Not advanced to full-text assessment after the title/abstract decision.</x:v>
      </x:c>
      <x:c r="AA432" s="22" t="str">
        <x:v>Not applicable</x:v>
      </x:c>
      <x:c r="AB432" s="22" t="str">
        <x:v>Record was not advanced to full-text assessment.</x:v>
      </x:c>
      <x:c r="AC432" s="22" t="str">
        <x:v>Not assessed</x:v>
      </x:c>
      <x:c r="AD432" s="22" t="str">
        <x:v>Not applicable — no full-text assessment was required.</x:v>
      </x:c>
      <x:c r="AE432" s="22" t="str">
        <x:v>Not included — title/abstract exclusion</x:v>
      </x:c>
      <x:c r="AF432" s="22" t="str">
        <x:v>Not applicable — not included</x:v>
      </x:c>
      <x:c r="AG432" s="22" t="str">
        <x:v>Evidence: 55323c11-645c-47fc-b383-04b4918f4b8b.png; page 9, result 5. Metadata transcribed from captured Google Scholar page; OCR-normalised, verify against publication before citation.</x:v>
      </x:c>
      <x:c r="AH432" s="20" t="str">
        <x:v>No duplicate identified under the documented matching rules.</x:v>
      </x:c>
    </x:row>
    <x:row r="433" ht="42" customHeight="1">
      <x:c r="A433" s="22" t="str">
        <x:v>GS-04-086</x:v>
      </x:c>
      <x:c r="B433" s="22" t="str">
        <x:v>Google Scholar</x:v>
      </x:c>
      <x:c r="C433" s="22" t="str">
        <x:v>GS-04</x:v>
      </x:c>
      <x:c r="D433" s="22" t="str">
        <x:v>ZERO Swarm Distributed Collective Intelligence for Autonomous Planetary Space Exploration</x:v>
      </x:c>
      <x:c r="E433" s="22" t="str">
        <x:v>K Jhinakgcan 7G Balavigneshwar</x:v>
      </x:c>
      <x:c r="F433" s="22" t="n">
        <x:v>2026</x:v>
      </x:c>
      <x:c r="G433" s="22" t="str">
        <x:v>2026 ESE 2ng 2726 - ieeexplore iees og</x:v>
      </x:c>
      <x:c r="H433" s="22" t="str">
        <x:v>Google Scholar result</x:v>
      </x:c>
      <x:c r="I433" s="22" t="str">
        <x:v>NR</x:v>
      </x:c>
      <x:c r="J433" s="22" t="str">
        <x:v>NR</x:v>
      </x:c>
      <x:c r="K433" s="22" t="str">
        <x:v>NR — URL not captured in the available source record</x:v>
      </x:c>
      <x:c r="L433" s="22" t="str">
        <x:v>Not available in the captured evidence; the screening decision used the title and available source metadata.</x:v>
      </x:c>
      <x:c r="M433" s="22" t="str">
        <x:v>No duplicate</x:v>
      </x:c>
      <x:c r="N433" s="22" t="str">
        <x:v>DG-062</x:v>
      </x:c>
      <x:c r="O433" s="22" t="str">
        <x:v>Not applicable</x:v>
      </x:c>
      <x:c r="P433" s="22" t="str">
        <x:v>Yes</x:v>
      </x:c>
      <x:c r="Q433" s="22" t="str">
        <x:v>Exclude</x:v>
      </x:c>
      <x:c r="R433" s="22" t="str">
        <x:v>Wrong domain: space exploration.</x:v>
      </x:c>
      <x:c r="S433" s="22" t="str">
        <x:v>Verification documented at process level</x:v>
      </x:c>
      <x:c r="T433" s="22" t="str">
        <x:v>Two additional authors performed random spot checks; individual spot-check assignments are not recorded in this register.</x:v>
      </x:c>
      <x:c r="U433" s="22" t="str">
        <x:v>Exclude</x:v>
      </x:c>
      <x:c r="V433" s="22" t="str">
        <x:v>Primary decision by the corresponding author; two additional authors performed random spot checks as a quality-control step.</x:v>
      </x:c>
      <x:c r="W433" s="22" t="str">
        <x:v>No</x:v>
      </x:c>
      <x:c r="X433" s="22" t="str">
        <x:v>Not applicable</x:v>
      </x:c>
      <x:c r="Y433" s="22" t="str">
        <x:v>Not assessed</x:v>
      </x:c>
      <x:c r="Z433" s="22" t="str">
        <x:v>Not advanced to full-text assessment after the title/abstract decision.</x:v>
      </x:c>
      <x:c r="AA433" s="22" t="str">
        <x:v>Not applicable</x:v>
      </x:c>
      <x:c r="AB433" s="22" t="str">
        <x:v>Record was not advanced to full-text assessment.</x:v>
      </x:c>
      <x:c r="AC433" s="22" t="str">
        <x:v>Not assessed</x:v>
      </x:c>
      <x:c r="AD433" s="22" t="str">
        <x:v>Not applicable — no full-text assessment was required.</x:v>
      </x:c>
      <x:c r="AE433" s="22" t="str">
        <x:v>Not included — title/abstract exclusion</x:v>
      </x:c>
      <x:c r="AF433" s="22" t="str">
        <x:v>Not applicable — not included</x:v>
      </x:c>
      <x:c r="AG433" s="22" t="str">
        <x:v>Evidence: 55323c11-645c-47fc-b383-04b4918f4b8b.png; page 9, result 6. Metadata transcribed from captured Google Scholar page; OCR-normalised, verify against publication before citation.</x:v>
      </x:c>
      <x:c r="AH433" s="20" t="str">
        <x:v>Confirmed using normalized title across captured searches.</x:v>
      </x:c>
    </x:row>
    <x:row r="434" ht="42" customHeight="1">
      <x:c r="A434" s="22" t="str">
        <x:v>GS-04-087</x:v>
      </x:c>
      <x:c r="B434" s="22" t="str">
        <x:v>Google Scholar</x:v>
      </x:c>
      <x:c r="C434" s="22" t="str">
        <x:v>GS-04</x:v>
      </x:c>
      <x:c r="D434" s="22" t="str">
        <x:v>Microaneurysm segmentation under aut-of-domain generalization’ from diabetic retinopathy to leukemic retinopathy</x:v>
      </x:c>
      <x:c r="E434" s="22" t="str">
        <x:v>E Platas-Campero RJ az-Hercandez</x:v>
      </x:c>
      <x:c r="F434" s="22" t="n">
        <x:v>2026</x:v>
      </x:c>
      <x:c r="G434" s="22" t="str">
        <x:v>JoumalsiRetinagnd 2026 - Sprnger</x:v>
      </x:c>
      <x:c r="H434" s="22" t="str">
        <x:v>Google Scholar result</x:v>
      </x:c>
      <x:c r="I434" s="22" t="str">
        <x:v>NR</x:v>
      </x:c>
      <x:c r="J434" s="22" t="str">
        <x:v>NR</x:v>
      </x:c>
      <x:c r="K434" s="22" t="str">
        <x:v>NR — URL not captured in the available source record</x:v>
      </x:c>
      <x:c r="L434" s="22" t="str">
        <x:v>Not available in the captured evidence; the screening decision used the title and available source metadata.</x:v>
      </x:c>
      <x:c r="M434" s="22" t="str">
        <x:v>No duplicate</x:v>
      </x:c>
      <x:c r="N434" s="22" t="str">
        <x:v>DG-063</x:v>
      </x:c>
      <x:c r="O434" s="22" t="str">
        <x:v>Not applicable</x:v>
      </x:c>
      <x:c r="P434" s="22" t="str">
        <x:v>Yes</x:v>
      </x:c>
      <x:c r="Q434" s="22" t="str">
        <x:v>Exclude</x:v>
      </x:c>
      <x:c r="R434" s="22" t="str">
        <x:v>Retinal segmentation and domain generalization, not concept-based XAI.</x:v>
      </x:c>
      <x:c r="S434" s="22" t="str">
        <x:v>Verification documented at process level</x:v>
      </x:c>
      <x:c r="T434" s="22" t="str">
        <x:v>Two additional authors performed random spot checks; individual spot-check assignments are not recorded in this register.</x:v>
      </x:c>
      <x:c r="U434" s="22" t="str">
        <x:v>Exclude</x:v>
      </x:c>
      <x:c r="V434" s="22" t="str">
        <x:v>Primary decision by the corresponding author; two additional authors performed random spot checks as a quality-control step.</x:v>
      </x:c>
      <x:c r="W434" s="22" t="str">
        <x:v>No</x:v>
      </x:c>
      <x:c r="X434" s="22" t="str">
        <x:v>Not applicable</x:v>
      </x:c>
      <x:c r="Y434" s="22" t="str">
        <x:v>Not assessed</x:v>
      </x:c>
      <x:c r="Z434" s="22" t="str">
        <x:v>Not advanced to full-text assessment after the title/abstract decision.</x:v>
      </x:c>
      <x:c r="AA434" s="22" t="str">
        <x:v>Not applicable</x:v>
      </x:c>
      <x:c r="AB434" s="22" t="str">
        <x:v>Record was not advanced to full-text assessment.</x:v>
      </x:c>
      <x:c r="AC434" s="22" t="str">
        <x:v>Not assessed</x:v>
      </x:c>
      <x:c r="AD434" s="22" t="str">
        <x:v>Not applicable — no full-text assessment was required.</x:v>
      </x:c>
      <x:c r="AE434" s="22" t="str">
        <x:v>Not included — title/abstract exclusion</x:v>
      </x:c>
      <x:c r="AF434" s="22" t="str">
        <x:v>Not applicable — not included</x:v>
      </x:c>
      <x:c r="AG434" s="22" t="str">
        <x:v>Evidence: 55323c11-645c-47fc-b383-04b4918f4b8b.png; page 9, result 7. Metadata transcribed from captured Google Scholar page; OCR-normalised, verify against publication before citation.</x:v>
      </x:c>
      <x:c r="AH434" s="20" t="str">
        <x:v>Confirmed using normalized title across captured searches.</x:v>
      </x:c>
    </x:row>
    <x:row r="435" ht="42" customHeight="1">
      <x:c r="A435" s="22" t="str">
        <x:v>GS-04-088</x:v>
      </x:c>
      <x:c r="B435" s="22" t="str">
        <x:v>Google Scholar</x:v>
      </x:c>
      <x:c r="C435" s="22" t="str">
        <x:v>GS-04</x:v>
      </x:c>
      <x:c r="D435" s="22" t="str">
        <x:v>From Policy to Lagic for Efficient and Interpretable Coverage Assessment</x:v>
      </x:c>
      <x:c r="E435" s="22" t="str">
        <x:v>RPoekhare] HR Hassanzageh AAgrawal</x:v>
      </x:c>
      <x:c r="F435" s="22" t="str">
        <x:v>NR</x:v>
      </x:c>
      <x:c r="G435" s="22" t="str">
        <x:v>arXiv preprint arXrv 20.26 - army 31g</x:v>
      </x:c>
      <x:c r="H435" s="22" t="str">
        <x:v>Google Scholar result</x:v>
      </x:c>
      <x:c r="I435" s="22" t="str">
        <x:v>NR</x:v>
      </x:c>
      <x:c r="J435" s="22" t="str">
        <x:v>NR</x:v>
      </x:c>
      <x:c r="K435" s="22" t="str">
        <x:v>NR — URL not captured in the available source record</x:v>
      </x:c>
      <x:c r="L435" s="22" t="str">
        <x:v>Not available in the captured evidence; the screening decision used the title and available source metadata.</x:v>
      </x:c>
      <x:c r="M435" s="22" t="str">
        <x:v>No duplicate</x:v>
      </x:c>
      <x:c r="N435" s="22" t="str">
        <x:v>DG-064</x:v>
      </x:c>
      <x:c r="O435" s="22" t="str">
        <x:v>Not applicable</x:v>
      </x:c>
      <x:c r="P435" s="22" t="str">
        <x:v>Yes</x:v>
      </x:c>
      <x:c r="Q435" s="22" t="str">
        <x:v>Exclude</x:v>
      </x:c>
      <x:c r="R435" s="22" t="str">
        <x:v>Wrong domain: policy coverage assessment.</x:v>
      </x:c>
      <x:c r="S435" s="22" t="str">
        <x:v>Verification documented at process level</x:v>
      </x:c>
      <x:c r="T435" s="22" t="str">
        <x:v>Two additional authors performed random spot checks; individual spot-check assignments are not recorded in this register.</x:v>
      </x:c>
      <x:c r="U435" s="22" t="str">
        <x:v>Exclude</x:v>
      </x:c>
      <x:c r="V435" s="22" t="str">
        <x:v>Primary decision by the corresponding author; two additional authors performed random spot checks as a quality-control step.</x:v>
      </x:c>
      <x:c r="W435" s="22" t="str">
        <x:v>No</x:v>
      </x:c>
      <x:c r="X435" s="22" t="str">
        <x:v>Not applicable</x:v>
      </x:c>
      <x:c r="Y435" s="22" t="str">
        <x:v>Not assessed</x:v>
      </x:c>
      <x:c r="Z435" s="22" t="str">
        <x:v>Not advanced to full-text assessment after the title/abstract decision.</x:v>
      </x:c>
      <x:c r="AA435" s="22" t="str">
        <x:v>Not applicable</x:v>
      </x:c>
      <x:c r="AB435" s="22" t="str">
        <x:v>Record was not advanced to full-text assessment.</x:v>
      </x:c>
      <x:c r="AC435" s="22" t="str">
        <x:v>Not assessed</x:v>
      </x:c>
      <x:c r="AD435" s="22" t="str">
        <x:v>Not applicable — no full-text assessment was required.</x:v>
      </x:c>
      <x:c r="AE435" s="22" t="str">
        <x:v>Not included — title/abstract exclusion</x:v>
      </x:c>
      <x:c r="AF435" s="22" t="str">
        <x:v>Not applicable — not included</x:v>
      </x:c>
      <x:c r="AG435" s="22" t="str">
        <x:v>Evidence: 55323c11-645c-47fc-b383-04b4918f4b8b.png; page 9, result 8. Metadata transcribed from captured Google Scholar page; OCR-normalised, verify against publication before citation.</x:v>
      </x:c>
      <x:c r="AH435" s="20" t="str">
        <x:v>Confirmed using normalized title across captured searches.</x:v>
      </x:c>
    </x:row>
    <x:row r="436" ht="42" customHeight="1">
      <x:c r="A436" s="22" t="str">
        <x:v>GS-04-089</x:v>
      </x:c>
      <x:c r="B436" s="22" t="str">
        <x:v>Google Scholar</x:v>
      </x:c>
      <x:c r="C436" s="22" t="str">
        <x:v>GS-04</x:v>
      </x:c>
      <x:c r="D436" s="22" t="str">
        <x:v>Simple code implementation for deep learning—based segmentation to evaluate central serous chorioretinopathy in fundus photography</x:v>
      </x:c>
      <x:c r="E436" s="22" t="str">
        <x:v>TK Yoo BY Kim HK .eong HK Kim. vision scence &amp; =. 2022</x:v>
      </x:c>
      <x:c r="F436" s="22" t="n">
        <x:v>2022</x:v>
      </x:c>
      <x:c r="G436" s="22" t="str">
        <x:v>lovs avvorournals org</x:v>
      </x:c>
      <x:c r="H436" s="22" t="str">
        <x:v>Google Scholar result</x:v>
      </x:c>
      <x:c r="I436" s="22" t="str">
        <x:v>NR</x:v>
      </x:c>
      <x:c r="J436" s="22" t="str">
        <x:v>NR</x:v>
      </x:c>
      <x:c r="K436" s="22" t="str">
        <x:v>NR — URL not captured in the available source record</x:v>
      </x:c>
      <x:c r="L436" s="22" t="str">
        <x:v>Not available in the captured evidence; the screening decision used the title and available source metadata.</x:v>
      </x:c>
      <x:c r="M436" s="22" t="str">
        <x:v>No duplicate</x:v>
      </x:c>
      <x:c r="N436" s="22" t="str">
        <x:v>Not applicable — no duplicate group</x:v>
      </x:c>
      <x:c r="O436" s="22" t="str">
        <x:v>Not applicable</x:v>
      </x:c>
      <x:c r="P436" s="22" t="str">
        <x:v>Yes</x:v>
      </x:c>
      <x:c r="Q436" s="22" t="str">
        <x:v>Exclude</x:v>
      </x:c>
      <x:c r="R436" s="22" t="str">
        <x:v>Retinal segmentation without concept-oriented explanation.</x:v>
      </x:c>
      <x:c r="S436" s="22" t="str">
        <x:v>Verification documented at process level</x:v>
      </x:c>
      <x:c r="T436" s="22" t="str">
        <x:v>Two additional authors performed random spot checks; individual spot-check assignments are not recorded in this register.</x:v>
      </x:c>
      <x:c r="U436" s="22" t="str">
        <x:v>Exclude</x:v>
      </x:c>
      <x:c r="V436" s="22" t="str">
        <x:v>Primary decision by the corresponding author; two additional authors performed random spot checks as a quality-control step.</x:v>
      </x:c>
      <x:c r="W436" s="22" t="str">
        <x:v>No</x:v>
      </x:c>
      <x:c r="X436" s="22" t="str">
        <x:v>Not applicable</x:v>
      </x:c>
      <x:c r="Y436" s="22" t="str">
        <x:v>Not assessed</x:v>
      </x:c>
      <x:c r="Z436" s="22" t="str">
        <x:v>Not advanced to full-text assessment after the title/abstract decision.</x:v>
      </x:c>
      <x:c r="AA436" s="22" t="str">
        <x:v>Not applicable</x:v>
      </x:c>
      <x:c r="AB436" s="22" t="str">
        <x:v>Record was not advanced to full-text assessment.</x:v>
      </x:c>
      <x:c r="AC436" s="22" t="str">
        <x:v>Not assessed</x:v>
      </x:c>
      <x:c r="AD436" s="22" t="str">
        <x:v>Not applicable — no full-text assessment was required.</x:v>
      </x:c>
      <x:c r="AE436" s="22" t="str">
        <x:v>Not included — title/abstract exclusion</x:v>
      </x:c>
      <x:c r="AF436" s="22" t="str">
        <x:v>Not applicable — not included</x:v>
      </x:c>
      <x:c r="AG436" s="22" t="str">
        <x:v>Evidence: 55323c11-645c-47fc-b383-04b4918f4b8b.png; page 9, result 9. Metadata transcribed from captured Google Scholar page; OCR-normalised, verify against publication before citation.</x:v>
      </x:c>
      <x:c r="AH436" s="20" t="str">
        <x:v>No duplicate identified under the documented matching rules.</x:v>
      </x:c>
    </x:row>
    <x:row r="437" ht="42" customHeight="1">
      <x:c r="A437" s="22" t="str">
        <x:v>GS-04-090</x:v>
      </x:c>
      <x:c r="B437" s="22" t="str">
        <x:v>Google Scholar</x:v>
      </x:c>
      <x:c r="C437" s="22" t="str">
        <x:v>GS-04</x:v>
      </x:c>
      <x:c r="D437" s="22" t="str">
        <x:v>Innovative Machine Learning Techniques for Equitable and Preventive Cardiovascular Health Prediction</x:v>
      </x:c>
      <x:c r="E437" s="22" t="str">
        <x:v>MR Kristna KBala- Sth Intamaticnal Conference on Trends in 2026 -iaeexplcre ieee ong</x:v>
      </x:c>
      <x:c r="F437" s="22" t="n">
        <x:v>2026</x:v>
      </x:c>
      <x:c r="G437" s="22" t="str">
        <x:v>MR Kristna KBala- Sth Intamaticnal Conference on Trends in 2026 -iaeexplcre ieee ong</x:v>
      </x:c>
      <x:c r="H437" s="22" t="str">
        <x:v>Google Scholar result</x:v>
      </x:c>
      <x:c r="I437" s="22" t="str">
        <x:v>NR</x:v>
      </x:c>
      <x:c r="J437" s="22" t="str">
        <x:v>NR</x:v>
      </x:c>
      <x:c r="K437" s="22" t="str">
        <x:v>NR — URL not captured in the available source record</x:v>
      </x:c>
      <x:c r="L437" s="22" t="str">
        <x:v>Not available in the captured evidence; the screening decision used the title and available source metadata.</x:v>
      </x:c>
      <x:c r="M437" s="22" t="str">
        <x:v>No duplicate</x:v>
      </x:c>
      <x:c r="N437" s="22" t="str">
        <x:v>Not applicable — no duplicate group</x:v>
      </x:c>
      <x:c r="O437" s="22" t="str">
        <x:v>Not applicable</x:v>
      </x:c>
      <x:c r="P437" s="22" t="str">
        <x:v>Yes</x:v>
      </x:c>
      <x:c r="Q437" s="22" t="str">
        <x:v>Exclude</x:v>
      </x:c>
      <x:c r="R437" s="22" t="str">
        <x:v>Cardiovascular prediction without relevant retinal concept XAI.</x:v>
      </x:c>
      <x:c r="S437" s="22" t="str">
        <x:v>Verification documented at process level</x:v>
      </x:c>
      <x:c r="T437" s="22" t="str">
        <x:v>Two additional authors performed random spot checks; individual spot-check assignments are not recorded in this register.</x:v>
      </x:c>
      <x:c r="U437" s="22" t="str">
        <x:v>Exclude</x:v>
      </x:c>
      <x:c r="V437" s="22" t="str">
        <x:v>Primary decision by the corresponding author; two additional authors performed random spot checks as a quality-control step.</x:v>
      </x:c>
      <x:c r="W437" s="22" t="str">
        <x:v>No</x:v>
      </x:c>
      <x:c r="X437" s="22" t="str">
        <x:v>Not applicable</x:v>
      </x:c>
      <x:c r="Y437" s="22" t="str">
        <x:v>Not assessed</x:v>
      </x:c>
      <x:c r="Z437" s="22" t="str">
        <x:v>Not advanced to full-text assessment after the title/abstract decision.</x:v>
      </x:c>
      <x:c r="AA437" s="22" t="str">
        <x:v>Not applicable</x:v>
      </x:c>
      <x:c r="AB437" s="22" t="str">
        <x:v>Record was not advanced to full-text assessment.</x:v>
      </x:c>
      <x:c r="AC437" s="22" t="str">
        <x:v>Not assessed</x:v>
      </x:c>
      <x:c r="AD437" s="22" t="str">
        <x:v>Not applicable — no full-text assessment was required.</x:v>
      </x:c>
      <x:c r="AE437" s="22" t="str">
        <x:v>Not included — title/abstract exclusion</x:v>
      </x:c>
      <x:c r="AF437" s="22" t="str">
        <x:v>Not applicable — not included</x:v>
      </x:c>
      <x:c r="AG437" s="22" t="str">
        <x:v>Evidence: 55323c11-645c-47fc-b383-04b4918f4b8b.png; page 9, result 10. Metadata transcribed from captured Google Scholar page; OCR-normalised, verify against publication before citation.</x:v>
      </x:c>
      <x:c r="AH437" s="20" t="str">
        <x:v>No duplicate identified under the documented matching rules.</x:v>
      </x:c>
    </x:row>
    <x:row r="438" ht="42" customHeight="1">
      <x:c r="A438" s="22" t="str">
        <x:v>GS-04-091</x:v>
      </x:c>
      <x:c r="B438" s="22" t="str">
        <x:v>Google Scholar</x:v>
      </x:c>
      <x:c r="C438" s="22" t="str">
        <x:v>GS-04</x:v>
      </x:c>
      <x:c r="D438" s="22" t="str">
        <x:v>(4TML] Multitask deep lsaming for Joint detection of necrotrzing viral and noninfectious retinitis from common blead and seralogy test data</x:v>
      </x:c>
      <x:c r="E438" s="22" t="str">
        <x:v>KT Ong TKwor HJang MKim CSlee</x:v>
      </x:c>
      <x:c r="F438" s="22" t="n">
        <x:v>2024</x:v>
      </x:c>
      <x:c r="G438" s="22" t="str">
        <x:v>&amp; Visua Science, 2024 - tvsl arvojoumals o-g</x:v>
      </x:c>
      <x:c r="H438" s="22" t="str">
        <x:v>Google Scholar result</x:v>
      </x:c>
      <x:c r="I438" s="22" t="str">
        <x:v>NR</x:v>
      </x:c>
      <x:c r="J438" s="22" t="str">
        <x:v>NR</x:v>
      </x:c>
      <x:c r="K438" s="22" t="str">
        <x:v>NR — URL not captured in the available source record</x:v>
      </x:c>
      <x:c r="L438" s="22" t="str">
        <x:v>Not available in the captured evidence; the screening decision used the title and available source metadata.</x:v>
      </x:c>
      <x:c r="M438" s="22" t="str">
        <x:v>No duplicate</x:v>
      </x:c>
      <x:c r="N438" s="22" t="str">
        <x:v>Not applicable — no duplicate group</x:v>
      </x:c>
      <x:c r="O438" s="22" t="str">
        <x:v>Not applicable</x:v>
      </x:c>
      <x:c r="P438" s="22" t="str">
        <x:v>Yes</x:v>
      </x:c>
      <x:c r="Q438" s="22" t="str">
        <x:v>Exclude</x:v>
      </x:c>
      <x:c r="R438" s="22" t="str">
        <x:v>Uses blood and serology data rather than retinal imaging.</x:v>
      </x:c>
      <x:c r="S438" s="22" t="str">
        <x:v>Verification documented at process level</x:v>
      </x:c>
      <x:c r="T438" s="22" t="str">
        <x:v>Two additional authors performed random spot checks; individual spot-check assignments are not recorded in this register.</x:v>
      </x:c>
      <x:c r="U438" s="22" t="str">
        <x:v>Exclude</x:v>
      </x:c>
      <x:c r="V438" s="22" t="str">
        <x:v>Primary decision by the corresponding author; two additional authors performed random spot checks as a quality-control step.</x:v>
      </x:c>
      <x:c r="W438" s="22" t="str">
        <x:v>No</x:v>
      </x:c>
      <x:c r="X438" s="22" t="str">
        <x:v>Not applicable</x:v>
      </x:c>
      <x:c r="Y438" s="22" t="str">
        <x:v>Not assessed</x:v>
      </x:c>
      <x:c r="Z438" s="22" t="str">
        <x:v>Not advanced to full-text assessment after the title/abstract decision.</x:v>
      </x:c>
      <x:c r="AA438" s="22" t="str">
        <x:v>Not applicable</x:v>
      </x:c>
      <x:c r="AB438" s="22" t="str">
        <x:v>Record was not advanced to full-text assessment.</x:v>
      </x:c>
      <x:c r="AC438" s="22" t="str">
        <x:v>Not assessed</x:v>
      </x:c>
      <x:c r="AD438" s="22" t="str">
        <x:v>Not applicable — no full-text assessment was required.</x:v>
      </x:c>
      <x:c r="AE438" s="22" t="str">
        <x:v>Not included — title/abstract exclusion</x:v>
      </x:c>
      <x:c r="AF438" s="22" t="str">
        <x:v>Not applicable — not included</x:v>
      </x:c>
      <x:c r="AG438" s="22" t="str">
        <x:v>Evidence: 41698c09-10bd-43fa-90db-10b114baa3a2.png; page 10, result 1. Metadata transcribed from captured Google Scholar page; OCR-normalised, verify against publication before citation.</x:v>
      </x:c>
      <x:c r="AH438" s="20" t="str">
        <x:v>No duplicate identified under the documented matching rules.</x:v>
      </x:c>
    </x:row>
    <x:row r="439" ht="42" customHeight="1">
      <x:c r="A439" s="22" t="str">
        <x:v>GS-04-092</x:v>
      </x:c>
      <x:c r="B439" s="22" t="str">
        <x:v>Google Scholar</x:v>
      </x:c>
      <x:c r="C439" s="22" t="str">
        <x:v>GS-04</x:v>
      </x:c>
      <x:c r="D439" s="22" t="str">
        <x:v>Toward human-level concept learning Pattern benchmarking for Al algorithms</x:v>
      </x:c>
      <x:c r="E439" s="22" t="str">
        <x:v>AHovinger ASarant. AAngerschmid 8 Firzel</x:v>
      </x:c>
      <x:c r="F439" s="22" t="n">
        <x:v>2023</x:v>
      </x:c>
      <x:c r="G439" s="22" t="str">
        <x:v>Patiems 2023 - cal. tom</x:v>
      </x:c>
      <x:c r="H439" s="22" t="str">
        <x:v>Google Scholar result</x:v>
      </x:c>
      <x:c r="I439" s="22" t="str">
        <x:v>NR</x:v>
      </x:c>
      <x:c r="J439" s="22" t="str">
        <x:v>NR</x:v>
      </x:c>
      <x:c r="K439" s="22" t="str">
        <x:v>NR — URL not captured in the available source record</x:v>
      </x:c>
      <x:c r="L439" s="22" t="str">
        <x:v>Not available in the captured evidence; the screening decision used the title and available source metadata.</x:v>
      </x:c>
      <x:c r="M439" s="22" t="str">
        <x:v>No duplicate</x:v>
      </x:c>
      <x:c r="N439" s="22" t="str">
        <x:v>DG-065</x:v>
      </x:c>
      <x:c r="O439" s="22" t="str">
        <x:v>Not applicable</x:v>
      </x:c>
      <x:c r="P439" s="22" t="str">
        <x:v>Yes</x:v>
      </x:c>
      <x:c r="Q439" s="22" t="str">
        <x:v>Exclude</x:v>
      </x:c>
      <x:c r="R439" s="22" t="str">
        <x:v>Review article without a relevant original medical-imaging study.</x:v>
      </x:c>
      <x:c r="S439" s="22" t="str">
        <x:v>Verification documented at process level</x:v>
      </x:c>
      <x:c r="T439" s="22" t="str">
        <x:v>Two additional authors performed random spot checks; individual spot-check assignments are not recorded in this register.</x:v>
      </x:c>
      <x:c r="U439" s="22" t="str">
        <x:v>Exclude</x:v>
      </x:c>
      <x:c r="V439" s="22" t="str">
        <x:v>Primary decision by the corresponding author; two additional authors performed random spot checks as a quality-control step.</x:v>
      </x:c>
      <x:c r="W439" s="22" t="str">
        <x:v>No</x:v>
      </x:c>
      <x:c r="X439" s="22" t="str">
        <x:v>Not applicable</x:v>
      </x:c>
      <x:c r="Y439" s="22" t="str">
        <x:v>Not assessed</x:v>
      </x:c>
      <x:c r="Z439" s="22" t="str">
        <x:v>Not advanced to full-text assessment after the title/abstract decision.</x:v>
      </x:c>
      <x:c r="AA439" s="22" t="str">
        <x:v>Not applicable</x:v>
      </x:c>
      <x:c r="AB439" s="22" t="str">
        <x:v>Record was not advanced to full-text assessment.</x:v>
      </x:c>
      <x:c r="AC439" s="22" t="str">
        <x:v>Not assessed</x:v>
      </x:c>
      <x:c r="AD439" s="22" t="str">
        <x:v>Not applicable — no full-text assessment was required.</x:v>
      </x:c>
      <x:c r="AE439" s="22" t="str">
        <x:v>Not included — title/abstract exclusion</x:v>
      </x:c>
      <x:c r="AF439" s="22" t="str">
        <x:v>Not applicable — not included</x:v>
      </x:c>
      <x:c r="AG439" s="22" t="str">
        <x:v>Evidence: 41698c09-10bd-43fa-90db-10b114baa3a2.png; page 10, result 2. Metadata transcribed from captured Google Scholar page; OCR-normalised, verify against publication before citation.</x:v>
      </x:c>
      <x:c r="AH439" s="20" t="str">
        <x:v>Confirmed using normalized title across captured searches.</x:v>
      </x:c>
    </x:row>
    <x:row r="440" ht="42" customHeight="1">
      <x:c r="A440" s="22" t="str">
        <x:v>GS-04-093</x:v>
      </x:c>
      <x:c r="B440" s="22" t="str">
        <x:v>Google Scholar</x:v>
      </x:c>
      <x:c r="C440" s="22" t="str">
        <x:v>GS-04</x:v>
      </x:c>
      <x:c r="D440" s="22" t="str">
        <x:v>Faderated learning for next-gen computing applications and privacy preserving medical diagnosis</x:v>
      </x:c>
      <x:c r="E440" s="22" t="str">
        <x:v>P Dusi</x:v>
      </x:c>
      <x:c r="F440" s="22" t="n">
        <x:v>2024</x:v>
      </x:c>
      <x:c r="G440" s="22" t="str">
        <x:v>Electronics. Communicatizns. and Competing Summit 2024 - setsubmit cam</x:v>
      </x:c>
      <x:c r="H440" s="22" t="str">
        <x:v>Google Scholar result</x:v>
      </x:c>
      <x:c r="I440" s="22" t="str">
        <x:v>NR</x:v>
      </x:c>
      <x:c r="J440" s="22" t="str">
        <x:v>NR</x:v>
      </x:c>
      <x:c r="K440" s="22" t="str">
        <x:v>NR — URL not captured in the available source record</x:v>
      </x:c>
      <x:c r="L440" s="22" t="str">
        <x:v>Not available in the captured evidence; the screening decision used the title and available source metadata.</x:v>
      </x:c>
      <x:c r="M440" s="22" t="str">
        <x:v>No duplicate</x:v>
      </x:c>
      <x:c r="N440" s="22" t="str">
        <x:v>DG-066</x:v>
      </x:c>
      <x:c r="O440" s="22" t="str">
        <x:v>Not applicable</x:v>
      </x:c>
      <x:c r="P440" s="22" t="str">
        <x:v>Yes</x:v>
      </x:c>
      <x:c r="Q440" s="22" t="str">
        <x:v>Exclude</x:v>
      </x:c>
      <x:c r="R440" s="22" t="str">
        <x:v>General federated-learning study without concept-oriented imaging XAI.</x:v>
      </x:c>
      <x:c r="S440" s="22" t="str">
        <x:v>Verification documented at process level</x:v>
      </x:c>
      <x:c r="T440" s="22" t="str">
        <x:v>Two additional authors performed random spot checks; individual spot-check assignments are not recorded in this register.</x:v>
      </x:c>
      <x:c r="U440" s="22" t="str">
        <x:v>Exclude</x:v>
      </x:c>
      <x:c r="V440" s="22" t="str">
        <x:v>Primary decision by the corresponding author; two additional authors performed random spot checks as a quality-control step.</x:v>
      </x:c>
      <x:c r="W440" s="22" t="str">
        <x:v>No</x:v>
      </x:c>
      <x:c r="X440" s="22" t="str">
        <x:v>Not applicable</x:v>
      </x:c>
      <x:c r="Y440" s="22" t="str">
        <x:v>Not assessed</x:v>
      </x:c>
      <x:c r="Z440" s="22" t="str">
        <x:v>Not advanced to full-text assessment after the title/abstract decision.</x:v>
      </x:c>
      <x:c r="AA440" s="22" t="str">
        <x:v>Not applicable</x:v>
      </x:c>
      <x:c r="AB440" s="22" t="str">
        <x:v>Record was not advanced to full-text assessment.</x:v>
      </x:c>
      <x:c r="AC440" s="22" t="str">
        <x:v>Not assessed</x:v>
      </x:c>
      <x:c r="AD440" s="22" t="str">
        <x:v>Not applicable — no full-text assessment was required.</x:v>
      </x:c>
      <x:c r="AE440" s="22" t="str">
        <x:v>Not included — title/abstract exclusion</x:v>
      </x:c>
      <x:c r="AF440" s="22" t="str">
        <x:v>Not applicable — not included</x:v>
      </x:c>
      <x:c r="AG440" s="22" t="str">
        <x:v>Evidence: 41698c09-10bd-43fa-90db-10b114baa3a2.png; page 10, result 3. Metadata transcribed from captured Google Scholar page; OCR-normalised, verify against publication before citation.</x:v>
      </x:c>
      <x:c r="AH440" s="20" t="str">
        <x:v>Confirmed using normalized title across captured searches.</x:v>
      </x:c>
    </x:row>
    <x:row r="441" ht="42" customHeight="1">
      <x:c r="A441" s="22" t="str">
        <x:v>GS-04-094</x:v>
      </x:c>
      <x:c r="B441" s="22" t="str">
        <x:v>Google Scholar</x:v>
      </x:c>
      <x:c r="C441" s="22" t="str">
        <x:v>GS-04</x:v>
      </x:c>
      <x:c r="D441" s="22" t="str">
        <x:v>Super-clevr A virtual benchmark to diagnose domain robustness in visual reasoning</x:v>
      </x:c>
      <x:c r="E441" s="22" t="str">
        <x:v>ZU X ‘Wang £ Stangel-=skin§ -Proceedi-gs ofthe 223</x:v>
      </x:c>
      <x:c r="F441" s="22" t="str">
        <x:v>NR</x:v>
      </x:c>
      <x:c r="G441" s="22" t="str">
        <x:v>opensccess thecyi com</x:v>
      </x:c>
      <x:c r="H441" s="22" t="str">
        <x:v>Google Scholar result</x:v>
      </x:c>
      <x:c r="I441" s="22" t="str">
        <x:v>NR</x:v>
      </x:c>
      <x:c r="J441" s="22" t="str">
        <x:v>NR</x:v>
      </x:c>
      <x:c r="K441" s="22" t="str">
        <x:v>NR — URL not captured in the available source record</x:v>
      </x:c>
      <x:c r="L441" s="22" t="str">
        <x:v>Not available in the captured evidence; the screening decision used the title and available source metadata.</x:v>
      </x:c>
      <x:c r="M441" s="22" t="str">
        <x:v>No duplicate</x:v>
      </x:c>
      <x:c r="N441" s="22" t="str">
        <x:v>DG-067</x:v>
      </x:c>
      <x:c r="O441" s="22" t="str">
        <x:v>Not applicable</x:v>
      </x:c>
      <x:c r="P441" s="22" t="str">
        <x:v>Yes</x:v>
      </x:c>
      <x:c r="Q441" s="22" t="str">
        <x:v>Exclude</x:v>
      </x:c>
      <x:c r="R441" s="22" t="str">
        <x:v>General visual-reasoning benchmark; wrong application domain.</x:v>
      </x:c>
      <x:c r="S441" s="22" t="str">
        <x:v>Verification documented at process level</x:v>
      </x:c>
      <x:c r="T441" s="22" t="str">
        <x:v>Two additional authors performed random spot checks; individual spot-check assignments are not recorded in this register.</x:v>
      </x:c>
      <x:c r="U441" s="22" t="str">
        <x:v>Exclude</x:v>
      </x:c>
      <x:c r="V441" s="22" t="str">
        <x:v>Primary decision by the corresponding author; two additional authors performed random spot checks as a quality-control step.</x:v>
      </x:c>
      <x:c r="W441" s="22" t="str">
        <x:v>No</x:v>
      </x:c>
      <x:c r="X441" s="22" t="str">
        <x:v>Not applicable</x:v>
      </x:c>
      <x:c r="Y441" s="22" t="str">
        <x:v>Not assessed</x:v>
      </x:c>
      <x:c r="Z441" s="22" t="str">
        <x:v>Not advanced to full-text assessment after the title/abstract decision.</x:v>
      </x:c>
      <x:c r="AA441" s="22" t="str">
        <x:v>Not applicable</x:v>
      </x:c>
      <x:c r="AB441" s="22" t="str">
        <x:v>Record was not advanced to full-text assessment.</x:v>
      </x:c>
      <x:c r="AC441" s="22" t="str">
        <x:v>Not assessed</x:v>
      </x:c>
      <x:c r="AD441" s="22" t="str">
        <x:v>Not applicable — no full-text assessment was required.</x:v>
      </x:c>
      <x:c r="AE441" s="22" t="str">
        <x:v>Not included — title/abstract exclusion</x:v>
      </x:c>
      <x:c r="AF441" s="22" t="str">
        <x:v>Not applicable — not included</x:v>
      </x:c>
      <x:c r="AG441" s="22" t="str">
        <x:v>Evidence: 41698c09-10bd-43fa-90db-10b114baa3a2.png; page 10, result 4. Metadata transcribed from captured Google Scholar page; OCR-normalised, verify against publication before citation.</x:v>
      </x:c>
      <x:c r="AH441" s="20" t="str">
        <x:v>Confirmed using normalized title across captured searches.</x:v>
      </x:c>
    </x:row>
    <x:row r="442" ht="42" customHeight="1">
      <x:c r="A442" s="22" t="str">
        <x:v>GS-04-095</x:v>
      </x:c>
      <x:c r="B442" s="22" t="str">
        <x:v>Google Scholar</x:v>
      </x:c>
      <x:c r="C442" s="22" t="str">
        <x:v>GS-04</x:v>
      </x:c>
      <x:c r="D442" s="22" t="str">
        <x:v>Breakthroughs, Operational Challenges and the Roadmap to Integrated Healthcare</x:v>
      </x:c>
      <x:c r="E442" s="22" t="str">
        <x:v>D Chetan. C Pathak SN ‘wari M* Siddiqui</x:v>
      </x:c>
      <x:c r="F442" s="22" t="str">
        <x:v>NR</x:v>
      </x:c>
      <x:c r="G442" s="22" t="str">
        <x:v>researchgate net</x:v>
      </x:c>
      <x:c r="H442" s="22" t="str">
        <x:v>Google Scholar result</x:v>
      </x:c>
      <x:c r="I442" s="22" t="str">
        <x:v>NR</x:v>
      </x:c>
      <x:c r="J442" s="22" t="str">
        <x:v>NR</x:v>
      </x:c>
      <x:c r="K442" s="22" t="str">
        <x:v>NR — URL not captured in the available source record</x:v>
      </x:c>
      <x:c r="L442" s="22" t="str">
        <x:v>Not available in the captured evidence; the screening decision used the title and available source metadata.</x:v>
      </x:c>
      <x:c r="M442" s="22" t="str">
        <x:v>No duplicate</x:v>
      </x:c>
      <x:c r="N442" s="22" t="str">
        <x:v>DG-068</x:v>
      </x:c>
      <x:c r="O442" s="22" t="str">
        <x:v>Not applicable</x:v>
      </x:c>
      <x:c r="P442" s="22" t="str">
        <x:v>Yes</x:v>
      </x:c>
      <x:c r="Q442" s="22" t="str">
        <x:v>Exclude</x:v>
      </x:c>
      <x:c r="R442" s="22" t="str">
        <x:v>Broad healthcare overview; not an original relevant imaging study.</x:v>
      </x:c>
      <x:c r="S442" s="22" t="str">
        <x:v>Verification documented at process level</x:v>
      </x:c>
      <x:c r="T442" s="22" t="str">
        <x:v>Two additional authors performed random spot checks; individual spot-check assignments are not recorded in this register.</x:v>
      </x:c>
      <x:c r="U442" s="22" t="str">
        <x:v>Exclude</x:v>
      </x:c>
      <x:c r="V442" s="22" t="str">
        <x:v>Primary decision by the corresponding author; two additional authors performed random spot checks as a quality-control step.</x:v>
      </x:c>
      <x:c r="W442" s="22" t="str">
        <x:v>No</x:v>
      </x:c>
      <x:c r="X442" s="22" t="str">
        <x:v>Not applicable</x:v>
      </x:c>
      <x:c r="Y442" s="22" t="str">
        <x:v>Not assessed</x:v>
      </x:c>
      <x:c r="Z442" s="22" t="str">
        <x:v>Not advanced to full-text assessment after the title/abstract decision.</x:v>
      </x:c>
      <x:c r="AA442" s="22" t="str">
        <x:v>Not applicable</x:v>
      </x:c>
      <x:c r="AB442" s="22" t="str">
        <x:v>Record was not advanced to full-text assessment.</x:v>
      </x:c>
      <x:c r="AC442" s="22" t="str">
        <x:v>Not assessed</x:v>
      </x:c>
      <x:c r="AD442" s="22" t="str">
        <x:v>Not applicable — no full-text assessment was required.</x:v>
      </x:c>
      <x:c r="AE442" s="22" t="str">
        <x:v>Not included — title/abstract exclusion</x:v>
      </x:c>
      <x:c r="AF442" s="22" t="str">
        <x:v>Not applicable — not included</x:v>
      </x:c>
      <x:c r="AG442" s="22" t="str">
        <x:v>Evidence: 41698c09-10bd-43fa-90db-10b114baa3a2.png; page 10, result 5. Metadata transcribed from captured Google Scholar page; OCR-normalised, verify against publication before citation.</x:v>
      </x:c>
      <x:c r="AH442" s="20" t="str">
        <x:v>Confirmed using normalized title across captured searches.</x:v>
      </x:c>
    </x:row>
    <x:row r="443" ht="42" customHeight="1">
      <x:c r="A443" s="22" t="str">
        <x:v>GS-04-096</x:v>
      </x:c>
      <x:c r="B443" s="22" t="str">
        <x:v>Google Scholar</x:v>
      </x:c>
      <x:c r="C443" s="22" t="str">
        <x:v>GS-04</x:v>
      </x:c>
      <x:c r="D443" s="22" t="str">
        <x:v>Brain-inspired artificial intelligence research: A review</x:v>
      </x:c>
      <x:c r="E443" s="22" t="str">
        <x:v>GY Wang HN Bao C Liu ~“G Zhou SWs «+ Stiance China 2024+ Springer</x:v>
      </x:c>
      <x:c r="F443" s="22" t="n">
        <x:v>2024</x:v>
      </x:c>
      <x:c r="G443" s="22" t="str">
        <x:v>GY Wang HN Bao C Liu ~“G Zhou SWs «+ Stiance China 2024+ Springer</x:v>
      </x:c>
      <x:c r="H443" s="22" t="str">
        <x:v>Google Scholar result</x:v>
      </x:c>
      <x:c r="I443" s="22" t="str">
        <x:v>NR</x:v>
      </x:c>
      <x:c r="J443" s="22" t="str">
        <x:v>NR</x:v>
      </x:c>
      <x:c r="K443" s="22" t="str">
        <x:v>NR — URL not captured in the available source record</x:v>
      </x:c>
      <x:c r="L443" s="22" t="str">
        <x:v>Not available in the captured evidence; the screening decision used the title and available source metadata.</x:v>
      </x:c>
      <x:c r="M443" s="22" t="str">
        <x:v>No duplicate</x:v>
      </x:c>
      <x:c r="N443" s="22" t="str">
        <x:v>DG-090</x:v>
      </x:c>
      <x:c r="O443" s="22" t="str">
        <x:v>Not applicable</x:v>
      </x:c>
      <x:c r="P443" s="22" t="str">
        <x:v>Yes</x:v>
      </x:c>
      <x:c r="Q443" s="22" t="str">
        <x:v>Exclude</x:v>
      </x:c>
      <x:c r="R443" s="22" t="str">
        <x:v>Review article; wrong domain and non-original.</x:v>
      </x:c>
      <x:c r="S443" s="22" t="str">
        <x:v>Verification documented at process level</x:v>
      </x:c>
      <x:c r="T443" s="22" t="str">
        <x:v>Two additional authors performed random spot checks; individual spot-check assignments are not recorded in this register.</x:v>
      </x:c>
      <x:c r="U443" s="22" t="str">
        <x:v>Exclude</x:v>
      </x:c>
      <x:c r="V443" s="22" t="str">
        <x:v>Primary decision by the corresponding author; two additional authors performed random spot checks as a quality-control step.</x:v>
      </x:c>
      <x:c r="W443" s="22" t="str">
        <x:v>No</x:v>
      </x:c>
      <x:c r="X443" s="22" t="str">
        <x:v>Not applicable</x:v>
      </x:c>
      <x:c r="Y443" s="22" t="str">
        <x:v>Not assessed</x:v>
      </x:c>
      <x:c r="Z443" s="22" t="str">
        <x:v>Not advanced to full-text assessment after the title/abstract decision.</x:v>
      </x:c>
      <x:c r="AA443" s="22" t="str">
        <x:v>Not applicable</x:v>
      </x:c>
      <x:c r="AB443" s="22" t="str">
        <x:v>Record was not advanced to full-text assessment.</x:v>
      </x:c>
      <x:c r="AC443" s="22" t="str">
        <x:v>Not assessed</x:v>
      </x:c>
      <x:c r="AD443" s="22" t="str">
        <x:v>Not applicable — no full-text assessment was required.</x:v>
      </x:c>
      <x:c r="AE443" s="22" t="str">
        <x:v>Not included — title/abstract exclusion</x:v>
      </x:c>
      <x:c r="AF443" s="22" t="str">
        <x:v>Not applicable — not included</x:v>
      </x:c>
      <x:c r="AG443" s="22" t="str">
        <x:v>Evidence: 41698c09-10bd-43fa-90db-10b114baa3a2.png; page 10, result 6. Metadata transcribed from captured Google Scholar page; OCR-normalised, verify against publication before citation.</x:v>
      </x:c>
      <x:c r="AH443" s="20" t="str">
        <x:v>No duplicate identified under the documented matching rules.</x:v>
      </x:c>
    </x:row>
    <x:row r="444" ht="42" customHeight="1">
      <x:c r="A444" s="22" t="str">
        <x:v>GS-04-097</x:v>
      </x:c>
      <x:c r="B444" s="22" t="str">
        <x:v>Google Scholar</x:v>
      </x:c>
      <x:c r="C444" s="22" t="str">
        <x:v>GS-04</x:v>
      </x:c>
      <x:c r="D444" s="22" t="str">
        <x:v>From Insight to Intelligence’ Integrating Human Expertise in Machine Learning</x:v>
      </x:c>
      <x:c r="E444" s="22" t="str">
        <x:v>R Kumar M Ravi PR Verna</x:v>
      </x:c>
      <x:c r="F444" s="22" t="n">
        <x:v>2025</x:v>
      </x:c>
      <x:c r="G444" s="22" t="str">
        <x:v>Automating Software Defect Celecion = 2025 - igi-global com</x:v>
      </x:c>
      <x:c r="H444" s="22" t="str">
        <x:v>Google Scholar result</x:v>
      </x:c>
      <x:c r="I444" s="22" t="str">
        <x:v>NR</x:v>
      </x:c>
      <x:c r="J444" s="22" t="str">
        <x:v>NR</x:v>
      </x:c>
      <x:c r="K444" s="22" t="str">
        <x:v>NR — URL not captured in the available source record</x:v>
      </x:c>
      <x:c r="L444" s="22" t="str">
        <x:v>Not available in the captured evidence; the screening decision used the title and available source metadata.</x:v>
      </x:c>
      <x:c r="M444" s="22" t="str">
        <x:v>No duplicate</x:v>
      </x:c>
      <x:c r="N444" s="22" t="str">
        <x:v>DG-069</x:v>
      </x:c>
      <x:c r="O444" s="22" t="str">
        <x:v>Not applicable</x:v>
      </x:c>
      <x:c r="P444" s="22" t="str">
        <x:v>Yes</x:v>
      </x:c>
      <x:c r="Q444" s="22" t="str">
        <x:v>Exclude</x:v>
      </x:c>
      <x:c r="R444" s="22" t="str">
        <x:v>Generic machine-learning study without retinal imaging.</x:v>
      </x:c>
      <x:c r="S444" s="22" t="str">
        <x:v>Verification documented at process level</x:v>
      </x:c>
      <x:c r="T444" s="22" t="str">
        <x:v>Two additional authors performed random spot checks; individual spot-check assignments are not recorded in this register.</x:v>
      </x:c>
      <x:c r="U444" s="22" t="str">
        <x:v>Exclude</x:v>
      </x:c>
      <x:c r="V444" s="22" t="str">
        <x:v>Primary decision by the corresponding author; two additional authors performed random spot checks as a quality-control step.</x:v>
      </x:c>
      <x:c r="W444" s="22" t="str">
        <x:v>No</x:v>
      </x:c>
      <x:c r="X444" s="22" t="str">
        <x:v>Not applicable</x:v>
      </x:c>
      <x:c r="Y444" s="22" t="str">
        <x:v>Not assessed</x:v>
      </x:c>
      <x:c r="Z444" s="22" t="str">
        <x:v>Not advanced to full-text assessment after the title/abstract decision.</x:v>
      </x:c>
      <x:c r="AA444" s="22" t="str">
        <x:v>Not applicable</x:v>
      </x:c>
      <x:c r="AB444" s="22" t="str">
        <x:v>Record was not advanced to full-text assessment.</x:v>
      </x:c>
      <x:c r="AC444" s="22" t="str">
        <x:v>Not assessed</x:v>
      </x:c>
      <x:c r="AD444" s="22" t="str">
        <x:v>Not applicable — no full-text assessment was required.</x:v>
      </x:c>
      <x:c r="AE444" s="22" t="str">
        <x:v>Not included — title/abstract exclusion</x:v>
      </x:c>
      <x:c r="AF444" s="22" t="str">
        <x:v>Not applicable — not included</x:v>
      </x:c>
      <x:c r="AG444" s="22" t="str">
        <x:v>Evidence: 41698c09-10bd-43fa-90db-10b114baa3a2.png; page 10, result 7. Metadata transcribed from captured Google Scholar page; OCR-normalised, verify against publication before citation.</x:v>
      </x:c>
      <x:c r="AH444" s="20" t="str">
        <x:v>Confirmed using normalized title across captured searches.</x:v>
      </x:c>
    </x:row>
    <x:row r="445" ht="42" customHeight="1">
      <x:c r="A445" s="22" t="str">
        <x:v>GS-04-098</x:v>
      </x:c>
      <x:c r="B445" s="22" t="str">
        <x:v>Google Scholar</x:v>
      </x:c>
      <x:c r="C445" s="22" t="str">
        <x:v>GS-04</x:v>
      </x:c>
      <x:c r="D445" s="22" t="str">
        <x:v>(s00k) Cognitive artificial intetligence for health and climate Deep models interpretability, and decision support</x:v>
      </x:c>
      <x:c r="E445" s="22" t="str">
        <x:v>S Shwadakar</x:v>
      </x:c>
      <x:c r="F445" s="22" t="n">
        <x:v>2025</x:v>
      </x:c>
      <x:c r="G445" s="22" t="str">
        <x:v>2025 « books goog e com</x:v>
      </x:c>
      <x:c r="H445" s="22" t="str">
        <x:v>Google Scholar result</x:v>
      </x:c>
      <x:c r="I445" s="22" t="str">
        <x:v>NR</x:v>
      </x:c>
      <x:c r="J445" s="22" t="str">
        <x:v>NR</x:v>
      </x:c>
      <x:c r="K445" s="22" t="str">
        <x:v>NR — URL not captured in the available source record</x:v>
      </x:c>
      <x:c r="L445" s="22" t="str">
        <x:v>Not available in the captured evidence; the screening decision used the title and available source metadata.</x:v>
      </x:c>
      <x:c r="M445" s="22" t="str">
        <x:v>No duplicate</x:v>
      </x:c>
      <x:c r="N445" s="22" t="str">
        <x:v>DG-098</x:v>
      </x:c>
      <x:c r="O445" s="22" t="str">
        <x:v>Not applicable</x:v>
      </x:c>
      <x:c r="P445" s="22" t="str">
        <x:v>Yes</x:v>
      </x:c>
      <x:c r="Q445" s="22" t="str">
        <x:v>Exclude</x:v>
      </x:c>
      <x:c r="R445" s="22" t="str">
        <x:v>Book/non-original work with overly broad scope.</x:v>
      </x:c>
      <x:c r="S445" s="22" t="str">
        <x:v>Verification documented at process level</x:v>
      </x:c>
      <x:c r="T445" s="22" t="str">
        <x:v>Two additional authors performed random spot checks; individual spot-check assignments are not recorded in this register.</x:v>
      </x:c>
      <x:c r="U445" s="22" t="str">
        <x:v>Exclude</x:v>
      </x:c>
      <x:c r="V445" s="22" t="str">
        <x:v>Primary decision by the corresponding author; two additional authors performed random spot checks as a quality-control step.</x:v>
      </x:c>
      <x:c r="W445" s="22" t="str">
        <x:v>No</x:v>
      </x:c>
      <x:c r="X445" s="22" t="str">
        <x:v>Not applicable</x:v>
      </x:c>
      <x:c r="Y445" s="22" t="str">
        <x:v>Not assessed</x:v>
      </x:c>
      <x:c r="Z445" s="22" t="str">
        <x:v>Not advanced to full-text assessment after the title/abstract decision.</x:v>
      </x:c>
      <x:c r="AA445" s="22" t="str">
        <x:v>Not applicable</x:v>
      </x:c>
      <x:c r="AB445" s="22" t="str">
        <x:v>Record was not advanced to full-text assessment.</x:v>
      </x:c>
      <x:c r="AC445" s="22" t="str">
        <x:v>Not assessed</x:v>
      </x:c>
      <x:c r="AD445" s="22" t="str">
        <x:v>Not applicable — no full-text assessment was required.</x:v>
      </x:c>
      <x:c r="AE445" s="22" t="str">
        <x:v>Not included — title/abstract exclusion</x:v>
      </x:c>
      <x:c r="AF445" s="22" t="str">
        <x:v>Not applicable — not included</x:v>
      </x:c>
      <x:c r="AG445" s="22" t="str">
        <x:v>Evidence: 41698c09-10bd-43fa-90db-10b114baa3a2.png; page 10, result 8. Metadata transcribed from captured Google Scholar page; OCR-normalised, verify against publication before citation.</x:v>
      </x:c>
      <x:c r="AH445" s="20" t="str">
        <x:v>No duplicate identified under the documented matching rules.</x:v>
      </x:c>
    </x:row>
    <x:row r="446" ht="42" customHeight="1">
      <x:c r="A446" s="22" t="str">
        <x:v>GS-04-099</x:v>
      </x:c>
      <x:c r="B446" s="22" t="str">
        <x:v>Google Scholar</x:v>
      </x:c>
      <x:c r="C446" s="22" t="str">
        <x:v>GS-04</x:v>
      </x:c>
      <x:c r="D446" s="22" t="str">
        <x:v>MedXAl: A Retrieval-Augmented and Self-Verifying Framework for Knowledge- Guided Medical Image Analysis</x:v>
      </x:c>
      <x:c r="E446" s="22" t="str">
        <x:v>MJrsoj ABanerjae F Shaikh 9</x:v>
      </x:c>
      <x:c r="F446" s="22" t="n">
        <x:v>2025</x:v>
      </x:c>
      <x:c r="G446" s="22" t="str">
        <x:v>2025 Sth Asdomar , 2025 - iazexplore ieee org</x:v>
      </x:c>
      <x:c r="H446" s="22" t="str">
        <x:v>Google Scholar result</x:v>
      </x:c>
      <x:c r="I446" s="22" t="str">
        <x:v>NR</x:v>
      </x:c>
      <x:c r="J446" s="22" t="str">
        <x:v>2512.10098</x:v>
      </x:c>
      <x:c r="K446" s="22" t="str">
        <x:v>https://arxiv.org/pdf/2512.10098</x:v>
      </x:c>
      <x:c r="L446" s="22" t="str">
        <x:v>Accurate and interpretable image-based diagnosis remains a fundamental challenge in medical AI, particularly under domain shifts and rare-class conditions. Deep learning models often struggle with real-world distribution changes, exhibit bias against infrequent pathologies, and lack the transparency required for deployment in safety-critical clinical environments. We introduce MedXAI (An Explainable Framework for Medical Imaging Classification), a unified expert knowledge based framework that integrates deep vision models with clinician-derived expert knowledge to improve generalization, reduce rare-class bias, and provide human-understandable explanations by localizing the relevant diagnostic features rather than relying on technical post-hoc methods (e.g., Saliency Maps, LIME). We evaluate MedXAI across heterogeneous modalities on two challenging tasks: (i) Seizure Onset Zone localization from resting-state fMRI, and (ii) Diabetic Retinopathy grading. Ex periments on ten multicenter datasets show consistent gains, including a 3% improvement in cross-domain generalization and a 10% improvmnet in F1 score of rare class, substantially outperforming strong deep learning baselines. Ablations confirm that the symbolic components act as effective clinical priors and regularizers, improving robustness under distribution shift. MedXAI delivers clinically aligned explanations while achieving superior in-domain and cross-domain performance, particularly for rare diseases in multimodal medical AI.</x:v>
      </x:c>
      <x:c r="M446" s="22" t="str">
        <x:v>No duplicate</x:v>
      </x:c>
      <x:c r="N446" s="22" t="str">
        <x:v>DG-070</x:v>
      </x:c>
      <x:c r="O446" s="22" t="str">
        <x:v>Not applicable</x:v>
      </x:c>
      <x:c r="P446" s="22" t="str">
        <x:v>Yes</x:v>
      </x:c>
      <x:c r="Q446" s="22" t="str">
        <x:v>Include</x:v>
      </x:c>
      <x:c r="R446" s="22" t="str">
        <x:v>Knowledge-guided medical-image XAI with clinically aligned symbolic explanations, including DR.</x:v>
      </x:c>
      <x:c r="S446" s="22" t="str">
        <x:v>Verification documented at process level</x:v>
      </x:c>
      <x:c r="T446" s="22" t="str">
        <x:v>Two additional authors performed random spot checks; individual spot-check assignments are not recorded in this register.</x:v>
      </x:c>
      <x:c r="U446" s="22" t="str">
        <x:v>Include</x:v>
      </x:c>
      <x:c r="V446" s="22" t="str">
        <x:v>Primary decision by the corresponding author; two additional authors performed random spot checks as a quality-control step.</x:v>
      </x:c>
      <x:c r="W446" s="22" t="str">
        <x:v>Yes</x:v>
      </x:c>
      <x:c r="X446" s="22" t="str">
        <x:v>Yes</x:v>
      </x:c>
      <x:c r="Y446" s="22" t="str">
        <x:v>Include</x:v>
      </x:c>
      <x:c r="Z446" s="22" t="str">
        <x:v>The corresponding author assessed the complete report and judged it eligible for inclusion in the review.</x:v>
      </x:c>
      <x:c r="AA446" s="22" t="str">
        <x:v>Verification documented at process level</x:v>
      </x:c>
      <x:c r="AB446" s="22" t="str">
        <x:v>Two additional authors performed random spot checks; individual spot-check assignments are not recorded in this register.</x:v>
      </x:c>
      <x:c r="AC446" s="22" t="str">
        <x:v>Include</x:v>
      </x:c>
      <x:c r="AD446" s="22" t="str">
        <x:v>Primary decision by the corresponding author; two additional authors performed random spot checks as a quality-control step.</x:v>
      </x:c>
      <x:c r="AE446" s="22" t="str">
        <x:v>Include</x:v>
      </x:c>
      <x:c r="AF446" s="22" t="str">
        <x:v>Contextual medical concept-XAI evidence</x:v>
      </x:c>
      <x:c r="AG446" s="22" t="str">
        <x:v>Evidence: 41698c09-10bd-43fa-90db-10b114baa3a2.png; page 10, result 9. Metadata transcribed from captured Google Scholar page; OCR-normalised, verify against publication before citation.</x:v>
      </x:c>
      <x:c r="AH446" s="20" t="str">
        <x:v>Confirmed using normalized title across captured searches.</x:v>
      </x:c>
    </x:row>
    <x:row r="447" ht="42" customHeight="1">
      <x:c r="A447" s="22" t="str">
        <x:v>GS-04-100</x:v>
      </x:c>
      <x:c r="B447" s="22" t="str">
        <x:v>Google Scholar</x:v>
      </x:c>
      <x:c r="C447" s="22" t="str">
        <x:v>GS-04</x:v>
      </x:c>
      <x:c r="D447" s="22" t="str">
        <x:v>Embodied intelligence in surgical robotics’ From perception-action loops to cognitive collaboration</x:v>
      </x:c>
      <x:c r="E447" s="22" t="str">
        <x:v>Fido Z yu, KZuo S Rong H Cheng WZhao. 2 Guan</x:v>
      </x:c>
      <x:c r="F447" s="22" t="n">
        <x:v>2026</x:v>
      </x:c>
      <x:c r="G447" s="22" t="str">
        <x:v>2026 - lechniv org</x:v>
      </x:c>
      <x:c r="H447" s="22" t="str">
        <x:v>Google Scholar result</x:v>
      </x:c>
      <x:c r="I447" s="22" t="str">
        <x:v>NR</x:v>
      </x:c>
      <x:c r="J447" s="22" t="str">
        <x:v>NR</x:v>
      </x:c>
      <x:c r="K447" s="22" t="str">
        <x:v>NR — URL not captured in the available source record</x:v>
      </x:c>
      <x:c r="L447" s="22" t="str">
        <x:v>Not available in the captured evidence; the screening decision used the title and available source metadata.</x:v>
      </x:c>
      <x:c r="M447" s="22" t="str">
        <x:v>No duplicate</x:v>
      </x:c>
      <x:c r="N447" s="22" t="str">
        <x:v>DG-071</x:v>
      </x:c>
      <x:c r="O447" s="22" t="str">
        <x:v>Not applicable</x:v>
      </x:c>
      <x:c r="P447" s="22" t="str">
        <x:v>Yes</x:v>
      </x:c>
      <x:c r="Q447" s="22" t="str">
        <x:v>Exclude</x:v>
      </x:c>
      <x:c r="R447" s="22" t="str">
        <x:v>Surgical robotics review; wrong imaging domain and non-original.</x:v>
      </x:c>
      <x:c r="S447" s="22" t="str">
        <x:v>Verification documented at process level</x:v>
      </x:c>
      <x:c r="T447" s="22" t="str">
        <x:v>Two additional authors performed random spot checks; individual spot-check assignments are not recorded in this register.</x:v>
      </x:c>
      <x:c r="U447" s="22" t="str">
        <x:v>Exclude</x:v>
      </x:c>
      <x:c r="V447" s="22" t="str">
        <x:v>Primary decision by the corresponding author; two additional authors performed random spot checks as a quality-control step.</x:v>
      </x:c>
      <x:c r="W447" s="22" t="str">
        <x:v>No</x:v>
      </x:c>
      <x:c r="X447" s="22" t="str">
        <x:v>Not applicable</x:v>
      </x:c>
      <x:c r="Y447" s="22" t="str">
        <x:v>Not assessed</x:v>
      </x:c>
      <x:c r="Z447" s="22" t="str">
        <x:v>Not advanced to full-text assessment after the title/abstract decision.</x:v>
      </x:c>
      <x:c r="AA447" s="22" t="str">
        <x:v>Not applicable</x:v>
      </x:c>
      <x:c r="AB447" s="22" t="str">
        <x:v>Record was not advanced to full-text assessment.</x:v>
      </x:c>
      <x:c r="AC447" s="22" t="str">
        <x:v>Not assessed</x:v>
      </x:c>
      <x:c r="AD447" s="22" t="str">
        <x:v>Not applicable — no full-text assessment was required.</x:v>
      </x:c>
      <x:c r="AE447" s="22" t="str">
        <x:v>Not included — title/abstract exclusion</x:v>
      </x:c>
      <x:c r="AF447" s="22" t="str">
        <x:v>Not applicable — not included</x:v>
      </x:c>
      <x:c r="AG447" s="22" t="str">
        <x:v>Evidence: 41698c09-10bd-43fa-90db-10b114baa3a2.png; page 10, result 10. Metadata transcribed from captured Google Scholar page; OCR-normalised, verify against publication before citation.</x:v>
      </x:c>
      <x:c r="AH447" s="20" t="str">
        <x:v>Confirmed using normalized title across captured searches.</x:v>
      </x:c>
    </x:row>
    <x:row r="448" ht="42" customHeight="1">
      <x:c r="A448" s="22" t="str">
        <x:v>GS-05-001</x:v>
      </x:c>
      <x:c r="B448" s="22" t="str">
        <x:v>Google Scholar</x:v>
      </x:c>
      <x:c r="C448" s="22" t="str">
        <x:v>GS-05</x:v>
      </x:c>
      <x:c r="D448" s="22" t="str">
        <x:v>Single domain generalization in diabetic retinopathy: A neuro-symbolic learning approach</x:v>
      </x:c>
      <x:c r="E448" s="22" t="str">
        <x:v>M Jrsoj ABanerjee F Shaikh K Thakur</x:v>
      </x:c>
      <x:c r="F448" s="22" t="n">
        <x:v>2025</x:v>
      </x:c>
      <x:c r="G448" s="22" t="str">
        <x:v>arxiy prearini arXiv... 2025 - arxiv org</x:v>
      </x:c>
      <x:c r="H448" s="22" t="str">
        <x:v>Google Scholar result</x:v>
      </x:c>
      <x:c r="I448" s="22" t="str">
        <x:v>NR</x:v>
      </x:c>
      <x:c r="J448" s="22" t="str">
        <x:v>NR</x:v>
      </x:c>
      <x:c r="K448" s="22" t="str">
        <x:v>NR — URL not captured in the available source record</x:v>
      </x:c>
      <x:c r="L448" s="22" t="str">
        <x:v>Not available in the captured evidence; the screening decision used the title and available source metadata.</x:v>
      </x:c>
      <x:c r="M448" s="22" t="str">
        <x:v>Confirmed duplicate</x:v>
      </x:c>
      <x:c r="N448" s="22" t="str">
        <x:v>DG-018</x:v>
      </x:c>
      <x:c r="O448" s="22" t="str">
        <x:v>ARXIV-04-001</x:v>
      </x:c>
      <x:c r="P448" s="22" t="str">
        <x:v>No</x:v>
      </x:c>
      <x:c r="Q448" s="22" t="str">
        <x:v>Not screened</x:v>
      </x:c>
      <x:c r="R448" s="22" t="str">
        <x:v>Removed before title/abstract screening as a confirmed duplicate.</x:v>
      </x:c>
      <x:c r="S448" s="22" t="str">
        <x:v>Not applicable — removed before screening</x:v>
      </x:c>
      <x:c r="T448" s="22" t="str">
        <x:v>Record was outside the active screening set.</x:v>
      </x:c>
      <x:c r="U448" s="22" t="str">
        <x:v>Removed before screening</x:v>
      </x:c>
      <x:c r="V448" s="22" t="str">
        <x:v>Confirmed duplicate removed during deduplication.</x:v>
      </x:c>
      <x:c r="W448" s="22" t="str">
        <x:v>No</x:v>
      </x:c>
      <x:c r="X448" s="22" t="str">
        <x:v>Not applicable</x:v>
      </x:c>
      <x:c r="Y448" s="22" t="str">
        <x:v>Not assessed</x:v>
      </x:c>
      <x:c r="Z448" s="22" t="str">
        <x:v>Not applicable — record removed before screening.</x:v>
      </x:c>
      <x:c r="AA448" s="22" t="str">
        <x:v>Not applicable</x:v>
      </x:c>
      <x:c r="AB448" s="22" t="str">
        <x:v>Record was not advanced to full-text assessment.</x:v>
      </x:c>
      <x:c r="AC448" s="22" t="str">
        <x:v>Not assessed</x:v>
      </x:c>
      <x:c r="AD448" s="22" t="str">
        <x:v>Not applicable — no full-text assessment was required.</x:v>
      </x:c>
      <x:c r="AE448" s="22" t="str">
        <x:v>Removed before screening</x:v>
      </x:c>
      <x:c r="AF448" s="22" t="str">
        <x:v>Not applicable — not included</x:v>
      </x:c>
      <x:c r="AG448" s="22" t="str">
        <x:v>Evidence: acb7f8cb-15c0-4c87-acc9-0adaa939cb0f.png; page 1, result 1. Metadata transcribed from captured Google Scholar page; OCR-normalised, verify against publication before citation.</x:v>
      </x:c>
      <x:c r="AH448" s="20" t="str">
        <x:v>Confirmed using identifier/title evidence; normalized title across captured searches.</x:v>
      </x:c>
    </x:row>
    <x:row r="449" ht="42" customHeight="1">
      <x:c r="A449" s="22" t="str">
        <x:v>GS-05-002</x:v>
      </x:c>
      <x:c r="B449" s="22" t="str">
        <x:v>Google Scholar</x:v>
      </x:c>
      <x:c r="C449" s="22" t="str">
        <x:v>GS-05</x:v>
      </x:c>
      <x:c r="D449" s="22" t="str">
        <x:v>Explainable artificial intelligence framework for predicting treatment outcomes in age-related macular degensration</x:v>
      </x:c>
      <x:c r="E449" s="22" t="str">
        <x:v>MH Wang</x:v>
      </x:c>
      <x:c r="F449" s="22" t="n">
        <x:v>2025</x:v>
      </x:c>
      <x:c r="G449" s="22" t="str">
        <x:v>Sensors. 2025 - mdpi cam</x:v>
      </x:c>
      <x:c r="H449" s="22" t="str">
        <x:v>Google Scholar result</x:v>
      </x:c>
      <x:c r="I449" s="22" t="str">
        <x:v>NR</x:v>
      </x:c>
      <x:c r="J449" s="22" t="str">
        <x:v>NR</x:v>
      </x:c>
      <x:c r="K449" s="22" t="str">
        <x:v>NR — URL not captured in the available source record</x:v>
      </x:c>
      <x:c r="L449" s="22" t="str">
        <x:v>Not available in the captured evidence; the screening decision used the title and available source metadata.</x:v>
      </x:c>
      <x:c r="M449" s="22" t="str">
        <x:v>Confirmed duplicate</x:v>
      </x:c>
      <x:c r="N449" s="22" t="str">
        <x:v>DG-006</x:v>
      </x:c>
      <x:c r="O449" s="22" t="str">
        <x:v>PM-017</x:v>
      </x:c>
      <x:c r="P449" s="22" t="str">
        <x:v>No</x:v>
      </x:c>
      <x:c r="Q449" s="22" t="str">
        <x:v>Not screened</x:v>
      </x:c>
      <x:c r="R449" s="22" t="str">
        <x:v>Removed before title/abstract screening as a confirmed duplicate.</x:v>
      </x:c>
      <x:c r="S449" s="22" t="str">
        <x:v>Not applicable — removed before screening</x:v>
      </x:c>
      <x:c r="T449" s="22" t="str">
        <x:v>Record was outside the active screening set.</x:v>
      </x:c>
      <x:c r="U449" s="22" t="str">
        <x:v>Removed before screening</x:v>
      </x:c>
      <x:c r="V449" s="22" t="str">
        <x:v>Confirmed duplicate removed during deduplication.</x:v>
      </x:c>
      <x:c r="W449" s="22" t="str">
        <x:v>No</x:v>
      </x:c>
      <x:c r="X449" s="22" t="str">
        <x:v>Not applicable</x:v>
      </x:c>
      <x:c r="Y449" s="22" t="str">
        <x:v>Not assessed</x:v>
      </x:c>
      <x:c r="Z449" s="22" t="str">
        <x:v>Not applicable — record removed before screening.</x:v>
      </x:c>
      <x:c r="AA449" s="22" t="str">
        <x:v>Not applicable</x:v>
      </x:c>
      <x:c r="AB449" s="22" t="str">
        <x:v>Record was not advanced to full-text assessment.</x:v>
      </x:c>
      <x:c r="AC449" s="22" t="str">
        <x:v>Not assessed</x:v>
      </x:c>
      <x:c r="AD449" s="22" t="str">
        <x:v>Not applicable — no full-text assessment was required.</x:v>
      </x:c>
      <x:c r="AE449" s="22" t="str">
        <x:v>Removed before screening</x:v>
      </x:c>
      <x:c r="AF449" s="22" t="str">
        <x:v>Not applicable — not included</x:v>
      </x:c>
      <x:c r="AG449" s="22" t="str">
        <x:v>Evidence: acb7f8cb-15c0-4c87-acc9-0adaa939cb0f.png; page 1, result 2. Metadata transcribed from captured Google Scholar page; OCR-normalised, verify against publication before citation.</x:v>
      </x:c>
      <x:c r="AH449" s="20" t="str">
        <x:v>Confirmed using DOI/title evidence; identifier/title evidence; normalized title across captured searches.</x:v>
      </x:c>
    </x:row>
    <x:row r="450" ht="42" customHeight="1">
      <x:c r="A450" s="22" t="str">
        <x:v>GS-05-003</x:v>
      </x:c>
      <x:c r="B450" s="22" t="str">
        <x:v>Google Scholar</x:v>
      </x:c>
      <x:c r="C450" s="22" t="str">
        <x:v>GS-05</x:v>
      </x:c>
      <x:c r="D450" s="22" t="str">
        <x:v>(4TML] Neurosymbolic Al framework for explainable retinal disease classification fram OCT images</x:v>
      </x:c>
      <x:c r="E450" s="22" t="str">
        <x:v>AMiladinovie A Biscontn MA-devic..</x:v>
      </x:c>
      <x:c r="F450" s="22" t="str">
        <x:v>NR</x:v>
      </x:c>
      <x:c r="G450" s="22" t="str">
        <x:v>Vision Science &amp;. 2226 - jow.arvauoima-s org</x:v>
      </x:c>
      <x:c r="H450" s="22" t="str">
        <x:v>Google Scholar result</x:v>
      </x:c>
      <x:c r="I450" s="22" t="str">
        <x:v>NR</x:v>
      </x:c>
      <x:c r="J450" s="22" t="str">
        <x:v>NR</x:v>
      </x:c>
      <x:c r="K450" s="22" t="str">
        <x:v>NR — URL not captured in the available source record</x:v>
      </x:c>
      <x:c r="L450" s="22" t="str">
        <x:v>Not available in the captured evidence; the screening decision used the title and available source metadata.</x:v>
      </x:c>
      <x:c r="M450" s="22" t="str">
        <x:v>Confirmed duplicate</x:v>
      </x:c>
      <x:c r="N450" s="22" t="str">
        <x:v>DG-023</x:v>
      </x:c>
      <x:c r="O450" s="22" t="str">
        <x:v>GS-04-002</x:v>
      </x:c>
      <x:c r="P450" s="22" t="str">
        <x:v>No</x:v>
      </x:c>
      <x:c r="Q450" s="22" t="str">
        <x:v>Not screened</x:v>
      </x:c>
      <x:c r="R450" s="22" t="str">
        <x:v>Removed before title/abstract screening as a confirmed duplicate.</x:v>
      </x:c>
      <x:c r="S450" s="22" t="str">
        <x:v>Not applicable — removed before screening</x:v>
      </x:c>
      <x:c r="T450" s="22" t="str">
        <x:v>Record was outside the active screening set.</x:v>
      </x:c>
      <x:c r="U450" s="22" t="str">
        <x:v>Removed before screening</x:v>
      </x:c>
      <x:c r="V450" s="22" t="str">
        <x:v>Confirmed duplicate removed during deduplication.</x:v>
      </x:c>
      <x:c r="W450" s="22" t="str">
        <x:v>No</x:v>
      </x:c>
      <x:c r="X450" s="22" t="str">
        <x:v>Not applicable</x:v>
      </x:c>
      <x:c r="Y450" s="22" t="str">
        <x:v>Not assessed</x:v>
      </x:c>
      <x:c r="Z450" s="22" t="str">
        <x:v>Not applicable — record removed before screening.</x:v>
      </x:c>
      <x:c r="AA450" s="22" t="str">
        <x:v>Not applicable</x:v>
      </x:c>
      <x:c r="AB450" s="22" t="str">
        <x:v>Record was not advanced to full-text assessment.</x:v>
      </x:c>
      <x:c r="AC450" s="22" t="str">
        <x:v>Not assessed</x:v>
      </x:c>
      <x:c r="AD450" s="22" t="str">
        <x:v>Not applicable — no full-text assessment was required.</x:v>
      </x:c>
      <x:c r="AE450" s="22" t="str">
        <x:v>Removed before screening</x:v>
      </x:c>
      <x:c r="AF450" s="22" t="str">
        <x:v>Not applicable — not included</x:v>
      </x:c>
      <x:c r="AG450" s="22" t="str">
        <x:v>Evidence: acb7f8cb-15c0-4c87-acc9-0adaa939cb0f.png; page 1, result 3. Metadata transcribed from captured Google Scholar page; OCR-normalised, verify against publication before citation.</x:v>
      </x:c>
      <x:c r="AH450" s="20" t="str">
        <x:v>Confirmed using normalized title across captured searches.</x:v>
      </x:c>
    </x:row>
    <x:row r="451" ht="42" customHeight="1">
      <x:c r="A451" s="22" t="str">
        <x:v>GS-05-004</x:v>
      </x:c>
      <x:c r="B451" s="22" t="str">
        <x:v>Google Scholar</x:v>
      </x:c>
      <x:c r="C451" s="22" t="str">
        <x:v>GS-05</x:v>
      </x:c>
      <x:c r="D451" s="22" t="str">
        <x:v>Neuro-symbolic earning: Principles and applications in ophthalmology</x:v>
      </x:c>
      <x:c r="E451" s="22" t="str">
        <x:v>M dassan H Guan AMeitiou ¥ Vang C Sun...</x:v>
      </x:c>
      <x:c r="F451" s="22" t="n">
        <x:v>2022</x:v>
      </x:c>
      <x:c r="G451" s="22" t="str">
        <x:v>aiXiv creprint armiv = 2022 - arsiv org</x:v>
      </x:c>
      <x:c r="H451" s="22" t="str">
        <x:v>Google Scholar result</x:v>
      </x:c>
      <x:c r="I451" s="22" t="str">
        <x:v>NR</x:v>
      </x:c>
      <x:c r="J451" s="22" t="str">
        <x:v>NR</x:v>
      </x:c>
      <x:c r="K451" s="22" t="str">
        <x:v>NR — URL not captured in the available source record</x:v>
      </x:c>
      <x:c r="L451" s="22" t="str">
        <x:v>Not available in the captured evidence; the screening decision used the title and available source metadata.</x:v>
      </x:c>
      <x:c r="M451" s="22" t="str">
        <x:v>Confirmed duplicate</x:v>
      </x:c>
      <x:c r="N451" s="22" t="str">
        <x:v>DG-086</x:v>
      </x:c>
      <x:c r="O451" s="22" t="str">
        <x:v>GS-04-010</x:v>
      </x:c>
      <x:c r="P451" s="22" t="str">
        <x:v>No</x:v>
      </x:c>
      <x:c r="Q451" s="22" t="str">
        <x:v>Not screened</x:v>
      </x:c>
      <x:c r="R451" s="22" t="str">
        <x:v>Removed before title/abstract screening as a confirmed duplicate.</x:v>
      </x:c>
      <x:c r="S451" s="22" t="str">
        <x:v>Not applicable — removed before screening</x:v>
      </x:c>
      <x:c r="T451" s="22" t="str">
        <x:v>Record was outside the active screening set.</x:v>
      </x:c>
      <x:c r="U451" s="22" t="str">
        <x:v>Removed before screening</x:v>
      </x:c>
      <x:c r="V451" s="22" t="str">
        <x:v>Confirmed duplicate removed during deduplication.</x:v>
      </x:c>
      <x:c r="W451" s="22" t="str">
        <x:v>No</x:v>
      </x:c>
      <x:c r="X451" s="22" t="str">
        <x:v>Not applicable</x:v>
      </x:c>
      <x:c r="Y451" s="22" t="str">
        <x:v>Not assessed</x:v>
      </x:c>
      <x:c r="Z451" s="22" t="str">
        <x:v>Not applicable — record removed before screening.</x:v>
      </x:c>
      <x:c r="AA451" s="22" t="str">
        <x:v>Not applicable</x:v>
      </x:c>
      <x:c r="AB451" s="22" t="str">
        <x:v>Record was not advanced to full-text assessment.</x:v>
      </x:c>
      <x:c r="AC451" s="22" t="str">
        <x:v>Not assessed</x:v>
      </x:c>
      <x:c r="AD451" s="22" t="str">
        <x:v>Not applicable — no full-text assessment was required.</x:v>
      </x:c>
      <x:c r="AE451" s="22" t="str">
        <x:v>Removed before screening</x:v>
      </x:c>
      <x:c r="AF451" s="22" t="str">
        <x:v>Not applicable — not included</x:v>
      </x:c>
      <x:c r="AG451" s="22" t="str">
        <x:v>Evidence: acb7f8cb-15c0-4c87-acc9-0adaa939cb0f.png; page 1, result 4. Metadata transcribed from captured Google Scholar page; OCR-normalised, verify against publication before citation.</x:v>
      </x:c>
      <x:c r="AH451" s="20" t="str">
        <x:v>No duplicate identified under the documented matching rules.</x:v>
      </x:c>
    </x:row>
    <x:row r="452" ht="42" customHeight="1">
      <x:c r="A452" s="22" t="str">
        <x:v>GS-05-005</x:v>
      </x:c>
      <x:c r="B452" s="22" t="str">
        <x:v>Google Scholar</x:v>
      </x:c>
      <x:c r="C452" s="22" t="str">
        <x:v>GS-05</x:v>
      </x:c>
      <x:c r="D452" s="22" t="str">
        <x:v>Towards trustworthy and explainable Al for ocular disease diagnosis using an ontalogy-guided neuro-symbolic framework</x:v>
      </x:c>
      <x:c r="E452" s="22" t="str">
        <x:v>AM D.hain AM Al-Bakry</x:v>
      </x:c>
      <x:c r="F452" s="22" t="n">
        <x:v>2026</x:v>
      </x:c>
      <x:c r="G452" s="22" t="str">
        <x:v>Biomesical Signal Processing and Cortral 2026 - Elsevier</x:v>
      </x:c>
      <x:c r="H452" s="22" t="str">
        <x:v>Google Scholar result</x:v>
      </x:c>
      <x:c r="I452" s="22" t="str">
        <x:v>NR</x:v>
      </x:c>
      <x:c r="J452" s="22" t="str">
        <x:v>NR</x:v>
      </x:c>
      <x:c r="K452" s="22" t="str">
        <x:v>NR — URL not captured in the available source record</x:v>
      </x:c>
      <x:c r="L452" s="22" t="str">
        <x:v>Not available in the captured evidence; the screening decision used the title and available source metadata.</x:v>
      </x:c>
      <x:c r="M452" s="22" t="str">
        <x:v>Confirmed duplicate</x:v>
      </x:c>
      <x:c r="N452" s="22" t="str">
        <x:v>DG-025</x:v>
      </x:c>
      <x:c r="O452" s="22" t="str">
        <x:v>GS-04-008</x:v>
      </x:c>
      <x:c r="P452" s="22" t="str">
        <x:v>No</x:v>
      </x:c>
      <x:c r="Q452" s="22" t="str">
        <x:v>Not screened</x:v>
      </x:c>
      <x:c r="R452" s="22" t="str">
        <x:v>Removed before title/abstract screening as a confirmed duplicate.</x:v>
      </x:c>
      <x:c r="S452" s="22" t="str">
        <x:v>Not applicable — removed before screening</x:v>
      </x:c>
      <x:c r="T452" s="22" t="str">
        <x:v>Record was outside the active screening set.</x:v>
      </x:c>
      <x:c r="U452" s="22" t="str">
        <x:v>Removed before screening</x:v>
      </x:c>
      <x:c r="V452" s="22" t="str">
        <x:v>Confirmed duplicate removed during deduplication.</x:v>
      </x:c>
      <x:c r="W452" s="22" t="str">
        <x:v>No</x:v>
      </x:c>
      <x:c r="X452" s="22" t="str">
        <x:v>Not applicable</x:v>
      </x:c>
      <x:c r="Y452" s="22" t="str">
        <x:v>Not assessed</x:v>
      </x:c>
      <x:c r="Z452" s="22" t="str">
        <x:v>Not applicable — record removed before screening.</x:v>
      </x:c>
      <x:c r="AA452" s="22" t="str">
        <x:v>Not applicable</x:v>
      </x:c>
      <x:c r="AB452" s="22" t="str">
        <x:v>Record was not advanced to full-text assessment.</x:v>
      </x:c>
      <x:c r="AC452" s="22" t="str">
        <x:v>Not assessed</x:v>
      </x:c>
      <x:c r="AD452" s="22" t="str">
        <x:v>Not applicable — no full-text assessment was required.</x:v>
      </x:c>
      <x:c r="AE452" s="22" t="str">
        <x:v>Removed before screening</x:v>
      </x:c>
      <x:c r="AF452" s="22" t="str">
        <x:v>Not applicable — not included</x:v>
      </x:c>
      <x:c r="AG452" s="22" t="str">
        <x:v>Evidence: acb7f8cb-15c0-4c87-acc9-0adaa939cb0f.png; page 1, result 5. Metadata transcribed from captured Google Scholar page; OCR-normalised, verify against publication before citation.</x:v>
      </x:c>
      <x:c r="AH452" s="20" t="str">
        <x:v>Confirmed using normalized title across captured searches.</x:v>
      </x:c>
    </x:row>
    <x:row r="453" ht="42" customHeight="1">
      <x:c r="A453" s="22" t="str">
        <x:v>GS-05-006</x:v>
      </x:c>
      <x:c r="B453" s="22" t="str">
        <x:v>Google Scholar</x:v>
      </x:c>
      <x:c r="C453" s="22" t="str">
        <x:v>GS-05</x:v>
      </x:c>
      <x:c r="D453" s="22" t="str">
        <x:v>NEURO-GUARD: Neuro- Symbolic Generalization and Unbiased Adaptive Routing for Diagnostics -Explainable Medical Al</x:v>
      </x:c>
      <x:c r="E453" s="22" t="str">
        <x:v>M Jrsoj ABanejee S Gupta</x:v>
      </x:c>
      <x:c r="F453" s="22" t="n">
        <x:v>2026</x:v>
      </x:c>
      <x:c r="G453" s="22" t="str">
        <x:v>Proceedngs ofthe EEE 2026 - openaccess thecy’ cam</x:v>
      </x:c>
      <x:c r="H453" s="22" t="str">
        <x:v>Google Scholar result</x:v>
      </x:c>
      <x:c r="I453" s="22" t="str">
        <x:v>NR</x:v>
      </x:c>
      <x:c r="J453" s="22" t="str">
        <x:v>NR</x:v>
      </x:c>
      <x:c r="K453" s="22" t="str">
        <x:v>NR — URL not captured in the available source record</x:v>
      </x:c>
      <x:c r="L453" s="22" t="str">
        <x:v>Not available in the captured evidence; the screening decision used the title and available source metadata.</x:v>
      </x:c>
      <x:c r="M453" s="22" t="str">
        <x:v>Confirmed duplicate</x:v>
      </x:c>
      <x:c r="N453" s="22" t="str">
        <x:v>DG-027</x:v>
      </x:c>
      <x:c r="O453" s="22" t="str">
        <x:v>ARXIV-05-002</x:v>
      </x:c>
      <x:c r="P453" s="22" t="str">
        <x:v>No</x:v>
      </x:c>
      <x:c r="Q453" s="22" t="str">
        <x:v>Not screened</x:v>
      </x:c>
      <x:c r="R453" s="22" t="str">
        <x:v>Removed before title/abstract screening as a confirmed duplicate.</x:v>
      </x:c>
      <x:c r="S453" s="22" t="str">
        <x:v>Not applicable — removed before screening</x:v>
      </x:c>
      <x:c r="T453" s="22" t="str">
        <x:v>Record was outside the active screening set.</x:v>
      </x:c>
      <x:c r="U453" s="22" t="str">
        <x:v>Removed before screening</x:v>
      </x:c>
      <x:c r="V453" s="22" t="str">
        <x:v>Confirmed duplicate removed during deduplication.</x:v>
      </x:c>
      <x:c r="W453" s="22" t="str">
        <x:v>No</x:v>
      </x:c>
      <x:c r="X453" s="22" t="str">
        <x:v>Not applicable</x:v>
      </x:c>
      <x:c r="Y453" s="22" t="str">
        <x:v>Not assessed</x:v>
      </x:c>
      <x:c r="Z453" s="22" t="str">
        <x:v>Not applicable — record removed before screening.</x:v>
      </x:c>
      <x:c r="AA453" s="22" t="str">
        <x:v>Not applicable</x:v>
      </x:c>
      <x:c r="AB453" s="22" t="str">
        <x:v>Record was not advanced to full-text assessment.</x:v>
      </x:c>
      <x:c r="AC453" s="22" t="str">
        <x:v>Not assessed</x:v>
      </x:c>
      <x:c r="AD453" s="22" t="str">
        <x:v>Not applicable — no full-text assessment was required.</x:v>
      </x:c>
      <x:c r="AE453" s="22" t="str">
        <x:v>Removed before screening</x:v>
      </x:c>
      <x:c r="AF453" s="22" t="str">
        <x:v>Not applicable — not included</x:v>
      </x:c>
      <x:c r="AG453" s="22" t="str">
        <x:v>Evidence: acb7f8cb-15c0-4c87-acc9-0adaa939cb0f.png; page 1, result 6. Metadata transcribed from captured Google Scholar page; OCR-normalised, verify against publication before citation.</x:v>
      </x:c>
      <x:c r="AH453" s="20" t="str">
        <x:v>Confirmed using identifier/title evidence; normalized title across captured searches.</x:v>
      </x:c>
    </x:row>
    <x:row r="454" ht="42" customHeight="1">
      <x:c r="A454" s="22" t="str">
        <x:v>GS-05-007</x:v>
      </x:c>
      <x:c r="B454" s="22" t="str">
        <x:v>Google Scholar</x:v>
      </x:c>
      <x:c r="C454" s="22" t="str">
        <x:v>GS-05</x:v>
      </x:c>
      <x:c r="D454" s="22" t="str">
        <x:v>KG-DG. Knowledge-Guided Domain Generalization via Neuro-Symbolic Fusion</x:v>
      </x:c>
      <x:c r="E454" s="22" t="str">
        <x:v>M Jrcoj ABaneges S Gupta</x:v>
      </x:c>
      <x:c r="F454" s="22" t="str">
        <x:v>NR</x:v>
      </x:c>
      <x:c r="G454" s="22" t="str">
        <x:v>openreview net</x:v>
      </x:c>
      <x:c r="H454" s="22" t="str">
        <x:v>Google Scholar result</x:v>
      </x:c>
      <x:c r="I454" s="22" t="str">
        <x:v>NR</x:v>
      </x:c>
      <x:c r="J454" s="22" t="str">
        <x:v>NR</x:v>
      </x:c>
      <x:c r="K454" s="22" t="str">
        <x:v>NR — URL not captured in the available source record</x:v>
      </x:c>
      <x:c r="L454" s="22" t="str">
        <x:v>Not available in the captured evidence; the screening decision used the title and available source metadata.</x:v>
      </x:c>
      <x:c r="M454" s="22" t="str">
        <x:v>Confirmed duplicate</x:v>
      </x:c>
      <x:c r="N454" s="22" t="str">
        <x:v>DG-102</x:v>
      </x:c>
      <x:c r="O454" s="22" t="str">
        <x:v>GS-04-006</x:v>
      </x:c>
      <x:c r="P454" s="22" t="str">
        <x:v>No</x:v>
      </x:c>
      <x:c r="Q454" s="22" t="str">
        <x:v>Not screened</x:v>
      </x:c>
      <x:c r="R454" s="22" t="str">
        <x:v>Removed before title/abstract screening as a confirmed duplicate.</x:v>
      </x:c>
      <x:c r="S454" s="22" t="str">
        <x:v>Not applicable — removed before screening</x:v>
      </x:c>
      <x:c r="T454" s="22" t="str">
        <x:v>Record was outside the active screening set.</x:v>
      </x:c>
      <x:c r="U454" s="22" t="str">
        <x:v>Removed before screening</x:v>
      </x:c>
      <x:c r="V454" s="22" t="str">
        <x:v>Confirmed duplicate removed during deduplication.</x:v>
      </x:c>
      <x:c r="W454" s="22" t="str">
        <x:v>No</x:v>
      </x:c>
      <x:c r="X454" s="22" t="str">
        <x:v>Not applicable</x:v>
      </x:c>
      <x:c r="Y454" s="22" t="str">
        <x:v>Not assessed</x:v>
      </x:c>
      <x:c r="Z454" s="22" t="str">
        <x:v>Not applicable — record removed before screening.</x:v>
      </x:c>
      <x:c r="AA454" s="22" t="str">
        <x:v>Not applicable</x:v>
      </x:c>
      <x:c r="AB454" s="22" t="str">
        <x:v>Record was not advanced to full-text assessment.</x:v>
      </x:c>
      <x:c r="AC454" s="22" t="str">
        <x:v>Not assessed</x:v>
      </x:c>
      <x:c r="AD454" s="22" t="str">
        <x:v>Not applicable — no full-text assessment was required.</x:v>
      </x:c>
      <x:c r="AE454" s="22" t="str">
        <x:v>Removed before screening</x:v>
      </x:c>
      <x:c r="AF454" s="22" t="str">
        <x:v>Not applicable — not included</x:v>
      </x:c>
      <x:c r="AG454" s="22" t="str">
        <x:v>Evidence: acb7f8cb-15c0-4c87-acc9-0adaa939cb0f.png; page 1, result 7. Metadata transcribed from captured Google Scholar page; OCR-normalised, verify against publication before citation.</x:v>
      </x:c>
      <x:c r="AH454" s="20" t="str">
        <x:v>No duplicate identified under the documented matching rules.</x:v>
      </x:c>
    </x:row>
    <x:row r="455" ht="42" customHeight="1">
      <x:c r="A455" s="22" t="str">
        <x:v>GS-05-008</x:v>
      </x:c>
      <x:c r="B455" s="22" t="str">
        <x:v>Google Scholar</x:v>
      </x:c>
      <x:c r="C455" s="22" t="str">
        <x:v>GS-05</x:v>
      </x:c>
      <x:c r="D455" s="22" t="str">
        <x:v>EXPLORING NEUROQ-SYMBOLIC ARTIFICIAL INTELLIGENCE THROUGH BIONIC VISION</x:v>
      </x:c>
      <x:c r="E455" s="22" t="str">
        <x:v>N Saleen</x:v>
      </x:c>
      <x:c r="F455" s="22" t="n">
        <x:v>2025</x:v>
      </x:c>
      <x:c r="G455" s="22" t="str">
        <x:v>2025 - escholarstip org</x:v>
      </x:c>
      <x:c r="H455" s="22" t="str">
        <x:v>Google Scholar result</x:v>
      </x:c>
      <x:c r="I455" s="22" t="str">
        <x:v>NR</x:v>
      </x:c>
      <x:c r="J455" s="22" t="str">
        <x:v>NR</x:v>
      </x:c>
      <x:c r="K455" s="22" t="str">
        <x:v>NR — URL not captured in the available source record</x:v>
      </x:c>
      <x:c r="L455" s="22" t="str">
        <x:v>Not available in the captured evidence; the screening decision used the title and available source metadata.</x:v>
      </x:c>
      <x:c r="M455" s="22" t="str">
        <x:v>Confirmed duplicate</x:v>
      </x:c>
      <x:c r="N455" s="22" t="str">
        <x:v>DG-085</x:v>
      </x:c>
      <x:c r="O455" s="22" t="str">
        <x:v>GS-04-005</x:v>
      </x:c>
      <x:c r="P455" s="22" t="str">
        <x:v>No</x:v>
      </x:c>
      <x:c r="Q455" s="22" t="str">
        <x:v>Not screened</x:v>
      </x:c>
      <x:c r="R455" s="22" t="str">
        <x:v>Removed before title/abstract screening as a confirmed duplicate.</x:v>
      </x:c>
      <x:c r="S455" s="22" t="str">
        <x:v>Not applicable — removed before screening</x:v>
      </x:c>
      <x:c r="T455" s="22" t="str">
        <x:v>Record was outside the active screening set.</x:v>
      </x:c>
      <x:c r="U455" s="22" t="str">
        <x:v>Removed before screening</x:v>
      </x:c>
      <x:c r="V455" s="22" t="str">
        <x:v>Confirmed duplicate removed during deduplication.</x:v>
      </x:c>
      <x:c r="W455" s="22" t="str">
        <x:v>No</x:v>
      </x:c>
      <x:c r="X455" s="22" t="str">
        <x:v>Not applicable</x:v>
      </x:c>
      <x:c r="Y455" s="22" t="str">
        <x:v>Not assessed</x:v>
      </x:c>
      <x:c r="Z455" s="22" t="str">
        <x:v>Not applicable — record removed before screening.</x:v>
      </x:c>
      <x:c r="AA455" s="22" t="str">
        <x:v>Not applicable</x:v>
      </x:c>
      <x:c r="AB455" s="22" t="str">
        <x:v>Record was not advanced to full-text assessment.</x:v>
      </x:c>
      <x:c r="AC455" s="22" t="str">
        <x:v>Not assessed</x:v>
      </x:c>
      <x:c r="AD455" s="22" t="str">
        <x:v>Not applicable — no full-text assessment was required.</x:v>
      </x:c>
      <x:c r="AE455" s="22" t="str">
        <x:v>Removed before screening</x:v>
      </x:c>
      <x:c r="AF455" s="22" t="str">
        <x:v>Not applicable — not included</x:v>
      </x:c>
      <x:c r="AG455" s="22" t="str">
        <x:v>Evidence: acb7f8cb-15c0-4c87-acc9-0adaa939cb0f.png; page 1, result 8. Metadata transcribed from captured Google Scholar page; OCR-normalised, verify against publication before citation.</x:v>
      </x:c>
      <x:c r="AH455" s="20" t="str">
        <x:v>No duplicate identified under the documented matching rules.</x:v>
      </x:c>
    </x:row>
    <x:row r="456" ht="42" customHeight="1">
      <x:c r="A456" s="22" t="str">
        <x:v>GS-05-009</x:v>
      </x:c>
      <x:c r="B456" s="22" t="str">
        <x:v>Google Scholar</x:v>
      </x:c>
      <x:c r="C456" s="22" t="str">
        <x:v>GS-05</x:v>
      </x:c>
      <x:c r="D456" s="22" t="str">
        <x:v>Por] RETINAL IMAGE ANALYSIS USING NEURO-SYMBOLIC Al TO DIAGNOSE NEURODEGENERATIVE DISEASES</x:v>
      </x:c>
      <x:c r="E456" s="22" t="str">
        <x:v>OCyrus, O Varghese TAde R Keleih</x:v>
      </x:c>
      <x:c r="F456" s="22" t="str">
        <x:v>NR</x:v>
      </x:c>
      <x:c r="G456" s="22" t="str">
        <x:v>omr-tab github ic</x:v>
      </x:c>
      <x:c r="H456" s="22" t="str">
        <x:v>Google Scholar result</x:v>
      </x:c>
      <x:c r="I456" s="22" t="str">
        <x:v>NR</x:v>
      </x:c>
      <x:c r="J456" s="22" t="str">
        <x:v>NR</x:v>
      </x:c>
      <x:c r="K456" s="22" t="str">
        <x:v>NR — URL not captured in the available source record</x:v>
      </x:c>
      <x:c r="L456" s="22" t="str">
        <x:v>Not available in the captured evidence; the screening decision used the title and available source metadata.</x:v>
      </x:c>
      <x:c r="M456" s="22" t="str">
        <x:v>Confirmed duplicate</x:v>
      </x:c>
      <x:c r="N456" s="22" t="str">
        <x:v>DG-026</x:v>
      </x:c>
      <x:c r="O456" s="22" t="str">
        <x:v>GS-04-009</x:v>
      </x:c>
      <x:c r="P456" s="22" t="str">
        <x:v>No</x:v>
      </x:c>
      <x:c r="Q456" s="22" t="str">
        <x:v>Not screened</x:v>
      </x:c>
      <x:c r="R456" s="22" t="str">
        <x:v>Removed before title/abstract screening as a confirmed duplicate.</x:v>
      </x:c>
      <x:c r="S456" s="22" t="str">
        <x:v>Not applicable — removed before screening</x:v>
      </x:c>
      <x:c r="T456" s="22" t="str">
        <x:v>Record was outside the active screening set.</x:v>
      </x:c>
      <x:c r="U456" s="22" t="str">
        <x:v>Removed before screening</x:v>
      </x:c>
      <x:c r="V456" s="22" t="str">
        <x:v>Confirmed duplicate removed during deduplication.</x:v>
      </x:c>
      <x:c r="W456" s="22" t="str">
        <x:v>No</x:v>
      </x:c>
      <x:c r="X456" s="22" t="str">
        <x:v>Not applicable</x:v>
      </x:c>
      <x:c r="Y456" s="22" t="str">
        <x:v>Not assessed</x:v>
      </x:c>
      <x:c r="Z456" s="22" t="str">
        <x:v>Not applicable — record removed before screening.</x:v>
      </x:c>
      <x:c r="AA456" s="22" t="str">
        <x:v>Not applicable</x:v>
      </x:c>
      <x:c r="AB456" s="22" t="str">
        <x:v>Record was not advanced to full-text assessment.</x:v>
      </x:c>
      <x:c r="AC456" s="22" t="str">
        <x:v>Not assessed</x:v>
      </x:c>
      <x:c r="AD456" s="22" t="str">
        <x:v>Not applicable — no full-text assessment was required.</x:v>
      </x:c>
      <x:c r="AE456" s="22" t="str">
        <x:v>Removed before screening</x:v>
      </x:c>
      <x:c r="AF456" s="22" t="str">
        <x:v>Not applicable — not included</x:v>
      </x:c>
      <x:c r="AG456" s="22" t="str">
        <x:v>Evidence: acb7f8cb-15c0-4c87-acc9-0adaa939cb0f.png; page 1, result 9. Metadata transcribed from captured Google Scholar page; OCR-normalised, verify against publication before citation.</x:v>
      </x:c>
      <x:c r="AH456" s="20" t="str">
        <x:v>Confirmed using normalized title across captured searches.</x:v>
      </x:c>
    </x:row>
    <x:row r="457" ht="42" customHeight="1">
      <x:c r="A457" s="22" t="str">
        <x:v>GS-05-010</x:v>
      </x:c>
      <x:c r="B457" s="22" t="str">
        <x:v>Google Scholar</x:v>
      </x:c>
      <x:c r="C457" s="22" t="str">
        <x:v>GS-05</x:v>
      </x:c>
      <x:c r="D457" s="22" t="str">
        <x:v>A Neuro-Symbolic Framework for Automated Glaucoma Detection using Optic Disc-Cup Segmentation and Deep Learning</x:v>
      </x:c>
      <x:c r="E457" s="22" t="str">
        <x:v>TSangselha U Sangamithra..- oc Expert Clouds .. 2026</x:v>
      </x:c>
      <x:c r="F457" s="22" t="n">
        <x:v>2026</x:v>
      </x:c>
      <x:c r="G457" s="22" t="str">
        <x:v>iseexplore isee o-g</x:v>
      </x:c>
      <x:c r="H457" s="22" t="str">
        <x:v>Google Scholar result</x:v>
      </x:c>
      <x:c r="I457" s="22" t="str">
        <x:v>NR</x:v>
      </x:c>
      <x:c r="J457" s="22" t="str">
        <x:v>NR</x:v>
      </x:c>
      <x:c r="K457" s="22" t="str">
        <x:v>NR — URL not captured in the available source record</x:v>
      </x:c>
      <x:c r="L457" s="22" t="str">
        <x:v>Not available in the captured evidence; the screening decision used the title and available source metadata.</x:v>
      </x:c>
      <x:c r="M457" s="22" t="str">
        <x:v>Confirmed duplicate</x:v>
      </x:c>
      <x:c r="N457" s="22" t="str">
        <x:v>DG-028</x:v>
      </x:c>
      <x:c r="O457" s="22" t="str">
        <x:v>GS-04-012</x:v>
      </x:c>
      <x:c r="P457" s="22" t="str">
        <x:v>No</x:v>
      </x:c>
      <x:c r="Q457" s="22" t="str">
        <x:v>Not screened</x:v>
      </x:c>
      <x:c r="R457" s="22" t="str">
        <x:v>Removed before title/abstract screening as a confirmed duplicate.</x:v>
      </x:c>
      <x:c r="S457" s="22" t="str">
        <x:v>Not applicable — removed before screening</x:v>
      </x:c>
      <x:c r="T457" s="22" t="str">
        <x:v>Record was outside the active screening set.</x:v>
      </x:c>
      <x:c r="U457" s="22" t="str">
        <x:v>Removed before screening</x:v>
      </x:c>
      <x:c r="V457" s="22" t="str">
        <x:v>Confirmed duplicate removed during deduplication.</x:v>
      </x:c>
      <x:c r="W457" s="22" t="str">
        <x:v>No</x:v>
      </x:c>
      <x:c r="X457" s="22" t="str">
        <x:v>Not applicable</x:v>
      </x:c>
      <x:c r="Y457" s="22" t="str">
        <x:v>Not assessed</x:v>
      </x:c>
      <x:c r="Z457" s="22" t="str">
        <x:v>Not applicable — record removed before screening.</x:v>
      </x:c>
      <x:c r="AA457" s="22" t="str">
        <x:v>Not applicable</x:v>
      </x:c>
      <x:c r="AB457" s="22" t="str">
        <x:v>Record was not advanced to full-text assessment.</x:v>
      </x:c>
      <x:c r="AC457" s="22" t="str">
        <x:v>Not assessed</x:v>
      </x:c>
      <x:c r="AD457" s="22" t="str">
        <x:v>Not applicable — no full-text assessment was required.</x:v>
      </x:c>
      <x:c r="AE457" s="22" t="str">
        <x:v>Removed before screening</x:v>
      </x:c>
      <x:c r="AF457" s="22" t="str">
        <x:v>Not applicable — not included</x:v>
      </x:c>
      <x:c r="AG457" s="22" t="str">
        <x:v>Evidence: acb7f8cb-15c0-4c87-acc9-0adaa939cb0f.png; page 1, result 10. Metadata transcribed from captured Google Scholar page; OCR-normalised, verify against publication before citation.</x:v>
      </x:c>
      <x:c r="AH457" s="20" t="str">
        <x:v>Confirmed using normalized title across captured searches.</x:v>
      </x:c>
    </x:row>
    <x:row r="458" ht="42" customHeight="1">
      <x:c r="A458" s="22" t="str">
        <x:v>GS-05-011</x:v>
      </x:c>
      <x:c r="B458" s="22" t="str">
        <x:v>Google Scholar</x:v>
      </x:c>
      <x:c r="C458" s="22" t="str">
        <x:v>GS-05</x:v>
      </x:c>
      <x:c r="D458" s="22" t="str">
        <x:v>XAI-NeD Explainable Knowledge Guided Neuro-Symbolic Framework for Domain Generalization and Rare Class Detection in Medical Imaging</x:v>
      </x:c>
      <x:c r="E458" s="22" t="str">
        <x:v>M Jréoj ABanetjee S Gupta</x:v>
      </x:c>
      <x:c r="F458" s="22" t="n">
        <x:v>2026</x:v>
      </x:c>
      <x:c r="G458" s="22" t="str">
        <x:v>arXiv precrirt a‘Xiv 2611 12008. 2026 - arxiv org</x:v>
      </x:c>
      <x:c r="H458" s="22" t="str">
        <x:v>Google Scholar result</x:v>
      </x:c>
      <x:c r="I458" s="22" t="str">
        <x:v>NR</x:v>
      </x:c>
      <x:c r="J458" s="22" t="str">
        <x:v>NR</x:v>
      </x:c>
      <x:c r="K458" s="22" t="str">
        <x:v>NR — URL not captured in the available source record</x:v>
      </x:c>
      <x:c r="L458" s="22" t="str">
        <x:v>Not available in the captured evidence; the screening decision used the title and available source metadata.</x:v>
      </x:c>
      <x:c r="M458" s="22" t="str">
        <x:v>Confirmed duplicate</x:v>
      </x:c>
      <x:c r="N458" s="22" t="str">
        <x:v>DG-034</x:v>
      </x:c>
      <x:c r="O458" s="22" t="str">
        <x:v>ARXIV-05-001</x:v>
      </x:c>
      <x:c r="P458" s="22" t="str">
        <x:v>No</x:v>
      </x:c>
      <x:c r="Q458" s="22" t="str">
        <x:v>Not screened</x:v>
      </x:c>
      <x:c r="R458" s="22" t="str">
        <x:v>Removed before title/abstract screening as a confirmed duplicate.</x:v>
      </x:c>
      <x:c r="S458" s="22" t="str">
        <x:v>Not applicable — removed before screening</x:v>
      </x:c>
      <x:c r="T458" s="22" t="str">
        <x:v>Record was outside the active screening set.</x:v>
      </x:c>
      <x:c r="U458" s="22" t="str">
        <x:v>Removed before screening</x:v>
      </x:c>
      <x:c r="V458" s="22" t="str">
        <x:v>Confirmed duplicate removed during deduplication.</x:v>
      </x:c>
      <x:c r="W458" s="22" t="str">
        <x:v>No</x:v>
      </x:c>
      <x:c r="X458" s="22" t="str">
        <x:v>Not applicable</x:v>
      </x:c>
      <x:c r="Y458" s="22" t="str">
        <x:v>Not assessed</x:v>
      </x:c>
      <x:c r="Z458" s="22" t="str">
        <x:v>Not applicable — record removed before screening.</x:v>
      </x:c>
      <x:c r="AA458" s="22" t="str">
        <x:v>Not applicable</x:v>
      </x:c>
      <x:c r="AB458" s="22" t="str">
        <x:v>Record was not advanced to full-text assessment.</x:v>
      </x:c>
      <x:c r="AC458" s="22" t="str">
        <x:v>Not assessed</x:v>
      </x:c>
      <x:c r="AD458" s="22" t="str">
        <x:v>Not applicable — no full-text assessment was required.</x:v>
      </x:c>
      <x:c r="AE458" s="22" t="str">
        <x:v>Removed before screening</x:v>
      </x:c>
      <x:c r="AF458" s="22" t="str">
        <x:v>Not applicable — not included</x:v>
      </x:c>
      <x:c r="AG458" s="22" t="str">
        <x:v>Evidence: 774c9507-7bbd-4e80-a9c6-cd999d6e5004.png; page 2, result 1. Metadata transcribed from captured Google Scholar page; OCR-normalised, verify against publication before citation.</x:v>
      </x:c>
      <x:c r="AH458" s="20" t="str">
        <x:v>Confirmed using identifier/title evidence; normalized title across captured searches.</x:v>
      </x:c>
    </x:row>
    <x:row r="459" ht="42" customHeight="1">
      <x:c r="A459" s="22" t="str">
        <x:v>GS-05-012</x:v>
      </x:c>
      <x:c r="B459" s="22" t="str">
        <x:v>Google Scholar</x:v>
      </x:c>
      <x:c r="C459" s="22" t="str">
        <x:v>GS-05</x:v>
      </x:c>
      <x:c r="D459" s="22" t="str">
        <x:v>system far chronic eye diseass management a digital health implementation study</x:v>
      </x:c>
      <x:c r="E459" s="22" t="str">
        <x:v>MH ‘ang. SM¥ Lee G Hou Y‘¥ang =</x:v>
      </x:c>
      <x:c r="F459" s="22" t="n">
        <x:v>2026</x:v>
      </x:c>
      <x:c r="G459" s="22" t="str">
        <x:v>Franliersin Jigital =. 2026 - pme ncbi nin nih gov</x:v>
      </x:c>
      <x:c r="H459" s="22" t="str">
        <x:v>Google Scholar result</x:v>
      </x:c>
      <x:c r="I459" s="22" t="str">
        <x:v>NR</x:v>
      </x:c>
      <x:c r="J459" s="22" t="str">
        <x:v>NR</x:v>
      </x:c>
      <x:c r="K459" s="22" t="str">
        <x:v>NR — URL not captured in the available source record</x:v>
      </x:c>
      <x:c r="L459" s="22" t="str">
        <x:v>Not available in the captured evidence; the screening decision used the title and available source metadata.</x:v>
      </x:c>
      <x:c r="M459" s="22" t="str">
        <x:v>Confirmed duplicate</x:v>
      </x:c>
      <x:c r="N459" s="22" t="str">
        <x:v>DG-029</x:v>
      </x:c>
      <x:c r="O459" s="22" t="str">
        <x:v>GS-04-014</x:v>
      </x:c>
      <x:c r="P459" s="22" t="str">
        <x:v>No</x:v>
      </x:c>
      <x:c r="Q459" s="22" t="str">
        <x:v>Not screened</x:v>
      </x:c>
      <x:c r="R459" s="22" t="str">
        <x:v>Removed before title/abstract screening as a confirmed duplicate.</x:v>
      </x:c>
      <x:c r="S459" s="22" t="str">
        <x:v>Not applicable — removed before screening</x:v>
      </x:c>
      <x:c r="T459" s="22" t="str">
        <x:v>Record was outside the active screening set.</x:v>
      </x:c>
      <x:c r="U459" s="22" t="str">
        <x:v>Removed before screening</x:v>
      </x:c>
      <x:c r="V459" s="22" t="str">
        <x:v>Confirmed duplicate removed during deduplication.</x:v>
      </x:c>
      <x:c r="W459" s="22" t="str">
        <x:v>No</x:v>
      </x:c>
      <x:c r="X459" s="22" t="str">
        <x:v>Not applicable</x:v>
      </x:c>
      <x:c r="Y459" s="22" t="str">
        <x:v>Not assessed</x:v>
      </x:c>
      <x:c r="Z459" s="22" t="str">
        <x:v>Not applicable — record removed before screening.</x:v>
      </x:c>
      <x:c r="AA459" s="22" t="str">
        <x:v>Not applicable</x:v>
      </x:c>
      <x:c r="AB459" s="22" t="str">
        <x:v>Record was not advanced to full-text assessment.</x:v>
      </x:c>
      <x:c r="AC459" s="22" t="str">
        <x:v>Not assessed</x:v>
      </x:c>
      <x:c r="AD459" s="22" t="str">
        <x:v>Not applicable — no full-text assessment was required.</x:v>
      </x:c>
      <x:c r="AE459" s="22" t="str">
        <x:v>Removed before screening</x:v>
      </x:c>
      <x:c r="AF459" s="22" t="str">
        <x:v>Not applicable — not included</x:v>
      </x:c>
      <x:c r="AG459" s="22" t="str">
        <x:v>Evidence: 774c9507-7bbd-4e80-a9c6-cd999d6e5004.png; page 2, result 2. Metadata transcribed from captured Google Scholar page; OCR-normalised, verify against publication before citation.</x:v>
      </x:c>
      <x:c r="AH459" s="20" t="str">
        <x:v>Confirmed using normalized title across captured searches.</x:v>
      </x:c>
    </x:row>
    <x:row r="460" ht="42" customHeight="1">
      <x:c r="A460" s="22" t="str">
        <x:v>GS-05-013</x:v>
      </x:c>
      <x:c r="B460" s="22" t="str">
        <x:v>Google Scholar</x:v>
      </x:c>
      <x:c r="C460" s="22" t="str">
        <x:v>GS-05</x:v>
      </x:c>
      <x:c r="D460" s="22" t="str">
        <x:v>Visual Categonzatian Across Minds and Models Cagnitive Analysis of Human Labeling and Neuro-Symbolic Integration</x:v>
      </x:c>
      <x:c r="E460" s="22" t="str">
        <x:v>CP Kaboere « arXiv preprint ai Xiv 2512.09340, 2025</x:v>
      </x:c>
      <x:c r="F460" s="22" t="n">
        <x:v>2025</x:v>
      </x:c>
      <x:c r="G460" s="22" t="str">
        <x:v>arxy ofg</x:v>
      </x:c>
      <x:c r="H460" s="22" t="str">
        <x:v>Google Scholar result</x:v>
      </x:c>
      <x:c r="I460" s="22" t="str">
        <x:v>NR</x:v>
      </x:c>
      <x:c r="J460" s="22" t="str">
        <x:v>NR</x:v>
      </x:c>
      <x:c r="K460" s="22" t="str">
        <x:v>NR — URL not captured in the available source record</x:v>
      </x:c>
      <x:c r="L460" s="22" t="str">
        <x:v>Not available in the captured evidence; the screening decision used the title and available source metadata.</x:v>
      </x:c>
      <x:c r="M460" s="22" t="str">
        <x:v>Confirmed duplicate</x:v>
      </x:c>
      <x:c r="N460" s="22" t="str">
        <x:v>DG-030</x:v>
      </x:c>
      <x:c r="O460" s="22" t="str">
        <x:v>GS-04-016</x:v>
      </x:c>
      <x:c r="P460" s="22" t="str">
        <x:v>No</x:v>
      </x:c>
      <x:c r="Q460" s="22" t="str">
        <x:v>Not screened</x:v>
      </x:c>
      <x:c r="R460" s="22" t="str">
        <x:v>Removed before title/abstract screening as a confirmed duplicate.</x:v>
      </x:c>
      <x:c r="S460" s="22" t="str">
        <x:v>Not applicable — removed before screening</x:v>
      </x:c>
      <x:c r="T460" s="22" t="str">
        <x:v>Record was outside the active screening set.</x:v>
      </x:c>
      <x:c r="U460" s="22" t="str">
        <x:v>Removed before screening</x:v>
      </x:c>
      <x:c r="V460" s="22" t="str">
        <x:v>Confirmed duplicate removed during deduplication.</x:v>
      </x:c>
      <x:c r="W460" s="22" t="str">
        <x:v>No</x:v>
      </x:c>
      <x:c r="X460" s="22" t="str">
        <x:v>Not applicable</x:v>
      </x:c>
      <x:c r="Y460" s="22" t="str">
        <x:v>Not assessed</x:v>
      </x:c>
      <x:c r="Z460" s="22" t="str">
        <x:v>Not applicable — record removed before screening.</x:v>
      </x:c>
      <x:c r="AA460" s="22" t="str">
        <x:v>Not applicable</x:v>
      </x:c>
      <x:c r="AB460" s="22" t="str">
        <x:v>Record was not advanced to full-text assessment.</x:v>
      </x:c>
      <x:c r="AC460" s="22" t="str">
        <x:v>Not assessed</x:v>
      </x:c>
      <x:c r="AD460" s="22" t="str">
        <x:v>Not applicable — no full-text assessment was required.</x:v>
      </x:c>
      <x:c r="AE460" s="22" t="str">
        <x:v>Removed before screening</x:v>
      </x:c>
      <x:c r="AF460" s="22" t="str">
        <x:v>Not applicable — not included</x:v>
      </x:c>
      <x:c r="AG460" s="22" t="str">
        <x:v>Evidence: 774c9507-7bbd-4e80-a9c6-cd999d6e5004.png; page 2, result 3. Metadata transcribed from captured Google Scholar page; OCR-normalised, verify against publication before citation.</x:v>
      </x:c>
      <x:c r="AH460" s="20" t="str">
        <x:v>Confirmed using normalized title across captured searches.</x:v>
      </x:c>
    </x:row>
    <x:row r="461" ht="42" customHeight="1">
      <x:c r="A461" s="22" t="str">
        <x:v>GS-05-014</x:v>
      </x:c>
      <x:c r="B461" s="22" t="str">
        <x:v>Google Scholar</x:v>
      </x:c>
      <x:c r="C461" s="22" t="str">
        <x:v>GS-05</x:v>
      </x:c>
      <x:c r="D461" s="22" t="str">
        <x:v>Neuro-symbolic Al in various domains</x:v>
      </x:c>
      <x:c r="E461" s="22" t="str">
        <x:v>BF Bhuyan, A Ramdane-Cherit TP Singh =</x:v>
      </x:c>
      <x:c r="F461" s="22" t="n">
        <x:v>2024</x:v>
      </x:c>
      <x:c r="G461" s="22" t="str">
        <x:v>Neuro: Symbolic Artilicial 2024 - Springer</x:v>
      </x:c>
      <x:c r="H461" s="22" t="str">
        <x:v>Google Scholar result</x:v>
      </x:c>
      <x:c r="I461" s="22" t="str">
        <x:v>NR</x:v>
      </x:c>
      <x:c r="J461" s="22" t="str">
        <x:v>NR</x:v>
      </x:c>
      <x:c r="K461" s="22" t="str">
        <x:v>NR — URL not captured in the available source record</x:v>
      </x:c>
      <x:c r="L461" s="22" t="str">
        <x:v>Not available in the captured evidence; the screening decision used the title and available source metadata.</x:v>
      </x:c>
      <x:c r="M461" s="22" t="str">
        <x:v>Confirmed duplicate</x:v>
      </x:c>
      <x:c r="N461" s="22" t="str">
        <x:v>DG-031</x:v>
      </x:c>
      <x:c r="O461" s="22" t="str">
        <x:v>GS-04-021</x:v>
      </x:c>
      <x:c r="P461" s="22" t="str">
        <x:v>No</x:v>
      </x:c>
      <x:c r="Q461" s="22" t="str">
        <x:v>Not screened</x:v>
      </x:c>
      <x:c r="R461" s="22" t="str">
        <x:v>Removed before title/abstract screening as a confirmed duplicate.</x:v>
      </x:c>
      <x:c r="S461" s="22" t="str">
        <x:v>Not applicable — removed before screening</x:v>
      </x:c>
      <x:c r="T461" s="22" t="str">
        <x:v>Record was outside the active screening set.</x:v>
      </x:c>
      <x:c r="U461" s="22" t="str">
        <x:v>Removed before screening</x:v>
      </x:c>
      <x:c r="V461" s="22" t="str">
        <x:v>Confirmed duplicate removed during deduplication.</x:v>
      </x:c>
      <x:c r="W461" s="22" t="str">
        <x:v>No</x:v>
      </x:c>
      <x:c r="X461" s="22" t="str">
        <x:v>Not applicable</x:v>
      </x:c>
      <x:c r="Y461" s="22" t="str">
        <x:v>Not assessed</x:v>
      </x:c>
      <x:c r="Z461" s="22" t="str">
        <x:v>Not applicable — record removed before screening.</x:v>
      </x:c>
      <x:c r="AA461" s="22" t="str">
        <x:v>Not applicable</x:v>
      </x:c>
      <x:c r="AB461" s="22" t="str">
        <x:v>Record was not advanced to full-text assessment.</x:v>
      </x:c>
      <x:c r="AC461" s="22" t="str">
        <x:v>Not assessed</x:v>
      </x:c>
      <x:c r="AD461" s="22" t="str">
        <x:v>Not applicable — no full-text assessment was required.</x:v>
      </x:c>
      <x:c r="AE461" s="22" t="str">
        <x:v>Removed before screening</x:v>
      </x:c>
      <x:c r="AF461" s="22" t="str">
        <x:v>Not applicable — not included</x:v>
      </x:c>
      <x:c r="AG461" s="22" t="str">
        <x:v>Evidence: 774c9507-7bbd-4e80-a9c6-cd999d6e5004.png; page 2, result 4. Metadata transcribed from captured Google Scholar page; OCR-normalised, verify against publication before citation.</x:v>
      </x:c>
      <x:c r="AH461" s="20" t="str">
        <x:v>Confirmed using normalized title across captured searches.</x:v>
      </x:c>
    </x:row>
    <x:row r="462" ht="42" customHeight="1">
      <x:c r="A462" s="22" t="str">
        <x:v>GS-05-015</x:v>
      </x:c>
      <x:c r="B462" s="22" t="str">
        <x:v>Google Scholar</x:v>
      </x:c>
      <x:c r="C462" s="22" t="str">
        <x:v>GS-05</x:v>
      </x:c>
      <x:c r="D462" s="22" t="str">
        <x:v>DeepInfusion A dynamic infusion based-neuro-symbolic Al mode! for segmentation of intracranial aneurysms</x:v>
      </x:c>
      <x:c r="E462" s="22" t="str">
        <x:v>|Abduilah A Javed {M Malik G Malik</x:v>
      </x:c>
      <x:c r="F462" s="22" t="n">
        <x:v>2023</x:v>
      </x:c>
      <x:c r="G462" s="22" t="str">
        <x:v>Neurocomputing, 2023 - Elsevier</x:v>
      </x:c>
      <x:c r="H462" s="22" t="str">
        <x:v>Google Scholar result</x:v>
      </x:c>
      <x:c r="I462" s="22" t="str">
        <x:v>NR</x:v>
      </x:c>
      <x:c r="J462" s="22" t="str">
        <x:v>NR</x:v>
      </x:c>
      <x:c r="K462" s="22" t="str">
        <x:v>NR — URL not captured in the available source record</x:v>
      </x:c>
      <x:c r="L462" s="22" t="str">
        <x:v>Not available in the captured evidence; the screening decision used the title and available source metadata.</x:v>
      </x:c>
      <x:c r="M462" s="22" t="str">
        <x:v>Confirmed duplicate</x:v>
      </x:c>
      <x:c r="N462" s="22" t="str">
        <x:v>DG-033</x:v>
      </x:c>
      <x:c r="O462" s="22" t="str">
        <x:v>GS-04-023</x:v>
      </x:c>
      <x:c r="P462" s="22" t="str">
        <x:v>No</x:v>
      </x:c>
      <x:c r="Q462" s="22" t="str">
        <x:v>Not screened</x:v>
      </x:c>
      <x:c r="R462" s="22" t="str">
        <x:v>Removed before title/abstract screening as a confirmed duplicate.</x:v>
      </x:c>
      <x:c r="S462" s="22" t="str">
        <x:v>Not applicable — removed before screening</x:v>
      </x:c>
      <x:c r="T462" s="22" t="str">
        <x:v>Record was outside the active screening set.</x:v>
      </x:c>
      <x:c r="U462" s="22" t="str">
        <x:v>Removed before screening</x:v>
      </x:c>
      <x:c r="V462" s="22" t="str">
        <x:v>Confirmed duplicate removed during deduplication.</x:v>
      </x:c>
      <x:c r="W462" s="22" t="str">
        <x:v>No</x:v>
      </x:c>
      <x:c r="X462" s="22" t="str">
        <x:v>Not applicable</x:v>
      </x:c>
      <x:c r="Y462" s="22" t="str">
        <x:v>Not assessed</x:v>
      </x:c>
      <x:c r="Z462" s="22" t="str">
        <x:v>Not applicable — record removed before screening.</x:v>
      </x:c>
      <x:c r="AA462" s="22" t="str">
        <x:v>Not applicable</x:v>
      </x:c>
      <x:c r="AB462" s="22" t="str">
        <x:v>Record was not advanced to full-text assessment.</x:v>
      </x:c>
      <x:c r="AC462" s="22" t="str">
        <x:v>Not assessed</x:v>
      </x:c>
      <x:c r="AD462" s="22" t="str">
        <x:v>Not applicable — no full-text assessment was required.</x:v>
      </x:c>
      <x:c r="AE462" s="22" t="str">
        <x:v>Removed before screening</x:v>
      </x:c>
      <x:c r="AF462" s="22" t="str">
        <x:v>Not applicable — not included</x:v>
      </x:c>
      <x:c r="AG462" s="22" t="str">
        <x:v>Evidence: 774c9507-7bbd-4e80-a9c6-cd999d6e5004.png; page 2, result 5. Metadata transcribed from captured Google Scholar page; OCR-normalised, verify against publication before citation.</x:v>
      </x:c>
      <x:c r="AH462" s="20" t="str">
        <x:v>Confirmed using normalized title across captured searches.</x:v>
      </x:c>
    </x:row>
    <x:row r="463" ht="42" customHeight="1">
      <x:c r="A463" s="22" t="str">
        <x:v>GS-05-016</x:v>
      </x:c>
      <x:c r="B463" s="22" t="str">
        <x:v>Google Scholar</x:v>
      </x:c>
      <x:c r="C463" s="22" t="str">
        <x:v>GS-05</x:v>
      </x:c>
      <x:c r="D463" s="22" t="str">
        <x:v>Rapid image labeling via newro-symbolic learning</x:v>
      </x:c>
      <x:c r="E463" s="22" t="str">
        <x:v>Yang Z™u ¥ Xarg. SZrou X Chen Bi + Proceedings ofthe 29th =| 2023+ dl acm org</x:v>
      </x:c>
      <x:c r="F463" s="22" t="n">
        <x:v>2023</x:v>
      </x:c>
      <x:c r="G463" s="22" t="str">
        <x:v>Yang Z™u ¥ Xarg. SZrou X Chen Bi + Proceedings ofthe 29th =| 2023+ dl acm org</x:v>
      </x:c>
      <x:c r="H463" s="22" t="str">
        <x:v>Google Scholar result</x:v>
      </x:c>
      <x:c r="I463" s="22" t="str">
        <x:v>NR</x:v>
      </x:c>
      <x:c r="J463" s="22" t="str">
        <x:v>NR</x:v>
      </x:c>
      <x:c r="K463" s="22" t="str">
        <x:v>NR — URL not captured in the available source record</x:v>
      </x:c>
      <x:c r="L463" s="22" t="str">
        <x:v>Not available in the captured evidence; the screening decision used the title and available source metadata.</x:v>
      </x:c>
      <x:c r="M463" s="22" t="str">
        <x:v>Confirmed duplicate</x:v>
      </x:c>
      <x:c r="N463" s="22" t="str">
        <x:v>DG-095</x:v>
      </x:c>
      <x:c r="O463" s="22" t="str">
        <x:v>GS-04-018</x:v>
      </x:c>
      <x:c r="P463" s="22" t="str">
        <x:v>No</x:v>
      </x:c>
      <x:c r="Q463" s="22" t="str">
        <x:v>Not screened</x:v>
      </x:c>
      <x:c r="R463" s="22" t="str">
        <x:v>Removed before title/abstract screening as a confirmed duplicate.</x:v>
      </x:c>
      <x:c r="S463" s="22" t="str">
        <x:v>Not applicable — removed before screening</x:v>
      </x:c>
      <x:c r="T463" s="22" t="str">
        <x:v>Record was outside the active screening set.</x:v>
      </x:c>
      <x:c r="U463" s="22" t="str">
        <x:v>Removed before screening</x:v>
      </x:c>
      <x:c r="V463" s="22" t="str">
        <x:v>Confirmed duplicate removed during deduplication.</x:v>
      </x:c>
      <x:c r="W463" s="22" t="str">
        <x:v>No</x:v>
      </x:c>
      <x:c r="X463" s="22" t="str">
        <x:v>Not applicable</x:v>
      </x:c>
      <x:c r="Y463" s="22" t="str">
        <x:v>Not assessed</x:v>
      </x:c>
      <x:c r="Z463" s="22" t="str">
        <x:v>Not applicable — record removed before screening.</x:v>
      </x:c>
      <x:c r="AA463" s="22" t="str">
        <x:v>Not applicable</x:v>
      </x:c>
      <x:c r="AB463" s="22" t="str">
        <x:v>Record was not advanced to full-text assessment.</x:v>
      </x:c>
      <x:c r="AC463" s="22" t="str">
        <x:v>Not assessed</x:v>
      </x:c>
      <x:c r="AD463" s="22" t="str">
        <x:v>Not applicable — no full-text assessment was required.</x:v>
      </x:c>
      <x:c r="AE463" s="22" t="str">
        <x:v>Removed before screening</x:v>
      </x:c>
      <x:c r="AF463" s="22" t="str">
        <x:v>Not applicable — not included</x:v>
      </x:c>
      <x:c r="AG463" s="22" t="str">
        <x:v>Evidence: 774c9507-7bbd-4e80-a9c6-cd999d6e5004.png; page 2, result 6. Metadata transcribed from captured Google Scholar page; OCR-normalised, verify against publication before citation.</x:v>
      </x:c>
      <x:c r="AH463" s="20" t="str">
        <x:v>No duplicate identified under the documented matching rules.</x:v>
      </x:c>
    </x:row>
    <x:row r="464" ht="42" customHeight="1">
      <x:c r="A464" s="22" t="str">
        <x:v>GS-05-017</x:v>
      </x:c>
      <x:c r="B464" s="22" t="str">
        <x:v>Google Scholar</x:v>
      </x:c>
      <x:c r="C464" s="22" t="str">
        <x:v>GS-05</x:v>
      </x:c>
      <x:c r="D464" s="22" t="str">
        <x:v>Explainable neuro-symbolic artificial intelligance for automated interpretation of comeal topography and early keratoconus detection</x:v>
      </x:c>
      <x:c r="E464" s="22" t="str">
        <x:v>MH Wang S$ Qin</x:v>
      </x:c>
      <x:c r="F464" s="22" t="str">
        <x:v>NR</x:v>
      </x:c>
      <x:c r="G464" s="22" t="str">
        <x:v>“rontiers in Artiicial Invellgerce 202€ - frontiersin org</x:v>
      </x:c>
      <x:c r="H464" s="22" t="str">
        <x:v>Google Scholar result</x:v>
      </x:c>
      <x:c r="I464" s="22" t="str">
        <x:v>NR</x:v>
      </x:c>
      <x:c r="J464" s="22" t="str">
        <x:v>NR</x:v>
      </x:c>
      <x:c r="K464" s="22" t="str">
        <x:v>NR — URL not captured in the available source record</x:v>
      </x:c>
      <x:c r="L464" s="22" t="str">
        <x:v>Not available in the captured evidence; the screening decision used the title and available source metadata.</x:v>
      </x:c>
      <x:c r="M464" s="22" t="str">
        <x:v>Confirmed duplicate</x:v>
      </x:c>
      <x:c r="N464" s="22" t="str">
        <x:v>DG-007</x:v>
      </x:c>
      <x:c r="O464" s="22" t="str">
        <x:v>PM-018</x:v>
      </x:c>
      <x:c r="P464" s="22" t="str">
        <x:v>No</x:v>
      </x:c>
      <x:c r="Q464" s="22" t="str">
        <x:v>Not screened</x:v>
      </x:c>
      <x:c r="R464" s="22" t="str">
        <x:v>Removed before title/abstract screening as a confirmed duplicate.</x:v>
      </x:c>
      <x:c r="S464" s="22" t="str">
        <x:v>Not applicable — removed before screening</x:v>
      </x:c>
      <x:c r="T464" s="22" t="str">
        <x:v>Record was outside the active screening set.</x:v>
      </x:c>
      <x:c r="U464" s="22" t="str">
        <x:v>Removed before screening</x:v>
      </x:c>
      <x:c r="V464" s="22" t="str">
        <x:v>Confirmed duplicate removed during deduplication.</x:v>
      </x:c>
      <x:c r="W464" s="22" t="str">
        <x:v>No</x:v>
      </x:c>
      <x:c r="X464" s="22" t="str">
        <x:v>Not applicable</x:v>
      </x:c>
      <x:c r="Y464" s="22" t="str">
        <x:v>Not assessed</x:v>
      </x:c>
      <x:c r="Z464" s="22" t="str">
        <x:v>Not applicable — record removed before screening.</x:v>
      </x:c>
      <x:c r="AA464" s="22" t="str">
        <x:v>Not applicable</x:v>
      </x:c>
      <x:c r="AB464" s="22" t="str">
        <x:v>Record was not advanced to full-text assessment.</x:v>
      </x:c>
      <x:c r="AC464" s="22" t="str">
        <x:v>Not assessed</x:v>
      </x:c>
      <x:c r="AD464" s="22" t="str">
        <x:v>Not applicable — no full-text assessment was required.</x:v>
      </x:c>
      <x:c r="AE464" s="22" t="str">
        <x:v>Removed before screening</x:v>
      </x:c>
      <x:c r="AF464" s="22" t="str">
        <x:v>Not applicable — not included</x:v>
      </x:c>
      <x:c r="AG464" s="22" t="str">
        <x:v>Evidence: 774c9507-7bbd-4e80-a9c6-cd999d6e5004.png; page 2, result 7. Metadata transcribed from captured Google Scholar page; OCR-normalised, verify against publication before citation.</x:v>
      </x:c>
      <x:c r="AH464" s="20" t="str">
        <x:v>Confirmed using DOI/title evidence; identifier/title evidence; normalized title across captured searches.</x:v>
      </x:c>
    </x:row>
    <x:row r="465" ht="42" customHeight="1">
      <x:c r="A465" s="22" t="str">
        <x:v>GS-05-018</x:v>
      </x:c>
      <x:c r="B465" s="22" t="str">
        <x:v>Google Scholar</x:v>
      </x:c>
      <x:c r="C465" s="22" t="str">
        <x:v>GS-05</x:v>
      </x:c>
      <x:c r="D465" s="22" t="str">
        <x:v>An explainable Al framework for corneal imaging interpretation and refractive surgery decision support</x:v>
      </x:c>
      <x:c r="E465" s="22" t="str">
        <x:v>MH \“iang</x:v>
      </x:c>
      <x:c r="F465" s="22" t="n">
        <x:v>2025</x:v>
      </x:c>
      <x:c r="G465" s="22" t="str">
        <x:v>Binenginesnng 2025 - mapi cor</x:v>
      </x:c>
      <x:c r="H465" s="22" t="str">
        <x:v>Google Scholar result</x:v>
      </x:c>
      <x:c r="I465" s="22" t="str">
        <x:v>NR</x:v>
      </x:c>
      <x:c r="J465" s="22" t="str">
        <x:v>NR</x:v>
      </x:c>
      <x:c r="K465" s="22" t="str">
        <x:v>NR — URL not captured in the available source record</x:v>
      </x:c>
      <x:c r="L465" s="22" t="str">
        <x:v>Not available in the captured evidence; the screening decision used the title and available source metadata.</x:v>
      </x:c>
      <x:c r="M465" s="22" t="str">
        <x:v>Confirmed duplicate</x:v>
      </x:c>
      <x:c r="N465" s="22" t="str">
        <x:v>DG-005</x:v>
      </x:c>
      <x:c r="O465" s="22" t="str">
        <x:v>PM-016</x:v>
      </x:c>
      <x:c r="P465" s="22" t="str">
        <x:v>No</x:v>
      </x:c>
      <x:c r="Q465" s="22" t="str">
        <x:v>Not screened</x:v>
      </x:c>
      <x:c r="R465" s="22" t="str">
        <x:v>Removed before title/abstract screening as a confirmed duplicate.</x:v>
      </x:c>
      <x:c r="S465" s="22" t="str">
        <x:v>Not applicable — removed before screening</x:v>
      </x:c>
      <x:c r="T465" s="22" t="str">
        <x:v>Record was outside the active screening set.</x:v>
      </x:c>
      <x:c r="U465" s="22" t="str">
        <x:v>Removed before screening</x:v>
      </x:c>
      <x:c r="V465" s="22" t="str">
        <x:v>Confirmed duplicate removed during deduplication.</x:v>
      </x:c>
      <x:c r="W465" s="22" t="str">
        <x:v>No</x:v>
      </x:c>
      <x:c r="X465" s="22" t="str">
        <x:v>Not applicable</x:v>
      </x:c>
      <x:c r="Y465" s="22" t="str">
        <x:v>Not assessed</x:v>
      </x:c>
      <x:c r="Z465" s="22" t="str">
        <x:v>Not applicable — record removed before screening.</x:v>
      </x:c>
      <x:c r="AA465" s="22" t="str">
        <x:v>Not applicable</x:v>
      </x:c>
      <x:c r="AB465" s="22" t="str">
        <x:v>Record was not advanced to full-text assessment.</x:v>
      </x:c>
      <x:c r="AC465" s="22" t="str">
        <x:v>Not assessed</x:v>
      </x:c>
      <x:c r="AD465" s="22" t="str">
        <x:v>Not applicable — no full-text assessment was required.</x:v>
      </x:c>
      <x:c r="AE465" s="22" t="str">
        <x:v>Removed before screening</x:v>
      </x:c>
      <x:c r="AF465" s="22" t="str">
        <x:v>Not applicable — not included</x:v>
      </x:c>
      <x:c r="AG465" s="22" t="str">
        <x:v>Evidence: 774c9507-7bbd-4e80-a9c6-cd999d6e5004.png; page 2, result 8. Metadata transcribed from captured Google Scholar page; OCR-normalised, verify against publication before citation.</x:v>
      </x:c>
      <x:c r="AH465" s="20" t="str">
        <x:v>Confirmed using DOI/title evidence; identifier/title evidence; normalized title across captured searches.</x:v>
      </x:c>
    </x:row>
    <x:row r="466" ht="42" customHeight="1">
      <x:c r="A466" s="22" t="str">
        <x:v>GS-05-019</x:v>
      </x:c>
      <x:c r="B466" s="22" t="str">
        <x:v>Google Scholar</x:v>
      </x:c>
      <x:c r="C466" s="22" t="str">
        <x:v>GS-05</x:v>
      </x:c>
      <x:c r="D466" s="22" t="str">
        <x:v>interpretable hybrid CNN-ViT framework with neuro-symbolic clinical decision support for early cervical cancer diagnosis</x:v>
      </x:c>
      <x:c r="E466" s="22" t="str">
        <x:v>HT Hatawani EM Secan EMAse™ Othman =</x:v>
      </x:c>
      <x:c r="F466" s="22" t="n">
        <x:v>2026</x:v>
      </x:c>
      <x:c r="G466" s="22" t="str">
        <x:v>Scientific Reporls 2026 - nature corr</x:v>
      </x:c>
      <x:c r="H466" s="22" t="str">
        <x:v>Google Scholar result</x:v>
      </x:c>
      <x:c r="I466" s="22" t="str">
        <x:v>NR</x:v>
      </x:c>
      <x:c r="J466" s="22" t="str">
        <x:v>NR</x:v>
      </x:c>
      <x:c r="K466" s="22" t="str">
        <x:v>NR — URL not captured in the available source record</x:v>
      </x:c>
      <x:c r="L466" s="22" t="str">
        <x:v>Not available in the captured evidence; the screening decision used the title and available source metadata.</x:v>
      </x:c>
      <x:c r="M466" s="22" t="str">
        <x:v>Confirmed duplicate</x:v>
      </x:c>
      <x:c r="N466" s="22" t="str">
        <x:v>DG-040</x:v>
      </x:c>
      <x:c r="O466" s="22" t="str">
        <x:v>GS-04-033</x:v>
      </x:c>
      <x:c r="P466" s="22" t="str">
        <x:v>No</x:v>
      </x:c>
      <x:c r="Q466" s="22" t="str">
        <x:v>Not screened</x:v>
      </x:c>
      <x:c r="R466" s="22" t="str">
        <x:v>Removed before title/abstract screening as a confirmed duplicate.</x:v>
      </x:c>
      <x:c r="S466" s="22" t="str">
        <x:v>Not applicable — removed before screening</x:v>
      </x:c>
      <x:c r="T466" s="22" t="str">
        <x:v>Record was outside the active screening set.</x:v>
      </x:c>
      <x:c r="U466" s="22" t="str">
        <x:v>Removed before screening</x:v>
      </x:c>
      <x:c r="V466" s="22" t="str">
        <x:v>Confirmed duplicate removed during deduplication.</x:v>
      </x:c>
      <x:c r="W466" s="22" t="str">
        <x:v>No</x:v>
      </x:c>
      <x:c r="X466" s="22" t="str">
        <x:v>Not applicable</x:v>
      </x:c>
      <x:c r="Y466" s="22" t="str">
        <x:v>Not assessed</x:v>
      </x:c>
      <x:c r="Z466" s="22" t="str">
        <x:v>Not applicable — record removed before screening.</x:v>
      </x:c>
      <x:c r="AA466" s="22" t="str">
        <x:v>Not applicable</x:v>
      </x:c>
      <x:c r="AB466" s="22" t="str">
        <x:v>Record was not advanced to full-text assessment.</x:v>
      </x:c>
      <x:c r="AC466" s="22" t="str">
        <x:v>Not assessed</x:v>
      </x:c>
      <x:c r="AD466" s="22" t="str">
        <x:v>Not applicable — no full-text assessment was required.</x:v>
      </x:c>
      <x:c r="AE466" s="22" t="str">
        <x:v>Removed before screening</x:v>
      </x:c>
      <x:c r="AF466" s="22" t="str">
        <x:v>Not applicable — not included</x:v>
      </x:c>
      <x:c r="AG466" s="22" t="str">
        <x:v>Evidence: 774c9507-7bbd-4e80-a9c6-cd999d6e5004.png; page 2, result 9. Metadata transcribed from captured Google Scholar page; OCR-normalised, verify against publication before citation.</x:v>
      </x:c>
      <x:c r="AH466" s="20" t="str">
        <x:v>Confirmed using normalized title across captured searches.</x:v>
      </x:c>
    </x:row>
    <x:row r="467" ht="42" customHeight="1">
      <x:c r="A467" s="22" t="str">
        <x:v>GS-05-020</x:v>
      </x:c>
      <x:c r="B467" s="22" t="str">
        <x:v>Google Scholar</x:v>
      </x:c>
      <x:c r="C467" s="22" t="str">
        <x:v>GS-05</x:v>
      </x:c>
      <x:c r="D467" s="22" t="str">
        <x:v>Attention-based Neuro-Symbolic Regularization for Multi-Label Prediction of Diabetic Complications</x:v>
      </x:c>
      <x:c r="E467" s="22" t="str">
        <x:v>2 Liang, +¥ Qin, ¥ Derg. Rviang. L Zhu =. Avaisbla atSSRN =. papars ssn com</x:v>
      </x:c>
      <x:c r="F467" s="22" t="str">
        <x:v>NR</x:v>
      </x:c>
      <x:c r="G467" s="22" t="str">
        <x:v>2 Liang, +¥ Qin, ¥ Derg. Rviang. L Zhu =. Avaisbla atSSRN =. papars ssn com</x:v>
      </x:c>
      <x:c r="H467" s="22" t="str">
        <x:v>Google Scholar result</x:v>
      </x:c>
      <x:c r="I467" s="22" t="str">
        <x:v>NR</x:v>
      </x:c>
      <x:c r="J467" s="22" t="str">
        <x:v>NR</x:v>
      </x:c>
      <x:c r="K467" s="22" t="str">
        <x:v>NR — URL not captured in the available source record</x:v>
      </x:c>
      <x:c r="L467" s="22" t="str">
        <x:v>Not available in the captured evidence; the screening decision used the title and available source metadata.</x:v>
      </x:c>
      <x:c r="M467" s="22" t="str">
        <x:v>Confirmed duplicate</x:v>
      </x:c>
      <x:c r="N467" s="22" t="str">
        <x:v>DG-038</x:v>
      </x:c>
      <x:c r="O467" s="22" t="str">
        <x:v>GS-04-031</x:v>
      </x:c>
      <x:c r="P467" s="22" t="str">
        <x:v>No</x:v>
      </x:c>
      <x:c r="Q467" s="22" t="str">
        <x:v>Not screened</x:v>
      </x:c>
      <x:c r="R467" s="22" t="str">
        <x:v>Removed before title/abstract screening as a confirmed duplicate.</x:v>
      </x:c>
      <x:c r="S467" s="22" t="str">
        <x:v>Not applicable — removed before screening</x:v>
      </x:c>
      <x:c r="T467" s="22" t="str">
        <x:v>Record was outside the active screening set.</x:v>
      </x:c>
      <x:c r="U467" s="22" t="str">
        <x:v>Removed before screening</x:v>
      </x:c>
      <x:c r="V467" s="22" t="str">
        <x:v>Confirmed duplicate removed during deduplication.</x:v>
      </x:c>
      <x:c r="W467" s="22" t="str">
        <x:v>No</x:v>
      </x:c>
      <x:c r="X467" s="22" t="str">
        <x:v>Not applicable</x:v>
      </x:c>
      <x:c r="Y467" s="22" t="str">
        <x:v>Not assessed</x:v>
      </x:c>
      <x:c r="Z467" s="22" t="str">
        <x:v>Not applicable — record removed before screening.</x:v>
      </x:c>
      <x:c r="AA467" s="22" t="str">
        <x:v>Not applicable</x:v>
      </x:c>
      <x:c r="AB467" s="22" t="str">
        <x:v>Record was not advanced to full-text assessment.</x:v>
      </x:c>
      <x:c r="AC467" s="22" t="str">
        <x:v>Not assessed</x:v>
      </x:c>
      <x:c r="AD467" s="22" t="str">
        <x:v>Not applicable — no full-text assessment was required.</x:v>
      </x:c>
      <x:c r="AE467" s="22" t="str">
        <x:v>Removed before screening</x:v>
      </x:c>
      <x:c r="AF467" s="22" t="str">
        <x:v>Not applicable — not included</x:v>
      </x:c>
      <x:c r="AG467" s="22" t="str">
        <x:v>Evidence: 774c9507-7bbd-4e80-a9c6-cd999d6e5004.png; page 2, result 10. Metadata transcribed from captured Google Scholar page; OCR-normalised, verify against publication before citation.</x:v>
      </x:c>
      <x:c r="AH467" s="20" t="str">
        <x:v>Confirmed using normalized title across captured searches.</x:v>
      </x:c>
    </x:row>
    <x:row r="468" ht="42" customHeight="1">
      <x:c r="A468" s="22" t="str">
        <x:v>GS-05-021</x:v>
      </x:c>
      <x:c r="B468" s="22" t="str">
        <x:v>Google Scholar</x:v>
      </x:c>
      <x:c r="C468" s="22" t="str">
        <x:v>GS-05</x:v>
      </x:c>
      <x:c r="D468" s="22" t="str">
        <x:v>Naisy Pixels, Credible Decisions-A Robust, Edge-Ready Neuro-Symbolic Architecture for Rural {African} Clinics</x:v>
      </x:c>
      <x:c r="E468" s="22" t="str">
        <x:v>CK Kubakisa. K Kyarnakya, WV Kambale -20251EEE .. 2025</x:v>
      </x:c>
      <x:c r="F468" s="22" t="n">
        <x:v>2025</x:v>
      </x:c>
      <x:c r="G468" s="22" t="str">
        <x:v>ieeexalore ieee ong</x:v>
      </x:c>
      <x:c r="H468" s="22" t="str">
        <x:v>Google Scholar result</x:v>
      </x:c>
      <x:c r="I468" s="22" t="str">
        <x:v>NR</x:v>
      </x:c>
      <x:c r="J468" s="22" t="str">
        <x:v>NR</x:v>
      </x:c>
      <x:c r="K468" s="22" t="str">
        <x:v>NR — URL not captured in the available source record</x:v>
      </x:c>
      <x:c r="L468" s="22" t="str">
        <x:v>Not available in the captured evidence; the screening decision used the title and available source metadata.</x:v>
      </x:c>
      <x:c r="M468" s="22" t="str">
        <x:v>Confirmed duplicate</x:v>
      </x:c>
      <x:c r="N468" s="22" t="str">
        <x:v>DG-091</x:v>
      </x:c>
      <x:c r="O468" s="22" t="str">
        <x:v>GS-04-029</x:v>
      </x:c>
      <x:c r="P468" s="22" t="str">
        <x:v>No</x:v>
      </x:c>
      <x:c r="Q468" s="22" t="str">
        <x:v>Not screened</x:v>
      </x:c>
      <x:c r="R468" s="22" t="str">
        <x:v>Removed before title/abstract screening as a confirmed duplicate.</x:v>
      </x:c>
      <x:c r="S468" s="22" t="str">
        <x:v>Not applicable — removed before screening</x:v>
      </x:c>
      <x:c r="T468" s="22" t="str">
        <x:v>Record was outside the active screening set.</x:v>
      </x:c>
      <x:c r="U468" s="22" t="str">
        <x:v>Removed before screening</x:v>
      </x:c>
      <x:c r="V468" s="22" t="str">
        <x:v>Confirmed duplicate removed during deduplication.</x:v>
      </x:c>
      <x:c r="W468" s="22" t="str">
        <x:v>No</x:v>
      </x:c>
      <x:c r="X468" s="22" t="str">
        <x:v>Not applicable</x:v>
      </x:c>
      <x:c r="Y468" s="22" t="str">
        <x:v>Not assessed</x:v>
      </x:c>
      <x:c r="Z468" s="22" t="str">
        <x:v>Not applicable — record removed before screening.</x:v>
      </x:c>
      <x:c r="AA468" s="22" t="str">
        <x:v>Not applicable</x:v>
      </x:c>
      <x:c r="AB468" s="22" t="str">
        <x:v>Record was not advanced to full-text assessment.</x:v>
      </x:c>
      <x:c r="AC468" s="22" t="str">
        <x:v>Not assessed</x:v>
      </x:c>
      <x:c r="AD468" s="22" t="str">
        <x:v>Not applicable — no full-text assessment was required.</x:v>
      </x:c>
      <x:c r="AE468" s="22" t="str">
        <x:v>Removed before screening</x:v>
      </x:c>
      <x:c r="AF468" s="22" t="str">
        <x:v>Not applicable — not included</x:v>
      </x:c>
      <x:c r="AG468" s="22" t="str">
        <x:v>Evidence: 16a47880-c9bc-42de-8ed7-4b53383cb043.png; page 3, result 1. Metadata transcribed from captured Google Scholar page; OCR-normalised, verify against publication before citation.</x:v>
      </x:c>
      <x:c r="AH468" s="20" t="str">
        <x:v>No duplicate identified under the documented matching rules.</x:v>
      </x:c>
    </x:row>
    <x:row r="469" ht="42" customHeight="1">
      <x:c r="A469" s="22" t="str">
        <x:v>GS-05-022</x:v>
      </x:c>
      <x:c r="B469" s="22" t="str">
        <x:v>Google Scholar</x:v>
      </x:c>
      <x:c r="C469" s="22" t="str">
        <x:v>GS-05</x:v>
      </x:c>
      <x:c r="D469" s="22" t="str">
        <x:v>NeRO- Neuro-Symbolic Rule Distillation for Efficient Ontology-Grounded Chain- of-Thought in Medical Image Diagnosis</x:v>
      </x:c>
      <x:c r="E469" s="22" t="str">
        <x:v>H Yang ¥ Jiang SYan JCrow ELI, C Poon + ark prapnnt arXiv =. 2026</x:v>
      </x:c>
      <x:c r="F469" s="22" t="n">
        <x:v>2026</x:v>
      </x:c>
      <x:c r="G469" s="22" t="str">
        <x:v>axivorg</x:v>
      </x:c>
      <x:c r="H469" s="22" t="str">
        <x:v>Google Scholar result</x:v>
      </x:c>
      <x:c r="I469" s="22" t="str">
        <x:v>NR</x:v>
      </x:c>
      <x:c r="J469" s="22" t="str">
        <x:v>NR</x:v>
      </x:c>
      <x:c r="K469" s="22" t="str">
        <x:v>NR — URL not captured in the available source record</x:v>
      </x:c>
      <x:c r="L469" s="22" t="str">
        <x:v>Not available in the captured evidence; the screening decision used the title and available source metadata.</x:v>
      </x:c>
      <x:c r="M469" s="22" t="str">
        <x:v>Confirmed duplicate</x:v>
      </x:c>
      <x:c r="N469" s="22" t="str">
        <x:v>DG-088</x:v>
      </x:c>
      <x:c r="O469" s="22" t="str">
        <x:v>GS-01-050</x:v>
      </x:c>
      <x:c r="P469" s="22" t="str">
        <x:v>No</x:v>
      </x:c>
      <x:c r="Q469" s="22" t="str">
        <x:v>Not screened</x:v>
      </x:c>
      <x:c r="R469" s="22" t="str">
        <x:v>Removed before title/abstract screening as a confirmed duplicate.</x:v>
      </x:c>
      <x:c r="S469" s="22" t="str">
        <x:v>Not applicable — removed before screening</x:v>
      </x:c>
      <x:c r="T469" s="22" t="str">
        <x:v>Record was outside the active screening set.</x:v>
      </x:c>
      <x:c r="U469" s="22" t="str">
        <x:v>Removed before screening</x:v>
      </x:c>
      <x:c r="V469" s="22" t="str">
        <x:v>Confirmed duplicate removed during deduplication.</x:v>
      </x:c>
      <x:c r="W469" s="22" t="str">
        <x:v>No</x:v>
      </x:c>
      <x:c r="X469" s="22" t="str">
        <x:v>Not applicable</x:v>
      </x:c>
      <x:c r="Y469" s="22" t="str">
        <x:v>Not assessed</x:v>
      </x:c>
      <x:c r="Z469" s="22" t="str">
        <x:v>Not applicable — record removed before screening.</x:v>
      </x:c>
      <x:c r="AA469" s="22" t="str">
        <x:v>Not applicable</x:v>
      </x:c>
      <x:c r="AB469" s="22" t="str">
        <x:v>Record was not advanced to full-text assessment.</x:v>
      </x:c>
      <x:c r="AC469" s="22" t="str">
        <x:v>Not assessed</x:v>
      </x:c>
      <x:c r="AD469" s="22" t="str">
        <x:v>Not applicable — no full-text assessment was required.</x:v>
      </x:c>
      <x:c r="AE469" s="22" t="str">
        <x:v>Removed before screening</x:v>
      </x:c>
      <x:c r="AF469" s="22" t="str">
        <x:v>Not applicable — not included</x:v>
      </x:c>
      <x:c r="AG469" s="22" t="str">
        <x:v>Evidence: 16a47880-c9bc-42de-8ed7-4b53383cb043.png; page 3, result 2. Metadata transcribed from captured Google Scholar page; OCR-normalised, verify against publication before citation.</x:v>
      </x:c>
      <x:c r="AH469" s="20" t="str">
        <x:v>No duplicate identified under the documented matching rules.</x:v>
      </x:c>
    </x:row>
    <x:row r="470" ht="42" customHeight="1">
      <x:c r="A470" s="22" t="str">
        <x:v>GS-05-023</x:v>
      </x:c>
      <x:c r="B470" s="22" t="str">
        <x:v>Google Scholar</x:v>
      </x:c>
      <x:c r="C470" s="22" t="str">
        <x:v>GS-05</x:v>
      </x:c>
      <x:c r="D470" s="22" t="str">
        <x:v>A Klemory-Assisted Neuro-Symbolic Approach for Chestradiography Classification</x:v>
      </x:c>
      <x:c r="E470" s="22" t="str">
        <x:v>H Zhang CS Lima, R Samorinha 4 Tavares</x:v>
      </x:c>
      <x:c r="F470" s="22" t="str">
        <x:v>NR</x:v>
      </x:c>
      <x:c r="G470" s="22" t="str">
        <x:v>Available al SSR - papers ssrn com</x:v>
      </x:c>
      <x:c r="H470" s="22" t="str">
        <x:v>Google Scholar result</x:v>
      </x:c>
      <x:c r="I470" s="22" t="str">
        <x:v>NR</x:v>
      </x:c>
      <x:c r="J470" s="22" t="str">
        <x:v>NR</x:v>
      </x:c>
      <x:c r="K470" s="22" t="str">
        <x:v>NR — URL not captured in the available source record</x:v>
      </x:c>
      <x:c r="L470" s="22" t="str">
        <x:v>Not available in the captured evidence; the screening decision used the title and available source metadata.</x:v>
      </x:c>
      <x:c r="M470" s="22" t="str">
        <x:v>Confirmed duplicate</x:v>
      </x:c>
      <x:c r="N470" s="22" t="str">
        <x:v>DG-035</x:v>
      </x:c>
      <x:c r="O470" s="22" t="str">
        <x:v>GS-04-027</x:v>
      </x:c>
      <x:c r="P470" s="22" t="str">
        <x:v>No</x:v>
      </x:c>
      <x:c r="Q470" s="22" t="str">
        <x:v>Not screened</x:v>
      </x:c>
      <x:c r="R470" s="22" t="str">
        <x:v>Removed before title/abstract screening as a confirmed duplicate.</x:v>
      </x:c>
      <x:c r="S470" s="22" t="str">
        <x:v>Not applicable — removed before screening</x:v>
      </x:c>
      <x:c r="T470" s="22" t="str">
        <x:v>Record was outside the active screening set.</x:v>
      </x:c>
      <x:c r="U470" s="22" t="str">
        <x:v>Removed before screening</x:v>
      </x:c>
      <x:c r="V470" s="22" t="str">
        <x:v>Confirmed duplicate removed during deduplication.</x:v>
      </x:c>
      <x:c r="W470" s="22" t="str">
        <x:v>No</x:v>
      </x:c>
      <x:c r="X470" s="22" t="str">
        <x:v>Not applicable</x:v>
      </x:c>
      <x:c r="Y470" s="22" t="str">
        <x:v>Not assessed</x:v>
      </x:c>
      <x:c r="Z470" s="22" t="str">
        <x:v>Not applicable — record removed before screening.</x:v>
      </x:c>
      <x:c r="AA470" s="22" t="str">
        <x:v>Not applicable</x:v>
      </x:c>
      <x:c r="AB470" s="22" t="str">
        <x:v>Record was not advanced to full-text assessment.</x:v>
      </x:c>
      <x:c r="AC470" s="22" t="str">
        <x:v>Not assessed</x:v>
      </x:c>
      <x:c r="AD470" s="22" t="str">
        <x:v>Not applicable — no full-text assessment was required.</x:v>
      </x:c>
      <x:c r="AE470" s="22" t="str">
        <x:v>Removed before screening</x:v>
      </x:c>
      <x:c r="AF470" s="22" t="str">
        <x:v>Not applicable — not included</x:v>
      </x:c>
      <x:c r="AG470" s="22" t="str">
        <x:v>Evidence: 16a47880-c9bc-42de-8ed7-4b53383cb043.png; page 3, result 3. Metadata transcribed from captured Google Scholar page; OCR-normalised, verify against publication before citation.</x:v>
      </x:c>
      <x:c r="AH470" s="20" t="str">
        <x:v>Confirmed using normalized title across captured searches.</x:v>
      </x:c>
    </x:row>
    <x:row r="471" ht="42" customHeight="1">
      <x:c r="A471" s="22" t="str">
        <x:v>GS-05-024</x:v>
      </x:c>
      <x:c r="B471" s="22" t="str">
        <x:v>Google Scholar</x:v>
      </x:c>
      <x:c r="C471" s="22" t="str">
        <x:v>GS-05</x:v>
      </x:c>
      <x:c r="D471" s="22" t="str">
        <x:v>The roles of symbols in neural-based Al’ they are not what you think!</x:v>
      </x:c>
      <x:c r="E471" s="22" t="str">
        <x:v>DL Silver TM Mitchell. Comperdium of Necrosymbolic = 2923</x:v>
      </x:c>
      <x:c r="F471" s="22" t="str">
        <x:v>NR</x:v>
      </x:c>
      <x:c r="G471" s="22" t="str">
        <x:v>toLrna:s sagepuk corr</x:v>
      </x:c>
      <x:c r="H471" s="22" t="str">
        <x:v>Google Scholar result</x:v>
      </x:c>
      <x:c r="I471" s="22" t="str">
        <x:v>NR</x:v>
      </x:c>
      <x:c r="J471" s="22" t="str">
        <x:v>NR</x:v>
      </x:c>
      <x:c r="K471" s="22" t="str">
        <x:v>NR — URL not captured in the available source record</x:v>
      </x:c>
      <x:c r="L471" s="22" t="str">
        <x:v>Not available in the captured evidence; the screening decision used the title and available source metadata.</x:v>
      </x:c>
      <x:c r="M471" s="22" t="str">
        <x:v>Confirmed duplicate</x:v>
      </x:c>
      <x:c r="N471" s="22" t="str">
        <x:v>DG-036</x:v>
      </x:c>
      <x:c r="O471" s="22" t="str">
        <x:v>GS-04-028</x:v>
      </x:c>
      <x:c r="P471" s="22" t="str">
        <x:v>No</x:v>
      </x:c>
      <x:c r="Q471" s="22" t="str">
        <x:v>Not screened</x:v>
      </x:c>
      <x:c r="R471" s="22" t="str">
        <x:v>Removed before title/abstract screening as a confirmed duplicate.</x:v>
      </x:c>
      <x:c r="S471" s="22" t="str">
        <x:v>Not applicable — removed before screening</x:v>
      </x:c>
      <x:c r="T471" s="22" t="str">
        <x:v>Record was outside the active screening set.</x:v>
      </x:c>
      <x:c r="U471" s="22" t="str">
        <x:v>Removed before screening</x:v>
      </x:c>
      <x:c r="V471" s="22" t="str">
        <x:v>Confirmed duplicate removed during deduplication.</x:v>
      </x:c>
      <x:c r="W471" s="22" t="str">
        <x:v>No</x:v>
      </x:c>
      <x:c r="X471" s="22" t="str">
        <x:v>Not applicable</x:v>
      </x:c>
      <x:c r="Y471" s="22" t="str">
        <x:v>Not assessed</x:v>
      </x:c>
      <x:c r="Z471" s="22" t="str">
        <x:v>Not applicable — record removed before screening.</x:v>
      </x:c>
      <x:c r="AA471" s="22" t="str">
        <x:v>Not applicable</x:v>
      </x:c>
      <x:c r="AB471" s="22" t="str">
        <x:v>Record was not advanced to full-text assessment.</x:v>
      </x:c>
      <x:c r="AC471" s="22" t="str">
        <x:v>Not assessed</x:v>
      </x:c>
      <x:c r="AD471" s="22" t="str">
        <x:v>Not applicable — no full-text assessment was required.</x:v>
      </x:c>
      <x:c r="AE471" s="22" t="str">
        <x:v>Removed before screening</x:v>
      </x:c>
      <x:c r="AF471" s="22" t="str">
        <x:v>Not applicable — not included</x:v>
      </x:c>
      <x:c r="AG471" s="22" t="str">
        <x:v>Evidence: 16a47880-c9bc-42de-8ed7-4b53383cb043.png; page 3, result 4. Metadata transcribed from captured Google Scholar page; OCR-normalised, verify against publication before citation.</x:v>
      </x:c>
      <x:c r="AH471" s="20" t="str">
        <x:v>Confirmed using normalized title across captured searches.</x:v>
      </x:c>
    </x:row>
    <x:row r="472" ht="42" customHeight="1">
      <x:c r="A472" s="22" t="str">
        <x:v>GS-05-025</x:v>
      </x:c>
      <x:c r="B472" s="22" t="str">
        <x:v>Google Scholar</x:v>
      </x:c>
      <x:c r="C472" s="22" t="str">
        <x:v>GS-05</x:v>
      </x:c>
      <x:c r="D472" s="22" t="str">
        <x:v>Teach me how to learn A perspective review towards user-centered neuro- symbolic learning for robotic surgical systems</x:v>
      </x:c>
      <x:c r="E472" s="22" t="str">
        <x:v>AGomsa &amp; Mphdy N Kleer A Fed F Kirchner + arXiv preprint arXiv = 2023</x:v>
      </x:c>
      <x:c r="F472" s="22" t="n">
        <x:v>2023</x:v>
      </x:c>
      <x:c r="G472" s="22" t="str">
        <x:v>arxivorg</x:v>
      </x:c>
      <x:c r="H472" s="22" t="str">
        <x:v>Google Scholar result</x:v>
      </x:c>
      <x:c r="I472" s="22" t="str">
        <x:v>NR</x:v>
      </x:c>
      <x:c r="J472" s="22" t="str">
        <x:v>NR</x:v>
      </x:c>
      <x:c r="K472" s="22" t="str">
        <x:v>NR — URL not captured in the available source record</x:v>
      </x:c>
      <x:c r="L472" s="22" t="str">
        <x:v>Not available in the captured evidence; the screening decision used the title and available source metadata.</x:v>
      </x:c>
      <x:c r="M472" s="22" t="str">
        <x:v>Confirmed duplicate</x:v>
      </x:c>
      <x:c r="N472" s="22" t="str">
        <x:v>DG-037</x:v>
      </x:c>
      <x:c r="O472" s="22" t="str">
        <x:v>GS-04-030</x:v>
      </x:c>
      <x:c r="P472" s="22" t="str">
        <x:v>No</x:v>
      </x:c>
      <x:c r="Q472" s="22" t="str">
        <x:v>Not screened</x:v>
      </x:c>
      <x:c r="R472" s="22" t="str">
        <x:v>Removed before title/abstract screening as a confirmed duplicate.</x:v>
      </x:c>
      <x:c r="S472" s="22" t="str">
        <x:v>Not applicable — removed before screening</x:v>
      </x:c>
      <x:c r="T472" s="22" t="str">
        <x:v>Record was outside the active screening set.</x:v>
      </x:c>
      <x:c r="U472" s="22" t="str">
        <x:v>Removed before screening</x:v>
      </x:c>
      <x:c r="V472" s="22" t="str">
        <x:v>Confirmed duplicate removed during deduplication.</x:v>
      </x:c>
      <x:c r="W472" s="22" t="str">
        <x:v>No</x:v>
      </x:c>
      <x:c r="X472" s="22" t="str">
        <x:v>Not applicable</x:v>
      </x:c>
      <x:c r="Y472" s="22" t="str">
        <x:v>Not assessed</x:v>
      </x:c>
      <x:c r="Z472" s="22" t="str">
        <x:v>Not applicable — record removed before screening.</x:v>
      </x:c>
      <x:c r="AA472" s="22" t="str">
        <x:v>Not applicable</x:v>
      </x:c>
      <x:c r="AB472" s="22" t="str">
        <x:v>Record was not advanced to full-text assessment.</x:v>
      </x:c>
      <x:c r="AC472" s="22" t="str">
        <x:v>Not assessed</x:v>
      </x:c>
      <x:c r="AD472" s="22" t="str">
        <x:v>Not applicable — no full-text assessment was required.</x:v>
      </x:c>
      <x:c r="AE472" s="22" t="str">
        <x:v>Removed before screening</x:v>
      </x:c>
      <x:c r="AF472" s="22" t="str">
        <x:v>Not applicable — not included</x:v>
      </x:c>
      <x:c r="AG472" s="22" t="str">
        <x:v>Evidence: 16a47880-c9bc-42de-8ed7-4b53383cb043.png; page 3, result 5. Metadata transcribed from captured Google Scholar page; OCR-normalised, verify against publication before citation.</x:v>
      </x:c>
      <x:c r="AH472" s="20" t="str">
        <x:v>Confirmed using normalized title across captured searches.</x:v>
      </x:c>
    </x:row>
    <x:row r="473" ht="42" customHeight="1">
      <x:c r="A473" s="22" t="str">
        <x:v>GS-05-026</x:v>
      </x:c>
      <x:c r="B473" s="22" t="str">
        <x:v>Google Scholar</x:v>
      </x:c>
      <x:c r="C473" s="22" t="str">
        <x:v>GS-05</x:v>
      </x:c>
      <x:c r="D473" s="22" t="str">
        <x:v>Symbrotic Intelligence</x:v>
      </x:c>
      <x:c r="E473" s="22" t="str">
        <x:v>HAI Collaboraton</x:v>
      </x:c>
      <x:c r="F473" s="22" t="str">
        <x:v>NR</x:v>
      </x:c>
      <x:c r="G473" s="22" t="str">
        <x:v>api laylorfrancis com</x:v>
      </x:c>
      <x:c r="H473" s="22" t="str">
        <x:v>Google Scholar result</x:v>
      </x:c>
      <x:c r="I473" s="22" t="str">
        <x:v>NR</x:v>
      </x:c>
      <x:c r="J473" s="22" t="str">
        <x:v>NR</x:v>
      </x:c>
      <x:c r="K473" s="22" t="str">
        <x:v>NR — URL not captured in the available source record</x:v>
      </x:c>
      <x:c r="L473" s="22" t="str">
        <x:v>Not available in the captured evidence; the screening decision used the title and available source metadata.</x:v>
      </x:c>
      <x:c r="M473" s="22" t="str">
        <x:v>Confirmed duplicate</x:v>
      </x:c>
      <x:c r="N473" s="22" t="str">
        <x:v>DG-109</x:v>
      </x:c>
      <x:c r="O473" s="22" t="str">
        <x:v>GS-04-085</x:v>
      </x:c>
      <x:c r="P473" s="22" t="str">
        <x:v>No</x:v>
      </x:c>
      <x:c r="Q473" s="22" t="str">
        <x:v>Not screened</x:v>
      </x:c>
      <x:c r="R473" s="22" t="str">
        <x:v>Removed before title/abstract screening as a confirmed duplicate.</x:v>
      </x:c>
      <x:c r="S473" s="22" t="str">
        <x:v>Not applicable — removed before screening</x:v>
      </x:c>
      <x:c r="T473" s="22" t="str">
        <x:v>Record was outside the active screening set.</x:v>
      </x:c>
      <x:c r="U473" s="22" t="str">
        <x:v>Removed before screening</x:v>
      </x:c>
      <x:c r="V473" s="22" t="str">
        <x:v>Confirmed duplicate removed during deduplication.</x:v>
      </x:c>
      <x:c r="W473" s="22" t="str">
        <x:v>No</x:v>
      </x:c>
      <x:c r="X473" s="22" t="str">
        <x:v>Not applicable</x:v>
      </x:c>
      <x:c r="Y473" s="22" t="str">
        <x:v>Not assessed</x:v>
      </x:c>
      <x:c r="Z473" s="22" t="str">
        <x:v>Not applicable — record removed before screening.</x:v>
      </x:c>
      <x:c r="AA473" s="22" t="str">
        <x:v>Not applicable</x:v>
      </x:c>
      <x:c r="AB473" s="22" t="str">
        <x:v>Record was not advanced to full-text assessment.</x:v>
      </x:c>
      <x:c r="AC473" s="22" t="str">
        <x:v>Not assessed</x:v>
      </x:c>
      <x:c r="AD473" s="22" t="str">
        <x:v>Not applicable — no full-text assessment was required.</x:v>
      </x:c>
      <x:c r="AE473" s="22" t="str">
        <x:v>Removed before screening</x:v>
      </x:c>
      <x:c r="AF473" s="22" t="str">
        <x:v>Not applicable — not included</x:v>
      </x:c>
      <x:c r="AG473" s="22" t="str">
        <x:v>Evidence: 16a47880-c9bc-42de-8ed7-4b53383cb043.png; page 3, result 6. Metadata transcribed from captured Google Scholar page; OCR-normalised, verify against publication before citation.</x:v>
      </x:c>
      <x:c r="AH473" s="20" t="str">
        <x:v>No duplicate identified under the documented matching rules.</x:v>
      </x:c>
    </x:row>
    <x:row r="474" ht="42" customHeight="1">
      <x:c r="A474" s="22" t="str">
        <x:v>GS-05-027</x:v>
      </x:c>
      <x:c r="B474" s="22" t="str">
        <x:v>Google Scholar</x:v>
      </x:c>
      <x:c r="C474" s="22" t="str">
        <x:v>GS-05</x:v>
      </x:c>
      <x:c r="D474" s="22" t="str">
        <x:v>From Signals to Causes A Causal Signal Processing Framework for Robust and (nterpretable Clinical Risk Prediction</x:v>
      </x:c>
      <x:c r="E474" s="22" t="str">
        <x:v>S Jas Mao</x:v>
      </x:c>
      <x:c r="F474" s="22" t="n">
        <x:v>2026</x:v>
      </x:c>
      <x:c r="G474" s="22" t="str">
        <x:v>arXiv preprint arXiv 2602 23577 2026 - ann org</x:v>
      </x:c>
      <x:c r="H474" s="22" t="str">
        <x:v>Google Scholar result</x:v>
      </x:c>
      <x:c r="I474" s="22" t="str">
        <x:v>NR</x:v>
      </x:c>
      <x:c r="J474" s="22" t="str">
        <x:v>NR</x:v>
      </x:c>
      <x:c r="K474" s="22" t="str">
        <x:v>NR — URL not captured in the available source record</x:v>
      </x:c>
      <x:c r="L474" s="22" t="str">
        <x:v>Not available in the captured evidence; the screening decision used the title and available source metadata.</x:v>
      </x:c>
      <x:c r="M474" s="22" t="str">
        <x:v>Confirmed duplicate</x:v>
      </x:c>
      <x:c r="N474" s="22" t="str">
        <x:v>DG-047</x:v>
      </x:c>
      <x:c r="O474" s="22" t="str">
        <x:v>GS-04-052</x:v>
      </x:c>
      <x:c r="P474" s="22" t="str">
        <x:v>No</x:v>
      </x:c>
      <x:c r="Q474" s="22" t="str">
        <x:v>Not screened</x:v>
      </x:c>
      <x:c r="R474" s="22" t="str">
        <x:v>Removed before title/abstract screening as a confirmed duplicate.</x:v>
      </x:c>
      <x:c r="S474" s="22" t="str">
        <x:v>Not applicable — removed before screening</x:v>
      </x:c>
      <x:c r="T474" s="22" t="str">
        <x:v>Record was outside the active screening set.</x:v>
      </x:c>
      <x:c r="U474" s="22" t="str">
        <x:v>Removed before screening</x:v>
      </x:c>
      <x:c r="V474" s="22" t="str">
        <x:v>Confirmed duplicate removed during deduplication.</x:v>
      </x:c>
      <x:c r="W474" s="22" t="str">
        <x:v>No</x:v>
      </x:c>
      <x:c r="X474" s="22" t="str">
        <x:v>Not applicable</x:v>
      </x:c>
      <x:c r="Y474" s="22" t="str">
        <x:v>Not assessed</x:v>
      </x:c>
      <x:c r="Z474" s="22" t="str">
        <x:v>Not applicable — record removed before screening.</x:v>
      </x:c>
      <x:c r="AA474" s="22" t="str">
        <x:v>Not applicable</x:v>
      </x:c>
      <x:c r="AB474" s="22" t="str">
        <x:v>Record was not advanced to full-text assessment.</x:v>
      </x:c>
      <x:c r="AC474" s="22" t="str">
        <x:v>Not assessed</x:v>
      </x:c>
      <x:c r="AD474" s="22" t="str">
        <x:v>Not applicable — no full-text assessment was required.</x:v>
      </x:c>
      <x:c r="AE474" s="22" t="str">
        <x:v>Removed before screening</x:v>
      </x:c>
      <x:c r="AF474" s="22" t="str">
        <x:v>Not applicable — not included</x:v>
      </x:c>
      <x:c r="AG474" s="22" t="str">
        <x:v>Evidence: 16a47880-c9bc-42de-8ed7-4b53383cb043.png; page 3, result 7. Metadata transcribed from captured Google Scholar page; OCR-normalised, verify against publication before citation.</x:v>
      </x:c>
      <x:c r="AH474" s="20" t="str">
        <x:v>Confirmed using normalized title across captured searches.</x:v>
      </x:c>
    </x:row>
    <x:row r="475" ht="42" customHeight="1">
      <x:c r="A475" s="22" t="str">
        <x:v>GS-05-028</x:v>
      </x:c>
      <x:c r="B475" s="22" t="str">
        <x:v>Google Scholar</x:v>
      </x:c>
      <x:c r="C475" s="22" t="str">
        <x:v>GS-05</x:v>
      </x:c>
      <x:c r="D475" s="22" t="str">
        <x:v>Neura-Symbolic Sentiment Analysis Integrating Lexicon Features with Deep Learning Klodets</x:v>
      </x:c>
      <x:c r="E475" s="22" t="str">
        <x:v>NC Madala SDSPD Tallapedi VS Malladi</x:v>
      </x:c>
      <x:c r="F475" s="22" t="n">
        <x:v>2025</x:v>
      </x:c>
      <x:c r="G475" s="22" t="str">
        <x:v>Caon’erenceo~ Machine 2025 - Springer</x:v>
      </x:c>
      <x:c r="H475" s="22" t="str">
        <x:v>Google Scholar result</x:v>
      </x:c>
      <x:c r="I475" s="22" t="str">
        <x:v>NR</x:v>
      </x:c>
      <x:c r="J475" s="22" t="str">
        <x:v>NR</x:v>
      </x:c>
      <x:c r="K475" s="22" t="str">
        <x:v>NR — URL not captured in the available source record</x:v>
      </x:c>
      <x:c r="L475" s="22" t="str">
        <x:v>Not available in the captured evidence; the screening decision used the title and available source metadata.</x:v>
      </x:c>
      <x:c r="M475" s="22" t="str">
        <x:v>Confirmed duplicate</x:v>
      </x:c>
      <x:c r="N475" s="22" t="str">
        <x:v>DG-108</x:v>
      </x:c>
      <x:c r="O475" s="22" t="str">
        <x:v>GS-04-045</x:v>
      </x:c>
      <x:c r="P475" s="22" t="str">
        <x:v>No</x:v>
      </x:c>
      <x:c r="Q475" s="22" t="str">
        <x:v>Not screened</x:v>
      </x:c>
      <x:c r="R475" s="22" t="str">
        <x:v>Removed before title/abstract screening as a confirmed duplicate.</x:v>
      </x:c>
      <x:c r="S475" s="22" t="str">
        <x:v>Not applicable — removed before screening</x:v>
      </x:c>
      <x:c r="T475" s="22" t="str">
        <x:v>Record was outside the active screening set.</x:v>
      </x:c>
      <x:c r="U475" s="22" t="str">
        <x:v>Removed before screening</x:v>
      </x:c>
      <x:c r="V475" s="22" t="str">
        <x:v>Confirmed duplicate removed during deduplication.</x:v>
      </x:c>
      <x:c r="W475" s="22" t="str">
        <x:v>No</x:v>
      </x:c>
      <x:c r="X475" s="22" t="str">
        <x:v>Not applicable</x:v>
      </x:c>
      <x:c r="Y475" s="22" t="str">
        <x:v>Not assessed</x:v>
      </x:c>
      <x:c r="Z475" s="22" t="str">
        <x:v>Not applicable — record removed before screening.</x:v>
      </x:c>
      <x:c r="AA475" s="22" t="str">
        <x:v>Not applicable</x:v>
      </x:c>
      <x:c r="AB475" s="22" t="str">
        <x:v>Record was not advanced to full-text assessment.</x:v>
      </x:c>
      <x:c r="AC475" s="22" t="str">
        <x:v>Not assessed</x:v>
      </x:c>
      <x:c r="AD475" s="22" t="str">
        <x:v>Not applicable — no full-text assessment was required.</x:v>
      </x:c>
      <x:c r="AE475" s="22" t="str">
        <x:v>Removed before screening</x:v>
      </x:c>
      <x:c r="AF475" s="22" t="str">
        <x:v>Not applicable — not included</x:v>
      </x:c>
      <x:c r="AG475" s="22" t="str">
        <x:v>Evidence: 16a47880-c9bc-42de-8ed7-4b53383cb043.png; page 3, result 8. Metadata transcribed from captured Google Scholar page; OCR-normalised, verify against publication before citation.</x:v>
      </x:c>
      <x:c r="AH475" s="20" t="str">
        <x:v>No duplicate identified under the documented matching rules.</x:v>
      </x:c>
    </x:row>
    <x:row r="476" ht="42" customHeight="1">
      <x:c r="A476" s="22" t="str">
        <x:v>GS-05-029</x:v>
      </x:c>
      <x:c r="B476" s="22" t="str">
        <x:v>Google Scholar</x:v>
      </x:c>
      <x:c r="C476" s="22" t="str">
        <x:v>GS-05</x:v>
      </x:c>
      <x:c r="D476" s="22" t="str">
        <x:v>Neuro-Symbolic Al with Edge Computing and Reinforcement Learning Optimizing Autonomous Engineering Design Workflaws</x:v>
      </x:c>
      <x:c r="E476" s="22" t="str">
        <x:v>Y ~haniarasi</x:v>
      </x:c>
      <x:c r="F476" s="22" t="n">
        <x:v>2026</x:v>
      </x:c>
      <x:c r="G476" s="22" t="str">
        <x:v>2026 - preprints org</x:v>
      </x:c>
      <x:c r="H476" s="22" t="str">
        <x:v>Google Scholar result</x:v>
      </x:c>
      <x:c r="I476" s="22" t="str">
        <x:v>NR</x:v>
      </x:c>
      <x:c r="J476" s="22" t="str">
        <x:v>NR</x:v>
      </x:c>
      <x:c r="K476" s="22" t="str">
        <x:v>NR — URL not captured in the available source record</x:v>
      </x:c>
      <x:c r="L476" s="22" t="str">
        <x:v>Not available in the captured evidence; the screening decision used the title and available source metadata.</x:v>
      </x:c>
      <x:c r="M476" s="22" t="str">
        <x:v>Confirmed duplicate</x:v>
      </x:c>
      <x:c r="N476" s="22" t="str">
        <x:v>DG-044</x:v>
      </x:c>
      <x:c r="O476" s="22" t="str">
        <x:v>GS-04-048</x:v>
      </x:c>
      <x:c r="P476" s="22" t="str">
        <x:v>No</x:v>
      </x:c>
      <x:c r="Q476" s="22" t="str">
        <x:v>Not screened</x:v>
      </x:c>
      <x:c r="R476" s="22" t="str">
        <x:v>Removed before title/abstract screening as a confirmed duplicate.</x:v>
      </x:c>
      <x:c r="S476" s="22" t="str">
        <x:v>Not applicable — removed before screening</x:v>
      </x:c>
      <x:c r="T476" s="22" t="str">
        <x:v>Record was outside the active screening set.</x:v>
      </x:c>
      <x:c r="U476" s="22" t="str">
        <x:v>Removed before screening</x:v>
      </x:c>
      <x:c r="V476" s="22" t="str">
        <x:v>Confirmed duplicate removed during deduplication.</x:v>
      </x:c>
      <x:c r="W476" s="22" t="str">
        <x:v>No</x:v>
      </x:c>
      <x:c r="X476" s="22" t="str">
        <x:v>Not applicable</x:v>
      </x:c>
      <x:c r="Y476" s="22" t="str">
        <x:v>Not assessed</x:v>
      </x:c>
      <x:c r="Z476" s="22" t="str">
        <x:v>Not applicable — record removed before screening.</x:v>
      </x:c>
      <x:c r="AA476" s="22" t="str">
        <x:v>Not applicable</x:v>
      </x:c>
      <x:c r="AB476" s="22" t="str">
        <x:v>Record was not advanced to full-text assessment.</x:v>
      </x:c>
      <x:c r="AC476" s="22" t="str">
        <x:v>Not assessed</x:v>
      </x:c>
      <x:c r="AD476" s="22" t="str">
        <x:v>Not applicable — no full-text assessment was required.</x:v>
      </x:c>
      <x:c r="AE476" s="22" t="str">
        <x:v>Removed before screening</x:v>
      </x:c>
      <x:c r="AF476" s="22" t="str">
        <x:v>Not applicable — not included</x:v>
      </x:c>
      <x:c r="AG476" s="22" t="str">
        <x:v>Evidence: 16a47880-c9bc-42de-8ed7-4b53383cb043.png; page 3, result 9. Metadata transcribed from captured Google Scholar page; OCR-normalised, verify against publication before citation.</x:v>
      </x:c>
      <x:c r="AH476" s="20" t="str">
        <x:v>Confirmed using normalized title across captured searches.</x:v>
      </x:c>
    </x:row>
    <x:row r="477" ht="42" customHeight="1">
      <x:c r="A477" s="22" t="str">
        <x:v>GS-05-030</x:v>
      </x:c>
      <x:c r="B477" s="22" t="str">
        <x:v>Google Scholar</x:v>
      </x:c>
      <x:c r="C477" s="22" t="str">
        <x:v>GS-05</x:v>
      </x:c>
      <x:c r="D477" s="22" t="str">
        <x:v>(PpF] Trustworthy Retinapathy Of Prematurity Diagnasis Using Explainable Vision- Language Madel</x:v>
      </x:c>
      <x:c r="E477" s="22" t="str">
        <x:v>HZ Negima RM Ghadban</x:v>
      </x:c>
      <x:c r="F477" s="22" t="str">
        <x:v>NR</x:v>
      </x:c>
      <x:c r="G477" s="22" t="str">
        <x:v>JournalofApplied . 2926 - faculty wobasran edu ig</x:v>
      </x:c>
      <x:c r="H477" s="22" t="str">
        <x:v>Google Scholar result</x:v>
      </x:c>
      <x:c r="I477" s="22" t="str">
        <x:v>NR</x:v>
      </x:c>
      <x:c r="J477" s="22" t="str">
        <x:v>NR</x:v>
      </x:c>
      <x:c r="K477" s="22" t="str">
        <x:v>NR — URL not captured in the available source record</x:v>
      </x:c>
      <x:c r="L477" s="22" t="str">
        <x:v>Not available in the captured evidence; the screening decision used the title and available source metadata.</x:v>
      </x:c>
      <x:c r="M477" s="22" t="str">
        <x:v>Confirmed duplicate</x:v>
      </x:c>
      <x:c r="N477" s="22" t="str">
        <x:v>DG-111</x:v>
      </x:c>
      <x:c r="O477" s="22" t="str">
        <x:v>GS-04-034</x:v>
      </x:c>
      <x:c r="P477" s="22" t="str">
        <x:v>No</x:v>
      </x:c>
      <x:c r="Q477" s="22" t="str">
        <x:v>Not screened</x:v>
      </x:c>
      <x:c r="R477" s="22" t="str">
        <x:v>Removed before title/abstract screening as a confirmed duplicate.</x:v>
      </x:c>
      <x:c r="S477" s="22" t="str">
        <x:v>Not applicable — removed before screening</x:v>
      </x:c>
      <x:c r="T477" s="22" t="str">
        <x:v>Record was outside the active screening set.</x:v>
      </x:c>
      <x:c r="U477" s="22" t="str">
        <x:v>Removed before screening</x:v>
      </x:c>
      <x:c r="V477" s="22" t="str">
        <x:v>Confirmed duplicate removed during deduplication.</x:v>
      </x:c>
      <x:c r="W477" s="22" t="str">
        <x:v>No</x:v>
      </x:c>
      <x:c r="X477" s="22" t="str">
        <x:v>Not applicable</x:v>
      </x:c>
      <x:c r="Y477" s="22" t="str">
        <x:v>Not assessed</x:v>
      </x:c>
      <x:c r="Z477" s="22" t="str">
        <x:v>Not applicable — record removed before screening.</x:v>
      </x:c>
      <x:c r="AA477" s="22" t="str">
        <x:v>Not applicable</x:v>
      </x:c>
      <x:c r="AB477" s="22" t="str">
        <x:v>Record was not advanced to full-text assessment.</x:v>
      </x:c>
      <x:c r="AC477" s="22" t="str">
        <x:v>Not assessed</x:v>
      </x:c>
      <x:c r="AD477" s="22" t="str">
        <x:v>Not applicable — no full-text assessment was required.</x:v>
      </x:c>
      <x:c r="AE477" s="22" t="str">
        <x:v>Removed before screening</x:v>
      </x:c>
      <x:c r="AF477" s="22" t="str">
        <x:v>Not applicable — not included</x:v>
      </x:c>
      <x:c r="AG477" s="22" t="str">
        <x:v>Evidence: 16a47880-c9bc-42de-8ed7-4b53383cb043.png; page 3, result 10. Metadata transcribed from captured Google Scholar page; OCR-normalised, verify against publication before citation.</x:v>
      </x:c>
      <x:c r="AH477" s="20" t="str">
        <x:v>No duplicate identified under the documented matching rules.</x:v>
      </x:c>
    </x:row>
    <x:row r="478" ht="42" customHeight="1">
      <x:c r="A478" s="22" t="str">
        <x:v>GS-05-031</x:v>
      </x:c>
      <x:c r="B478" s="22" t="str">
        <x:v>Google Scholar</x:v>
      </x:c>
      <x:c r="C478" s="22" t="str">
        <x:v>GS-05</x:v>
      </x:c>
      <x:c r="D478" s="22" t="str">
        <x:v>Modsling cognitive processes within a creative problam-solving task: from symbolic to nauro-symbolic approaches in computational learning sciences</x:v>
      </x:c>
      <x:c r="E478" s="22" t="str">
        <x:v>C Mercier</x:v>
      </x:c>
      <x:c r="F478" s="22" t="n">
        <x:v>2024</x:v>
      </x:c>
      <x:c r="G478" s="22" t="str">
        <x:v>2024 - theses ha scie-ce</x:v>
      </x:c>
      <x:c r="H478" s="22" t="str">
        <x:v>Google Scholar result</x:v>
      </x:c>
      <x:c r="I478" s="22" t="str">
        <x:v>NR</x:v>
      </x:c>
      <x:c r="J478" s="22" t="str">
        <x:v>NR</x:v>
      </x:c>
      <x:c r="K478" s="22" t="str">
        <x:v>NR — URL not captured in the available source record</x:v>
      </x:c>
      <x:c r="L478" s="22" t="str">
        <x:v>Not available in the captured evidence; the screening decision used the title and available source metadata.</x:v>
      </x:c>
      <x:c r="M478" s="22" t="str">
        <x:v>Confirmed duplicate</x:v>
      </x:c>
      <x:c r="N478" s="22" t="str">
        <x:v>DG-103</x:v>
      </x:c>
      <x:c r="O478" s="22" t="str">
        <x:v>GS-04-047</x:v>
      </x:c>
      <x:c r="P478" s="22" t="str">
        <x:v>No</x:v>
      </x:c>
      <x:c r="Q478" s="22" t="str">
        <x:v>Not screened</x:v>
      </x:c>
      <x:c r="R478" s="22" t="str">
        <x:v>Removed before title/abstract screening as a confirmed duplicate.</x:v>
      </x:c>
      <x:c r="S478" s="22" t="str">
        <x:v>Not applicable — removed before screening</x:v>
      </x:c>
      <x:c r="T478" s="22" t="str">
        <x:v>Record was outside the active screening set.</x:v>
      </x:c>
      <x:c r="U478" s="22" t="str">
        <x:v>Removed before screening</x:v>
      </x:c>
      <x:c r="V478" s="22" t="str">
        <x:v>Confirmed duplicate removed during deduplication.</x:v>
      </x:c>
      <x:c r="W478" s="22" t="str">
        <x:v>No</x:v>
      </x:c>
      <x:c r="X478" s="22" t="str">
        <x:v>Not applicable</x:v>
      </x:c>
      <x:c r="Y478" s="22" t="str">
        <x:v>Not assessed</x:v>
      </x:c>
      <x:c r="Z478" s="22" t="str">
        <x:v>Not applicable — record removed before screening.</x:v>
      </x:c>
      <x:c r="AA478" s="22" t="str">
        <x:v>Not applicable</x:v>
      </x:c>
      <x:c r="AB478" s="22" t="str">
        <x:v>Record was not advanced to full-text assessment.</x:v>
      </x:c>
      <x:c r="AC478" s="22" t="str">
        <x:v>Not assessed</x:v>
      </x:c>
      <x:c r="AD478" s="22" t="str">
        <x:v>Not applicable — no full-text assessment was required.</x:v>
      </x:c>
      <x:c r="AE478" s="22" t="str">
        <x:v>Removed before screening</x:v>
      </x:c>
      <x:c r="AF478" s="22" t="str">
        <x:v>Not applicable — not included</x:v>
      </x:c>
      <x:c r="AG478" s="22" t="str">
        <x:v>Evidence: bffc76db-9dfd-4268-92d8-569240053d66.png; page 4, result 1. Metadata transcribed from captured Google Scholar page; OCR-normalised, verify against publication before citation.</x:v>
      </x:c>
      <x:c r="AH478" s="20" t="str">
        <x:v>No duplicate identified under the documented matching rules.</x:v>
      </x:c>
    </x:row>
    <x:row r="479" ht="42" customHeight="1">
      <x:c r="A479" s="22" t="str">
        <x:v>GS-05-032</x:v>
      </x:c>
      <x:c r="B479" s="22" t="str">
        <x:v>Google Scholar</x:v>
      </x:c>
      <x:c r="C479" s="22" t="str">
        <x:v>GS-05</x:v>
      </x:c>
      <x:c r="D479" s="22" t="str">
        <x:v>Towards explainable deep learning in computational neuroscience: visual and clinical applications</x:v>
      </x:c>
      <x:c r="E479" s="22" t="str">
        <x:v>AtMehmooc F Menmaod J Kim</x:v>
      </x:c>
      <x:c r="F479" s="22" t="n">
        <x:v>2025</x:v>
      </x:c>
      <x:c r="G479" s="22" t="str">
        <x:v>Mathematics. 2025 - rdpi con</x:v>
      </x:c>
      <x:c r="H479" s="22" t="str">
        <x:v>Google Scholar result</x:v>
      </x:c>
      <x:c r="I479" s="22" t="str">
        <x:v>NR</x:v>
      </x:c>
      <x:c r="J479" s="22" t="str">
        <x:v>NR</x:v>
      </x:c>
      <x:c r="K479" s="22" t="str">
        <x:v>NR — URL not captured in the available source record</x:v>
      </x:c>
      <x:c r="L479" s="22" t="str">
        <x:v>Not available in the captured evidence; the screening decision used the title and available source metadata.</x:v>
      </x:c>
      <x:c r="M479" s="22" t="str">
        <x:v>Confirmed duplicate</x:v>
      </x:c>
      <x:c r="N479" s="22" t="str">
        <x:v>DG-057</x:v>
      </x:c>
      <x:c r="O479" s="22" t="str">
        <x:v>GS-04-077</x:v>
      </x:c>
      <x:c r="P479" s="22" t="str">
        <x:v>No</x:v>
      </x:c>
      <x:c r="Q479" s="22" t="str">
        <x:v>Not screened</x:v>
      </x:c>
      <x:c r="R479" s="22" t="str">
        <x:v>Removed before title/abstract screening as a confirmed duplicate.</x:v>
      </x:c>
      <x:c r="S479" s="22" t="str">
        <x:v>Not applicable — removed before screening</x:v>
      </x:c>
      <x:c r="T479" s="22" t="str">
        <x:v>Record was outside the active screening set.</x:v>
      </x:c>
      <x:c r="U479" s="22" t="str">
        <x:v>Removed before screening</x:v>
      </x:c>
      <x:c r="V479" s="22" t="str">
        <x:v>Confirmed duplicate removed during deduplication.</x:v>
      </x:c>
      <x:c r="W479" s="22" t="str">
        <x:v>No</x:v>
      </x:c>
      <x:c r="X479" s="22" t="str">
        <x:v>Not applicable</x:v>
      </x:c>
      <x:c r="Y479" s="22" t="str">
        <x:v>Not assessed</x:v>
      </x:c>
      <x:c r="Z479" s="22" t="str">
        <x:v>Not applicable — record removed before screening.</x:v>
      </x:c>
      <x:c r="AA479" s="22" t="str">
        <x:v>Not applicable</x:v>
      </x:c>
      <x:c r="AB479" s="22" t="str">
        <x:v>Record was not advanced to full-text assessment.</x:v>
      </x:c>
      <x:c r="AC479" s="22" t="str">
        <x:v>Not assessed</x:v>
      </x:c>
      <x:c r="AD479" s="22" t="str">
        <x:v>Not applicable — no full-text assessment was required.</x:v>
      </x:c>
      <x:c r="AE479" s="22" t="str">
        <x:v>Removed before screening</x:v>
      </x:c>
      <x:c r="AF479" s="22" t="str">
        <x:v>Not applicable — not included</x:v>
      </x:c>
      <x:c r="AG479" s="22" t="str">
        <x:v>Evidence: bffc76db-9dfd-4268-92d8-569240053d66.png; page 4, result 2. Metadata transcribed from captured Google Scholar page; OCR-normalised, verify against publication before citation.</x:v>
      </x:c>
      <x:c r="AH479" s="20" t="str">
        <x:v>Confirmed using normalized title across captured searches.</x:v>
      </x:c>
    </x:row>
    <x:row r="480" ht="42" customHeight="1">
      <x:c r="A480" s="22" t="str">
        <x:v>GS-05-033</x:v>
      </x:c>
      <x:c r="B480" s="22" t="str">
        <x:v>Google Scholar</x:v>
      </x:c>
      <x:c r="C480" s="22" t="str">
        <x:v>GS-05</x:v>
      </x:c>
      <x:c r="D480" s="22" t="str">
        <x:v>Retinal Prosthesis as an Experimental Pathway to the Spike-Based Neural Code</x:v>
      </x:c>
      <x:c r="E480" s="22" t="str">
        <x:v>X Yuat</x:v>
      </x:c>
      <x:c r="F480" s="22" t="str">
        <x:v>NR</x:v>
      </x:c>
      <x:c r="G480" s="22" t="str">
        <x:v>researchgale.nel</x:v>
      </x:c>
      <x:c r="H480" s="22" t="str">
        <x:v>Google Scholar result</x:v>
      </x:c>
      <x:c r="I480" s="22" t="str">
        <x:v>NR</x:v>
      </x:c>
      <x:c r="J480" s="22" t="str">
        <x:v>NR</x:v>
      </x:c>
      <x:c r="K480" s="22" t="str">
        <x:v>NR — URL not captured in the available source record</x:v>
      </x:c>
      <x:c r="L480" s="22" t="str">
        <x:v>Not available in the captured evidence; the screening decision used the title and available source metadata.</x:v>
      </x:c>
      <x:c r="M480" s="22" t="str">
        <x:v>Confirmed duplicate</x:v>
      </x:c>
      <x:c r="N480" s="22" t="str">
        <x:v>DG-046</x:v>
      </x:c>
      <x:c r="O480" s="22" t="str">
        <x:v>GS-04-051</x:v>
      </x:c>
      <x:c r="P480" s="22" t="str">
        <x:v>No</x:v>
      </x:c>
      <x:c r="Q480" s="22" t="str">
        <x:v>Not screened</x:v>
      </x:c>
      <x:c r="R480" s="22" t="str">
        <x:v>Removed before title/abstract screening as a confirmed duplicate.</x:v>
      </x:c>
      <x:c r="S480" s="22" t="str">
        <x:v>Not applicable — removed before screening</x:v>
      </x:c>
      <x:c r="T480" s="22" t="str">
        <x:v>Record was outside the active screening set.</x:v>
      </x:c>
      <x:c r="U480" s="22" t="str">
        <x:v>Removed before screening</x:v>
      </x:c>
      <x:c r="V480" s="22" t="str">
        <x:v>Confirmed duplicate removed during deduplication.</x:v>
      </x:c>
      <x:c r="W480" s="22" t="str">
        <x:v>No</x:v>
      </x:c>
      <x:c r="X480" s="22" t="str">
        <x:v>Not applicable</x:v>
      </x:c>
      <x:c r="Y480" s="22" t="str">
        <x:v>Not assessed</x:v>
      </x:c>
      <x:c r="Z480" s="22" t="str">
        <x:v>Not applicable — record removed before screening.</x:v>
      </x:c>
      <x:c r="AA480" s="22" t="str">
        <x:v>Not applicable</x:v>
      </x:c>
      <x:c r="AB480" s="22" t="str">
        <x:v>Record was not advanced to full-text assessment.</x:v>
      </x:c>
      <x:c r="AC480" s="22" t="str">
        <x:v>Not assessed</x:v>
      </x:c>
      <x:c r="AD480" s="22" t="str">
        <x:v>Not applicable — no full-text assessment was required.</x:v>
      </x:c>
      <x:c r="AE480" s="22" t="str">
        <x:v>Removed before screening</x:v>
      </x:c>
      <x:c r="AF480" s="22" t="str">
        <x:v>Not applicable — not included</x:v>
      </x:c>
      <x:c r="AG480" s="22" t="str">
        <x:v>Evidence: bffc76db-9dfd-4268-92d8-569240053d66.png; page 4, result 3. Metadata transcribed from captured Google Scholar page; OCR-normalised, verify against publication before citation.</x:v>
      </x:c>
      <x:c r="AH480" s="20" t="str">
        <x:v>Confirmed using normalized title across captured searches.</x:v>
      </x:c>
    </x:row>
    <x:row r="481" ht="42" customHeight="1">
      <x:c r="A481" s="22" t="str">
        <x:v>GS-05-034</x:v>
      </x:c>
      <x:c r="B481" s="22" t="str">
        <x:v>Google Scholar</x:v>
      </x:c>
      <x:c r="C481" s="22" t="str">
        <x:v>GS-05</x:v>
      </x:c>
      <x:c r="D481" s="22" t="str">
        <x:v>Enhance deep learning in few-shot datasets the role of implicit symbolic rules</x:v>
      </x:c>
      <x:c r="E481" s="22" t="str">
        <x:v>MWi MW Li C Qian. B Zheng S Zhu</x:v>
      </x:c>
      <x:c r="F481" s="22" t="n">
        <x:v>2025</x:v>
      </x:c>
      <x:c r="G481" s="22" t="str">
        <x:v>Signal Image ard Video =. 2025 - Springer</x:v>
      </x:c>
      <x:c r="H481" s="22" t="str">
        <x:v>Google Scholar result</x:v>
      </x:c>
      <x:c r="I481" s="22" t="str">
        <x:v>NR</x:v>
      </x:c>
      <x:c r="J481" s="22" t="str">
        <x:v>NR</x:v>
      </x:c>
      <x:c r="K481" s="22" t="str">
        <x:v>NR — URL not captured in the available source record</x:v>
      </x:c>
      <x:c r="L481" s="22" t="str">
        <x:v>Not available in the captured evidence; the screening decision used the title and available source metadata.</x:v>
      </x:c>
      <x:c r="M481" s="22" t="str">
        <x:v>Confirmed duplicate</x:v>
      </x:c>
      <x:c r="N481" s="22" t="str">
        <x:v>DG-054</x:v>
      </x:c>
      <x:c r="O481" s="22" t="str">
        <x:v>GS-04-069</x:v>
      </x:c>
      <x:c r="P481" s="22" t="str">
        <x:v>No</x:v>
      </x:c>
      <x:c r="Q481" s="22" t="str">
        <x:v>Not screened</x:v>
      </x:c>
      <x:c r="R481" s="22" t="str">
        <x:v>Removed before title/abstract screening as a confirmed duplicate.</x:v>
      </x:c>
      <x:c r="S481" s="22" t="str">
        <x:v>Not applicable — removed before screening</x:v>
      </x:c>
      <x:c r="T481" s="22" t="str">
        <x:v>Record was outside the active screening set.</x:v>
      </x:c>
      <x:c r="U481" s="22" t="str">
        <x:v>Removed before screening</x:v>
      </x:c>
      <x:c r="V481" s="22" t="str">
        <x:v>Confirmed duplicate removed during deduplication.</x:v>
      </x:c>
      <x:c r="W481" s="22" t="str">
        <x:v>No</x:v>
      </x:c>
      <x:c r="X481" s="22" t="str">
        <x:v>Not applicable</x:v>
      </x:c>
      <x:c r="Y481" s="22" t="str">
        <x:v>Not assessed</x:v>
      </x:c>
      <x:c r="Z481" s="22" t="str">
        <x:v>Not applicable — record removed before screening.</x:v>
      </x:c>
      <x:c r="AA481" s="22" t="str">
        <x:v>Not applicable</x:v>
      </x:c>
      <x:c r="AB481" s="22" t="str">
        <x:v>Record was not advanced to full-text assessment.</x:v>
      </x:c>
      <x:c r="AC481" s="22" t="str">
        <x:v>Not assessed</x:v>
      </x:c>
      <x:c r="AD481" s="22" t="str">
        <x:v>Not applicable — no full-text assessment was required.</x:v>
      </x:c>
      <x:c r="AE481" s="22" t="str">
        <x:v>Removed before screening</x:v>
      </x:c>
      <x:c r="AF481" s="22" t="str">
        <x:v>Not applicable — not included</x:v>
      </x:c>
      <x:c r="AG481" s="22" t="str">
        <x:v>Evidence: bffc76db-9dfd-4268-92d8-569240053d66.png; page 4, result 4. Metadata transcribed from captured Google Scholar page; OCR-normalised, verify against publication before citation.</x:v>
      </x:c>
      <x:c r="AH481" s="20" t="str">
        <x:v>Confirmed using normalized title across captured searches.</x:v>
      </x:c>
    </x:row>
    <x:row r="482" ht="42" customHeight="1">
      <x:c r="A482" s="22" t="str">
        <x:v>GS-05-035</x:v>
      </x:c>
      <x:c r="B482" s="22" t="str">
        <x:v>Google Scholar</x:v>
      </x:c>
      <x:c r="C482" s="22" t="str">
        <x:v>GS-05</x:v>
      </x:c>
      <x:c r="D482" s="22" t="str">
        <x:v>ea re re rere, ee eee Computing (HCC) Feaithcare Education and Research, Emphasizing Ethics and Safety .</x:v>
      </x:c>
      <x:c r="E482" s="22" t="str">
        <x:v>AAfzal</x:v>
      </x:c>
      <x:c r="F482" s="22" t="n">
        <x:v>2025</x:v>
      </x:c>
      <x:c r="G482" s="22" t="str">
        <x:v>2025 IEEE Smad Warld Congress (SWC). 2025 - ieweuplore se6e org</x:v>
      </x:c>
      <x:c r="H482" s="22" t="str">
        <x:v>Google Scholar result</x:v>
      </x:c>
      <x:c r="I482" s="22" t="str">
        <x:v>NR</x:v>
      </x:c>
      <x:c r="J482" s="22" t="str">
        <x:v>NR</x:v>
      </x:c>
      <x:c r="K482" s="22" t="str">
        <x:v>NR — URL not captured in the available source record</x:v>
      </x:c>
      <x:c r="L482" s="22" t="str">
        <x:v>Not available in the captured evidence; the screening decision used the title and available source metadata.</x:v>
      </x:c>
      <x:c r="M482" s="22" t="str">
        <x:v>Confirmed duplicate</x:v>
      </x:c>
      <x:c r="N482" s="22" t="str">
        <x:v>DG-120</x:v>
      </x:c>
      <x:c r="O482" s="22" t="str">
        <x:v>GS-04-043</x:v>
      </x:c>
      <x:c r="P482" s="22" t="str">
        <x:v>No</x:v>
      </x:c>
      <x:c r="Q482" s="22" t="str">
        <x:v>Not screened</x:v>
      </x:c>
      <x:c r="R482" s="22" t="str">
        <x:v>Removed before title/abstract screening as a confirmed duplicate.</x:v>
      </x:c>
      <x:c r="S482" s="22" t="str">
        <x:v>Not applicable — removed before screening</x:v>
      </x:c>
      <x:c r="T482" s="22" t="str">
        <x:v>Record was outside the active screening set.</x:v>
      </x:c>
      <x:c r="U482" s="22" t="str">
        <x:v>Removed before screening</x:v>
      </x:c>
      <x:c r="V482" s="22" t="str">
        <x:v>Confirmed duplicate removed during deduplication.</x:v>
      </x:c>
      <x:c r="W482" s="22" t="str">
        <x:v>No</x:v>
      </x:c>
      <x:c r="X482" s="22" t="str">
        <x:v>Not applicable</x:v>
      </x:c>
      <x:c r="Y482" s="22" t="str">
        <x:v>Not assessed</x:v>
      </x:c>
      <x:c r="Z482" s="22" t="str">
        <x:v>Not applicable — record removed before screening.</x:v>
      </x:c>
      <x:c r="AA482" s="22" t="str">
        <x:v>Not applicable</x:v>
      </x:c>
      <x:c r="AB482" s="22" t="str">
        <x:v>Record was not advanced to full-text assessment.</x:v>
      </x:c>
      <x:c r="AC482" s="22" t="str">
        <x:v>Not assessed</x:v>
      </x:c>
      <x:c r="AD482" s="22" t="str">
        <x:v>Not applicable — no full-text assessment was required.</x:v>
      </x:c>
      <x:c r="AE482" s="22" t="str">
        <x:v>Removed before screening</x:v>
      </x:c>
      <x:c r="AF482" s="22" t="str">
        <x:v>Not applicable — not included</x:v>
      </x:c>
      <x:c r="AG482" s="22" t="str">
        <x:v>Evidence: bffc76db-9dfd-4268-92d8-569240053d66.png; page 4, result 5. Metadata transcribed from captured Google Scholar page; OCR-normalised, verify against publication before citation.</x:v>
      </x:c>
      <x:c r="AH482" s="20" t="str">
        <x:v>No duplicate identified under the documented matching rules.</x:v>
      </x:c>
    </x:row>
    <x:row r="483" ht="42" customHeight="1">
      <x:c r="A483" s="22" t="str">
        <x:v>GS-05-036</x:v>
      </x:c>
      <x:c r="B483" s="22" t="str">
        <x:v>Google Scholar</x:v>
      </x:c>
      <x:c r="C483" s="22" t="str">
        <x:v>GS-05</x:v>
      </x:c>
      <x:c r="D483" s="22" t="str">
        <x:v>Neuro-symbolic artificial intalligence in medicine</x:v>
      </x:c>
      <x:c r="E483" s="22" t="str">
        <x:v>MYH Wong JCL Ong N Shah DC Klancff</x:v>
      </x:c>
      <x:c r="F483" s="22" t="n">
        <x:v>2026</x:v>
      </x:c>
      <x:c r="G483" s="22" t="str">
        <x:v>Nature Biomedical 2026 - mature cam</x:v>
      </x:c>
      <x:c r="H483" s="22" t="str">
        <x:v>Google Scholar result</x:v>
      </x:c>
      <x:c r="I483" s="22" t="str">
        <x:v>NR</x:v>
      </x:c>
      <x:c r="J483" s="22" t="str">
        <x:v>NR</x:v>
      </x:c>
      <x:c r="K483" s="22" t="str">
        <x:v>NR — URL not captured in the available source record</x:v>
      </x:c>
      <x:c r="L483" s="22" t="str">
        <x:v>Not available in the captured evidence; the screening decision used the title and available source metadata.</x:v>
      </x:c>
      <x:c r="M483" s="22" t="str">
        <x:v>Confirmed duplicate</x:v>
      </x:c>
      <x:c r="N483" s="22" t="str">
        <x:v>DG-094</x:v>
      </x:c>
      <x:c r="O483" s="22" t="str">
        <x:v>GS-04-037</x:v>
      </x:c>
      <x:c r="P483" s="22" t="str">
        <x:v>No</x:v>
      </x:c>
      <x:c r="Q483" s="22" t="str">
        <x:v>Not screened</x:v>
      </x:c>
      <x:c r="R483" s="22" t="str">
        <x:v>Removed before title/abstract screening as a confirmed duplicate.</x:v>
      </x:c>
      <x:c r="S483" s="22" t="str">
        <x:v>Not applicable — removed before screening</x:v>
      </x:c>
      <x:c r="T483" s="22" t="str">
        <x:v>Record was outside the active screening set.</x:v>
      </x:c>
      <x:c r="U483" s="22" t="str">
        <x:v>Removed before screening</x:v>
      </x:c>
      <x:c r="V483" s="22" t="str">
        <x:v>Confirmed duplicate removed during deduplication.</x:v>
      </x:c>
      <x:c r="W483" s="22" t="str">
        <x:v>No</x:v>
      </x:c>
      <x:c r="X483" s="22" t="str">
        <x:v>Not applicable</x:v>
      </x:c>
      <x:c r="Y483" s="22" t="str">
        <x:v>Not assessed</x:v>
      </x:c>
      <x:c r="Z483" s="22" t="str">
        <x:v>Not applicable — record removed before screening.</x:v>
      </x:c>
      <x:c r="AA483" s="22" t="str">
        <x:v>Not applicable</x:v>
      </x:c>
      <x:c r="AB483" s="22" t="str">
        <x:v>Record was not advanced to full-text assessment.</x:v>
      </x:c>
      <x:c r="AC483" s="22" t="str">
        <x:v>Not assessed</x:v>
      </x:c>
      <x:c r="AD483" s="22" t="str">
        <x:v>Not applicable — no full-text assessment was required.</x:v>
      </x:c>
      <x:c r="AE483" s="22" t="str">
        <x:v>Removed before screening</x:v>
      </x:c>
      <x:c r="AF483" s="22" t="str">
        <x:v>Not applicable — not included</x:v>
      </x:c>
      <x:c r="AG483" s="22" t="str">
        <x:v>Evidence: bffc76db-9dfd-4268-92d8-569240053d66.png; page 4, result 6. Metadata transcribed from captured Google Scholar page; OCR-normalised, verify against publication before citation.</x:v>
      </x:c>
      <x:c r="AH483" s="20" t="str">
        <x:v>No duplicate identified under the documented matching rules.</x:v>
      </x:c>
    </x:row>
    <x:row r="484" ht="42" customHeight="1">
      <x:c r="A484" s="22" t="str">
        <x:v>GS-05-037</x:v>
      </x:c>
      <x:c r="B484" s="22" t="str">
        <x:v>Google Scholar</x:v>
      </x:c>
      <x:c r="C484" s="22" t="str">
        <x:v>GS-05</x:v>
      </x:c>
      <x:c r="D484" s="22" t="str">
        <x:v>Neurosymbolic Framework for Concept-Dnyen Logical Reasoning in Skeleton- Based Human Action Recognition</x:v>
      </x:c>
      <x:c r="E484" s="22" t="str">
        <x:v>Lilyas D Mehta Z Ge- arXiv precrint arXiv 2605 07140 2026</x:v>
      </x:c>
      <x:c r="F484" s="22" t="n">
        <x:v>2026</x:v>
      </x:c>
      <x:c r="G484" s="22" t="str">
        <x:v>arxiv ofg</x:v>
      </x:c>
      <x:c r="H484" s="22" t="str">
        <x:v>Google Scholar result</x:v>
      </x:c>
      <x:c r="I484" s="22" t="str">
        <x:v>NR</x:v>
      </x:c>
      <x:c r="J484" s="22" t="str">
        <x:v>NR</x:v>
      </x:c>
      <x:c r="K484" s="22" t="str">
        <x:v>NR — URL not captured in the available source record</x:v>
      </x:c>
      <x:c r="L484" s="22" t="str">
        <x:v>Not available in the captured evidence; the screening decision used the title and available source metadata.</x:v>
      </x:c>
      <x:c r="M484" s="22" t="str">
        <x:v>Confirmed duplicate</x:v>
      </x:c>
      <x:c r="N484" s="22" t="str">
        <x:v>DG-039</x:v>
      </x:c>
      <x:c r="O484" s="22" t="str">
        <x:v>GS-04-032</x:v>
      </x:c>
      <x:c r="P484" s="22" t="str">
        <x:v>No</x:v>
      </x:c>
      <x:c r="Q484" s="22" t="str">
        <x:v>Not screened</x:v>
      </x:c>
      <x:c r="R484" s="22" t="str">
        <x:v>Removed before title/abstract screening as a confirmed duplicate.</x:v>
      </x:c>
      <x:c r="S484" s="22" t="str">
        <x:v>Not applicable — removed before screening</x:v>
      </x:c>
      <x:c r="T484" s="22" t="str">
        <x:v>Record was outside the active screening set.</x:v>
      </x:c>
      <x:c r="U484" s="22" t="str">
        <x:v>Removed before screening</x:v>
      </x:c>
      <x:c r="V484" s="22" t="str">
        <x:v>Confirmed duplicate removed during deduplication.</x:v>
      </x:c>
      <x:c r="W484" s="22" t="str">
        <x:v>No</x:v>
      </x:c>
      <x:c r="X484" s="22" t="str">
        <x:v>Not applicable</x:v>
      </x:c>
      <x:c r="Y484" s="22" t="str">
        <x:v>Not assessed</x:v>
      </x:c>
      <x:c r="Z484" s="22" t="str">
        <x:v>Not applicable — record removed before screening.</x:v>
      </x:c>
      <x:c r="AA484" s="22" t="str">
        <x:v>Not applicable</x:v>
      </x:c>
      <x:c r="AB484" s="22" t="str">
        <x:v>Record was not advanced to full-text assessment.</x:v>
      </x:c>
      <x:c r="AC484" s="22" t="str">
        <x:v>Not assessed</x:v>
      </x:c>
      <x:c r="AD484" s="22" t="str">
        <x:v>Not applicable — no full-text assessment was required.</x:v>
      </x:c>
      <x:c r="AE484" s="22" t="str">
        <x:v>Removed before screening</x:v>
      </x:c>
      <x:c r="AF484" s="22" t="str">
        <x:v>Not applicable — not included</x:v>
      </x:c>
      <x:c r="AG484" s="22" t="str">
        <x:v>Evidence: bffc76db-9dfd-4268-92d8-569240053d66.png; page 4, result 7. Metadata transcribed from captured Google Scholar page; OCR-normalised, verify against publication before citation.</x:v>
      </x:c>
      <x:c r="AH484" s="20" t="str">
        <x:v>Confirmed using normalized title across captured searches.</x:v>
      </x:c>
    </x:row>
    <x:row r="485" ht="42" customHeight="1">
      <x:c r="A485" s="22" t="str">
        <x:v>GS-05-038</x:v>
      </x:c>
      <x:c r="B485" s="22" t="str">
        <x:v>Google Scholar</x:v>
      </x:c>
      <x:c r="C485" s="22" t="str">
        <x:v>GS-05</x:v>
      </x:c>
      <x:c r="D485" s="22" t="str">
        <x:v>Neurosymbolic inference on foundation models for remote sensing text-to-images retreval with complex queries</x:v>
      </x:c>
      <x:c r="E485" s="22" t="str">
        <x:v>E Mezzi G Burghouls M Kruithof -ACM Transactions on Spatal 2126-d acmorg</x:v>
      </x:c>
      <x:c r="F485" s="22" t="str">
        <x:v>NR</x:v>
      </x:c>
      <x:c r="G485" s="22" t="str">
        <x:v>E Mezzi G Burghouls M Kruithof -ACM Transactions on Spatal 2126-d acmorg</x:v>
      </x:c>
      <x:c r="H485" s="22" t="str">
        <x:v>Google Scholar result</x:v>
      </x:c>
      <x:c r="I485" s="22" t="str">
        <x:v>NR</x:v>
      </x:c>
      <x:c r="J485" s="22" t="str">
        <x:v>NR</x:v>
      </x:c>
      <x:c r="K485" s="22" t="str">
        <x:v>NR — URL not captured in the available source record</x:v>
      </x:c>
      <x:c r="L485" s="22" t="str">
        <x:v>Not available in the captured evidence; the screening decision used the title and available source metadata.</x:v>
      </x:c>
      <x:c r="M485" s="22" t="str">
        <x:v>Confirmed duplicate</x:v>
      </x:c>
      <x:c r="N485" s="22" t="str">
        <x:v>DG-087</x:v>
      </x:c>
      <x:c r="O485" s="22" t="str">
        <x:v>GS-04-025</x:v>
      </x:c>
      <x:c r="P485" s="22" t="str">
        <x:v>No</x:v>
      </x:c>
      <x:c r="Q485" s="22" t="str">
        <x:v>Not screened</x:v>
      </x:c>
      <x:c r="R485" s="22" t="str">
        <x:v>Removed before title/abstract screening as a confirmed duplicate.</x:v>
      </x:c>
      <x:c r="S485" s="22" t="str">
        <x:v>Not applicable — removed before screening</x:v>
      </x:c>
      <x:c r="T485" s="22" t="str">
        <x:v>Record was outside the active screening set.</x:v>
      </x:c>
      <x:c r="U485" s="22" t="str">
        <x:v>Removed before screening</x:v>
      </x:c>
      <x:c r="V485" s="22" t="str">
        <x:v>Confirmed duplicate removed during deduplication.</x:v>
      </x:c>
      <x:c r="W485" s="22" t="str">
        <x:v>No</x:v>
      </x:c>
      <x:c r="X485" s="22" t="str">
        <x:v>Not applicable</x:v>
      </x:c>
      <x:c r="Y485" s="22" t="str">
        <x:v>Not assessed</x:v>
      </x:c>
      <x:c r="Z485" s="22" t="str">
        <x:v>Not applicable — record removed before screening.</x:v>
      </x:c>
      <x:c r="AA485" s="22" t="str">
        <x:v>Not applicable</x:v>
      </x:c>
      <x:c r="AB485" s="22" t="str">
        <x:v>Record was not advanced to full-text assessment.</x:v>
      </x:c>
      <x:c r="AC485" s="22" t="str">
        <x:v>Not assessed</x:v>
      </x:c>
      <x:c r="AD485" s="22" t="str">
        <x:v>Not applicable — no full-text assessment was required.</x:v>
      </x:c>
      <x:c r="AE485" s="22" t="str">
        <x:v>Removed before screening</x:v>
      </x:c>
      <x:c r="AF485" s="22" t="str">
        <x:v>Not applicable — not included</x:v>
      </x:c>
      <x:c r="AG485" s="22" t="str">
        <x:v>Evidence: bffc76db-9dfd-4268-92d8-569240053d66.png; page 4, result 8. Metadata transcribed from captured Google Scholar page; OCR-normalised, verify against publication before citation.</x:v>
      </x:c>
      <x:c r="AH485" s="20" t="str">
        <x:v>No duplicate identified under the documented matching rules.</x:v>
      </x:c>
    </x:row>
    <x:row r="486" ht="42" customHeight="1">
      <x:c r="A486" s="22" t="str">
        <x:v>GS-05-039</x:v>
      </x:c>
      <x:c r="B486" s="22" t="str">
        <x:v>Google Scholar</x:v>
      </x:c>
      <x:c r="C486" s="22" t="str">
        <x:v>GS-05</x:v>
      </x:c>
      <x:c r="D486" s="22" t="str">
        <x:v>POF] A neure-symbolic approach to GPS trajectory classification</x:v>
      </x:c>
      <x:c r="E486" s="22" t="str">
        <x:v>R Barbosa DO Ca-deso DCapralho =</x:v>
      </x:c>
      <x:c r="F486" s="22" t="n">
        <x:v>2017</x:v>
      </x:c>
      <x:c r="G486" s="22" t="str">
        <x:v>Proceedings of European = 2017 - esann org</x:v>
      </x:c>
      <x:c r="H486" s="22" t="str">
        <x:v>Google Scholar result</x:v>
      </x:c>
      <x:c r="I486" s="22" t="str">
        <x:v>NR</x:v>
      </x:c>
      <x:c r="J486" s="22" t="str">
        <x:v>NR</x:v>
      </x:c>
      <x:c r="K486" s="22" t="str">
        <x:v>NR — URL not captured in the available source record</x:v>
      </x:c>
      <x:c r="L486" s="22" t="str">
        <x:v>Not available in the captured evidence; the screening decision used the title and available source metadata.</x:v>
      </x:c>
      <x:c r="M486" s="22" t="str">
        <x:v>Confirmed duplicate</x:v>
      </x:c>
      <x:c r="N486" s="22" t="str">
        <x:v>DG-106</x:v>
      </x:c>
      <x:c r="O486" s="22" t="str">
        <x:v>GS-04-036</x:v>
      </x:c>
      <x:c r="P486" s="22" t="str">
        <x:v>No</x:v>
      </x:c>
      <x:c r="Q486" s="22" t="str">
        <x:v>Not screened</x:v>
      </x:c>
      <x:c r="R486" s="22" t="str">
        <x:v>Removed before title/abstract screening as a confirmed duplicate.</x:v>
      </x:c>
      <x:c r="S486" s="22" t="str">
        <x:v>Not applicable — removed before screening</x:v>
      </x:c>
      <x:c r="T486" s="22" t="str">
        <x:v>Record was outside the active screening set.</x:v>
      </x:c>
      <x:c r="U486" s="22" t="str">
        <x:v>Removed before screening</x:v>
      </x:c>
      <x:c r="V486" s="22" t="str">
        <x:v>Confirmed duplicate removed during deduplication.</x:v>
      </x:c>
      <x:c r="W486" s="22" t="str">
        <x:v>No</x:v>
      </x:c>
      <x:c r="X486" s="22" t="str">
        <x:v>Not applicable</x:v>
      </x:c>
      <x:c r="Y486" s="22" t="str">
        <x:v>Not assessed</x:v>
      </x:c>
      <x:c r="Z486" s="22" t="str">
        <x:v>Not applicable — record removed before screening.</x:v>
      </x:c>
      <x:c r="AA486" s="22" t="str">
        <x:v>Not applicable</x:v>
      </x:c>
      <x:c r="AB486" s="22" t="str">
        <x:v>Record was not advanced to full-text assessment.</x:v>
      </x:c>
      <x:c r="AC486" s="22" t="str">
        <x:v>Not assessed</x:v>
      </x:c>
      <x:c r="AD486" s="22" t="str">
        <x:v>Not applicable — no full-text assessment was required.</x:v>
      </x:c>
      <x:c r="AE486" s="22" t="str">
        <x:v>Removed before screening</x:v>
      </x:c>
      <x:c r="AF486" s="22" t="str">
        <x:v>Not applicable — not included</x:v>
      </x:c>
      <x:c r="AG486" s="22" t="str">
        <x:v>Evidence: bffc76db-9dfd-4268-92d8-569240053d66.png; page 4, result 9. Metadata transcribed from captured Google Scholar page; OCR-normalised, verify against publication before citation.</x:v>
      </x:c>
      <x:c r="AH486" s="20" t="str">
        <x:v>No duplicate identified under the documented matching rules.</x:v>
      </x:c>
    </x:row>
    <x:row r="487" ht="42" customHeight="1">
      <x:c r="A487" s="22" t="str">
        <x:v>GS-05-040</x:v>
      </x:c>
      <x:c r="B487" s="22" t="str">
        <x:v>Google Scholar</x:v>
      </x:c>
      <x:c r="C487" s="22" t="str">
        <x:v>GS-05</x:v>
      </x:c>
      <x:c r="D487" s="22" t="str">
        <x:v>YVeightless neuro-symbolic GPS trajectory classification</x:v>
      </x:c>
      <x:c r="E487" s="22" t="str">
        <x:v>R Barbosa DO Cadosa, D Carvalho, =MG Fraica</x:v>
      </x:c>
      <x:c r="F487" s="22" t="n">
        <x:v>2018</x:v>
      </x:c>
      <x:c r="G487" s="22" t="str">
        <x:v>Neurocomputing 2018 - Elsewer</x:v>
      </x:c>
      <x:c r="H487" s="22" t="str">
        <x:v>Google Scholar result</x:v>
      </x:c>
      <x:c r="I487" s="22" t="str">
        <x:v>NR</x:v>
      </x:c>
      <x:c r="J487" s="22" t="str">
        <x:v>NR</x:v>
      </x:c>
      <x:c r="K487" s="22" t="str">
        <x:v>NR — URL not captured in the available source record</x:v>
      </x:c>
      <x:c r="L487" s="22" t="str">
        <x:v>Not available in the captured evidence; the screening decision used the title and available source metadata.</x:v>
      </x:c>
      <x:c r="M487" s="22" t="str">
        <x:v>Confirmed duplicate</x:v>
      </x:c>
      <x:c r="N487" s="22" t="str">
        <x:v>DG-119</x:v>
      </x:c>
      <x:c r="O487" s="22" t="str">
        <x:v>GS-04-039</x:v>
      </x:c>
      <x:c r="P487" s="22" t="str">
        <x:v>No</x:v>
      </x:c>
      <x:c r="Q487" s="22" t="str">
        <x:v>Not screened</x:v>
      </x:c>
      <x:c r="R487" s="22" t="str">
        <x:v>Removed before title/abstract screening as a confirmed duplicate.</x:v>
      </x:c>
      <x:c r="S487" s="22" t="str">
        <x:v>Not applicable — removed before screening</x:v>
      </x:c>
      <x:c r="T487" s="22" t="str">
        <x:v>Record was outside the active screening set.</x:v>
      </x:c>
      <x:c r="U487" s="22" t="str">
        <x:v>Removed before screening</x:v>
      </x:c>
      <x:c r="V487" s="22" t="str">
        <x:v>Confirmed duplicate removed during deduplication.</x:v>
      </x:c>
      <x:c r="W487" s="22" t="str">
        <x:v>No</x:v>
      </x:c>
      <x:c r="X487" s="22" t="str">
        <x:v>Not applicable</x:v>
      </x:c>
      <x:c r="Y487" s="22" t="str">
        <x:v>Not assessed</x:v>
      </x:c>
      <x:c r="Z487" s="22" t="str">
        <x:v>Not applicable — record removed before screening.</x:v>
      </x:c>
      <x:c r="AA487" s="22" t="str">
        <x:v>Not applicable</x:v>
      </x:c>
      <x:c r="AB487" s="22" t="str">
        <x:v>Record was not advanced to full-text assessment.</x:v>
      </x:c>
      <x:c r="AC487" s="22" t="str">
        <x:v>Not assessed</x:v>
      </x:c>
      <x:c r="AD487" s="22" t="str">
        <x:v>Not applicable — no full-text assessment was required.</x:v>
      </x:c>
      <x:c r="AE487" s="22" t="str">
        <x:v>Removed before screening</x:v>
      </x:c>
      <x:c r="AF487" s="22" t="str">
        <x:v>Not applicable — not included</x:v>
      </x:c>
      <x:c r="AG487" s="22" t="str">
        <x:v>Evidence: bffc76db-9dfd-4268-92d8-569240053d66.png; page 4, result 10. Metadata transcribed from captured Google Scholar page; OCR-normalised, verify against publication before citation.</x:v>
      </x:c>
      <x:c r="AH487" s="20" t="str">
        <x:v>No duplicate identified under the documented matching rules.</x:v>
      </x:c>
    </x:row>
    <x:row r="488" ht="42" customHeight="1">
      <x:c r="A488" s="22" t="str">
        <x:v>GS-05-041</x:v>
      </x:c>
      <x:c r="B488" s="22" t="str">
        <x:v>Google Scholar</x:v>
      </x:c>
      <x:c r="C488" s="22" t="str">
        <x:v>GS-05</x:v>
      </x:c>
      <x:c r="D488" s="22" t="str">
        <x:v>From Retinal Pixels to Patients: Evolution of Deep Learning Research in Diabetic Retinopathy Screening</x:v>
      </x:c>
      <x:c r="E488" s="22" t="str">
        <x:v>M Chopra. . Spar-enberg. A Berger</x:v>
      </x:c>
      <x:c r="F488" s="22" t="n">
        <x:v>2028</x:v>
      </x:c>
      <x:c r="G488" s="22" t="str">
        <x:v>. Canference on Big . 2028 - ieeexplare ieee org</x:v>
      </x:c>
      <x:c r="H488" s="22" t="str">
        <x:v>Google Scholar result</x:v>
      </x:c>
      <x:c r="I488" s="22" t="str">
        <x:v>NR</x:v>
      </x:c>
      <x:c r="J488" s="22" t="str">
        <x:v>NR</x:v>
      </x:c>
      <x:c r="K488" s="22" t="str">
        <x:v>NR — URL not captured in the available source record</x:v>
      </x:c>
      <x:c r="L488" s="22" t="str">
        <x:v>Not available in the captured evidence; the screening decision used the title and available source metadata.</x:v>
      </x:c>
      <x:c r="M488" s="22" t="str">
        <x:v>Confirmed duplicate</x:v>
      </x:c>
      <x:c r="N488" s="22" t="str">
        <x:v>DG-041</x:v>
      </x:c>
      <x:c r="O488" s="22" t="str">
        <x:v>ARXIV-05-003</x:v>
      </x:c>
      <x:c r="P488" s="22" t="str">
        <x:v>No</x:v>
      </x:c>
      <x:c r="Q488" s="22" t="str">
        <x:v>Not screened</x:v>
      </x:c>
      <x:c r="R488" s="22" t="str">
        <x:v>Removed before title/abstract screening as a confirmed duplicate.</x:v>
      </x:c>
      <x:c r="S488" s="22" t="str">
        <x:v>Not applicable — removed before screening</x:v>
      </x:c>
      <x:c r="T488" s="22" t="str">
        <x:v>Record was outside the active screening set.</x:v>
      </x:c>
      <x:c r="U488" s="22" t="str">
        <x:v>Removed before screening</x:v>
      </x:c>
      <x:c r="V488" s="22" t="str">
        <x:v>Confirmed duplicate removed during deduplication.</x:v>
      </x:c>
      <x:c r="W488" s="22" t="str">
        <x:v>No</x:v>
      </x:c>
      <x:c r="X488" s="22" t="str">
        <x:v>Not applicable</x:v>
      </x:c>
      <x:c r="Y488" s="22" t="str">
        <x:v>Not assessed</x:v>
      </x:c>
      <x:c r="Z488" s="22" t="str">
        <x:v>Not applicable — record removed before screening.</x:v>
      </x:c>
      <x:c r="AA488" s="22" t="str">
        <x:v>Not applicable</x:v>
      </x:c>
      <x:c r="AB488" s="22" t="str">
        <x:v>Record was not advanced to full-text assessment.</x:v>
      </x:c>
      <x:c r="AC488" s="22" t="str">
        <x:v>Not assessed</x:v>
      </x:c>
      <x:c r="AD488" s="22" t="str">
        <x:v>Not applicable — no full-text assessment was required.</x:v>
      </x:c>
      <x:c r="AE488" s="22" t="str">
        <x:v>Removed before screening</x:v>
      </x:c>
      <x:c r="AF488" s="22" t="str">
        <x:v>Not applicable — not included</x:v>
      </x:c>
      <x:c r="AG488" s="22" t="str">
        <x:v>Evidence: b6f0133c-ed7f-43fd-8ca0-98841001f7ce.png; page 5, result 1. Metadata transcribed from captured Google Scholar page; OCR-normalised, verify against publication before citation.</x:v>
      </x:c>
      <x:c r="AH488" s="20" t="str">
        <x:v>Confirmed using identifier/title evidence; normalized title across captured searches.</x:v>
      </x:c>
    </x:row>
    <x:row r="489" ht="42" customHeight="1">
      <x:c r="A489" s="22" t="str">
        <x:v>GS-05-042</x:v>
      </x:c>
      <x:c r="B489" s="22" t="str">
        <x:v>Google Scholar</x:v>
      </x:c>
      <x:c r="C489" s="22" t="str">
        <x:v>GS-05</x:v>
      </x:c>
      <x:c r="D489" s="22" t="str">
        <x:v>Neuroba Neuro-symbolic bitrate adaptation for irs-aided mobile vidso streaming</x:v>
      </x:c>
      <x:c r="E489" s="22" t="str">
        <x:v>M Chen v¥ Xiao ALi AFarovk -(EE® Transactiovs 2026. -eeexpfore wees arg</x:v>
      </x:c>
      <x:c r="F489" s="22" t="n">
        <x:v>2026</x:v>
      </x:c>
      <x:c r="G489" s="22" t="str">
        <x:v>M Chen v¥ Xiao ALi AFarovk -(EE® Transactiovs 2026. -eeexpfore wees arg</x:v>
      </x:c>
      <x:c r="H489" s="22" t="str">
        <x:v>Google Scholar result</x:v>
      </x:c>
      <x:c r="I489" s="22" t="str">
        <x:v>NR</x:v>
      </x:c>
      <x:c r="J489" s="22" t="str">
        <x:v>NR</x:v>
      </x:c>
      <x:c r="K489" s="22" t="str">
        <x:v>NR — URL not captured in the available source record</x:v>
      </x:c>
      <x:c r="L489" s="22" t="str">
        <x:v>Not available in the captured evidence; the screening decision used the title and available source metadata.</x:v>
      </x:c>
      <x:c r="M489" s="22" t="str">
        <x:v>Confirmed duplicate</x:v>
      </x:c>
      <x:c r="N489" s="22" t="str">
        <x:v>DG-042</x:v>
      </x:c>
      <x:c r="O489" s="22" t="str">
        <x:v>GS-04-041</x:v>
      </x:c>
      <x:c r="P489" s="22" t="str">
        <x:v>No</x:v>
      </x:c>
      <x:c r="Q489" s="22" t="str">
        <x:v>Not screened</x:v>
      </x:c>
      <x:c r="R489" s="22" t="str">
        <x:v>Removed before title/abstract screening as a confirmed duplicate.</x:v>
      </x:c>
      <x:c r="S489" s="22" t="str">
        <x:v>Not applicable — removed before screening</x:v>
      </x:c>
      <x:c r="T489" s="22" t="str">
        <x:v>Record was outside the active screening set.</x:v>
      </x:c>
      <x:c r="U489" s="22" t="str">
        <x:v>Removed before screening</x:v>
      </x:c>
      <x:c r="V489" s="22" t="str">
        <x:v>Confirmed duplicate removed during deduplication.</x:v>
      </x:c>
      <x:c r="W489" s="22" t="str">
        <x:v>No</x:v>
      </x:c>
      <x:c r="X489" s="22" t="str">
        <x:v>Not applicable</x:v>
      </x:c>
      <x:c r="Y489" s="22" t="str">
        <x:v>Not assessed</x:v>
      </x:c>
      <x:c r="Z489" s="22" t="str">
        <x:v>Not applicable — record removed before screening.</x:v>
      </x:c>
      <x:c r="AA489" s="22" t="str">
        <x:v>Not applicable</x:v>
      </x:c>
      <x:c r="AB489" s="22" t="str">
        <x:v>Record was not advanced to full-text assessment.</x:v>
      </x:c>
      <x:c r="AC489" s="22" t="str">
        <x:v>Not assessed</x:v>
      </x:c>
      <x:c r="AD489" s="22" t="str">
        <x:v>Not applicable — no full-text assessment was required.</x:v>
      </x:c>
      <x:c r="AE489" s="22" t="str">
        <x:v>Removed before screening</x:v>
      </x:c>
      <x:c r="AF489" s="22" t="str">
        <x:v>Not applicable — not included</x:v>
      </x:c>
      <x:c r="AG489" s="22" t="str">
        <x:v>Evidence: b6f0133c-ed7f-43fd-8ca0-98841001f7ce.png; page 5, result 2. Metadata transcribed from captured Google Scholar page; OCR-normalised, verify against publication before citation.</x:v>
      </x:c>
      <x:c r="AH489" s="20" t="str">
        <x:v>Confirmed using normalized title across captured searches.</x:v>
      </x:c>
    </x:row>
    <x:row r="490" ht="42" customHeight="1">
      <x:c r="A490" s="22" t="str">
        <x:v>GS-05-043</x:v>
      </x:c>
      <x:c r="B490" s="22" t="str">
        <x:v>Google Scholar</x:v>
      </x:c>
      <x:c r="C490" s="22" t="str">
        <x:v>GS-05</x:v>
      </x:c>
      <x:c r="D490" s="22" t="str">
        <x:v>Lightning talk: Trinity-assured neuro-symbolic model inspired by hierarchical predictive coding</x:v>
      </x:c>
      <x:c r="E490" s="22" t="str">
        <x:v>S Jha</x:v>
      </x:c>
      <x:c r="F490" s="22" t="n">
        <x:v>2023</x:v>
      </x:c>
      <x:c r="G490" s="22" t="str">
        <x:v>2023 65th ACMS EEE Design Aulcemalion Conference . 2123 - izeexplors igea org</x:v>
      </x:c>
      <x:c r="H490" s="22" t="str">
        <x:v>Google Scholar result</x:v>
      </x:c>
      <x:c r="I490" s="22" t="str">
        <x:v>NR</x:v>
      </x:c>
      <x:c r="J490" s="22" t="str">
        <x:v>NR</x:v>
      </x:c>
      <x:c r="K490" s="22" t="str">
        <x:v>NR — URL not captured in the available source record</x:v>
      </x:c>
      <x:c r="L490" s="22" t="str">
        <x:v>Not available in the captured evidence; the screening decision used the title and available source metadata.</x:v>
      </x:c>
      <x:c r="M490" s="22" t="str">
        <x:v>Confirmed duplicate</x:v>
      </x:c>
      <x:c r="N490" s="22" t="str">
        <x:v>DG-043</x:v>
      </x:c>
      <x:c r="O490" s="22" t="str">
        <x:v>GS-04-046</x:v>
      </x:c>
      <x:c r="P490" s="22" t="str">
        <x:v>No</x:v>
      </x:c>
      <x:c r="Q490" s="22" t="str">
        <x:v>Not screened</x:v>
      </x:c>
      <x:c r="R490" s="22" t="str">
        <x:v>Removed before title/abstract screening as a confirmed duplicate.</x:v>
      </x:c>
      <x:c r="S490" s="22" t="str">
        <x:v>Not applicable — removed before screening</x:v>
      </x:c>
      <x:c r="T490" s="22" t="str">
        <x:v>Record was outside the active screening set.</x:v>
      </x:c>
      <x:c r="U490" s="22" t="str">
        <x:v>Removed before screening</x:v>
      </x:c>
      <x:c r="V490" s="22" t="str">
        <x:v>Confirmed duplicate removed during deduplication.</x:v>
      </x:c>
      <x:c r="W490" s="22" t="str">
        <x:v>No</x:v>
      </x:c>
      <x:c r="X490" s="22" t="str">
        <x:v>Not applicable</x:v>
      </x:c>
      <x:c r="Y490" s="22" t="str">
        <x:v>Not assessed</x:v>
      </x:c>
      <x:c r="Z490" s="22" t="str">
        <x:v>Not applicable — record removed before screening.</x:v>
      </x:c>
      <x:c r="AA490" s="22" t="str">
        <x:v>Not applicable</x:v>
      </x:c>
      <x:c r="AB490" s="22" t="str">
        <x:v>Record was not advanced to full-text assessment.</x:v>
      </x:c>
      <x:c r="AC490" s="22" t="str">
        <x:v>Not assessed</x:v>
      </x:c>
      <x:c r="AD490" s="22" t="str">
        <x:v>Not applicable — no full-text assessment was required.</x:v>
      </x:c>
      <x:c r="AE490" s="22" t="str">
        <x:v>Removed before screening</x:v>
      </x:c>
      <x:c r="AF490" s="22" t="str">
        <x:v>Not applicable — not included</x:v>
      </x:c>
      <x:c r="AG490" s="22" t="str">
        <x:v>Evidence: b6f0133c-ed7f-43fd-8ca0-98841001f7ce.png; page 5, result 3. Metadata transcribed from captured Google Scholar page; OCR-normalised, verify against publication before citation.</x:v>
      </x:c>
      <x:c r="AH490" s="20" t="str">
        <x:v>Confirmed using normalized title across captured searches.</x:v>
      </x:c>
    </x:row>
    <x:row r="491" ht="42" customHeight="1">
      <x:c r="A491" s="22" t="str">
        <x:v>GS-05-044</x:v>
      </x:c>
      <x:c r="B491" s="22" t="str">
        <x:v>Google Scholar</x:v>
      </x:c>
      <x:c r="C491" s="22" t="str">
        <x:v>GS-05</x:v>
      </x:c>
      <x:c r="D491" s="22" t="str">
        <x:v>Cataract Detection Systems Using Deep Learning Technique A Survey</x:v>
      </x:c>
      <x:c r="E491" s="22" t="str">
        <x:v>AM Rao SK Gandhimathi- Neura-Symbolic Al Concepis anc = 2026</x:v>
      </x:c>
      <x:c r="F491" s="22" t="n">
        <x:v>2026</x:v>
      </x:c>
      <x:c r="G491" s="22" t="str">
        <x:v>books goagle com</x:v>
      </x:c>
      <x:c r="H491" s="22" t="str">
        <x:v>Google Scholar result</x:v>
      </x:c>
      <x:c r="I491" s="22" t="str">
        <x:v>NR</x:v>
      </x:c>
      <x:c r="J491" s="22" t="str">
        <x:v>NR</x:v>
      </x:c>
      <x:c r="K491" s="22" t="str">
        <x:v>NR — URL not captured in the available source record</x:v>
      </x:c>
      <x:c r="L491" s="22" t="str">
        <x:v>Not available in the captured evidence; the screening decision used the title and available source metadata.</x:v>
      </x:c>
      <x:c r="M491" s="22" t="str">
        <x:v>Confirmed duplicate</x:v>
      </x:c>
      <x:c r="N491" s="22" t="str">
        <x:v>DG-045</x:v>
      </x:c>
      <x:c r="O491" s="22" t="str">
        <x:v>GS-04-049</x:v>
      </x:c>
      <x:c r="P491" s="22" t="str">
        <x:v>No</x:v>
      </x:c>
      <x:c r="Q491" s="22" t="str">
        <x:v>Not screened</x:v>
      </x:c>
      <x:c r="R491" s="22" t="str">
        <x:v>Removed before title/abstract screening as a confirmed duplicate.</x:v>
      </x:c>
      <x:c r="S491" s="22" t="str">
        <x:v>Not applicable — removed before screening</x:v>
      </x:c>
      <x:c r="T491" s="22" t="str">
        <x:v>Record was outside the active screening set.</x:v>
      </x:c>
      <x:c r="U491" s="22" t="str">
        <x:v>Removed before screening</x:v>
      </x:c>
      <x:c r="V491" s="22" t="str">
        <x:v>Confirmed duplicate removed during deduplication.</x:v>
      </x:c>
      <x:c r="W491" s="22" t="str">
        <x:v>No</x:v>
      </x:c>
      <x:c r="X491" s="22" t="str">
        <x:v>Not applicable</x:v>
      </x:c>
      <x:c r="Y491" s="22" t="str">
        <x:v>Not assessed</x:v>
      </x:c>
      <x:c r="Z491" s="22" t="str">
        <x:v>Not applicable — record removed before screening.</x:v>
      </x:c>
      <x:c r="AA491" s="22" t="str">
        <x:v>Not applicable</x:v>
      </x:c>
      <x:c r="AB491" s="22" t="str">
        <x:v>Record was not advanced to full-text assessment.</x:v>
      </x:c>
      <x:c r="AC491" s="22" t="str">
        <x:v>Not assessed</x:v>
      </x:c>
      <x:c r="AD491" s="22" t="str">
        <x:v>Not applicable — no full-text assessment was required.</x:v>
      </x:c>
      <x:c r="AE491" s="22" t="str">
        <x:v>Removed before screening</x:v>
      </x:c>
      <x:c r="AF491" s="22" t="str">
        <x:v>Not applicable — not included</x:v>
      </x:c>
      <x:c r="AG491" s="22" t="str">
        <x:v>Evidence: b6f0133c-ed7f-43fd-8ca0-98841001f7ce.png; page 5, result 4. Metadata transcribed from captured Google Scholar page; OCR-normalised, verify against publication before citation.</x:v>
      </x:c>
      <x:c r="AH491" s="20" t="str">
        <x:v>Confirmed using normalized title across captured searches.</x:v>
      </x:c>
    </x:row>
    <x:row r="492" ht="42" customHeight="1">
      <x:c r="A492" s="22" t="str">
        <x:v>GS-05-045</x:v>
      </x:c>
      <x:c r="B492" s="22" t="str">
        <x:v>Google Scholar</x:v>
      </x:c>
      <x:c r="C492" s="22" t="str">
        <x:v>GS-05</x:v>
      </x:c>
      <x:c r="D492" s="22" t="str">
        <x:v>t4TML] ACNN-DR’ Adaptive convolutional neural network for diabetic retinopathy using bias correction and continual learning</x:v>
      </x:c>
      <x:c r="E492" s="22" t="str">
        <x:v>AJadray RNAwae RR ngle- B-omedical Signa Processing and Contral 2026 « Elsevier</x:v>
      </x:c>
      <x:c r="F492" s="22" t="n">
        <x:v>2026</x:v>
      </x:c>
      <x:c r="G492" s="22" t="str">
        <x:v>AJadray RNAwae RR ngle- B-omedical Signa Processing and Contral 2026 « Elsevier</x:v>
      </x:c>
      <x:c r="H492" s="22" t="str">
        <x:v>Google Scholar result</x:v>
      </x:c>
      <x:c r="I492" s="22" t="str">
        <x:v>NR</x:v>
      </x:c>
      <x:c r="J492" s="22" t="str">
        <x:v>NR</x:v>
      </x:c>
      <x:c r="K492" s="22" t="str">
        <x:v>NR — URL not captured in the available source record</x:v>
      </x:c>
      <x:c r="L492" s="22" t="str">
        <x:v>Not available in the captured evidence; the screening decision used the title and available source metadata.</x:v>
      </x:c>
      <x:c r="M492" s="22" t="str">
        <x:v>Confirmed duplicate</x:v>
      </x:c>
      <x:c r="N492" s="22" t="str">
        <x:v>DG-083</x:v>
      </x:c>
      <x:c r="O492" s="22" t="str">
        <x:v>GS-04-050</x:v>
      </x:c>
      <x:c r="P492" s="22" t="str">
        <x:v>No</x:v>
      </x:c>
      <x:c r="Q492" s="22" t="str">
        <x:v>Not screened</x:v>
      </x:c>
      <x:c r="R492" s="22" t="str">
        <x:v>Removed before title/abstract screening as a confirmed duplicate.</x:v>
      </x:c>
      <x:c r="S492" s="22" t="str">
        <x:v>Not applicable — removed before screening</x:v>
      </x:c>
      <x:c r="T492" s="22" t="str">
        <x:v>Record was outside the active screening set.</x:v>
      </x:c>
      <x:c r="U492" s="22" t="str">
        <x:v>Removed before screening</x:v>
      </x:c>
      <x:c r="V492" s="22" t="str">
        <x:v>Confirmed duplicate removed during deduplication.</x:v>
      </x:c>
      <x:c r="W492" s="22" t="str">
        <x:v>No</x:v>
      </x:c>
      <x:c r="X492" s="22" t="str">
        <x:v>Not applicable</x:v>
      </x:c>
      <x:c r="Y492" s="22" t="str">
        <x:v>Not assessed</x:v>
      </x:c>
      <x:c r="Z492" s="22" t="str">
        <x:v>Not applicable — record removed before screening.</x:v>
      </x:c>
      <x:c r="AA492" s="22" t="str">
        <x:v>Not applicable</x:v>
      </x:c>
      <x:c r="AB492" s="22" t="str">
        <x:v>Record was not advanced to full-text assessment.</x:v>
      </x:c>
      <x:c r="AC492" s="22" t="str">
        <x:v>Not assessed</x:v>
      </x:c>
      <x:c r="AD492" s="22" t="str">
        <x:v>Not applicable — no full-text assessment was required.</x:v>
      </x:c>
      <x:c r="AE492" s="22" t="str">
        <x:v>Removed before screening</x:v>
      </x:c>
      <x:c r="AF492" s="22" t="str">
        <x:v>Not applicable — not included</x:v>
      </x:c>
      <x:c r="AG492" s="22" t="str">
        <x:v>Evidence: b6f0133c-ed7f-43fd-8ca0-98841001f7ce.png; page 5, result 5. Metadata transcribed from captured Google Scholar page; OCR-normalised, verify against publication before citation.</x:v>
      </x:c>
      <x:c r="AH492" s="20" t="str">
        <x:v>No duplicate identified under the documented matching rules.</x:v>
      </x:c>
    </x:row>
    <x:row r="493" ht="42" customHeight="1">
      <x:c r="A493" s="22" t="str">
        <x:v>GS-05-046</x:v>
      </x:c>
      <x:c r="B493" s="22" t="str">
        <x:v>Google Scholar</x:v>
      </x:c>
      <x:c r="C493" s="22" t="str">
        <x:v>GS-05</x:v>
      </x:c>
      <x:c r="D493" s="22" t="str">
        <x:v>Neuro-Al-Driven Image Augmentation and Data Leak Prevention via Automated Classification Agents</x:v>
      </x:c>
      <x:c r="E493" s="22" t="str">
        <x:v>SM Kge“hanag, 4 Vijayakumar</x:v>
      </x:c>
      <x:c r="F493" s="22" t="n">
        <x:v>2026</x:v>
      </x:c>
      <x:c r="G493" s="22" t="str">
        <x:v>Neuro-Symbolic Al Concepts 2026 - books google com</x:v>
      </x:c>
      <x:c r="H493" s="22" t="str">
        <x:v>Google Scholar result</x:v>
      </x:c>
      <x:c r="I493" s="22" t="str">
        <x:v>NR</x:v>
      </x:c>
      <x:c r="J493" s="22" t="str">
        <x:v>NR</x:v>
      </x:c>
      <x:c r="K493" s="22" t="str">
        <x:v>NR — URL not captured in the available source record</x:v>
      </x:c>
      <x:c r="L493" s="22" t="str">
        <x:v>Not available in the captured evidence; the screening decision used the title and available source metadata.</x:v>
      </x:c>
      <x:c r="M493" s="22" t="str">
        <x:v>Confirmed duplicate</x:v>
      </x:c>
      <x:c r="N493" s="22" t="str">
        <x:v>DG-049</x:v>
      </x:c>
      <x:c r="O493" s="22" t="str">
        <x:v>GS-04-057</x:v>
      </x:c>
      <x:c r="P493" s="22" t="str">
        <x:v>No</x:v>
      </x:c>
      <x:c r="Q493" s="22" t="str">
        <x:v>Not screened</x:v>
      </x:c>
      <x:c r="R493" s="22" t="str">
        <x:v>Removed before title/abstract screening as a confirmed duplicate.</x:v>
      </x:c>
      <x:c r="S493" s="22" t="str">
        <x:v>Not applicable — removed before screening</x:v>
      </x:c>
      <x:c r="T493" s="22" t="str">
        <x:v>Record was outside the active screening set.</x:v>
      </x:c>
      <x:c r="U493" s="22" t="str">
        <x:v>Removed before screening</x:v>
      </x:c>
      <x:c r="V493" s="22" t="str">
        <x:v>Confirmed duplicate removed during deduplication.</x:v>
      </x:c>
      <x:c r="W493" s="22" t="str">
        <x:v>No</x:v>
      </x:c>
      <x:c r="X493" s="22" t="str">
        <x:v>Not applicable</x:v>
      </x:c>
      <x:c r="Y493" s="22" t="str">
        <x:v>Not assessed</x:v>
      </x:c>
      <x:c r="Z493" s="22" t="str">
        <x:v>Not applicable — record removed before screening.</x:v>
      </x:c>
      <x:c r="AA493" s="22" t="str">
        <x:v>Not applicable</x:v>
      </x:c>
      <x:c r="AB493" s="22" t="str">
        <x:v>Record was not advanced to full-text assessment.</x:v>
      </x:c>
      <x:c r="AC493" s="22" t="str">
        <x:v>Not assessed</x:v>
      </x:c>
      <x:c r="AD493" s="22" t="str">
        <x:v>Not applicable — no full-text assessment was required.</x:v>
      </x:c>
      <x:c r="AE493" s="22" t="str">
        <x:v>Removed before screening</x:v>
      </x:c>
      <x:c r="AF493" s="22" t="str">
        <x:v>Not applicable — not included</x:v>
      </x:c>
      <x:c r="AG493" s="22" t="str">
        <x:v>Evidence: b6f0133c-ed7f-43fd-8ca0-98841001f7ce.png; page 5, result 6. Metadata transcribed from captured Google Scholar page; OCR-normalised, verify against publication before citation.</x:v>
      </x:c>
      <x:c r="AH493" s="20" t="str">
        <x:v>Confirmed using normalized title across captured searches.</x:v>
      </x:c>
    </x:row>
    <x:row r="494" ht="42" customHeight="1">
      <x:c r="A494" s="22" t="str">
        <x:v>GS-05-047</x:v>
      </x:c>
      <x:c r="B494" s="22" t="str">
        <x:v>Google Scholar</x:v>
      </x:c>
      <x:c r="C494" s="22" t="str">
        <x:v>GS-05</x:v>
      </x:c>
      <x:c r="D494" s="22" t="str">
        <x:v>Brain-Inspired Artificial Neural Network for Energy-Efficient and Adaptive Learning</x:v>
      </x:c>
      <x:c r="E494" s="22" t="str">
        <x:v>R Dhanglakshm SB Preihiba -Neuro-Symbolic 41. 2026</x:v>
      </x:c>
      <x:c r="F494" s="22" t="n">
        <x:v>2026</x:v>
      </x:c>
      <x:c r="G494" s="22" t="str">
        <x:v>booKs google com</x:v>
      </x:c>
      <x:c r="H494" s="22" t="str">
        <x:v>Google Scholar result</x:v>
      </x:c>
      <x:c r="I494" s="22" t="str">
        <x:v>NR</x:v>
      </x:c>
      <x:c r="J494" s="22" t="str">
        <x:v>NR</x:v>
      </x:c>
      <x:c r="K494" s="22" t="str">
        <x:v>NR — URL not captured in the available source record</x:v>
      </x:c>
      <x:c r="L494" s="22" t="str">
        <x:v>Not available in the captured evidence; the screening decision used the title and available source metadata.</x:v>
      </x:c>
      <x:c r="M494" s="22" t="str">
        <x:v>Confirmed duplicate</x:v>
      </x:c>
      <x:c r="N494" s="22" t="str">
        <x:v>DG-048</x:v>
      </x:c>
      <x:c r="O494" s="22" t="str">
        <x:v>GS-04-054</x:v>
      </x:c>
      <x:c r="P494" s="22" t="str">
        <x:v>No</x:v>
      </x:c>
      <x:c r="Q494" s="22" t="str">
        <x:v>Not screened</x:v>
      </x:c>
      <x:c r="R494" s="22" t="str">
        <x:v>Removed before title/abstract screening as a confirmed duplicate.</x:v>
      </x:c>
      <x:c r="S494" s="22" t="str">
        <x:v>Not applicable — removed before screening</x:v>
      </x:c>
      <x:c r="T494" s="22" t="str">
        <x:v>Record was outside the active screening set.</x:v>
      </x:c>
      <x:c r="U494" s="22" t="str">
        <x:v>Removed before screening</x:v>
      </x:c>
      <x:c r="V494" s="22" t="str">
        <x:v>Confirmed duplicate removed during deduplication.</x:v>
      </x:c>
      <x:c r="W494" s="22" t="str">
        <x:v>No</x:v>
      </x:c>
      <x:c r="X494" s="22" t="str">
        <x:v>Not applicable</x:v>
      </x:c>
      <x:c r="Y494" s="22" t="str">
        <x:v>Not assessed</x:v>
      </x:c>
      <x:c r="Z494" s="22" t="str">
        <x:v>Not applicable — record removed before screening.</x:v>
      </x:c>
      <x:c r="AA494" s="22" t="str">
        <x:v>Not applicable</x:v>
      </x:c>
      <x:c r="AB494" s="22" t="str">
        <x:v>Record was not advanced to full-text assessment.</x:v>
      </x:c>
      <x:c r="AC494" s="22" t="str">
        <x:v>Not assessed</x:v>
      </x:c>
      <x:c r="AD494" s="22" t="str">
        <x:v>Not applicable — no full-text assessment was required.</x:v>
      </x:c>
      <x:c r="AE494" s="22" t="str">
        <x:v>Removed before screening</x:v>
      </x:c>
      <x:c r="AF494" s="22" t="str">
        <x:v>Not applicable — not included</x:v>
      </x:c>
      <x:c r="AG494" s="22" t="str">
        <x:v>Evidence: b6f0133c-ed7f-43fd-8ca0-98841001f7ce.png; page 5, result 7. Metadata transcribed from captured Google Scholar page; OCR-normalised, verify against publication before citation.</x:v>
      </x:c>
      <x:c r="AH494" s="20" t="str">
        <x:v>Confirmed using normalized title across captured searches.</x:v>
      </x:c>
    </x:row>
    <x:row r="495" ht="42" customHeight="1">
      <x:c r="A495" s="22" t="str">
        <x:v>GS-05-048</x:v>
      </x:c>
      <x:c r="B495" s="22" t="str">
        <x:v>Google Scholar</x:v>
      </x:c>
      <x:c r="C495" s="22" t="str">
        <x:v>GS-05</x:v>
      </x:c>
      <x:c r="D495" s="22" t="str">
        <x:v>Architectural Review of Early Alzheimer's Diagnostics Neurc-Adaptive K-Means. Deep Embedding Clustering, and Edge-to-Cloud Pipelines</x:v>
      </x:c>
      <x:c r="E495" s="22" t="str">
        <x:v>TMohanraj SS Hammed =</x:v>
      </x:c>
      <x:c r="F495" s="22" t="n">
        <x:v>2025</x:v>
      </x:c>
      <x:c r="G495" s="22" t="str">
        <x:v>2325 Intematicna 2025 - iceexplcre ieee org</x:v>
      </x:c>
      <x:c r="H495" s="22" t="str">
        <x:v>Google Scholar result</x:v>
      </x:c>
      <x:c r="I495" s="22" t="str">
        <x:v>NR</x:v>
      </x:c>
      <x:c r="J495" s="22" t="str">
        <x:v>NR</x:v>
      </x:c>
      <x:c r="K495" s="22" t="str">
        <x:v>NR — URL not captured in the available source record</x:v>
      </x:c>
      <x:c r="L495" s="22" t="str">
        <x:v>Not available in the captured evidence; the screening decision used the title and available source metadata.</x:v>
      </x:c>
      <x:c r="M495" s="22" t="str">
        <x:v>Confirmed duplicate</x:v>
      </x:c>
      <x:c r="N495" s="22" t="str">
        <x:v>DG-107</x:v>
      </x:c>
      <x:c r="O495" s="22" t="str">
        <x:v>GS-04-068</x:v>
      </x:c>
      <x:c r="P495" s="22" t="str">
        <x:v>No</x:v>
      </x:c>
      <x:c r="Q495" s="22" t="str">
        <x:v>Not screened</x:v>
      </x:c>
      <x:c r="R495" s="22" t="str">
        <x:v>Removed before title/abstract screening as a confirmed duplicate.</x:v>
      </x:c>
      <x:c r="S495" s="22" t="str">
        <x:v>Not applicable — removed before screening</x:v>
      </x:c>
      <x:c r="T495" s="22" t="str">
        <x:v>Record was outside the active screening set.</x:v>
      </x:c>
      <x:c r="U495" s="22" t="str">
        <x:v>Removed before screening</x:v>
      </x:c>
      <x:c r="V495" s="22" t="str">
        <x:v>Confirmed duplicate removed during deduplication.</x:v>
      </x:c>
      <x:c r="W495" s="22" t="str">
        <x:v>No</x:v>
      </x:c>
      <x:c r="X495" s="22" t="str">
        <x:v>Not applicable</x:v>
      </x:c>
      <x:c r="Y495" s="22" t="str">
        <x:v>Not assessed</x:v>
      </x:c>
      <x:c r="Z495" s="22" t="str">
        <x:v>Not applicable — record removed before screening.</x:v>
      </x:c>
      <x:c r="AA495" s="22" t="str">
        <x:v>Not applicable</x:v>
      </x:c>
      <x:c r="AB495" s="22" t="str">
        <x:v>Record was not advanced to full-text assessment.</x:v>
      </x:c>
      <x:c r="AC495" s="22" t="str">
        <x:v>Not assessed</x:v>
      </x:c>
      <x:c r="AD495" s="22" t="str">
        <x:v>Not applicable — no full-text assessment was required.</x:v>
      </x:c>
      <x:c r="AE495" s="22" t="str">
        <x:v>Removed before screening</x:v>
      </x:c>
      <x:c r="AF495" s="22" t="str">
        <x:v>Not applicable — not included</x:v>
      </x:c>
      <x:c r="AG495" s="22" t="str">
        <x:v>Evidence: b6f0133c-ed7f-43fd-8ca0-98841001f7ce.png; page 5, result 8. Metadata transcribed from captured Google Scholar page; OCR-normalised, verify against publication before citation.</x:v>
      </x:c>
      <x:c r="AH495" s="20" t="str">
        <x:v>No duplicate identified under the documented matching rules.</x:v>
      </x:c>
    </x:row>
    <x:row r="496" ht="42" customHeight="1">
      <x:c r="A496" s="22" t="str">
        <x:v>GS-05-049</x:v>
      </x:c>
      <x:c r="B496" s="22" t="str">
        <x:v>Google Scholar</x:v>
      </x:c>
      <x:c r="C496" s="22" t="str">
        <x:v>GS-05</x:v>
      </x:c>
      <x:c r="D496" s="22" t="str">
        <x:v>Early Detection of Breast Cancer Using Multi-Modal Deep Learning Framework</x:v>
      </x:c>
      <x:c r="E496" s="22" t="str">
        <x:v>S$ Morarmad ‘44 Shak -Neuro-Symbolic Arthc:al 2026</x:v>
      </x:c>
      <x:c r="F496" s="22" t="n">
        <x:v>2026</x:v>
      </x:c>
      <x:c r="G496" s="22" t="str">
        <x:v>Viley On ine Lizrary</x:v>
      </x:c>
      <x:c r="H496" s="22" t="str">
        <x:v>Google Scholar result</x:v>
      </x:c>
      <x:c r="I496" s="22" t="str">
        <x:v>NR</x:v>
      </x:c>
      <x:c r="J496" s="22" t="str">
        <x:v>NR</x:v>
      </x:c>
      <x:c r="K496" s="22" t="str">
        <x:v>NR — URL not captured in the available source record</x:v>
      </x:c>
      <x:c r="L496" s="22" t="str">
        <x:v>Not available in the captured evidence; the screening decision used the title and available source metadata.</x:v>
      </x:c>
      <x:c r="M496" s="22" t="str">
        <x:v>Confirmed duplicate</x:v>
      </x:c>
      <x:c r="N496" s="22" t="str">
        <x:v>DG-061</x:v>
      </x:c>
      <x:c r="O496" s="22" t="str">
        <x:v>GS-04-083</x:v>
      </x:c>
      <x:c r="P496" s="22" t="str">
        <x:v>No</x:v>
      </x:c>
      <x:c r="Q496" s="22" t="str">
        <x:v>Not screened</x:v>
      </x:c>
      <x:c r="R496" s="22" t="str">
        <x:v>Removed before title/abstract screening as a confirmed duplicate.</x:v>
      </x:c>
      <x:c r="S496" s="22" t="str">
        <x:v>Not applicable — removed before screening</x:v>
      </x:c>
      <x:c r="T496" s="22" t="str">
        <x:v>Record was outside the active screening set.</x:v>
      </x:c>
      <x:c r="U496" s="22" t="str">
        <x:v>Removed before screening</x:v>
      </x:c>
      <x:c r="V496" s="22" t="str">
        <x:v>Confirmed duplicate removed during deduplication.</x:v>
      </x:c>
      <x:c r="W496" s="22" t="str">
        <x:v>No</x:v>
      </x:c>
      <x:c r="X496" s="22" t="str">
        <x:v>Not applicable</x:v>
      </x:c>
      <x:c r="Y496" s="22" t="str">
        <x:v>Not assessed</x:v>
      </x:c>
      <x:c r="Z496" s="22" t="str">
        <x:v>Not applicable — record removed before screening.</x:v>
      </x:c>
      <x:c r="AA496" s="22" t="str">
        <x:v>Not applicable</x:v>
      </x:c>
      <x:c r="AB496" s="22" t="str">
        <x:v>Record was not advanced to full-text assessment.</x:v>
      </x:c>
      <x:c r="AC496" s="22" t="str">
        <x:v>Not assessed</x:v>
      </x:c>
      <x:c r="AD496" s="22" t="str">
        <x:v>Not applicable — no full-text assessment was required.</x:v>
      </x:c>
      <x:c r="AE496" s="22" t="str">
        <x:v>Removed before screening</x:v>
      </x:c>
      <x:c r="AF496" s="22" t="str">
        <x:v>Not applicable — not included</x:v>
      </x:c>
      <x:c r="AG496" s="22" t="str">
        <x:v>Evidence: b6f0133c-ed7f-43fd-8ca0-98841001f7ce.png; page 5, result 9. Metadata transcribed from captured Google Scholar page; OCR-normalised, verify against publication before citation.</x:v>
      </x:c>
      <x:c r="AH496" s="20" t="str">
        <x:v>Confirmed using normalized title across captured searches.</x:v>
      </x:c>
    </x:row>
    <x:row r="497" ht="42" customHeight="1">
      <x:c r="A497" s="22" t="str">
        <x:v>GS-05-050</x:v>
      </x:c>
      <x:c r="B497" s="22" t="str">
        <x:v>Google Scholar</x:v>
      </x:c>
      <x:c r="C497" s="22" t="str">
        <x:v>GS-05</x:v>
      </x:c>
      <x:c r="D497" s="22" t="str">
        <x:v>Cogsys Efficient and scalable neurosymbalic cognition systam via algonthm- hardware co-design</x:v>
      </x:c>
      <x:c r="E497" s="22" t="str">
        <x:v>éivar HY¥ang, RRaj. CK Lig</x:v>
      </x:c>
      <x:c r="F497" s="22" t="n">
        <x:v>2026</x:v>
      </x:c>
      <x:c r="G497" s="22" t="str">
        <x:v>SympositmanHigh . 2026 -ieeexplcre ieee org</x:v>
      </x:c>
      <x:c r="H497" s="22" t="str">
        <x:v>Google Scholar result</x:v>
      </x:c>
      <x:c r="I497" s="22" t="str">
        <x:v>NR</x:v>
      </x:c>
      <x:c r="J497" s="22" t="str">
        <x:v>NR</x:v>
      </x:c>
      <x:c r="K497" s="22" t="str">
        <x:v>NR — URL not captured in the available source record</x:v>
      </x:c>
      <x:c r="L497" s="22" t="str">
        <x:v>Not available in the captured evidence; the screening decision used the title and available source metadata.</x:v>
      </x:c>
      <x:c r="M497" s="22" t="str">
        <x:v>Confirmed duplicate</x:v>
      </x:c>
      <x:c r="N497" s="22" t="str">
        <x:v>DG-110</x:v>
      </x:c>
      <x:c r="O497" s="22" t="str">
        <x:v>GS-04-040</x:v>
      </x:c>
      <x:c r="P497" s="22" t="str">
        <x:v>No</x:v>
      </x:c>
      <x:c r="Q497" s="22" t="str">
        <x:v>Not screened</x:v>
      </x:c>
      <x:c r="R497" s="22" t="str">
        <x:v>Removed before title/abstract screening as a confirmed duplicate.</x:v>
      </x:c>
      <x:c r="S497" s="22" t="str">
        <x:v>Not applicable — removed before screening</x:v>
      </x:c>
      <x:c r="T497" s="22" t="str">
        <x:v>Record was outside the active screening set.</x:v>
      </x:c>
      <x:c r="U497" s="22" t="str">
        <x:v>Removed before screening</x:v>
      </x:c>
      <x:c r="V497" s="22" t="str">
        <x:v>Confirmed duplicate removed during deduplication.</x:v>
      </x:c>
      <x:c r="W497" s="22" t="str">
        <x:v>No</x:v>
      </x:c>
      <x:c r="X497" s="22" t="str">
        <x:v>Not applicable</x:v>
      </x:c>
      <x:c r="Y497" s="22" t="str">
        <x:v>Not assessed</x:v>
      </x:c>
      <x:c r="Z497" s="22" t="str">
        <x:v>Not applicable — record removed before screening.</x:v>
      </x:c>
      <x:c r="AA497" s="22" t="str">
        <x:v>Not applicable</x:v>
      </x:c>
      <x:c r="AB497" s="22" t="str">
        <x:v>Record was not advanced to full-text assessment.</x:v>
      </x:c>
      <x:c r="AC497" s="22" t="str">
        <x:v>Not assessed</x:v>
      </x:c>
      <x:c r="AD497" s="22" t="str">
        <x:v>Not applicable — no full-text assessment was required.</x:v>
      </x:c>
      <x:c r="AE497" s="22" t="str">
        <x:v>Removed before screening</x:v>
      </x:c>
      <x:c r="AF497" s="22" t="str">
        <x:v>Not applicable — not included</x:v>
      </x:c>
      <x:c r="AG497" s="22" t="str">
        <x:v>Evidence: b6f0133c-ed7f-43fd-8ca0-98841001f7ce.png; page 5, result 10. Metadata transcribed from captured Google Scholar page; OCR-normalised, verify against publication before citation.</x:v>
      </x:c>
      <x:c r="AH497" s="20" t="str">
        <x:v>No duplicate identified under the documented matching rules.</x:v>
      </x:c>
    </x:row>
    <x:row r="498" ht="42" customHeight="1">
      <x:c r="A498" s="22" t="str">
        <x:v>GS-05-051</x:v>
      </x:c>
      <x:c r="B498" s="22" t="str">
        <x:v>Google Scholar</x:v>
      </x:c>
      <x:c r="C498" s="22" t="str">
        <x:v>GS-05</x:v>
      </x:c>
      <x:c r="D498" s="22" t="str">
        <x:v>Anovel intelligent hybrid reinforcement learning framework for autonomous decision making in complex health cognitive systems</x:v>
      </x:c>
      <x:c r="E498" s="22" t="str">
        <x:v>Abdullah Z Fatma. MAAthar JLC Redriguez</x:v>
      </x:c>
      <x:c r="F498" s="22" t="n">
        <x:v>2026</x:v>
      </x:c>
      <x:c r="G498" s="22" t="str">
        <x:v>Scientific Raports 2026 - naiure tom</x:v>
      </x:c>
      <x:c r="H498" s="22" t="str">
        <x:v>Google Scholar result</x:v>
      </x:c>
      <x:c r="I498" s="22" t="str">
        <x:v>NR</x:v>
      </x:c>
      <x:c r="J498" s="22" t="str">
        <x:v>NR</x:v>
      </x:c>
      <x:c r="K498" s="22" t="str">
        <x:v>NR — URL not captured in the available source record</x:v>
      </x:c>
      <x:c r="L498" s="22" t="str">
        <x:v>Not available in the captured evidence; the screening decision used the title and available source metadata.</x:v>
      </x:c>
      <x:c r="M498" s="22" t="str">
        <x:v>Confirmed duplicate</x:v>
      </x:c>
      <x:c r="N498" s="22" t="str">
        <x:v>DG-060</x:v>
      </x:c>
      <x:c r="O498" s="22" t="str">
        <x:v>GS-04-081</x:v>
      </x:c>
      <x:c r="P498" s="22" t="str">
        <x:v>No</x:v>
      </x:c>
      <x:c r="Q498" s="22" t="str">
        <x:v>Not screened</x:v>
      </x:c>
      <x:c r="R498" s="22" t="str">
        <x:v>Removed before title/abstract screening as a confirmed duplicate.</x:v>
      </x:c>
      <x:c r="S498" s="22" t="str">
        <x:v>Not applicable — removed before screening</x:v>
      </x:c>
      <x:c r="T498" s="22" t="str">
        <x:v>Record was outside the active screening set.</x:v>
      </x:c>
      <x:c r="U498" s="22" t="str">
        <x:v>Removed before screening</x:v>
      </x:c>
      <x:c r="V498" s="22" t="str">
        <x:v>Confirmed duplicate removed during deduplication.</x:v>
      </x:c>
      <x:c r="W498" s="22" t="str">
        <x:v>No</x:v>
      </x:c>
      <x:c r="X498" s="22" t="str">
        <x:v>Not applicable</x:v>
      </x:c>
      <x:c r="Y498" s="22" t="str">
        <x:v>Not assessed</x:v>
      </x:c>
      <x:c r="Z498" s="22" t="str">
        <x:v>Not applicable — record removed before screening.</x:v>
      </x:c>
      <x:c r="AA498" s="22" t="str">
        <x:v>Not applicable</x:v>
      </x:c>
      <x:c r="AB498" s="22" t="str">
        <x:v>Record was not advanced to full-text assessment.</x:v>
      </x:c>
      <x:c r="AC498" s="22" t="str">
        <x:v>Not assessed</x:v>
      </x:c>
      <x:c r="AD498" s="22" t="str">
        <x:v>Not applicable — no full-text assessment was required.</x:v>
      </x:c>
      <x:c r="AE498" s="22" t="str">
        <x:v>Removed before screening</x:v>
      </x:c>
      <x:c r="AF498" s="22" t="str">
        <x:v>Not applicable — not included</x:v>
      </x:c>
      <x:c r="AG498" s="22" t="str">
        <x:v>Evidence: 86a7fc02-3e8d-47c7-a73d-5c555cfc2788.png; page 6, result 1. Metadata transcribed from captured Google Scholar page; OCR-normalised, verify against publication before citation.</x:v>
      </x:c>
      <x:c r="AH498" s="20" t="str">
        <x:v>Confirmed using normalized title across captured searches.</x:v>
      </x:c>
    </x:row>
    <x:row r="499" ht="42" customHeight="1">
      <x:c r="A499" s="22" t="str">
        <x:v>GS-05-052</x:v>
      </x:c>
      <x:c r="B499" s="22" t="str">
        <x:v>Google Scholar</x:v>
      </x:c>
      <x:c r="C499" s="22" t="str">
        <x:v>GS-05</x:v>
      </x:c>
      <x:c r="D499" s="22" t="str">
        <x:v>(HTHL] ROPNet A novel deep learning framework for retinopathy of prematurity detection</x:v>
      </x:c>
      <x:c r="E499" s="22" t="str">
        <x:v>IP Okswobi J Liu J Wan J Jia*g</x:v>
      </x:c>
      <x:c r="F499" s="22" t="n">
        <x:v>2026</x:v>
      </x:c>
      <x:c r="G499" s="22" t="str">
        <x:v>Biamed.cal Signal Processing and . 2026 - Elsevier</x:v>
      </x:c>
      <x:c r="H499" s="22" t="str">
        <x:v>Google Scholar result</x:v>
      </x:c>
      <x:c r="I499" s="22" t="str">
        <x:v>NR</x:v>
      </x:c>
      <x:c r="J499" s="22" t="str">
        <x:v>NR</x:v>
      </x:c>
      <x:c r="K499" s="22" t="str">
        <x:v>NR — URL not captured in the available source record</x:v>
      </x:c>
      <x:c r="L499" s="22" t="str">
        <x:v>Not available in the captured evidence; the screening decision used the title and available source metadata.</x:v>
      </x:c>
      <x:c r="M499" s="22" t="str">
        <x:v>Confirmed duplicate</x:v>
      </x:c>
      <x:c r="N499" s="22" t="str">
        <x:v>DG-058</x:v>
      </x:c>
      <x:c r="O499" s="22" t="str">
        <x:v>GS-04-078</x:v>
      </x:c>
      <x:c r="P499" s="22" t="str">
        <x:v>No</x:v>
      </x:c>
      <x:c r="Q499" s="22" t="str">
        <x:v>Not screened</x:v>
      </x:c>
      <x:c r="R499" s="22" t="str">
        <x:v>Removed before title/abstract screening as a confirmed duplicate.</x:v>
      </x:c>
      <x:c r="S499" s="22" t="str">
        <x:v>Not applicable — removed before screening</x:v>
      </x:c>
      <x:c r="T499" s="22" t="str">
        <x:v>Record was outside the active screening set.</x:v>
      </x:c>
      <x:c r="U499" s="22" t="str">
        <x:v>Removed before screening</x:v>
      </x:c>
      <x:c r="V499" s="22" t="str">
        <x:v>Confirmed duplicate removed during deduplication.</x:v>
      </x:c>
      <x:c r="W499" s="22" t="str">
        <x:v>No</x:v>
      </x:c>
      <x:c r="X499" s="22" t="str">
        <x:v>Not applicable</x:v>
      </x:c>
      <x:c r="Y499" s="22" t="str">
        <x:v>Not assessed</x:v>
      </x:c>
      <x:c r="Z499" s="22" t="str">
        <x:v>Not applicable — record removed before screening.</x:v>
      </x:c>
      <x:c r="AA499" s="22" t="str">
        <x:v>Not applicable</x:v>
      </x:c>
      <x:c r="AB499" s="22" t="str">
        <x:v>Record was not advanced to full-text assessment.</x:v>
      </x:c>
      <x:c r="AC499" s="22" t="str">
        <x:v>Not assessed</x:v>
      </x:c>
      <x:c r="AD499" s="22" t="str">
        <x:v>Not applicable — no full-text assessment was required.</x:v>
      </x:c>
      <x:c r="AE499" s="22" t="str">
        <x:v>Removed before screening</x:v>
      </x:c>
      <x:c r="AF499" s="22" t="str">
        <x:v>Not applicable — not included</x:v>
      </x:c>
      <x:c r="AG499" s="22" t="str">
        <x:v>Evidence: 86a7fc02-3e8d-47c7-a73d-5c555cfc2788.png; page 6, result 2. Metadata transcribed from captured Google Scholar page; OCR-normalised, verify against publication before citation.</x:v>
      </x:c>
      <x:c r="AH499" s="20" t="str">
        <x:v>Confirmed using normalized title across captured searches.</x:v>
      </x:c>
    </x:row>
    <x:row r="500" ht="42" customHeight="1">
      <x:c r="A500" s="22" t="str">
        <x:v>GS-05-053</x:v>
      </x:c>
      <x:c r="B500" s="22" t="str">
        <x:v>Google Scholar</x:v>
      </x:c>
      <x:c r="C500" s="22" t="str">
        <x:v>GS-05</x:v>
      </x:c>
      <x:c r="D500" s="22" t="str">
        <x:v>Early Detection of Chronic Traumatic Encephalopathy (CTE) Risk Using Multimodal Digital Assessments and Al-Based Analysis</x:v>
      </x:c>
      <x:c r="E500" s="22" t="str">
        <x:v>A‘inayak M Rya*</x:v>
      </x:c>
      <x:c r="F500" s="22" t="n">
        <x:v>2024</x:v>
      </x:c>
      <x:c r="G500" s="22" t="str">
        <x:v>2026 International Conference on =. 2024 - eaxplore ieee org</x:v>
      </x:c>
      <x:c r="H500" s="22" t="str">
        <x:v>Google Scholar result</x:v>
      </x:c>
      <x:c r="I500" s="22" t="str">
        <x:v>NR</x:v>
      </x:c>
      <x:c r="J500" s="22" t="str">
        <x:v>NR</x:v>
      </x:c>
      <x:c r="K500" s="22" t="str">
        <x:v>NR — URL not captured in the available source record</x:v>
      </x:c>
      <x:c r="L500" s="22" t="str">
        <x:v>Not available in the captured evidence; the screening decision used the title and available source metadata.</x:v>
      </x:c>
      <x:c r="M500" s="22" t="str">
        <x:v>Confirmed duplicate</x:v>
      </x:c>
      <x:c r="N500" s="22" t="str">
        <x:v>DG-053</x:v>
      </x:c>
      <x:c r="O500" s="22" t="str">
        <x:v>GS-04-066</x:v>
      </x:c>
      <x:c r="P500" s="22" t="str">
        <x:v>No</x:v>
      </x:c>
      <x:c r="Q500" s="22" t="str">
        <x:v>Not screened</x:v>
      </x:c>
      <x:c r="R500" s="22" t="str">
        <x:v>Removed before title/abstract screening as a confirmed duplicate.</x:v>
      </x:c>
      <x:c r="S500" s="22" t="str">
        <x:v>Not applicable — removed before screening</x:v>
      </x:c>
      <x:c r="T500" s="22" t="str">
        <x:v>Record was outside the active screening set.</x:v>
      </x:c>
      <x:c r="U500" s="22" t="str">
        <x:v>Removed before screening</x:v>
      </x:c>
      <x:c r="V500" s="22" t="str">
        <x:v>Confirmed duplicate removed during deduplication.</x:v>
      </x:c>
      <x:c r="W500" s="22" t="str">
        <x:v>No</x:v>
      </x:c>
      <x:c r="X500" s="22" t="str">
        <x:v>Not applicable</x:v>
      </x:c>
      <x:c r="Y500" s="22" t="str">
        <x:v>Not assessed</x:v>
      </x:c>
      <x:c r="Z500" s="22" t="str">
        <x:v>Not applicable — record removed before screening.</x:v>
      </x:c>
      <x:c r="AA500" s="22" t="str">
        <x:v>Not applicable</x:v>
      </x:c>
      <x:c r="AB500" s="22" t="str">
        <x:v>Record was not advanced to full-text assessment.</x:v>
      </x:c>
      <x:c r="AC500" s="22" t="str">
        <x:v>Not assessed</x:v>
      </x:c>
      <x:c r="AD500" s="22" t="str">
        <x:v>Not applicable — no full-text assessment was required.</x:v>
      </x:c>
      <x:c r="AE500" s="22" t="str">
        <x:v>Removed before screening</x:v>
      </x:c>
      <x:c r="AF500" s="22" t="str">
        <x:v>Not applicable — not included</x:v>
      </x:c>
      <x:c r="AG500" s="22" t="str">
        <x:v>Evidence: 86a7fc02-3e8d-47c7-a73d-5c555cfc2788.png; page 6, result 3. Metadata transcribed from captured Google Scholar page; OCR-normalised, verify against publication before citation.</x:v>
      </x:c>
      <x:c r="AH500" s="20" t="str">
        <x:v>Confirmed using normalized title across captured searches.</x:v>
      </x:c>
    </x:row>
    <x:row r="501" ht="42" customHeight="1">
      <x:c r="A501" s="22" t="str">
        <x:v>GS-05-054</x:v>
      </x:c>
      <x:c r="B501" s="22" t="str">
        <x:v>Google Scholar</x:v>
      </x:c>
      <x:c r="C501" s="22" t="str">
        <x:v>GS-05</x:v>
      </x:c>
      <x:c r="D501" s="22" t="str">
        <x:v>ZERO Swarm Distributed Collective Intelligence for Autonomous Planetary Space Exploration</x:v>
      </x:c>
      <x:c r="E501" s="22" t="str">
        <x:v>K Dhinaxatan 7G Balavigneshwar</x:v>
      </x:c>
      <x:c r="F501" s="22" t="n">
        <x:v>2026</x:v>
      </x:c>
      <x:c r="G501" s="22" t="str">
        <x:v>2026 EEE 2nd... 2°026- iseexplore ieea o-g</x:v>
      </x:c>
      <x:c r="H501" s="22" t="str">
        <x:v>Google Scholar result</x:v>
      </x:c>
      <x:c r="I501" s="22" t="str">
        <x:v>NR</x:v>
      </x:c>
      <x:c r="J501" s="22" t="str">
        <x:v>NR</x:v>
      </x:c>
      <x:c r="K501" s="22" t="str">
        <x:v>NR — URL not captured in the available source record</x:v>
      </x:c>
      <x:c r="L501" s="22" t="str">
        <x:v>Not available in the captured evidence; the screening decision used the title and available source metadata.</x:v>
      </x:c>
      <x:c r="M501" s="22" t="str">
        <x:v>Confirmed duplicate</x:v>
      </x:c>
      <x:c r="N501" s="22" t="str">
        <x:v>DG-062</x:v>
      </x:c>
      <x:c r="O501" s="22" t="str">
        <x:v>GS-04-086</x:v>
      </x:c>
      <x:c r="P501" s="22" t="str">
        <x:v>No</x:v>
      </x:c>
      <x:c r="Q501" s="22" t="str">
        <x:v>Not screened</x:v>
      </x:c>
      <x:c r="R501" s="22" t="str">
        <x:v>Removed before title/abstract screening as a confirmed duplicate.</x:v>
      </x:c>
      <x:c r="S501" s="22" t="str">
        <x:v>Not applicable — removed before screening</x:v>
      </x:c>
      <x:c r="T501" s="22" t="str">
        <x:v>Record was outside the active screening set.</x:v>
      </x:c>
      <x:c r="U501" s="22" t="str">
        <x:v>Removed before screening</x:v>
      </x:c>
      <x:c r="V501" s="22" t="str">
        <x:v>Confirmed duplicate removed during deduplication.</x:v>
      </x:c>
      <x:c r="W501" s="22" t="str">
        <x:v>No</x:v>
      </x:c>
      <x:c r="X501" s="22" t="str">
        <x:v>Not applicable</x:v>
      </x:c>
      <x:c r="Y501" s="22" t="str">
        <x:v>Not assessed</x:v>
      </x:c>
      <x:c r="Z501" s="22" t="str">
        <x:v>Not applicable — record removed before screening.</x:v>
      </x:c>
      <x:c r="AA501" s="22" t="str">
        <x:v>Not applicable</x:v>
      </x:c>
      <x:c r="AB501" s="22" t="str">
        <x:v>Record was not advanced to full-text assessment.</x:v>
      </x:c>
      <x:c r="AC501" s="22" t="str">
        <x:v>Not assessed</x:v>
      </x:c>
      <x:c r="AD501" s="22" t="str">
        <x:v>Not applicable — no full-text assessment was required.</x:v>
      </x:c>
      <x:c r="AE501" s="22" t="str">
        <x:v>Removed before screening</x:v>
      </x:c>
      <x:c r="AF501" s="22" t="str">
        <x:v>Not applicable — not included</x:v>
      </x:c>
      <x:c r="AG501" s="22" t="str">
        <x:v>Evidence: 86a7fc02-3e8d-47c7-a73d-5c555cfc2788.png; page 6, result 4. Metadata transcribed from captured Google Scholar page; OCR-normalised, verify against publication before citation.</x:v>
      </x:c>
      <x:c r="AH501" s="20" t="str">
        <x:v>Confirmed using normalized title across captured searches.</x:v>
      </x:c>
    </x:row>
    <x:row r="502" ht="42" customHeight="1">
      <x:c r="A502" s="22" t="str">
        <x:v>GS-05-055</x:v>
      </x:c>
      <x:c r="B502" s="22" t="str">
        <x:v>Google Scholar</x:v>
      </x:c>
      <x:c r="C502" s="22" t="str">
        <x:v>GS-05</x:v>
      </x:c>
      <x:c r="D502" s="22" t="str">
        <x:v>Technological Advances in Generative and Explainable Al for Next-Generation Cyber Defense</x:v>
      </x:c>
      <x:c r="E502" s="22" t="str">
        <x:v>S$ 3a.l J Shamed MS Bin-Faal -The Rise of | 2026</x:v>
      </x:c>
      <x:c r="F502" s="22" t="n">
        <x:v>2026</x:v>
      </x:c>
      <x:c r="G502" s="22" t="str">
        <x:v>igi-ghbal.com</x:v>
      </x:c>
      <x:c r="H502" s="22" t="str">
        <x:v>Google Scholar result</x:v>
      </x:c>
      <x:c r="I502" s="22" t="str">
        <x:v>NR</x:v>
      </x:c>
      <x:c r="J502" s="22" t="str">
        <x:v>NR</x:v>
      </x:c>
      <x:c r="K502" s="22" t="str">
        <x:v>NR — URL not captured in the available source record</x:v>
      </x:c>
      <x:c r="L502" s="22" t="str">
        <x:v>Not available in the captured evidence; the screening decision used the title and available source metadata.</x:v>
      </x:c>
      <x:c r="M502" s="22" t="str">
        <x:v>Confirmed duplicate</x:v>
      </x:c>
      <x:c r="N502" s="22" t="str">
        <x:v>DG-056</x:v>
      </x:c>
      <x:c r="O502" s="22" t="str">
        <x:v>GS-04-076</x:v>
      </x:c>
      <x:c r="P502" s="22" t="str">
        <x:v>No</x:v>
      </x:c>
      <x:c r="Q502" s="22" t="str">
        <x:v>Not screened</x:v>
      </x:c>
      <x:c r="R502" s="22" t="str">
        <x:v>Removed before title/abstract screening as a confirmed duplicate.</x:v>
      </x:c>
      <x:c r="S502" s="22" t="str">
        <x:v>Not applicable — removed before screening</x:v>
      </x:c>
      <x:c r="T502" s="22" t="str">
        <x:v>Record was outside the active screening set.</x:v>
      </x:c>
      <x:c r="U502" s="22" t="str">
        <x:v>Removed before screening</x:v>
      </x:c>
      <x:c r="V502" s="22" t="str">
        <x:v>Confirmed duplicate removed during deduplication.</x:v>
      </x:c>
      <x:c r="W502" s="22" t="str">
        <x:v>No</x:v>
      </x:c>
      <x:c r="X502" s="22" t="str">
        <x:v>Not applicable</x:v>
      </x:c>
      <x:c r="Y502" s="22" t="str">
        <x:v>Not assessed</x:v>
      </x:c>
      <x:c r="Z502" s="22" t="str">
        <x:v>Not applicable — record removed before screening.</x:v>
      </x:c>
      <x:c r="AA502" s="22" t="str">
        <x:v>Not applicable</x:v>
      </x:c>
      <x:c r="AB502" s="22" t="str">
        <x:v>Record was not advanced to full-text assessment.</x:v>
      </x:c>
      <x:c r="AC502" s="22" t="str">
        <x:v>Not assessed</x:v>
      </x:c>
      <x:c r="AD502" s="22" t="str">
        <x:v>Not applicable — no full-text assessment was required.</x:v>
      </x:c>
      <x:c r="AE502" s="22" t="str">
        <x:v>Removed before screening</x:v>
      </x:c>
      <x:c r="AF502" s="22" t="str">
        <x:v>Not applicable — not included</x:v>
      </x:c>
      <x:c r="AG502" s="22" t="str">
        <x:v>Evidence: 86a7fc02-3e8d-47c7-a73d-5c555cfc2788.png; page 6, result 5. Metadata transcribed from captured Google Scholar page; OCR-normalised, verify against publication before citation.</x:v>
      </x:c>
      <x:c r="AH502" s="20" t="str">
        <x:v>Confirmed using normalized title across captured searches.</x:v>
      </x:c>
    </x:row>
    <x:row r="503" ht="42" customHeight="1">
      <x:c r="A503" s="22" t="str">
        <x:v>GS-05-056</x:v>
      </x:c>
      <x:c r="B503" s="22" t="str">
        <x:v>Google Scholar</x:v>
      </x:c>
      <x:c r="C503" s="22" t="str">
        <x:v>GS-05</x:v>
      </x:c>
      <x:c r="D503" s="22" t="str">
        <x:v>The Turbulent Past and Uncertain Future of Al Is there a way out of Al’s boom- and-bust cycle?</x:v>
      </x:c>
      <x:c r="E503" s="22" t="str">
        <x:v>E Stricklang</x:v>
      </x:c>
      <x:c r="F503" s="22" t="n">
        <x:v>2021</x:v>
      </x:c>
      <x:c r="G503" s="22" t="str">
        <x:v>IEEE Spectrum 2021 - ieeexplare ieee org</x:v>
      </x:c>
      <x:c r="H503" s="22" t="str">
        <x:v>Google Scholar result</x:v>
      </x:c>
      <x:c r="I503" s="22" t="str">
        <x:v>NR</x:v>
      </x:c>
      <x:c r="J503" s="22" t="str">
        <x:v>NR</x:v>
      </x:c>
      <x:c r="K503" s="22" t="str">
        <x:v>NR — URL not captured in the available source record</x:v>
      </x:c>
      <x:c r="L503" s="22" t="str">
        <x:v>Not available in the captured evidence; the screening decision used the title and available source metadata.</x:v>
      </x:c>
      <x:c r="M503" s="22" t="str">
        <x:v>Confirmed duplicate</x:v>
      </x:c>
      <x:c r="N503" s="22" t="str">
        <x:v>DG-059</x:v>
      </x:c>
      <x:c r="O503" s="22" t="str">
        <x:v>GS-04-079</x:v>
      </x:c>
      <x:c r="P503" s="22" t="str">
        <x:v>No</x:v>
      </x:c>
      <x:c r="Q503" s="22" t="str">
        <x:v>Not screened</x:v>
      </x:c>
      <x:c r="R503" s="22" t="str">
        <x:v>Removed before title/abstract screening as a confirmed duplicate.</x:v>
      </x:c>
      <x:c r="S503" s="22" t="str">
        <x:v>Not applicable — removed before screening</x:v>
      </x:c>
      <x:c r="T503" s="22" t="str">
        <x:v>Record was outside the active screening set.</x:v>
      </x:c>
      <x:c r="U503" s="22" t="str">
        <x:v>Removed before screening</x:v>
      </x:c>
      <x:c r="V503" s="22" t="str">
        <x:v>Confirmed duplicate removed during deduplication.</x:v>
      </x:c>
      <x:c r="W503" s="22" t="str">
        <x:v>No</x:v>
      </x:c>
      <x:c r="X503" s="22" t="str">
        <x:v>Not applicable</x:v>
      </x:c>
      <x:c r="Y503" s="22" t="str">
        <x:v>Not assessed</x:v>
      </x:c>
      <x:c r="Z503" s="22" t="str">
        <x:v>Not applicable — record removed before screening.</x:v>
      </x:c>
      <x:c r="AA503" s="22" t="str">
        <x:v>Not applicable</x:v>
      </x:c>
      <x:c r="AB503" s="22" t="str">
        <x:v>Record was not advanced to full-text assessment.</x:v>
      </x:c>
      <x:c r="AC503" s="22" t="str">
        <x:v>Not assessed</x:v>
      </x:c>
      <x:c r="AD503" s="22" t="str">
        <x:v>Not applicable — no full-text assessment was required.</x:v>
      </x:c>
      <x:c r="AE503" s="22" t="str">
        <x:v>Removed before screening</x:v>
      </x:c>
      <x:c r="AF503" s="22" t="str">
        <x:v>Not applicable — not included</x:v>
      </x:c>
      <x:c r="AG503" s="22" t="str">
        <x:v>Evidence: 86a7fc02-3e8d-47c7-a73d-5c555cfc2788.png; page 6, result 6. Metadata transcribed from captured Google Scholar page; OCR-normalised, verify against publication before citation.</x:v>
      </x:c>
      <x:c r="AH503" s="20" t="str">
        <x:v>Confirmed using normalized title across captured searches.</x:v>
      </x:c>
    </x:row>
    <x:row r="504" ht="42" customHeight="1">
      <x:c r="A504" s="22" t="str">
        <x:v>GS-05-057</x:v>
      </x:c>
      <x:c r="B504" s="22" t="str">
        <x:v>Google Scholar</x:v>
      </x:c>
      <x:c r="C504" s="22" t="str">
        <x:v>GS-05</x:v>
      </x:c>
      <x:c r="D504" s="22" t="str">
        <x:v>Advancing medical image classification through graph neural networks</x:v>
      </x:c>
      <x:c r="E504" s="22" t="str">
        <x:v>SK Swackar, MF Khan ¥ Dewangan -AlP Conferesce = 20.26</x:v>
      </x:c>
      <x:c r="F504" s="22" t="str">
        <x:v>NR</x:v>
      </x:c>
      <x:c r="G504" s="22" t="str">
        <x:v>pubs aip org</x:v>
      </x:c>
      <x:c r="H504" s="22" t="str">
        <x:v>Google Scholar result</x:v>
      </x:c>
      <x:c r="I504" s="22" t="str">
        <x:v>NR</x:v>
      </x:c>
      <x:c r="J504" s="22" t="str">
        <x:v>NR</x:v>
      </x:c>
      <x:c r="K504" s="22" t="str">
        <x:v>NR — URL not captured in the available source record</x:v>
      </x:c>
      <x:c r="L504" s="22" t="str">
        <x:v>Not available in the captured evidence; the screening decision used the title and available source metadata.</x:v>
      </x:c>
      <x:c r="M504" s="22" t="str">
        <x:v>Confirmed duplicate</x:v>
      </x:c>
      <x:c r="N504" s="22" t="str">
        <x:v>DG-055</x:v>
      </x:c>
      <x:c r="O504" s="22" t="str">
        <x:v>GS-04-074</x:v>
      </x:c>
      <x:c r="P504" s="22" t="str">
        <x:v>No</x:v>
      </x:c>
      <x:c r="Q504" s="22" t="str">
        <x:v>Not screened</x:v>
      </x:c>
      <x:c r="R504" s="22" t="str">
        <x:v>Removed before title/abstract screening as a confirmed duplicate.</x:v>
      </x:c>
      <x:c r="S504" s="22" t="str">
        <x:v>Not applicable — removed before screening</x:v>
      </x:c>
      <x:c r="T504" s="22" t="str">
        <x:v>Record was outside the active screening set.</x:v>
      </x:c>
      <x:c r="U504" s="22" t="str">
        <x:v>Removed before screening</x:v>
      </x:c>
      <x:c r="V504" s="22" t="str">
        <x:v>Confirmed duplicate removed during deduplication.</x:v>
      </x:c>
      <x:c r="W504" s="22" t="str">
        <x:v>No</x:v>
      </x:c>
      <x:c r="X504" s="22" t="str">
        <x:v>Not applicable</x:v>
      </x:c>
      <x:c r="Y504" s="22" t="str">
        <x:v>Not assessed</x:v>
      </x:c>
      <x:c r="Z504" s="22" t="str">
        <x:v>Not applicable — record removed before screening.</x:v>
      </x:c>
      <x:c r="AA504" s="22" t="str">
        <x:v>Not applicable</x:v>
      </x:c>
      <x:c r="AB504" s="22" t="str">
        <x:v>Record was not advanced to full-text assessment.</x:v>
      </x:c>
      <x:c r="AC504" s="22" t="str">
        <x:v>Not assessed</x:v>
      </x:c>
      <x:c r="AD504" s="22" t="str">
        <x:v>Not applicable — no full-text assessment was required.</x:v>
      </x:c>
      <x:c r="AE504" s="22" t="str">
        <x:v>Removed before screening</x:v>
      </x:c>
      <x:c r="AF504" s="22" t="str">
        <x:v>Not applicable — not included</x:v>
      </x:c>
      <x:c r="AG504" s="22" t="str">
        <x:v>Evidence: 86a7fc02-3e8d-47c7-a73d-5c555cfc2788.png; page 6, result 7. Metadata transcribed from captured Google Scholar page; OCR-normalised, verify against publication before citation.</x:v>
      </x:c>
      <x:c r="AH504" s="20" t="str">
        <x:v>Confirmed using normalized title across captured searches.</x:v>
      </x:c>
    </x:row>
    <x:row r="505" ht="42" customHeight="1">
      <x:c r="A505" s="22" t="str">
        <x:v>GS-05-058</x:v>
      </x:c>
      <x:c r="B505" s="22" t="str">
        <x:v>Google Scholar</x:v>
      </x:c>
      <x:c r="C505" s="22" t="str">
        <x:v>GS-05</x:v>
      </x:c>
      <x:c r="D505" s="22" t="str">
        <x:v>POF] Shamamsm: Evolution in Mystic Disguise</x:v>
      </x:c>
      <x:c r="E505" s="22" t="str">
        <x:v>S$ Buyuk</x:v>
      </x:c>
      <x:c r="F505" s="22" t="n">
        <x:v>2025</x:v>
      </x:c>
      <x:c r="G505" s="22" t="str">
        <x:v>2025 - resgarchgale nal</x:v>
      </x:c>
      <x:c r="H505" s="22" t="str">
        <x:v>Google Scholar result</x:v>
      </x:c>
      <x:c r="I505" s="22" t="str">
        <x:v>NR</x:v>
      </x:c>
      <x:c r="J505" s="22" t="str">
        <x:v>NR</x:v>
      </x:c>
      <x:c r="K505" s="22" t="str">
        <x:v>NR — URL not captured in the available source record</x:v>
      </x:c>
      <x:c r="L505" s="22" t="str">
        <x:v>Not available in the captured evidence; the screening decision used the title and available source metadata.</x:v>
      </x:c>
      <x:c r="M505" s="22" t="str">
        <x:v>No duplicate</x:v>
      </x:c>
      <x:c r="N505" s="22" t="str">
        <x:v>Not applicable — no duplicate group</x:v>
      </x:c>
      <x:c r="O505" s="22" t="str">
        <x:v>Not applicable</x:v>
      </x:c>
      <x:c r="P505" s="22" t="str">
        <x:v>Yes</x:v>
      </x:c>
      <x:c r="Q505" s="22" t="str">
        <x:v>Exclude</x:v>
      </x:c>
      <x:c r="R505" s="22" t="str">
        <x:v>Clearly irrelevant: shamanism and mysticism.</x:v>
      </x:c>
      <x:c r="S505" s="22" t="str">
        <x:v>Verification documented at process level</x:v>
      </x:c>
      <x:c r="T505" s="22" t="str">
        <x:v>Two additional authors performed random spot checks; individual spot-check assignments are not recorded in this register.</x:v>
      </x:c>
      <x:c r="U505" s="22" t="str">
        <x:v>Exclude</x:v>
      </x:c>
      <x:c r="V505" s="22" t="str">
        <x:v>Primary decision by the corresponding author; two additional authors performed random spot checks as a quality-control step.</x:v>
      </x:c>
      <x:c r="W505" s="22" t="str">
        <x:v>No</x:v>
      </x:c>
      <x:c r="X505" s="22" t="str">
        <x:v>Not applicable</x:v>
      </x:c>
      <x:c r="Y505" s="22" t="str">
        <x:v>Not assessed</x:v>
      </x:c>
      <x:c r="Z505" s="22" t="str">
        <x:v>Not advanced to full-text assessment after the title/abstract decision.</x:v>
      </x:c>
      <x:c r="AA505" s="22" t="str">
        <x:v>Not applicable</x:v>
      </x:c>
      <x:c r="AB505" s="22" t="str">
        <x:v>Record was not advanced to full-text assessment.</x:v>
      </x:c>
      <x:c r="AC505" s="22" t="str">
        <x:v>Not assessed</x:v>
      </x:c>
      <x:c r="AD505" s="22" t="str">
        <x:v>Not applicable — no full-text assessment was required.</x:v>
      </x:c>
      <x:c r="AE505" s="22" t="str">
        <x:v>Not included — title/abstract exclusion</x:v>
      </x:c>
      <x:c r="AF505" s="22" t="str">
        <x:v>Not applicable — not included</x:v>
      </x:c>
      <x:c r="AG505" s="22" t="str">
        <x:v>Evidence: 86a7fc02-3e8d-47c7-a73d-5c555cfc2788.png; page 6, result 8. Metadata transcribed from captured Google Scholar page; OCR-normalised, verify against publication before citation.</x:v>
      </x:c>
      <x:c r="AH505" s="20" t="str">
        <x:v>No duplicate identified under the documented matching rules.</x:v>
      </x:c>
    </x:row>
    <x:row r="506" ht="42" customHeight="1">
      <x:c r="A506" s="22" t="str">
        <x:v>GS-05-059</x:v>
      </x:c>
      <x:c r="B506" s="22" t="str">
        <x:v>Google Scholar</x:v>
      </x:c>
      <x:c r="C506" s="22" t="str">
        <x:v>GS-05</x:v>
      </x:c>
      <x:c r="D506" s="22" t="str">
        <x:v>Super-clevr A virtual benchmark to diagnose damain robustness in visual reasoning</x:v>
      </x:c>
      <x:c r="E506" s="22" t="str">
        <x:v>Zui X Wang € Stengel-Sskin -Proceedi-gs ofthe 2(23</x:v>
      </x:c>
      <x:c r="F506" s="22" t="str">
        <x:v>NR</x:v>
      </x:c>
      <x:c r="G506" s="22" t="str">
        <x:v>opensccess thecvi com</x:v>
      </x:c>
      <x:c r="H506" s="22" t="str">
        <x:v>Google Scholar result</x:v>
      </x:c>
      <x:c r="I506" s="22" t="str">
        <x:v>NR</x:v>
      </x:c>
      <x:c r="J506" s="22" t="str">
        <x:v>NR</x:v>
      </x:c>
      <x:c r="K506" s="22" t="str">
        <x:v>NR — URL not captured in the available source record</x:v>
      </x:c>
      <x:c r="L506" s="22" t="str">
        <x:v>Not available in the captured evidence; the screening decision used the title and available source metadata.</x:v>
      </x:c>
      <x:c r="M506" s="22" t="str">
        <x:v>Confirmed duplicate</x:v>
      </x:c>
      <x:c r="N506" s="22" t="str">
        <x:v>DG-067</x:v>
      </x:c>
      <x:c r="O506" s="22" t="str">
        <x:v>GS-04-094</x:v>
      </x:c>
      <x:c r="P506" s="22" t="str">
        <x:v>No</x:v>
      </x:c>
      <x:c r="Q506" s="22" t="str">
        <x:v>Not screened</x:v>
      </x:c>
      <x:c r="R506" s="22" t="str">
        <x:v>Removed before title/abstract screening as a confirmed duplicate.</x:v>
      </x:c>
      <x:c r="S506" s="22" t="str">
        <x:v>Not applicable — removed before screening</x:v>
      </x:c>
      <x:c r="T506" s="22" t="str">
        <x:v>Record was outside the active screening set.</x:v>
      </x:c>
      <x:c r="U506" s="22" t="str">
        <x:v>Removed before screening</x:v>
      </x:c>
      <x:c r="V506" s="22" t="str">
        <x:v>Confirmed duplicate removed during deduplication.</x:v>
      </x:c>
      <x:c r="W506" s="22" t="str">
        <x:v>No</x:v>
      </x:c>
      <x:c r="X506" s="22" t="str">
        <x:v>Not applicable</x:v>
      </x:c>
      <x:c r="Y506" s="22" t="str">
        <x:v>Not assessed</x:v>
      </x:c>
      <x:c r="Z506" s="22" t="str">
        <x:v>Not applicable — record removed before screening.</x:v>
      </x:c>
      <x:c r="AA506" s="22" t="str">
        <x:v>Not applicable</x:v>
      </x:c>
      <x:c r="AB506" s="22" t="str">
        <x:v>Record was not advanced to full-text assessment.</x:v>
      </x:c>
      <x:c r="AC506" s="22" t="str">
        <x:v>Not assessed</x:v>
      </x:c>
      <x:c r="AD506" s="22" t="str">
        <x:v>Not applicable — no full-text assessment was required.</x:v>
      </x:c>
      <x:c r="AE506" s="22" t="str">
        <x:v>Removed before screening</x:v>
      </x:c>
      <x:c r="AF506" s="22" t="str">
        <x:v>Not applicable — not included</x:v>
      </x:c>
      <x:c r="AG506" s="22" t="str">
        <x:v>Evidence: 86a7fc02-3e8d-47c7-a73d-5c555cfc2788.png; page 6, result 9. Metadata transcribed from captured Google Scholar page; OCR-normalised, verify against publication before citation.</x:v>
      </x:c>
      <x:c r="AH506" s="20" t="str">
        <x:v>Confirmed using normalized title across captured searches.</x:v>
      </x:c>
    </x:row>
    <x:row r="507" ht="42" customHeight="1">
      <x:c r="A507" s="22" t="str">
        <x:v>GS-05-060</x:v>
      </x:c>
      <x:c r="B507" s="22" t="str">
        <x:v>Google Scholar</x:v>
      </x:c>
      <x:c r="C507" s="22" t="str">
        <x:v>GS-05</x:v>
      </x:c>
      <x:c r="D507" s="22" t="str">
        <x:v>From Policy to Lagic for Efficient and Interpretable Coverage Assessment</x:v>
      </x:c>
      <x:c r="E507" s="22" t="str">
        <x:v>RPokhare! HR Hassangageh Adgrawal</x:v>
      </x:c>
      <x:c r="F507" s="22" t="n">
        <x:v>2026</x:v>
      </x:c>
      <x:c r="G507" s="22" t="str">
        <x:v>arXiv prepeint arXiv = 2026 - army 31g</x:v>
      </x:c>
      <x:c r="H507" s="22" t="str">
        <x:v>Google Scholar result</x:v>
      </x:c>
      <x:c r="I507" s="22" t="str">
        <x:v>NR</x:v>
      </x:c>
      <x:c r="J507" s="22" t="str">
        <x:v>NR</x:v>
      </x:c>
      <x:c r="K507" s="22" t="str">
        <x:v>NR — URL not captured in the available source record</x:v>
      </x:c>
      <x:c r="L507" s="22" t="str">
        <x:v>Not available in the captured evidence; the screening decision used the title and available source metadata.</x:v>
      </x:c>
      <x:c r="M507" s="22" t="str">
        <x:v>Confirmed duplicate</x:v>
      </x:c>
      <x:c r="N507" s="22" t="str">
        <x:v>DG-064</x:v>
      </x:c>
      <x:c r="O507" s="22" t="str">
        <x:v>GS-04-088</x:v>
      </x:c>
      <x:c r="P507" s="22" t="str">
        <x:v>No</x:v>
      </x:c>
      <x:c r="Q507" s="22" t="str">
        <x:v>Not screened</x:v>
      </x:c>
      <x:c r="R507" s="22" t="str">
        <x:v>Removed before title/abstract screening as a confirmed duplicate.</x:v>
      </x:c>
      <x:c r="S507" s="22" t="str">
        <x:v>Not applicable — removed before screening</x:v>
      </x:c>
      <x:c r="T507" s="22" t="str">
        <x:v>Record was outside the active screening set.</x:v>
      </x:c>
      <x:c r="U507" s="22" t="str">
        <x:v>Removed before screening</x:v>
      </x:c>
      <x:c r="V507" s="22" t="str">
        <x:v>Confirmed duplicate removed during deduplication.</x:v>
      </x:c>
      <x:c r="W507" s="22" t="str">
        <x:v>No</x:v>
      </x:c>
      <x:c r="X507" s="22" t="str">
        <x:v>Not applicable</x:v>
      </x:c>
      <x:c r="Y507" s="22" t="str">
        <x:v>Not assessed</x:v>
      </x:c>
      <x:c r="Z507" s="22" t="str">
        <x:v>Not applicable — record removed before screening.</x:v>
      </x:c>
      <x:c r="AA507" s="22" t="str">
        <x:v>Not applicable</x:v>
      </x:c>
      <x:c r="AB507" s="22" t="str">
        <x:v>Record was not advanced to full-text assessment.</x:v>
      </x:c>
      <x:c r="AC507" s="22" t="str">
        <x:v>Not assessed</x:v>
      </x:c>
      <x:c r="AD507" s="22" t="str">
        <x:v>Not applicable — no full-text assessment was required.</x:v>
      </x:c>
      <x:c r="AE507" s="22" t="str">
        <x:v>Removed before screening</x:v>
      </x:c>
      <x:c r="AF507" s="22" t="str">
        <x:v>Not applicable — not included</x:v>
      </x:c>
      <x:c r="AG507" s="22" t="str">
        <x:v>Evidence: 86a7fc02-3e8d-47c7-a73d-5c555cfc2788.png; page 6, result 10. Metadata transcribed from captured Google Scholar page; OCR-normalised, verify against publication before citation.</x:v>
      </x:c>
      <x:c r="AH507" s="20" t="str">
        <x:v>Confirmed using normalized title across captured searches.</x:v>
      </x:c>
    </x:row>
    <x:row r="508" ht="42" customHeight="1">
      <x:c r="A508" s="22" t="str">
        <x:v>GS-05-061</x:v>
      </x:c>
      <x:c r="B508" s="22" t="str">
        <x:v>Google Scholar</x:v>
      </x:c>
      <x:c r="C508" s="22" t="str">
        <x:v>GS-05</x:v>
      </x:c>
      <x:c r="D508" s="22" t="str">
        <x:v>ZERO Mind Self-Evolving Lifelong Multimodal Memory Architectures for Autonomous Space Digital Twins</x:v>
      </x:c>
      <x:c r="E508" s="22" t="str">
        <x:v>K Dhinaxatan 7G Balavigneshwar</x:v>
      </x:c>
      <x:c r="F508" s="22" t="n">
        <x:v>2026</x:v>
      </x:c>
      <x:c r="G508" s="22" t="str">
        <x:v>2026 EEE 2nd... 2026 - ieeexplore ieee org</x:v>
      </x:c>
      <x:c r="H508" s="22" t="str">
        <x:v>Google Scholar result</x:v>
      </x:c>
      <x:c r="I508" s="22" t="str">
        <x:v>NR</x:v>
      </x:c>
      <x:c r="J508" s="22" t="str">
        <x:v>NR</x:v>
      </x:c>
      <x:c r="K508" s="22" t="str">
        <x:v>NR — URL not captured in the available source record</x:v>
      </x:c>
      <x:c r="L508" s="22" t="str">
        <x:v>Not available in the captured evidence; the screening decision used the title and available source metadata.</x:v>
      </x:c>
      <x:c r="M508" s="22" t="str">
        <x:v>Confirmed duplicate</x:v>
      </x:c>
      <x:c r="N508" s="22" t="str">
        <x:v>DG-052</x:v>
      </x:c>
      <x:c r="O508" s="22" t="str">
        <x:v>GS-04-062</x:v>
      </x:c>
      <x:c r="P508" s="22" t="str">
        <x:v>No</x:v>
      </x:c>
      <x:c r="Q508" s="22" t="str">
        <x:v>Not screened</x:v>
      </x:c>
      <x:c r="R508" s="22" t="str">
        <x:v>Removed before title/abstract screening as a confirmed duplicate.</x:v>
      </x:c>
      <x:c r="S508" s="22" t="str">
        <x:v>Not applicable — removed before screening</x:v>
      </x:c>
      <x:c r="T508" s="22" t="str">
        <x:v>Record was outside the active screening set.</x:v>
      </x:c>
      <x:c r="U508" s="22" t="str">
        <x:v>Removed before screening</x:v>
      </x:c>
      <x:c r="V508" s="22" t="str">
        <x:v>Confirmed duplicate removed during deduplication.</x:v>
      </x:c>
      <x:c r="W508" s="22" t="str">
        <x:v>No</x:v>
      </x:c>
      <x:c r="X508" s="22" t="str">
        <x:v>Not applicable</x:v>
      </x:c>
      <x:c r="Y508" s="22" t="str">
        <x:v>Not assessed</x:v>
      </x:c>
      <x:c r="Z508" s="22" t="str">
        <x:v>Not applicable — record removed before screening.</x:v>
      </x:c>
      <x:c r="AA508" s="22" t="str">
        <x:v>Not applicable</x:v>
      </x:c>
      <x:c r="AB508" s="22" t="str">
        <x:v>Record was not advanced to full-text assessment.</x:v>
      </x:c>
      <x:c r="AC508" s="22" t="str">
        <x:v>Not assessed</x:v>
      </x:c>
      <x:c r="AD508" s="22" t="str">
        <x:v>Not applicable — no full-text assessment was required.</x:v>
      </x:c>
      <x:c r="AE508" s="22" t="str">
        <x:v>Removed before screening</x:v>
      </x:c>
      <x:c r="AF508" s="22" t="str">
        <x:v>Not applicable — not included</x:v>
      </x:c>
      <x:c r="AG508" s="22" t="str">
        <x:v>Evidence: a95237ce-db8b-42d9-b616-82b8bf4722e4.png; page 7, result 1. Metadata transcribed from captured Google Scholar page; OCR-normalised, verify against publication before citation.</x:v>
      </x:c>
      <x:c r="AH508" s="20" t="str">
        <x:v>Confirmed using normalized title across captured searches.</x:v>
      </x:c>
    </x:row>
    <x:row r="509" ht="42" customHeight="1">
      <x:c r="A509" s="22" t="str">
        <x:v>GS-05-062</x:v>
      </x:c>
      <x:c r="B509" s="22" t="str">
        <x:v>Google Scholar</x:v>
      </x:c>
      <x:c r="C509" s="22" t="str">
        <x:v>GS-05</x:v>
      </x:c>
      <x:c r="D509" s="22" t="str">
        <x:v>Breakthroughs, Operational Challenges, and the Roadmap to Integrated Healthcare</x:v>
      </x:c>
      <x:c r="E509" s="22" t="str">
        <x:v>D Chetan. C Pathak SN “wari M* Siddiqui</x:v>
      </x:c>
      <x:c r="F509" s="22" t="str">
        <x:v>NR</x:v>
      </x:c>
      <x:c r="G509" s="22" t="str">
        <x:v>researchgate net</x:v>
      </x:c>
      <x:c r="H509" s="22" t="str">
        <x:v>Google Scholar result</x:v>
      </x:c>
      <x:c r="I509" s="22" t="str">
        <x:v>NR</x:v>
      </x:c>
      <x:c r="J509" s="22" t="str">
        <x:v>NR</x:v>
      </x:c>
      <x:c r="K509" s="22" t="str">
        <x:v>NR — URL not captured in the available source record</x:v>
      </x:c>
      <x:c r="L509" s="22" t="str">
        <x:v>Not available in the captured evidence; the screening decision used the title and available source metadata.</x:v>
      </x:c>
      <x:c r="M509" s="22" t="str">
        <x:v>Confirmed duplicate</x:v>
      </x:c>
      <x:c r="N509" s="22" t="str">
        <x:v>DG-068</x:v>
      </x:c>
      <x:c r="O509" s="22" t="str">
        <x:v>GS-04-095</x:v>
      </x:c>
      <x:c r="P509" s="22" t="str">
        <x:v>No</x:v>
      </x:c>
      <x:c r="Q509" s="22" t="str">
        <x:v>Not screened</x:v>
      </x:c>
      <x:c r="R509" s="22" t="str">
        <x:v>Removed before title/abstract screening as a confirmed duplicate.</x:v>
      </x:c>
      <x:c r="S509" s="22" t="str">
        <x:v>Not applicable — removed before screening</x:v>
      </x:c>
      <x:c r="T509" s="22" t="str">
        <x:v>Record was outside the active screening set.</x:v>
      </x:c>
      <x:c r="U509" s="22" t="str">
        <x:v>Removed before screening</x:v>
      </x:c>
      <x:c r="V509" s="22" t="str">
        <x:v>Confirmed duplicate removed during deduplication.</x:v>
      </x:c>
      <x:c r="W509" s="22" t="str">
        <x:v>No</x:v>
      </x:c>
      <x:c r="X509" s="22" t="str">
        <x:v>Not applicable</x:v>
      </x:c>
      <x:c r="Y509" s="22" t="str">
        <x:v>Not assessed</x:v>
      </x:c>
      <x:c r="Z509" s="22" t="str">
        <x:v>Not applicable — record removed before screening.</x:v>
      </x:c>
      <x:c r="AA509" s="22" t="str">
        <x:v>Not applicable</x:v>
      </x:c>
      <x:c r="AB509" s="22" t="str">
        <x:v>Record was not advanced to full-text assessment.</x:v>
      </x:c>
      <x:c r="AC509" s="22" t="str">
        <x:v>Not assessed</x:v>
      </x:c>
      <x:c r="AD509" s="22" t="str">
        <x:v>Not applicable — no full-text assessment was required.</x:v>
      </x:c>
      <x:c r="AE509" s="22" t="str">
        <x:v>Removed before screening</x:v>
      </x:c>
      <x:c r="AF509" s="22" t="str">
        <x:v>Not applicable — not included</x:v>
      </x:c>
      <x:c r="AG509" s="22" t="str">
        <x:v>Evidence: a95237ce-db8b-42d9-b616-82b8bf4722e4.png; page 7, result 2. Metadata transcribed from captured Google Scholar page; OCR-normalised, verify against publication before citation.</x:v>
      </x:c>
      <x:c r="AH509" s="20" t="str">
        <x:v>Confirmed using normalized title across captured searches.</x:v>
      </x:c>
    </x:row>
    <x:row r="510" ht="42" customHeight="1">
      <x:c r="A510" s="22" t="str">
        <x:v>GS-05-063</x:v>
      </x:c>
      <x:c r="B510" s="22" t="str">
        <x:v>Google Scholar</x:v>
      </x:c>
      <x:c r="C510" s="22" t="str">
        <x:v>GS-05</x:v>
      </x:c>
      <x:c r="D510" s="22" t="str">
        <x:v>por] LIm-based personalized recommendations in health</x:v>
      </x:c>
      <x:c r="E510" s="22" t="str">
        <x:v>BA Galitsky</x:v>
      </x:c>
      <x:c r="F510" s="22" t="n">
        <x:v>2024</x:v>
      </x:c>
      <x:c r="G510" s="22" t="str">
        <x:v>2024 - preprints.org</x:v>
      </x:c>
      <x:c r="H510" s="22" t="str">
        <x:v>Google Scholar result</x:v>
      </x:c>
      <x:c r="I510" s="22" t="str">
        <x:v>NR</x:v>
      </x:c>
      <x:c r="J510" s="22" t="str">
        <x:v>NR</x:v>
      </x:c>
      <x:c r="K510" s="22" t="str">
        <x:v>NR — URL not captured in the available source record</x:v>
      </x:c>
      <x:c r="L510" s="22" t="str">
        <x:v>Not available in the captured evidence; the screening decision used the title and available source metadata.</x:v>
      </x:c>
      <x:c r="M510" s="22" t="str">
        <x:v>No duplicate</x:v>
      </x:c>
      <x:c r="N510" s="22" t="str">
        <x:v>Not applicable — no duplicate group</x:v>
      </x:c>
      <x:c r="O510" s="22" t="str">
        <x:v>Not applicable</x:v>
      </x:c>
      <x:c r="P510" s="22" t="str">
        <x:v>Yes</x:v>
      </x:c>
      <x:c r="Q510" s="22" t="str">
        <x:v>Exclude</x:v>
      </x:c>
      <x:c r="R510" s="22" t="str">
        <x:v>Health recommendations without retinal imaging or concept-based image explanation.</x:v>
      </x:c>
      <x:c r="S510" s="22" t="str">
        <x:v>Verification documented at process level</x:v>
      </x:c>
      <x:c r="T510" s="22" t="str">
        <x:v>Two additional authors performed random spot checks; individual spot-check assignments are not recorded in this register.</x:v>
      </x:c>
      <x:c r="U510" s="22" t="str">
        <x:v>Exclude</x:v>
      </x:c>
      <x:c r="V510" s="22" t="str">
        <x:v>Primary decision by the corresponding author; two additional authors performed random spot checks as a quality-control step.</x:v>
      </x:c>
      <x:c r="W510" s="22" t="str">
        <x:v>No</x:v>
      </x:c>
      <x:c r="X510" s="22" t="str">
        <x:v>Not applicable</x:v>
      </x:c>
      <x:c r="Y510" s="22" t="str">
        <x:v>Not assessed</x:v>
      </x:c>
      <x:c r="Z510" s="22" t="str">
        <x:v>Not advanced to full-text assessment after the title/abstract decision.</x:v>
      </x:c>
      <x:c r="AA510" s="22" t="str">
        <x:v>Not applicable</x:v>
      </x:c>
      <x:c r="AB510" s="22" t="str">
        <x:v>Record was not advanced to full-text assessment.</x:v>
      </x:c>
      <x:c r="AC510" s="22" t="str">
        <x:v>Not assessed</x:v>
      </x:c>
      <x:c r="AD510" s="22" t="str">
        <x:v>Not applicable — no full-text assessment was required.</x:v>
      </x:c>
      <x:c r="AE510" s="22" t="str">
        <x:v>Not included — title/abstract exclusion</x:v>
      </x:c>
      <x:c r="AF510" s="22" t="str">
        <x:v>Not applicable — not included</x:v>
      </x:c>
      <x:c r="AG510" s="22" t="str">
        <x:v>Evidence: a95237ce-db8b-42d9-b616-82b8bf4722e4.png; page 7, result 3. Metadata transcribed from captured Google Scholar page; OCR-normalised, verify against publication before citation.</x:v>
      </x:c>
      <x:c r="AH510" s="20" t="str">
        <x:v>No duplicate identified under the documented matching rules.</x:v>
      </x:c>
    </x:row>
    <x:row r="511" ht="42" customHeight="1">
      <x:c r="A511" s="22" t="str">
        <x:v>GS-05-064</x:v>
      </x:c>
      <x:c r="B511" s="22" t="str">
        <x:v>Google Scholar</x:v>
      </x:c>
      <x:c r="C511" s="22" t="str">
        <x:v>GS-05</x:v>
      </x:c>
      <x:c r="D511" s="22" t="str">
        <x:v>Federated learning for next-gen computing applications and privacy-preserving medical diagnosis</x:v>
      </x:c>
      <x:c r="E511" s="22" t="str">
        <x:v>P Dusi</x:v>
      </x:c>
      <x:c r="F511" s="22" t="n">
        <x:v>2024</x:v>
      </x:c>
      <x:c r="G511" s="22" t="str">
        <x:v>Electronics. Communicalizns. and Competing Summer 2024 - ecesubmit cam</x:v>
      </x:c>
      <x:c r="H511" s="22" t="str">
        <x:v>Google Scholar result</x:v>
      </x:c>
      <x:c r="I511" s="22" t="str">
        <x:v>NR</x:v>
      </x:c>
      <x:c r="J511" s="22" t="str">
        <x:v>NR</x:v>
      </x:c>
      <x:c r="K511" s="22" t="str">
        <x:v>NR — URL not captured in the available source record</x:v>
      </x:c>
      <x:c r="L511" s="22" t="str">
        <x:v>Not available in the captured evidence; the screening decision used the title and available source metadata.</x:v>
      </x:c>
      <x:c r="M511" s="22" t="str">
        <x:v>Confirmed duplicate</x:v>
      </x:c>
      <x:c r="N511" s="22" t="str">
        <x:v>DG-066</x:v>
      </x:c>
      <x:c r="O511" s="22" t="str">
        <x:v>GS-04-093</x:v>
      </x:c>
      <x:c r="P511" s="22" t="str">
        <x:v>No</x:v>
      </x:c>
      <x:c r="Q511" s="22" t="str">
        <x:v>Not screened</x:v>
      </x:c>
      <x:c r="R511" s="22" t="str">
        <x:v>Removed before title/abstract screening as a confirmed duplicate.</x:v>
      </x:c>
      <x:c r="S511" s="22" t="str">
        <x:v>Not applicable — removed before screening</x:v>
      </x:c>
      <x:c r="T511" s="22" t="str">
        <x:v>Record was outside the active screening set.</x:v>
      </x:c>
      <x:c r="U511" s="22" t="str">
        <x:v>Removed before screening</x:v>
      </x:c>
      <x:c r="V511" s="22" t="str">
        <x:v>Confirmed duplicate removed during deduplication.</x:v>
      </x:c>
      <x:c r="W511" s="22" t="str">
        <x:v>No</x:v>
      </x:c>
      <x:c r="X511" s="22" t="str">
        <x:v>Not applicable</x:v>
      </x:c>
      <x:c r="Y511" s="22" t="str">
        <x:v>Not assessed</x:v>
      </x:c>
      <x:c r="Z511" s="22" t="str">
        <x:v>Not applicable — record removed before screening.</x:v>
      </x:c>
      <x:c r="AA511" s="22" t="str">
        <x:v>Not applicable</x:v>
      </x:c>
      <x:c r="AB511" s="22" t="str">
        <x:v>Record was not advanced to full-text assessment.</x:v>
      </x:c>
      <x:c r="AC511" s="22" t="str">
        <x:v>Not assessed</x:v>
      </x:c>
      <x:c r="AD511" s="22" t="str">
        <x:v>Not applicable — no full-text assessment was required.</x:v>
      </x:c>
      <x:c r="AE511" s="22" t="str">
        <x:v>Removed before screening</x:v>
      </x:c>
      <x:c r="AF511" s="22" t="str">
        <x:v>Not applicable — not included</x:v>
      </x:c>
      <x:c r="AG511" s="22" t="str">
        <x:v>Evidence: a95237ce-db8b-42d9-b616-82b8bf4722e4.png; page 7, result 4. Metadata transcribed from captured Google Scholar page; OCR-normalised, verify against publication before citation.</x:v>
      </x:c>
      <x:c r="AH511" s="20" t="str">
        <x:v>Confirmed using normalized title across captured searches.</x:v>
      </x:c>
    </x:row>
    <x:row r="512" ht="42" customHeight="1">
      <x:c r="A512" s="22" t="str">
        <x:v>GS-05-065</x:v>
      </x:c>
      <x:c r="B512" s="22" t="str">
        <x:v>Google Scholar</x:v>
      </x:c>
      <x:c r="C512" s="22" t="str">
        <x:v>GS-05</x:v>
      </x:c>
      <x:c r="D512" s="22" t="str">
        <x:v>Towards Personalized Oncolagy Rehabilitation: A Hybrid LLM-Knowledge Graph Recommendation Approach</x:v>
      </x:c>
      <x:c r="E512" s="22" t="str">
        <x:v>H Djecabria. Y Sem N Messai</x:v>
      </x:c>
      <x:c r="F512" s="22" t="n">
        <x:v>2026</x:v>
      </x:c>
      <x:c r="G512" s="22" t="str">
        <x:v>In‘ernatisnal Svmcosium on ... 2026 - Springer</x:v>
      </x:c>
      <x:c r="H512" s="22" t="str">
        <x:v>Google Scholar result</x:v>
      </x:c>
      <x:c r="I512" s="22" t="str">
        <x:v>NR</x:v>
      </x:c>
      <x:c r="J512" s="22" t="str">
        <x:v>NR</x:v>
      </x:c>
      <x:c r="K512" s="22" t="str">
        <x:v>NR — URL not captured in the available source record</x:v>
      </x:c>
      <x:c r="L512" s="22" t="str">
        <x:v>Not available in the captured evidence; the screening decision used the title and available source metadata.</x:v>
      </x:c>
      <x:c r="M512" s="22" t="str">
        <x:v>No duplicate</x:v>
      </x:c>
      <x:c r="N512" s="22" t="str">
        <x:v>Not applicable — no duplicate group</x:v>
      </x:c>
      <x:c r="O512" s="22" t="str">
        <x:v>Not applicable</x:v>
      </x:c>
      <x:c r="P512" s="22" t="str">
        <x:v>Yes</x:v>
      </x:c>
      <x:c r="Q512" s="22" t="str">
        <x:v>Exclude</x:v>
      </x:c>
      <x:c r="R512" s="22" t="str">
        <x:v>Wrong clinical domain and non-imaging application: oncology rehabilitation.</x:v>
      </x:c>
      <x:c r="S512" s="22" t="str">
        <x:v>Verification documented at process level</x:v>
      </x:c>
      <x:c r="T512" s="22" t="str">
        <x:v>Two additional authors performed random spot checks; individual spot-check assignments are not recorded in this register.</x:v>
      </x:c>
      <x:c r="U512" s="22" t="str">
        <x:v>Exclude</x:v>
      </x:c>
      <x:c r="V512" s="22" t="str">
        <x:v>Primary decision by the corresponding author; two additional authors performed random spot checks as a quality-control step.</x:v>
      </x:c>
      <x:c r="W512" s="22" t="str">
        <x:v>No</x:v>
      </x:c>
      <x:c r="X512" s="22" t="str">
        <x:v>Not applicable</x:v>
      </x:c>
      <x:c r="Y512" s="22" t="str">
        <x:v>Not assessed</x:v>
      </x:c>
      <x:c r="Z512" s="22" t="str">
        <x:v>Not advanced to full-text assessment after the title/abstract decision.</x:v>
      </x:c>
      <x:c r="AA512" s="22" t="str">
        <x:v>Not applicable</x:v>
      </x:c>
      <x:c r="AB512" s="22" t="str">
        <x:v>Record was not advanced to full-text assessment.</x:v>
      </x:c>
      <x:c r="AC512" s="22" t="str">
        <x:v>Not assessed</x:v>
      </x:c>
      <x:c r="AD512" s="22" t="str">
        <x:v>Not applicable — no full-text assessment was required.</x:v>
      </x:c>
      <x:c r="AE512" s="22" t="str">
        <x:v>Not included — title/abstract exclusion</x:v>
      </x:c>
      <x:c r="AF512" s="22" t="str">
        <x:v>Not applicable — not included</x:v>
      </x:c>
      <x:c r="AG512" s="22" t="str">
        <x:v>Evidence: a95237ce-db8b-42d9-b616-82b8bf4722e4.png; page 7, result 5. Metadata transcribed from captured Google Scholar page; OCR-normalised, verify against publication before citation.</x:v>
      </x:c>
      <x:c r="AH512" s="20" t="str">
        <x:v>No duplicate identified under the documented matching rules.</x:v>
      </x:c>
    </x:row>
    <x:row r="513" ht="42" customHeight="1">
      <x:c r="A513" s="22" t="str">
        <x:v>GS-05-066</x:v>
      </x:c>
      <x:c r="B513" s="22" t="str">
        <x:v>Google Scholar</x:v>
      </x:c>
      <x:c r="C513" s="22" t="str">
        <x:v>GS-05</x:v>
      </x:c>
      <x:c r="D513" s="22" t="str">
        <x:v>Homotopic Hierarchies of Mental Content A Structural Account of Percepts, Beliefs and Artificial Cognition</x:v>
      </x:c>
      <x:c r="E513" s="22" t="str">
        <x:v>F Erdman</x:v>
      </x:c>
      <x:c r="F513" s="22" t="n">
        <x:v>2026</x:v>
      </x:c>
      <x:c r="G513" s="22" t="str">
        <x:v>3éieis and Ariel Cagsdion (March 11, 2026), 2026 - papers smn tom</x:v>
      </x:c>
      <x:c r="H513" s="22" t="str">
        <x:v>Google Scholar result</x:v>
      </x:c>
      <x:c r="I513" s="22" t="str">
        <x:v>NR</x:v>
      </x:c>
      <x:c r="J513" s="22" t="str">
        <x:v>NR</x:v>
      </x:c>
      <x:c r="K513" s="22" t="str">
        <x:v>NR — URL not captured in the available source record</x:v>
      </x:c>
      <x:c r="L513" s="22" t="str">
        <x:v>Not available in the captured evidence; the screening decision used the title and available source metadata.</x:v>
      </x:c>
      <x:c r="M513" s="22" t="str">
        <x:v>No duplicate</x:v>
      </x:c>
      <x:c r="N513" s="22" t="str">
        <x:v>Not applicable — no duplicate group</x:v>
      </x:c>
      <x:c r="O513" s="22" t="str">
        <x:v>Not applicable</x:v>
      </x:c>
      <x:c r="P513" s="22" t="str">
        <x:v>Yes</x:v>
      </x:c>
      <x:c r="Q513" s="22" t="str">
        <x:v>Exclude</x:v>
      </x:c>
      <x:c r="R513" s="22" t="str">
        <x:v>Theoretical cognition without medical-imaging application.</x:v>
      </x:c>
      <x:c r="S513" s="22" t="str">
        <x:v>Verification documented at process level</x:v>
      </x:c>
      <x:c r="T513" s="22" t="str">
        <x:v>Two additional authors performed random spot checks; individual spot-check assignments are not recorded in this register.</x:v>
      </x:c>
      <x:c r="U513" s="22" t="str">
        <x:v>Exclude</x:v>
      </x:c>
      <x:c r="V513" s="22" t="str">
        <x:v>Primary decision by the corresponding author; two additional authors performed random spot checks as a quality-control step.</x:v>
      </x:c>
      <x:c r="W513" s="22" t="str">
        <x:v>No</x:v>
      </x:c>
      <x:c r="X513" s="22" t="str">
        <x:v>Not applicable</x:v>
      </x:c>
      <x:c r="Y513" s="22" t="str">
        <x:v>Not assessed</x:v>
      </x:c>
      <x:c r="Z513" s="22" t="str">
        <x:v>Not advanced to full-text assessment after the title/abstract decision.</x:v>
      </x:c>
      <x:c r="AA513" s="22" t="str">
        <x:v>Not applicable</x:v>
      </x:c>
      <x:c r="AB513" s="22" t="str">
        <x:v>Record was not advanced to full-text assessment.</x:v>
      </x:c>
      <x:c r="AC513" s="22" t="str">
        <x:v>Not assessed</x:v>
      </x:c>
      <x:c r="AD513" s="22" t="str">
        <x:v>Not applicable — no full-text assessment was required.</x:v>
      </x:c>
      <x:c r="AE513" s="22" t="str">
        <x:v>Not included — title/abstract exclusion</x:v>
      </x:c>
      <x:c r="AF513" s="22" t="str">
        <x:v>Not applicable — not included</x:v>
      </x:c>
      <x:c r="AG513" s="22" t="str">
        <x:v>Evidence: a95237ce-db8b-42d9-b616-82b8bf4722e4.png; page 7, result 6. Metadata transcribed from captured Google Scholar page; OCR-normalised, verify against publication before citation.</x:v>
      </x:c>
      <x:c r="AH513" s="20" t="str">
        <x:v>No duplicate identified under the documented matching rules.</x:v>
      </x:c>
    </x:row>
    <x:row r="514" ht="42" customHeight="1">
      <x:c r="A514" s="22" t="str">
        <x:v>GS-05-067</x:v>
      </x:c>
      <x:c r="B514" s="22" t="str">
        <x:v>Google Scholar</x:v>
      </x:c>
      <x:c r="C514" s="22" t="str">
        <x:v>GS-05</x:v>
      </x:c>
      <x:c r="D514" s="22" t="str">
        <x:v>Embodied intelligence in surgical robotics’ From perception-action loops to cognitive collaboration</x:v>
      </x:c>
      <x:c r="E514" s="22" t="str">
        <x:v>Ft4o Z yu, KZuo SRong MH Chang W Zhao, 2 Guan</x:v>
      </x:c>
      <x:c r="F514" s="22" t="n">
        <x:v>2026</x:v>
      </x:c>
      <x:c r="G514" s="22" t="str">
        <x:v>2026 - lechniy arg</x:v>
      </x:c>
      <x:c r="H514" s="22" t="str">
        <x:v>Google Scholar result</x:v>
      </x:c>
      <x:c r="I514" s="22" t="str">
        <x:v>NR</x:v>
      </x:c>
      <x:c r="J514" s="22" t="str">
        <x:v>NR</x:v>
      </x:c>
      <x:c r="K514" s="22" t="str">
        <x:v>NR — URL not captured in the available source record</x:v>
      </x:c>
      <x:c r="L514" s="22" t="str">
        <x:v>Not available in the captured evidence; the screening decision used the title and available source metadata.</x:v>
      </x:c>
      <x:c r="M514" s="22" t="str">
        <x:v>Confirmed duplicate</x:v>
      </x:c>
      <x:c r="N514" s="22" t="str">
        <x:v>DG-071</x:v>
      </x:c>
      <x:c r="O514" s="22" t="str">
        <x:v>GS-04-100</x:v>
      </x:c>
      <x:c r="P514" s="22" t="str">
        <x:v>No</x:v>
      </x:c>
      <x:c r="Q514" s="22" t="str">
        <x:v>Not screened</x:v>
      </x:c>
      <x:c r="R514" s="22" t="str">
        <x:v>Removed before title/abstract screening as a confirmed duplicate.</x:v>
      </x:c>
      <x:c r="S514" s="22" t="str">
        <x:v>Not applicable — removed before screening</x:v>
      </x:c>
      <x:c r="T514" s="22" t="str">
        <x:v>Record was outside the active screening set.</x:v>
      </x:c>
      <x:c r="U514" s="22" t="str">
        <x:v>Removed before screening</x:v>
      </x:c>
      <x:c r="V514" s="22" t="str">
        <x:v>Confirmed duplicate removed during deduplication.</x:v>
      </x:c>
      <x:c r="W514" s="22" t="str">
        <x:v>No</x:v>
      </x:c>
      <x:c r="X514" s="22" t="str">
        <x:v>Not applicable</x:v>
      </x:c>
      <x:c r="Y514" s="22" t="str">
        <x:v>Not assessed</x:v>
      </x:c>
      <x:c r="Z514" s="22" t="str">
        <x:v>Not applicable — record removed before screening.</x:v>
      </x:c>
      <x:c r="AA514" s="22" t="str">
        <x:v>Not applicable</x:v>
      </x:c>
      <x:c r="AB514" s="22" t="str">
        <x:v>Record was not advanced to full-text assessment.</x:v>
      </x:c>
      <x:c r="AC514" s="22" t="str">
        <x:v>Not assessed</x:v>
      </x:c>
      <x:c r="AD514" s="22" t="str">
        <x:v>Not applicable — no full-text assessment was required.</x:v>
      </x:c>
      <x:c r="AE514" s="22" t="str">
        <x:v>Removed before screening</x:v>
      </x:c>
      <x:c r="AF514" s="22" t="str">
        <x:v>Not applicable — not included</x:v>
      </x:c>
      <x:c r="AG514" s="22" t="str">
        <x:v>Evidence: a95237ce-db8b-42d9-b616-82b8bf4722e4.png; page 7, result 7. Metadata transcribed from captured Google Scholar page; OCR-normalised, verify against publication before citation.</x:v>
      </x:c>
      <x:c r="AH514" s="20" t="str">
        <x:v>Confirmed using normalized title across captured searches.</x:v>
      </x:c>
    </x:row>
    <x:row r="515" ht="42" customHeight="1">
      <x:c r="A515" s="22" t="str">
        <x:v>GS-05-068</x:v>
      </x:c>
      <x:c r="B515" s="22" t="str">
        <x:v>Google Scholar</x:v>
      </x:c>
      <x:c r="C515" s="22" t="str">
        <x:v>GS-05</x:v>
      </x:c>
      <x:c r="D515" s="22" t="str">
        <x:v>POF] The Evolutionary Function of Dreams: From Symbolic Cognition to Biological Encading</x:v>
      </x:c>
      <x:c r="E515" s="22" t="str">
        <x:v>S Suyuk</x:v>
      </x:c>
      <x:c r="F515" s="22" t="n">
        <x:v>2025</x:v>
      </x:c>
      <x:c r="G515" s="22" t="str">
        <x:v>2025 - researchgsle net</x:v>
      </x:c>
      <x:c r="H515" s="22" t="str">
        <x:v>Google Scholar result</x:v>
      </x:c>
      <x:c r="I515" s="22" t="str">
        <x:v>NR</x:v>
      </x:c>
      <x:c r="J515" s="22" t="str">
        <x:v>NR</x:v>
      </x:c>
      <x:c r="K515" s="22" t="str">
        <x:v>NR — URL not captured in the available source record</x:v>
      </x:c>
      <x:c r="L515" s="22" t="str">
        <x:v>Not available in the captured evidence; the screening decision used the title and available source metadata.</x:v>
      </x:c>
      <x:c r="M515" s="22" t="str">
        <x:v>No duplicate</x:v>
      </x:c>
      <x:c r="N515" s="22" t="str">
        <x:v>Not applicable — no duplicate group</x:v>
      </x:c>
      <x:c r="O515" s="22" t="str">
        <x:v>Not applicable</x:v>
      </x:c>
      <x:c r="P515" s="22" t="str">
        <x:v>Yes</x:v>
      </x:c>
      <x:c r="Q515" s="22" t="str">
        <x:v>Exclude</x:v>
      </x:c>
      <x:c r="R515" s="22" t="str">
        <x:v>Clearly irrelevant: dreams and symbolic cognition.</x:v>
      </x:c>
      <x:c r="S515" s="22" t="str">
        <x:v>Verification documented at process level</x:v>
      </x:c>
      <x:c r="T515" s="22" t="str">
        <x:v>Two additional authors performed random spot checks; individual spot-check assignments are not recorded in this register.</x:v>
      </x:c>
      <x:c r="U515" s="22" t="str">
        <x:v>Exclude</x:v>
      </x:c>
      <x:c r="V515" s="22" t="str">
        <x:v>Primary decision by the corresponding author; two additional authors performed random spot checks as a quality-control step.</x:v>
      </x:c>
      <x:c r="W515" s="22" t="str">
        <x:v>No</x:v>
      </x:c>
      <x:c r="X515" s="22" t="str">
        <x:v>Not applicable</x:v>
      </x:c>
      <x:c r="Y515" s="22" t="str">
        <x:v>Not assessed</x:v>
      </x:c>
      <x:c r="Z515" s="22" t="str">
        <x:v>Not advanced to full-text assessment after the title/abstract decision.</x:v>
      </x:c>
      <x:c r="AA515" s="22" t="str">
        <x:v>Not applicable</x:v>
      </x:c>
      <x:c r="AB515" s="22" t="str">
        <x:v>Record was not advanced to full-text assessment.</x:v>
      </x:c>
      <x:c r="AC515" s="22" t="str">
        <x:v>Not assessed</x:v>
      </x:c>
      <x:c r="AD515" s="22" t="str">
        <x:v>Not applicable — no full-text assessment was required.</x:v>
      </x:c>
      <x:c r="AE515" s="22" t="str">
        <x:v>Not included — title/abstract exclusion</x:v>
      </x:c>
      <x:c r="AF515" s="22" t="str">
        <x:v>Not applicable — not included</x:v>
      </x:c>
      <x:c r="AG515" s="22" t="str">
        <x:v>Evidence: a95237ce-db8b-42d9-b616-82b8bf4722e4.png; page 7, result 8. Metadata transcribed from captured Google Scholar page; OCR-normalised, verify against publication before citation.</x:v>
      </x:c>
      <x:c r="AH515" s="20" t="str">
        <x:v>No duplicate identified under the documented matching rules.</x:v>
      </x:c>
    </x:row>
    <x:row r="516" ht="42" customHeight="1">
      <x:c r="A516" s="22" t="str">
        <x:v>GS-05-069</x:v>
      </x:c>
      <x:c r="B516" s="22" t="str">
        <x:v>Google Scholar</x:v>
      </x:c>
      <x:c r="C516" s="22" t="str">
        <x:v>GS-05</x:v>
      </x:c>
      <x:c r="D516" s="22" t="str">
        <x:v>(PoF] Al-Driven Predictive Analytics and loT Sensors for Optimizing Municipal Waste Collection in Smart Cities</x:v>
      </x:c>
      <x:c r="E516" s="22" t="str">
        <x:v>ASnnivasan G Praturam | Deepika 4 Balaxrishnan</x:v>
      </x:c>
      <x:c r="F516" s="22" t="str">
        <x:v>NR</x:v>
      </x:c>
      <x:c r="G516" s="22" t="str">
        <x:v>2726 - teks com</x:v>
      </x:c>
      <x:c r="H516" s="22" t="str">
        <x:v>Google Scholar result</x:v>
      </x:c>
      <x:c r="I516" s="22" t="str">
        <x:v>NR</x:v>
      </x:c>
      <x:c r="J516" s="22" t="str">
        <x:v>NR</x:v>
      </x:c>
      <x:c r="K516" s="22" t="str">
        <x:v>NR — URL not captured in the available source record</x:v>
      </x:c>
      <x:c r="L516" s="22" t="str">
        <x:v>Not available in the captured evidence; the screening decision used the title and available source metadata.</x:v>
      </x:c>
      <x:c r="M516" s="22" t="str">
        <x:v>No duplicate</x:v>
      </x:c>
      <x:c r="N516" s="22" t="str">
        <x:v>Not applicable — no duplicate group</x:v>
      </x:c>
      <x:c r="O516" s="22" t="str">
        <x:v>Not applicable</x:v>
      </x:c>
      <x:c r="P516" s="22" t="str">
        <x:v>Yes</x:v>
      </x:c>
      <x:c r="Q516" s="22" t="str">
        <x:v>Exclude</x:v>
      </x:c>
      <x:c r="R516" s="22" t="str">
        <x:v>Wrong domain: municipal waste collection.</x:v>
      </x:c>
      <x:c r="S516" s="22" t="str">
        <x:v>Verification documented at process level</x:v>
      </x:c>
      <x:c r="T516" s="22" t="str">
        <x:v>Two additional authors performed random spot checks; individual spot-check assignments are not recorded in this register.</x:v>
      </x:c>
      <x:c r="U516" s="22" t="str">
        <x:v>Exclude</x:v>
      </x:c>
      <x:c r="V516" s="22" t="str">
        <x:v>Primary decision by the corresponding author; two additional authors performed random spot checks as a quality-control step.</x:v>
      </x:c>
      <x:c r="W516" s="22" t="str">
        <x:v>No</x:v>
      </x:c>
      <x:c r="X516" s="22" t="str">
        <x:v>Not applicable</x:v>
      </x:c>
      <x:c r="Y516" s="22" t="str">
        <x:v>Not assessed</x:v>
      </x:c>
      <x:c r="Z516" s="22" t="str">
        <x:v>Not advanced to full-text assessment after the title/abstract decision.</x:v>
      </x:c>
      <x:c r="AA516" s="22" t="str">
        <x:v>Not applicable</x:v>
      </x:c>
      <x:c r="AB516" s="22" t="str">
        <x:v>Record was not advanced to full-text assessment.</x:v>
      </x:c>
      <x:c r="AC516" s="22" t="str">
        <x:v>Not assessed</x:v>
      </x:c>
      <x:c r="AD516" s="22" t="str">
        <x:v>Not applicable — no full-text assessment was required.</x:v>
      </x:c>
      <x:c r="AE516" s="22" t="str">
        <x:v>Not included — title/abstract exclusion</x:v>
      </x:c>
      <x:c r="AF516" s="22" t="str">
        <x:v>Not applicable — not included</x:v>
      </x:c>
      <x:c r="AG516" s="22" t="str">
        <x:v>Evidence: a95237ce-db8b-42d9-b616-82b8bf4722e4.png; page 7, result 9. Metadata transcribed from captured Google Scholar page; OCR-normalised, verify against publication before citation.</x:v>
      </x:c>
      <x:c r="AH516" s="20" t="str">
        <x:v>No duplicate identified under the documented matching rules.</x:v>
      </x:c>
    </x:row>
    <x:row r="517" ht="42" customHeight="1">
      <x:c r="A517" s="22" t="str">
        <x:v>GS-05-070</x:v>
      </x:c>
      <x:c r="B517" s="22" t="str">
        <x:v>Google Scholar</x:v>
      </x:c>
      <x:c r="C517" s="22" t="str">
        <x:v>GS-05</x:v>
      </x:c>
      <x:c r="D517" s="22" t="str">
        <x:v>From Insight to Intelligence: Intagrating Human Expertise in Machine Learning</x:v>
      </x:c>
      <x:c r="E517" s="22" t="str">
        <x:v>R Kumar M Ravi PR Verna</x:v>
      </x:c>
      <x:c r="F517" s="22" t="n">
        <x:v>2025</x:v>
      </x:c>
      <x:c r="G517" s="22" t="str">
        <x:v>Automating Software Defect Celeciion 2025 - igi-global com</x:v>
      </x:c>
      <x:c r="H517" s="22" t="str">
        <x:v>Google Scholar result</x:v>
      </x:c>
      <x:c r="I517" s="22" t="str">
        <x:v>NR</x:v>
      </x:c>
      <x:c r="J517" s="22" t="str">
        <x:v>NR</x:v>
      </x:c>
      <x:c r="K517" s="22" t="str">
        <x:v>NR — URL not captured in the available source record</x:v>
      </x:c>
      <x:c r="L517" s="22" t="str">
        <x:v>Not available in the captured evidence; the screening decision used the title and available source metadata.</x:v>
      </x:c>
      <x:c r="M517" s="22" t="str">
        <x:v>Confirmed duplicate</x:v>
      </x:c>
      <x:c r="N517" s="22" t="str">
        <x:v>DG-069</x:v>
      </x:c>
      <x:c r="O517" s="22" t="str">
        <x:v>GS-04-097</x:v>
      </x:c>
      <x:c r="P517" s="22" t="str">
        <x:v>No</x:v>
      </x:c>
      <x:c r="Q517" s="22" t="str">
        <x:v>Not screened</x:v>
      </x:c>
      <x:c r="R517" s="22" t="str">
        <x:v>Removed before title/abstract screening as a confirmed duplicate.</x:v>
      </x:c>
      <x:c r="S517" s="22" t="str">
        <x:v>Not applicable — removed before screening</x:v>
      </x:c>
      <x:c r="T517" s="22" t="str">
        <x:v>Record was outside the active screening set.</x:v>
      </x:c>
      <x:c r="U517" s="22" t="str">
        <x:v>Removed before screening</x:v>
      </x:c>
      <x:c r="V517" s="22" t="str">
        <x:v>Confirmed duplicate removed during deduplication.</x:v>
      </x:c>
      <x:c r="W517" s="22" t="str">
        <x:v>No</x:v>
      </x:c>
      <x:c r="X517" s="22" t="str">
        <x:v>Not applicable</x:v>
      </x:c>
      <x:c r="Y517" s="22" t="str">
        <x:v>Not assessed</x:v>
      </x:c>
      <x:c r="Z517" s="22" t="str">
        <x:v>Not applicable — record removed before screening.</x:v>
      </x:c>
      <x:c r="AA517" s="22" t="str">
        <x:v>Not applicable</x:v>
      </x:c>
      <x:c r="AB517" s="22" t="str">
        <x:v>Record was not advanced to full-text assessment.</x:v>
      </x:c>
      <x:c r="AC517" s="22" t="str">
        <x:v>Not assessed</x:v>
      </x:c>
      <x:c r="AD517" s="22" t="str">
        <x:v>Not applicable — no full-text assessment was required.</x:v>
      </x:c>
      <x:c r="AE517" s="22" t="str">
        <x:v>Removed before screening</x:v>
      </x:c>
      <x:c r="AF517" s="22" t="str">
        <x:v>Not applicable — not included</x:v>
      </x:c>
      <x:c r="AG517" s="22" t="str">
        <x:v>Evidence: a95237ce-db8b-42d9-b616-82b8bf4722e4.png; page 7, result 10. Metadata transcribed from captured Google Scholar page; OCR-normalised, verify against publication before citation.</x:v>
      </x:c>
      <x:c r="AH517" s="20" t="str">
        <x:v>Confirmed using normalized title across captured searches.</x:v>
      </x:c>
    </x:row>
    <x:row r="518" ht="42" customHeight="1">
      <x:c r="A518" s="22" t="str">
        <x:v>GS-05-071</x:v>
      </x:c>
      <x:c r="B518" s="22" t="str">
        <x:v>Google Scholar</x:v>
      </x:c>
      <x:c r="C518" s="22" t="str">
        <x:v>GS-05</x:v>
      </x:c>
      <x:c r="D518" s="22" t="str">
        <x:v>The long and winding path towards a trustworthy Al</x:v>
      </x:c>
      <x:c r="E518" s="22" t="str">
        <x:v>A Quana</x:v>
      </x:c>
      <x:c r="F518" s="22" t="str">
        <x:v>NR</x:v>
      </x:c>
      <x:c r="G518" s="22" t="str">
        <x:v>202£ - lesidottoraio depasitalegae tt</x:v>
      </x:c>
      <x:c r="H518" s="22" t="str">
        <x:v>Google Scholar result</x:v>
      </x:c>
      <x:c r="I518" s="22" t="str">
        <x:v>NR</x:v>
      </x:c>
      <x:c r="J518" s="22" t="str">
        <x:v>NR</x:v>
      </x:c>
      <x:c r="K518" s="22" t="str">
        <x:v>NR — URL not captured in the available source record</x:v>
      </x:c>
      <x:c r="L518" s="22" t="str">
        <x:v>Not available in the captured evidence; the screening decision used the title and available source metadata.</x:v>
      </x:c>
      <x:c r="M518" s="22" t="str">
        <x:v>No duplicate</x:v>
      </x:c>
      <x:c r="N518" s="22" t="str">
        <x:v>Not applicable — no duplicate group</x:v>
      </x:c>
      <x:c r="O518" s="22" t="str">
        <x:v>Not applicable</x:v>
      </x:c>
      <x:c r="P518" s="22" t="str">
        <x:v>Yes</x:v>
      </x:c>
      <x:c r="Q518" s="22" t="str">
        <x:v>Exclude</x:v>
      </x:c>
      <x:c r="R518" s="22" t="str">
        <x:v>General trustworthy-AI discussion without relevant empirical imaging evidence.</x:v>
      </x:c>
      <x:c r="S518" s="22" t="str">
        <x:v>Verification documented at process level</x:v>
      </x:c>
      <x:c r="T518" s="22" t="str">
        <x:v>Two additional authors performed random spot checks; individual spot-check assignments are not recorded in this register.</x:v>
      </x:c>
      <x:c r="U518" s="22" t="str">
        <x:v>Exclude</x:v>
      </x:c>
      <x:c r="V518" s="22" t="str">
        <x:v>Primary decision by the corresponding author; two additional authors performed random spot checks as a quality-control step.</x:v>
      </x:c>
      <x:c r="W518" s="22" t="str">
        <x:v>No</x:v>
      </x:c>
      <x:c r="X518" s="22" t="str">
        <x:v>Not applicable</x:v>
      </x:c>
      <x:c r="Y518" s="22" t="str">
        <x:v>Not assessed</x:v>
      </x:c>
      <x:c r="Z518" s="22" t="str">
        <x:v>Not advanced to full-text assessment after the title/abstract decision.</x:v>
      </x:c>
      <x:c r="AA518" s="22" t="str">
        <x:v>Not applicable</x:v>
      </x:c>
      <x:c r="AB518" s="22" t="str">
        <x:v>Record was not advanced to full-text assessment.</x:v>
      </x:c>
      <x:c r="AC518" s="22" t="str">
        <x:v>Not assessed</x:v>
      </x:c>
      <x:c r="AD518" s="22" t="str">
        <x:v>Not applicable — no full-text assessment was required.</x:v>
      </x:c>
      <x:c r="AE518" s="22" t="str">
        <x:v>Not included — title/abstract exclusion</x:v>
      </x:c>
      <x:c r="AF518" s="22" t="str">
        <x:v>Not applicable — not included</x:v>
      </x:c>
      <x:c r="AG518" s="22" t="str">
        <x:v>Evidence: bfc1f5db-4691-4c85-879a-bc15cca23582.png; page 8, result 1. Metadata transcribed from captured Google Scholar page; OCR-normalised, verify against publication before citation.</x:v>
      </x:c>
      <x:c r="AH518" s="20" t="str">
        <x:v>No duplicate identified under the documented matching rules.</x:v>
      </x:c>
    </x:row>
    <x:row r="519" ht="42" customHeight="1">
      <x:c r="A519" s="22" t="str">
        <x:v>GS-05-072</x:v>
      </x:c>
      <x:c r="B519" s="22" t="str">
        <x:v>Google Scholar</x:v>
      </x:c>
      <x:c r="C519" s="22" t="str">
        <x:v>GS-05</x:v>
      </x:c>
      <x:c r="D519" s="22" t="str">
        <x:v>Layers folds, and semi-neuronal information processing</x:v>
      </x:c>
      <x:c r="E519" s="22" t="str">
        <x:v>BAbcea J Parent. Procedis Computer Science 2722 . Elsaviac</x:v>
      </x:c>
      <x:c r="F519" s="22" t="str">
        <x:v>NR</x:v>
      </x:c>
      <x:c r="G519" s="22" t="str">
        <x:v>BAbcea J Parent. Procedis Computer Science 2722 . Elsaviac</x:v>
      </x:c>
      <x:c r="H519" s="22" t="str">
        <x:v>Google Scholar result</x:v>
      </x:c>
      <x:c r="I519" s="22" t="str">
        <x:v>NR</x:v>
      </x:c>
      <x:c r="J519" s="22" t="str">
        <x:v>NR</x:v>
      </x:c>
      <x:c r="K519" s="22" t="str">
        <x:v>NR — URL not captured in the available source record</x:v>
      </x:c>
      <x:c r="L519" s="22" t="str">
        <x:v>Not available in the captured evidence; the screening decision used the title and available source metadata.</x:v>
      </x:c>
      <x:c r="M519" s="22" t="str">
        <x:v>No duplicate</x:v>
      </x:c>
      <x:c r="N519" s="22" t="str">
        <x:v>Not applicable — no duplicate group</x:v>
      </x:c>
      <x:c r="O519" s="22" t="str">
        <x:v>Not applicable</x:v>
      </x:c>
      <x:c r="P519" s="22" t="str">
        <x:v>Yes</x:v>
      </x:c>
      <x:c r="Q519" s="22" t="str">
        <x:v>Exclude</x:v>
      </x:c>
      <x:c r="R519" s="22" t="str">
        <x:v>Theoretical information processing; no medical imaging.</x:v>
      </x:c>
      <x:c r="S519" s="22" t="str">
        <x:v>Verification documented at process level</x:v>
      </x:c>
      <x:c r="T519" s="22" t="str">
        <x:v>Two additional authors performed random spot checks; individual spot-check assignments are not recorded in this register.</x:v>
      </x:c>
      <x:c r="U519" s="22" t="str">
        <x:v>Exclude</x:v>
      </x:c>
      <x:c r="V519" s="22" t="str">
        <x:v>Primary decision by the corresponding author; two additional authors performed random spot checks as a quality-control step.</x:v>
      </x:c>
      <x:c r="W519" s="22" t="str">
        <x:v>No</x:v>
      </x:c>
      <x:c r="X519" s="22" t="str">
        <x:v>Not applicable</x:v>
      </x:c>
      <x:c r="Y519" s="22" t="str">
        <x:v>Not assessed</x:v>
      </x:c>
      <x:c r="Z519" s="22" t="str">
        <x:v>Not advanced to full-text assessment after the title/abstract decision.</x:v>
      </x:c>
      <x:c r="AA519" s="22" t="str">
        <x:v>Not applicable</x:v>
      </x:c>
      <x:c r="AB519" s="22" t="str">
        <x:v>Record was not advanced to full-text assessment.</x:v>
      </x:c>
      <x:c r="AC519" s="22" t="str">
        <x:v>Not assessed</x:v>
      </x:c>
      <x:c r="AD519" s="22" t="str">
        <x:v>Not applicable — no full-text assessment was required.</x:v>
      </x:c>
      <x:c r="AE519" s="22" t="str">
        <x:v>Not included — title/abstract exclusion</x:v>
      </x:c>
      <x:c r="AF519" s="22" t="str">
        <x:v>Not applicable — not included</x:v>
      </x:c>
      <x:c r="AG519" s="22" t="str">
        <x:v>Evidence: bfc1f5db-4691-4c85-879a-bc15cca23582.png; page 8, result 2. Metadata transcribed from captured Google Scholar page; OCR-normalised, verify against publication before citation.</x:v>
      </x:c>
      <x:c r="AH519" s="20" t="str">
        <x:v>No duplicate identified under the documented matching rules.</x:v>
      </x:c>
    </x:row>
    <x:row r="520" ht="42" customHeight="1">
      <x:c r="A520" s="22" t="str">
        <x:v>GS-05-073</x:v>
      </x:c>
      <x:c r="B520" s="22" t="str">
        <x:v>Google Scholar</x:v>
      </x:c>
      <x:c r="C520" s="22" t="str">
        <x:v>GS-05</x:v>
      </x:c>
      <x:c r="D520" s="22" t="str">
        <x:v>Back to the feature Aneural-symbolic perspective on explainable Al</x:v>
      </x:c>
      <x:c r="E520" s="22" t="str">
        <x:v>ACanpsgner F Cabiza- -Corrain Canterenca fo’ Machine Laaming and =. 2020</x:v>
      </x:c>
      <x:c r="F520" s="22" t="n">
        <x:v>2020</x:v>
      </x:c>
      <x:c r="G520" s="22" t="str">
        <x:v>Springer</x:v>
      </x:c>
      <x:c r="H520" s="22" t="str">
        <x:v>Google Scholar result</x:v>
      </x:c>
      <x:c r="I520" s="22" t="str">
        <x:v>NR</x:v>
      </x:c>
      <x:c r="J520" s="22" t="str">
        <x:v>NR</x:v>
      </x:c>
      <x:c r="K520" s="22" t="str">
        <x:v>NR — URL not captured in the available source record</x:v>
      </x:c>
      <x:c r="L520" s="22" t="str">
        <x:v>Not available in the captured evidence; the screening decision used the title and available source metadata.</x:v>
      </x:c>
      <x:c r="M520" s="22" t="str">
        <x:v>No duplicate</x:v>
      </x:c>
      <x:c r="N520" s="22" t="str">
        <x:v>Not applicable — no duplicate group</x:v>
      </x:c>
      <x:c r="O520" s="22" t="str">
        <x:v>Not applicable</x:v>
      </x:c>
      <x:c r="P520" s="22" t="str">
        <x:v>Yes</x:v>
      </x:c>
      <x:c r="Q520" s="22" t="str">
        <x:v>Exclude</x:v>
      </x:c>
      <x:c r="R520" s="22" t="str">
        <x:v>Perspective/non-empirical paper without a relevant medical-imaging study.</x:v>
      </x:c>
      <x:c r="S520" s="22" t="str">
        <x:v>Verification documented at process level</x:v>
      </x:c>
      <x:c r="T520" s="22" t="str">
        <x:v>Two additional authors performed random spot checks; individual spot-check assignments are not recorded in this register.</x:v>
      </x:c>
      <x:c r="U520" s="22" t="str">
        <x:v>Exclude</x:v>
      </x:c>
      <x:c r="V520" s="22" t="str">
        <x:v>Primary decision by the corresponding author; two additional authors performed random spot checks as a quality-control step.</x:v>
      </x:c>
      <x:c r="W520" s="22" t="str">
        <x:v>No</x:v>
      </x:c>
      <x:c r="X520" s="22" t="str">
        <x:v>Not applicable</x:v>
      </x:c>
      <x:c r="Y520" s="22" t="str">
        <x:v>Not assessed</x:v>
      </x:c>
      <x:c r="Z520" s="22" t="str">
        <x:v>Not advanced to full-text assessment after the title/abstract decision.</x:v>
      </x:c>
      <x:c r="AA520" s="22" t="str">
        <x:v>Not applicable</x:v>
      </x:c>
      <x:c r="AB520" s="22" t="str">
        <x:v>Record was not advanced to full-text assessment.</x:v>
      </x:c>
      <x:c r="AC520" s="22" t="str">
        <x:v>Not assessed</x:v>
      </x:c>
      <x:c r="AD520" s="22" t="str">
        <x:v>Not applicable — no full-text assessment was required.</x:v>
      </x:c>
      <x:c r="AE520" s="22" t="str">
        <x:v>Not included — title/abstract exclusion</x:v>
      </x:c>
      <x:c r="AF520" s="22" t="str">
        <x:v>Not applicable — not included</x:v>
      </x:c>
      <x:c r="AG520" s="22" t="str">
        <x:v>Evidence: bfc1f5db-4691-4c85-879a-bc15cca23582.png; page 8, result 3. Metadata transcribed from captured Google Scholar page; OCR-normalised, verify against publication before citation.</x:v>
      </x:c>
      <x:c r="AH520" s="20" t="str">
        <x:v>No duplicate identified under the documented matching rules.</x:v>
      </x:c>
    </x:row>
    <x:row r="521" ht="42" customHeight="1">
      <x:c r="A521" s="22" t="str">
        <x:v>GS-05-074</x:v>
      </x:c>
      <x:c r="B521" s="22" t="str">
        <x:v>Google Scholar</x:v>
      </x:c>
      <x:c r="C521" s="22" t="str">
        <x:v>GS-05</x:v>
      </x:c>
      <x:c r="D521" s="22" t="str">
        <x:v>(PoF] Development of next generation Al by modeling brain information</x:v>
      </x:c>
      <x:c r="E521" s="22" t="str">
        <x:v>K Ohki. K Aihara H Nakayama</x:v>
      </x:c>
      <x:c r="F521" s="22" t="str">
        <x:v>NR</x:v>
      </x:c>
      <x:c r="G521" s="22" t="str">
        <x:v>beycrdai je</x:v>
      </x:c>
      <x:c r="H521" s="22" t="str">
        <x:v>Google Scholar result</x:v>
      </x:c>
      <x:c r="I521" s="22" t="str">
        <x:v>NR</x:v>
      </x:c>
      <x:c r="J521" s="22" t="str">
        <x:v>NR</x:v>
      </x:c>
      <x:c r="K521" s="22" t="str">
        <x:v>NR — URL not captured in the available source record</x:v>
      </x:c>
      <x:c r="L521" s="22" t="str">
        <x:v>Not available in the captured evidence; the screening decision used the title and available source metadata.</x:v>
      </x:c>
      <x:c r="M521" s="22" t="str">
        <x:v>Confirmed duplicate</x:v>
      </x:c>
      <x:c r="N521" s="22" t="str">
        <x:v>DG-112</x:v>
      </x:c>
      <x:c r="O521" s="22" t="str">
        <x:v>GS-04-070</x:v>
      </x:c>
      <x:c r="P521" s="22" t="str">
        <x:v>No</x:v>
      </x:c>
      <x:c r="Q521" s="22" t="str">
        <x:v>Not screened</x:v>
      </x:c>
      <x:c r="R521" s="22" t="str">
        <x:v>Removed before title/abstract screening as a confirmed duplicate.</x:v>
      </x:c>
      <x:c r="S521" s="22" t="str">
        <x:v>Not applicable — removed before screening</x:v>
      </x:c>
      <x:c r="T521" s="22" t="str">
        <x:v>Record was outside the active screening set.</x:v>
      </x:c>
      <x:c r="U521" s="22" t="str">
        <x:v>Removed before screening</x:v>
      </x:c>
      <x:c r="V521" s="22" t="str">
        <x:v>Confirmed duplicate removed during deduplication.</x:v>
      </x:c>
      <x:c r="W521" s="22" t="str">
        <x:v>No</x:v>
      </x:c>
      <x:c r="X521" s="22" t="str">
        <x:v>Not applicable</x:v>
      </x:c>
      <x:c r="Y521" s="22" t="str">
        <x:v>Not assessed</x:v>
      </x:c>
      <x:c r="Z521" s="22" t="str">
        <x:v>Not applicable — record removed before screening.</x:v>
      </x:c>
      <x:c r="AA521" s="22" t="str">
        <x:v>Not applicable</x:v>
      </x:c>
      <x:c r="AB521" s="22" t="str">
        <x:v>Record was not advanced to full-text assessment.</x:v>
      </x:c>
      <x:c r="AC521" s="22" t="str">
        <x:v>Not assessed</x:v>
      </x:c>
      <x:c r="AD521" s="22" t="str">
        <x:v>Not applicable — no full-text assessment was required.</x:v>
      </x:c>
      <x:c r="AE521" s="22" t="str">
        <x:v>Removed before screening</x:v>
      </x:c>
      <x:c r="AF521" s="22" t="str">
        <x:v>Not applicable — not included</x:v>
      </x:c>
      <x:c r="AG521" s="22" t="str">
        <x:v>Evidence: bfc1f5db-4691-4c85-879a-bc15cca23582.png; page 8, result 4. Metadata transcribed from captured Google Scholar page; OCR-normalised, verify against publication before citation.</x:v>
      </x:c>
      <x:c r="AH521" s="20" t="str">
        <x:v>No duplicate identified under the documented matching rules.</x:v>
      </x:c>
    </x:row>
    <x:row r="522" ht="42" customHeight="1">
      <x:c r="A522" s="22" t="str">
        <x:v>GS-05-075</x:v>
      </x:c>
      <x:c r="B522" s="22" t="str">
        <x:v>Google Scholar</x:v>
      </x:c>
      <x:c r="C522" s="22" t="str">
        <x:v>GS-05</x:v>
      </x:c>
      <x:c r="D522" s="22" t="str">
        <x:v>(PoF] Human-Centered Pathways to Trustworthy Al in Healthcare A Comparative Analysis of Explainable Al, Human-in-the-Loop, Hybrid Al: and Uncertainty</x:v>
      </x:c>
      <x:c r="E522" s="22" t="str">
        <x:v>AKohan, JXu LX%ao XiV¥u AKukkar Shussain</x:v>
      </x:c>
      <x:c r="F522" s="22" t="n">
        <x:v>2026</x:v>
      </x:c>
      <x:c r="G522" s="22" t="str">
        <x:v>2026 - essats-eu esearchsquare com</x:v>
      </x:c>
      <x:c r="H522" s="22" t="str">
        <x:v>Google Scholar result</x:v>
      </x:c>
      <x:c r="I522" s="22" t="str">
        <x:v>NR</x:v>
      </x:c>
      <x:c r="J522" s="22" t="str">
        <x:v>NR</x:v>
      </x:c>
      <x:c r="K522" s="22" t="str">
        <x:v>NR — URL not captured in the available source record</x:v>
      </x:c>
      <x:c r="L522" s="22" t="str">
        <x:v>Not available in the captured evidence; the screening decision used the title and available source metadata.</x:v>
      </x:c>
      <x:c r="M522" s="22" t="str">
        <x:v>No duplicate</x:v>
      </x:c>
      <x:c r="N522" s="22" t="str">
        <x:v>Not applicable — no duplicate group</x:v>
      </x:c>
      <x:c r="O522" s="22" t="str">
        <x:v>Not applicable</x:v>
      </x:c>
      <x:c r="P522" s="22" t="str">
        <x:v>Yes</x:v>
      </x:c>
      <x:c r="Q522" s="22" t="str">
        <x:v>Exclude</x:v>
      </x:c>
      <x:c r="R522" s="22" t="str">
        <x:v>Comparative review; not an original medical-imaging study.</x:v>
      </x:c>
      <x:c r="S522" s="22" t="str">
        <x:v>Verification documented at process level</x:v>
      </x:c>
      <x:c r="T522" s="22" t="str">
        <x:v>Two additional authors performed random spot checks; individual spot-check assignments are not recorded in this register.</x:v>
      </x:c>
      <x:c r="U522" s="22" t="str">
        <x:v>Exclude</x:v>
      </x:c>
      <x:c r="V522" s="22" t="str">
        <x:v>Primary decision by the corresponding author; two additional authors performed random spot checks as a quality-control step.</x:v>
      </x:c>
      <x:c r="W522" s="22" t="str">
        <x:v>No</x:v>
      </x:c>
      <x:c r="X522" s="22" t="str">
        <x:v>Not applicable</x:v>
      </x:c>
      <x:c r="Y522" s="22" t="str">
        <x:v>Not assessed</x:v>
      </x:c>
      <x:c r="Z522" s="22" t="str">
        <x:v>Not advanced to full-text assessment after the title/abstract decision.</x:v>
      </x:c>
      <x:c r="AA522" s="22" t="str">
        <x:v>Not applicable</x:v>
      </x:c>
      <x:c r="AB522" s="22" t="str">
        <x:v>Record was not advanced to full-text assessment.</x:v>
      </x:c>
      <x:c r="AC522" s="22" t="str">
        <x:v>Not assessed</x:v>
      </x:c>
      <x:c r="AD522" s="22" t="str">
        <x:v>Not applicable — no full-text assessment was required.</x:v>
      </x:c>
      <x:c r="AE522" s="22" t="str">
        <x:v>Not included — title/abstract exclusion</x:v>
      </x:c>
      <x:c r="AF522" s="22" t="str">
        <x:v>Not applicable — not included</x:v>
      </x:c>
      <x:c r="AG522" s="22" t="str">
        <x:v>Evidence: bfc1f5db-4691-4c85-879a-bc15cca23582.png; page 8, result 5. Metadata transcribed from captured Google Scholar page; OCR-normalised, verify against publication before citation.</x:v>
      </x:c>
      <x:c r="AH522" s="20" t="str">
        <x:v>No duplicate identified under the documented matching rules.</x:v>
      </x:c>
    </x:row>
    <x:row r="523" ht="42" customHeight="1">
      <x:c r="A523" s="22" t="str">
        <x:v>GS-05-076</x:v>
      </x:c>
      <x:c r="B523" s="22" t="str">
        <x:v>Google Scholar</x:v>
      </x:c>
      <x:c r="C523" s="22" t="str">
        <x:v>GS-05</x:v>
      </x:c>
      <x:c r="D523" s="22" t="str">
        <x:v>(Book) Cognitive artificial intelligence for health and climate Deep models, interpretability, and decision support</x:v>
      </x:c>
      <x:c r="E523" s="22" t="str">
        <x:v>S$ Shivadakar- 2025</x:v>
      </x:c>
      <x:c r="F523" s="22" t="n">
        <x:v>2025</x:v>
      </x:c>
      <x:c r="G523" s="22" t="str">
        <x:v>boaks goog e com</x:v>
      </x:c>
      <x:c r="H523" s="22" t="str">
        <x:v>Google Scholar result</x:v>
      </x:c>
      <x:c r="I523" s="22" t="str">
        <x:v>NR</x:v>
      </x:c>
      <x:c r="J523" s="22" t="str">
        <x:v>NR</x:v>
      </x:c>
      <x:c r="K523" s="22" t="str">
        <x:v>NR — URL not captured in the available source record</x:v>
      </x:c>
      <x:c r="L523" s="22" t="str">
        <x:v>Not available in the captured evidence; the screening decision used the title and available source metadata.</x:v>
      </x:c>
      <x:c r="M523" s="22" t="str">
        <x:v>Confirmed duplicate</x:v>
      </x:c>
      <x:c r="N523" s="22" t="str">
        <x:v>DG-098</x:v>
      </x:c>
      <x:c r="O523" s="22" t="str">
        <x:v>GS-04-098</x:v>
      </x:c>
      <x:c r="P523" s="22" t="str">
        <x:v>No</x:v>
      </x:c>
      <x:c r="Q523" s="22" t="str">
        <x:v>Not screened</x:v>
      </x:c>
      <x:c r="R523" s="22" t="str">
        <x:v>Removed before title/abstract screening as a confirmed duplicate.</x:v>
      </x:c>
      <x:c r="S523" s="22" t="str">
        <x:v>Not applicable — removed before screening</x:v>
      </x:c>
      <x:c r="T523" s="22" t="str">
        <x:v>Record was outside the active screening set.</x:v>
      </x:c>
      <x:c r="U523" s="22" t="str">
        <x:v>Removed before screening</x:v>
      </x:c>
      <x:c r="V523" s="22" t="str">
        <x:v>Confirmed duplicate removed during deduplication.</x:v>
      </x:c>
      <x:c r="W523" s="22" t="str">
        <x:v>No</x:v>
      </x:c>
      <x:c r="X523" s="22" t="str">
        <x:v>Not applicable</x:v>
      </x:c>
      <x:c r="Y523" s="22" t="str">
        <x:v>Not assessed</x:v>
      </x:c>
      <x:c r="Z523" s="22" t="str">
        <x:v>Not applicable — record removed before screening.</x:v>
      </x:c>
      <x:c r="AA523" s="22" t="str">
        <x:v>Not applicable</x:v>
      </x:c>
      <x:c r="AB523" s="22" t="str">
        <x:v>Record was not advanced to full-text assessment.</x:v>
      </x:c>
      <x:c r="AC523" s="22" t="str">
        <x:v>Not assessed</x:v>
      </x:c>
      <x:c r="AD523" s="22" t="str">
        <x:v>Not applicable — no full-text assessment was required.</x:v>
      </x:c>
      <x:c r="AE523" s="22" t="str">
        <x:v>Removed before screening</x:v>
      </x:c>
      <x:c r="AF523" s="22" t="str">
        <x:v>Not applicable — not included</x:v>
      </x:c>
      <x:c r="AG523" s="22" t="str">
        <x:v>Evidence: bfc1f5db-4691-4c85-879a-bc15cca23582.png; page 8, result 6. Metadata transcribed from captured Google Scholar page; OCR-normalised, verify against publication before citation.</x:v>
      </x:c>
      <x:c r="AH523" s="20" t="str">
        <x:v>No duplicate identified under the documented matching rules.</x:v>
      </x:c>
    </x:row>
    <x:row r="524" ht="42" customHeight="1">
      <x:c r="A524" s="22" t="str">
        <x:v>GS-05-077</x:v>
      </x:c>
      <x:c r="B524" s="22" t="str">
        <x:v>Google Scholar</x:v>
      </x:c>
      <x:c r="C524" s="22" t="str">
        <x:v>GS-05</x:v>
      </x:c>
      <x:c r="D524" s="22" t="str">
        <x:v>Toward human-level concept learning Pattern benchmarking for Al algorithms</x:v>
      </x:c>
      <x:c r="E524" s="22" t="str">
        <x:v>AHozinger ASarant. AAnserschmid BFiezel</x:v>
      </x:c>
      <x:c r="F524" s="22" t="n">
        <x:v>2023</x:v>
      </x:c>
      <x:c r="G524" s="22" t="str">
        <x:v>Patlems 2023 - call com</x:v>
      </x:c>
      <x:c r="H524" s="22" t="str">
        <x:v>Google Scholar result</x:v>
      </x:c>
      <x:c r="I524" s="22" t="str">
        <x:v>NR</x:v>
      </x:c>
      <x:c r="J524" s="22" t="str">
        <x:v>NR</x:v>
      </x:c>
      <x:c r="K524" s="22" t="str">
        <x:v>NR — URL not captured in the available source record</x:v>
      </x:c>
      <x:c r="L524" s="22" t="str">
        <x:v>Not available in the captured evidence; the screening decision used the title and available source metadata.</x:v>
      </x:c>
      <x:c r="M524" s="22" t="str">
        <x:v>Confirmed duplicate</x:v>
      </x:c>
      <x:c r="N524" s="22" t="str">
        <x:v>DG-065</x:v>
      </x:c>
      <x:c r="O524" s="22" t="str">
        <x:v>GS-04-092</x:v>
      </x:c>
      <x:c r="P524" s="22" t="str">
        <x:v>No</x:v>
      </x:c>
      <x:c r="Q524" s="22" t="str">
        <x:v>Not screened</x:v>
      </x:c>
      <x:c r="R524" s="22" t="str">
        <x:v>Removed before title/abstract screening as a confirmed duplicate.</x:v>
      </x:c>
      <x:c r="S524" s="22" t="str">
        <x:v>Not applicable — removed before screening</x:v>
      </x:c>
      <x:c r="T524" s="22" t="str">
        <x:v>Record was outside the active screening set.</x:v>
      </x:c>
      <x:c r="U524" s="22" t="str">
        <x:v>Removed before screening</x:v>
      </x:c>
      <x:c r="V524" s="22" t="str">
        <x:v>Confirmed duplicate removed during deduplication.</x:v>
      </x:c>
      <x:c r="W524" s="22" t="str">
        <x:v>No</x:v>
      </x:c>
      <x:c r="X524" s="22" t="str">
        <x:v>Not applicable</x:v>
      </x:c>
      <x:c r="Y524" s="22" t="str">
        <x:v>Not assessed</x:v>
      </x:c>
      <x:c r="Z524" s="22" t="str">
        <x:v>Not applicable — record removed before screening.</x:v>
      </x:c>
      <x:c r="AA524" s="22" t="str">
        <x:v>Not applicable</x:v>
      </x:c>
      <x:c r="AB524" s="22" t="str">
        <x:v>Record was not advanced to full-text assessment.</x:v>
      </x:c>
      <x:c r="AC524" s="22" t="str">
        <x:v>Not assessed</x:v>
      </x:c>
      <x:c r="AD524" s="22" t="str">
        <x:v>Not applicable — no full-text assessment was required.</x:v>
      </x:c>
      <x:c r="AE524" s="22" t="str">
        <x:v>Removed before screening</x:v>
      </x:c>
      <x:c r="AF524" s="22" t="str">
        <x:v>Not applicable — not included</x:v>
      </x:c>
      <x:c r="AG524" s="22" t="str">
        <x:v>Evidence: bfc1f5db-4691-4c85-879a-bc15cca23582.png; page 8, result 7. Metadata transcribed from captured Google Scholar page; OCR-normalised, verify against publication before citation.</x:v>
      </x:c>
      <x:c r="AH524" s="20" t="str">
        <x:v>Confirmed using normalized title across captured searches.</x:v>
      </x:c>
    </x:row>
    <x:row r="525" ht="42" customHeight="1">
      <x:c r="A525" s="22" t="str">
        <x:v>GS-05-078</x:v>
      </x:c>
      <x:c r="B525" s="22" t="str">
        <x:v>Google Scholar</x:v>
      </x:c>
      <x:c r="C525" s="22" t="str">
        <x:v>GS-05</x:v>
      </x:c>
      <x:c r="D525" s="22" t="str">
        <x:v>Constraint programming for constrained text generatian</x:v>
      </x:c>
      <x:c r="E525" s="22" t="str">
        <x:v>ABonlarron</x:v>
      </x:c>
      <x:c r="F525" s="22" t="n">
        <x:v>2025</x:v>
      </x:c>
      <x:c r="G525" s="22" t="str">
        <x:v>2025 - theses ha science</x:v>
      </x:c>
      <x:c r="H525" s="22" t="str">
        <x:v>Google Scholar result</x:v>
      </x:c>
      <x:c r="I525" s="22" t="str">
        <x:v>NR</x:v>
      </x:c>
      <x:c r="J525" s="22" t="str">
        <x:v>NR</x:v>
      </x:c>
      <x:c r="K525" s="22" t="str">
        <x:v>NR — URL not captured in the available source record</x:v>
      </x:c>
      <x:c r="L525" s="22" t="str">
        <x:v>Not available in the captured evidence; the screening decision used the title and available source metadata.</x:v>
      </x:c>
      <x:c r="M525" s="22" t="str">
        <x:v>No duplicate</x:v>
      </x:c>
      <x:c r="N525" s="22" t="str">
        <x:v>Not applicable — no duplicate group</x:v>
      </x:c>
      <x:c r="O525" s="22" t="str">
        <x:v>Not applicable</x:v>
      </x:c>
      <x:c r="P525" s="22" t="str">
        <x:v>Yes</x:v>
      </x:c>
      <x:c r="Q525" s="22" t="str">
        <x:v>Exclude</x:v>
      </x:c>
      <x:c r="R525" s="22" t="str">
        <x:v>Wrong domain: constrained text generation.</x:v>
      </x:c>
      <x:c r="S525" s="22" t="str">
        <x:v>Verification documented at process level</x:v>
      </x:c>
      <x:c r="T525" s="22" t="str">
        <x:v>Two additional authors performed random spot checks; individual spot-check assignments are not recorded in this register.</x:v>
      </x:c>
      <x:c r="U525" s="22" t="str">
        <x:v>Exclude</x:v>
      </x:c>
      <x:c r="V525" s="22" t="str">
        <x:v>Primary decision by the corresponding author; two additional authors performed random spot checks as a quality-control step.</x:v>
      </x:c>
      <x:c r="W525" s="22" t="str">
        <x:v>No</x:v>
      </x:c>
      <x:c r="X525" s="22" t="str">
        <x:v>Not applicable</x:v>
      </x:c>
      <x:c r="Y525" s="22" t="str">
        <x:v>Not assessed</x:v>
      </x:c>
      <x:c r="Z525" s="22" t="str">
        <x:v>Not advanced to full-text assessment after the title/abstract decision.</x:v>
      </x:c>
      <x:c r="AA525" s="22" t="str">
        <x:v>Not applicable</x:v>
      </x:c>
      <x:c r="AB525" s="22" t="str">
        <x:v>Record was not advanced to full-text assessment.</x:v>
      </x:c>
      <x:c r="AC525" s="22" t="str">
        <x:v>Not assessed</x:v>
      </x:c>
      <x:c r="AD525" s="22" t="str">
        <x:v>Not applicable — no full-text assessment was required.</x:v>
      </x:c>
      <x:c r="AE525" s="22" t="str">
        <x:v>Not included — title/abstract exclusion</x:v>
      </x:c>
      <x:c r="AF525" s="22" t="str">
        <x:v>Not applicable — not included</x:v>
      </x:c>
      <x:c r="AG525" s="22" t="str">
        <x:v>Evidence: bfc1f5db-4691-4c85-879a-bc15cca23582.png; page 8, result 8. Metadata transcribed from captured Google Scholar page; OCR-normalised, verify against publication before citation.</x:v>
      </x:c>
      <x:c r="AH525" s="20" t="str">
        <x:v>No duplicate identified under the documented matching rules.</x:v>
      </x:c>
    </x:row>
    <x:row r="526" ht="42" customHeight="1">
      <x:c r="A526" s="22" t="str">
        <x:v>GS-05-079</x:v>
      </x:c>
      <x:c r="B526" s="22" t="str">
        <x:v>Google Scholar</x:v>
      </x:c>
      <x:c r="C526" s="22" t="str">
        <x:v>GS-05</x:v>
      </x:c>
      <x:c r="D526" s="22" t="str">
        <x:v>Brain-insptred artificial intelligence research’ A review</x:v>
      </x:c>
      <x:c r="E526" s="22" t="str">
        <x:v>GY Wane HN Bao C Liv. “G Zhou. Siu</x:v>
      </x:c>
      <x:c r="F526" s="22" t="n">
        <x:v>2024</x:v>
      </x:c>
      <x:c r="G526" s="22" t="str">
        <x:v>Science China. 2024 - Springer</x:v>
      </x:c>
      <x:c r="H526" s="22" t="str">
        <x:v>Google Scholar result</x:v>
      </x:c>
      <x:c r="I526" s="22" t="str">
        <x:v>NR</x:v>
      </x:c>
      <x:c r="J526" s="22" t="str">
        <x:v>NR</x:v>
      </x:c>
      <x:c r="K526" s="22" t="str">
        <x:v>NR — URL not captured in the available source record</x:v>
      </x:c>
      <x:c r="L526" s="22" t="str">
        <x:v>Not available in the captured evidence; the screening decision used the title and available source metadata.</x:v>
      </x:c>
      <x:c r="M526" s="22" t="str">
        <x:v>Confirmed duplicate</x:v>
      </x:c>
      <x:c r="N526" s="22" t="str">
        <x:v>DG-090</x:v>
      </x:c>
      <x:c r="O526" s="22" t="str">
        <x:v>GS-04-096</x:v>
      </x:c>
      <x:c r="P526" s="22" t="str">
        <x:v>No</x:v>
      </x:c>
      <x:c r="Q526" s="22" t="str">
        <x:v>Not screened</x:v>
      </x:c>
      <x:c r="R526" s="22" t="str">
        <x:v>Removed before title/abstract screening as a confirmed duplicate.</x:v>
      </x:c>
      <x:c r="S526" s="22" t="str">
        <x:v>Not applicable — removed before screening</x:v>
      </x:c>
      <x:c r="T526" s="22" t="str">
        <x:v>Record was outside the active screening set.</x:v>
      </x:c>
      <x:c r="U526" s="22" t="str">
        <x:v>Removed before screening</x:v>
      </x:c>
      <x:c r="V526" s="22" t="str">
        <x:v>Confirmed duplicate removed during deduplication.</x:v>
      </x:c>
      <x:c r="W526" s="22" t="str">
        <x:v>No</x:v>
      </x:c>
      <x:c r="X526" s="22" t="str">
        <x:v>Not applicable</x:v>
      </x:c>
      <x:c r="Y526" s="22" t="str">
        <x:v>Not assessed</x:v>
      </x:c>
      <x:c r="Z526" s="22" t="str">
        <x:v>Not applicable — record removed before screening.</x:v>
      </x:c>
      <x:c r="AA526" s="22" t="str">
        <x:v>Not applicable</x:v>
      </x:c>
      <x:c r="AB526" s="22" t="str">
        <x:v>Record was not advanced to full-text assessment.</x:v>
      </x:c>
      <x:c r="AC526" s="22" t="str">
        <x:v>Not assessed</x:v>
      </x:c>
      <x:c r="AD526" s="22" t="str">
        <x:v>Not applicable — no full-text assessment was required.</x:v>
      </x:c>
      <x:c r="AE526" s="22" t="str">
        <x:v>Removed before screening</x:v>
      </x:c>
      <x:c r="AF526" s="22" t="str">
        <x:v>Not applicable — not included</x:v>
      </x:c>
      <x:c r="AG526" s="22" t="str">
        <x:v>Evidence: bfc1f5db-4691-4c85-879a-bc15cca23582.png; page 8, result 9. Metadata transcribed from captured Google Scholar page; OCR-normalised, verify against publication before citation.</x:v>
      </x:c>
      <x:c r="AH526" s="20" t="str">
        <x:v>No duplicate identified under the documented matching rules.</x:v>
      </x:c>
    </x:row>
    <x:row r="527" ht="42" customHeight="1">
      <x:c r="A527" s="22" t="str">
        <x:v>GS-05-080</x:v>
      </x:c>
      <x:c r="B527" s="22" t="str">
        <x:v>Google Scholar</x:v>
      </x:c>
      <x:c r="C527" s="22" t="str">
        <x:v>GS-05</x:v>
      </x:c>
      <x:c r="D527" s="22" t="str">
        <x:v>Neural brain A neurascience-inspired framework for embodied agents</x:v>
      </x:c>
      <x:c r="E527" s="22" t="str">
        <x:v>dhiy XShi [DO Nouven HZnang TZhang</x:v>
      </x:c>
      <x:c r="F527" s="22" t="str">
        <x:v>NR</x:v>
      </x:c>
      <x:c r="G527" s="22" t="str">
        <x:v>arXiv oreprint arXiv 20.25 - army org</x:v>
      </x:c>
      <x:c r="H527" s="22" t="str">
        <x:v>Google Scholar result</x:v>
      </x:c>
      <x:c r="I527" s="22" t="str">
        <x:v>NR</x:v>
      </x:c>
      <x:c r="J527" s="22" t="str">
        <x:v>NR</x:v>
      </x:c>
      <x:c r="K527" s="22" t="str">
        <x:v>NR — URL not captured in the available source record</x:v>
      </x:c>
      <x:c r="L527" s="22" t="str">
        <x:v>Not available in the captured evidence; the screening decision used the title and available source metadata.</x:v>
      </x:c>
      <x:c r="M527" s="22" t="str">
        <x:v>No duplicate</x:v>
      </x:c>
      <x:c r="N527" s="22" t="str">
        <x:v>Not applicable — no duplicate group</x:v>
      </x:c>
      <x:c r="O527" s="22" t="str">
        <x:v>Not applicable</x:v>
      </x:c>
      <x:c r="P527" s="22" t="str">
        <x:v>Yes</x:v>
      </x:c>
      <x:c r="Q527" s="22" t="str">
        <x:v>Exclude</x:v>
      </x:c>
      <x:c r="R527" s="22" t="str">
        <x:v>Neuroscience-inspired embodied agents; wrong application domain.</x:v>
      </x:c>
      <x:c r="S527" s="22" t="str">
        <x:v>Verification documented at process level</x:v>
      </x:c>
      <x:c r="T527" s="22" t="str">
        <x:v>Two additional authors performed random spot checks; individual spot-check assignments are not recorded in this register.</x:v>
      </x:c>
      <x:c r="U527" s="22" t="str">
        <x:v>Exclude</x:v>
      </x:c>
      <x:c r="V527" s="22" t="str">
        <x:v>Primary decision by the corresponding author; two additional authors performed random spot checks as a quality-control step.</x:v>
      </x:c>
      <x:c r="W527" s="22" t="str">
        <x:v>No</x:v>
      </x:c>
      <x:c r="X527" s="22" t="str">
        <x:v>Not applicable</x:v>
      </x:c>
      <x:c r="Y527" s="22" t="str">
        <x:v>Not assessed</x:v>
      </x:c>
      <x:c r="Z527" s="22" t="str">
        <x:v>Not advanced to full-text assessment after the title/abstract decision.</x:v>
      </x:c>
      <x:c r="AA527" s="22" t="str">
        <x:v>Not applicable</x:v>
      </x:c>
      <x:c r="AB527" s="22" t="str">
        <x:v>Record was not advanced to full-text assessment.</x:v>
      </x:c>
      <x:c r="AC527" s="22" t="str">
        <x:v>Not assessed</x:v>
      </x:c>
      <x:c r="AD527" s="22" t="str">
        <x:v>Not applicable — no full-text assessment was required.</x:v>
      </x:c>
      <x:c r="AE527" s="22" t="str">
        <x:v>Not included — title/abstract exclusion</x:v>
      </x:c>
      <x:c r="AF527" s="22" t="str">
        <x:v>Not applicable — not included</x:v>
      </x:c>
      <x:c r="AG527" s="22" t="str">
        <x:v>Evidence: bfc1f5db-4691-4c85-879a-bc15cca23582.png; page 8, result 10. Metadata transcribed from captured Google Scholar page; OCR-normalised, verify against publication before citation.</x:v>
      </x:c>
      <x:c r="AH527" s="20" t="str">
        <x:v>No duplicate identified under the documented matching rules.</x:v>
      </x:c>
    </x:row>
    <x:row r="528" ht="42" customHeight="1">
      <x:c r="A528" s="22" t="str">
        <x:v>GS-05-081</x:v>
      </x:c>
      <x:c r="B528" s="22" t="str">
        <x:v>Google Scholar</x:v>
      </x:c>
      <x:c r="C528" s="22" t="str">
        <x:v>GS-05</x:v>
      </x:c>
      <x:c r="D528" s="22" t="str">
        <x:v>soak] Embodied, Simulation-Based Cognition A Hybrid Approach</x:v>
      </x:c>
      <x:c r="E528" s="22" t="str">
        <x:v>SC Kugele</x:v>
      </x:c>
      <x:c r="F528" s="22" t="n">
        <x:v>2023</x:v>
      </x:c>
      <x:c r="G528" s="22" t="str">
        <x:v>2023 - search proques! corr</x:v>
      </x:c>
      <x:c r="H528" s="22" t="str">
        <x:v>Google Scholar result</x:v>
      </x:c>
      <x:c r="I528" s="22" t="str">
        <x:v>NR</x:v>
      </x:c>
      <x:c r="J528" s="22" t="str">
        <x:v>NR</x:v>
      </x:c>
      <x:c r="K528" s="22" t="str">
        <x:v>NR — URL not captured in the available source record</x:v>
      </x:c>
      <x:c r="L528" s="22" t="str">
        <x:v>Not available in the captured evidence; the screening decision used the title and available source metadata.</x:v>
      </x:c>
      <x:c r="M528" s="22" t="str">
        <x:v>No duplicate</x:v>
      </x:c>
      <x:c r="N528" s="22" t="str">
        <x:v>Not applicable — no duplicate group</x:v>
      </x:c>
      <x:c r="O528" s="22" t="str">
        <x:v>Not applicable</x:v>
      </x:c>
      <x:c r="P528" s="22" t="str">
        <x:v>Yes</x:v>
      </x:c>
      <x:c r="Q528" s="22" t="str">
        <x:v>Exclude</x:v>
      </x:c>
      <x:c r="R528" s="22" t="str">
        <x:v>Book/theoretical cognition work; wrong domain and non-original.</x:v>
      </x:c>
      <x:c r="S528" s="22" t="str">
        <x:v>Verification documented at process level</x:v>
      </x:c>
      <x:c r="T528" s="22" t="str">
        <x:v>Two additional authors performed random spot checks; individual spot-check assignments are not recorded in this register.</x:v>
      </x:c>
      <x:c r="U528" s="22" t="str">
        <x:v>Exclude</x:v>
      </x:c>
      <x:c r="V528" s="22" t="str">
        <x:v>Primary decision by the corresponding author; two additional authors performed random spot checks as a quality-control step.</x:v>
      </x:c>
      <x:c r="W528" s="22" t="str">
        <x:v>No</x:v>
      </x:c>
      <x:c r="X528" s="22" t="str">
        <x:v>Not applicable</x:v>
      </x:c>
      <x:c r="Y528" s="22" t="str">
        <x:v>Not assessed</x:v>
      </x:c>
      <x:c r="Z528" s="22" t="str">
        <x:v>Not advanced to full-text assessment after the title/abstract decision.</x:v>
      </x:c>
      <x:c r="AA528" s="22" t="str">
        <x:v>Not applicable</x:v>
      </x:c>
      <x:c r="AB528" s="22" t="str">
        <x:v>Record was not advanced to full-text assessment.</x:v>
      </x:c>
      <x:c r="AC528" s="22" t="str">
        <x:v>Not assessed</x:v>
      </x:c>
      <x:c r="AD528" s="22" t="str">
        <x:v>Not applicable — no full-text assessment was required.</x:v>
      </x:c>
      <x:c r="AE528" s="22" t="str">
        <x:v>Not included — title/abstract exclusion</x:v>
      </x:c>
      <x:c r="AF528" s="22" t="str">
        <x:v>Not applicable — not included</x:v>
      </x:c>
      <x:c r="AG528" s="22" t="str">
        <x:v>Evidence: dd628c76-5b90-4277-96da-b1d16f0e8545.png; page 9, result 1. Metadata transcribed from captured Google Scholar page; OCR-normalised, verify against publication before citation.</x:v>
      </x:c>
      <x:c r="AH528" s="20" t="str">
        <x:v>No duplicate identified under the documented matching rules.</x:v>
      </x:c>
    </x:row>
    <x:row r="529" ht="42" customHeight="1">
      <x:c r="A529" s="22" t="str">
        <x:v>GS-05-082</x:v>
      </x:c>
      <x:c r="B529" s="22" t="str">
        <x:v>Google Scholar</x:v>
      </x:c>
      <x:c r="C529" s="22" t="str">
        <x:v>GS-05</x:v>
      </x:c>
      <x:c r="D529" s="22" t="str">
        <x:v>MedXAl A Retrieval-Augmented and Self-Venfying Framework for Knowledge- Guided Medical Image Analysis</x:v>
      </x:c>
      <x:c r="E529" s="22" t="str">
        <x:v>M_Jrscoj ABaneges F Shaikh + 2025 5HhAstomar . 2026</x:v>
      </x:c>
      <x:c r="F529" s="22" t="n">
        <x:v>2026</x:v>
      </x:c>
      <x:c r="G529" s="22" t="str">
        <x:v>ieeaxplore ieee org</x:v>
      </x:c>
      <x:c r="H529" s="22" t="str">
        <x:v>Google Scholar result</x:v>
      </x:c>
      <x:c r="I529" s="22" t="str">
        <x:v>NR</x:v>
      </x:c>
      <x:c r="J529" s="22" t="str">
        <x:v>NR</x:v>
      </x:c>
      <x:c r="K529" s="22" t="str">
        <x:v>NR — URL not captured in the available source record</x:v>
      </x:c>
      <x:c r="L529" s="22" t="str">
        <x:v>Not available in the captured evidence; the screening decision used the title and available source metadata.</x:v>
      </x:c>
      <x:c r="M529" s="22" t="str">
        <x:v>Confirmed duplicate</x:v>
      </x:c>
      <x:c r="N529" s="22" t="str">
        <x:v>DG-070</x:v>
      </x:c>
      <x:c r="O529" s="22" t="str">
        <x:v>GS-04-099</x:v>
      </x:c>
      <x:c r="P529" s="22" t="str">
        <x:v>No</x:v>
      </x:c>
      <x:c r="Q529" s="22" t="str">
        <x:v>Not screened</x:v>
      </x:c>
      <x:c r="R529" s="22" t="str">
        <x:v>Removed before title/abstract screening as a confirmed duplicate.</x:v>
      </x:c>
      <x:c r="S529" s="22" t="str">
        <x:v>Not applicable — removed before screening</x:v>
      </x:c>
      <x:c r="T529" s="22" t="str">
        <x:v>Record was outside the active screening set.</x:v>
      </x:c>
      <x:c r="U529" s="22" t="str">
        <x:v>Removed before screening</x:v>
      </x:c>
      <x:c r="V529" s="22" t="str">
        <x:v>Confirmed duplicate removed during deduplication.</x:v>
      </x:c>
      <x:c r="W529" s="22" t="str">
        <x:v>No</x:v>
      </x:c>
      <x:c r="X529" s="22" t="str">
        <x:v>Not applicable</x:v>
      </x:c>
      <x:c r="Y529" s="22" t="str">
        <x:v>Not assessed</x:v>
      </x:c>
      <x:c r="Z529" s="22" t="str">
        <x:v>Not applicable — record removed before screening.</x:v>
      </x:c>
      <x:c r="AA529" s="22" t="str">
        <x:v>Not applicable</x:v>
      </x:c>
      <x:c r="AB529" s="22" t="str">
        <x:v>Record was not advanced to full-text assessment.</x:v>
      </x:c>
      <x:c r="AC529" s="22" t="str">
        <x:v>Not assessed</x:v>
      </x:c>
      <x:c r="AD529" s="22" t="str">
        <x:v>Not applicable — no full-text assessment was required.</x:v>
      </x:c>
      <x:c r="AE529" s="22" t="str">
        <x:v>Removed before screening</x:v>
      </x:c>
      <x:c r="AF529" s="22" t="str">
        <x:v>Not applicable — not included</x:v>
      </x:c>
      <x:c r="AG529" s="22" t="str">
        <x:v>Evidence: dd628c76-5b90-4277-96da-b1d16f0e8545.png; page 9, result 2. Metadata transcribed from captured Google Scholar page; OCR-normalised, verify against publication before citation.</x:v>
      </x:c>
      <x:c r="AH529" s="20" t="str">
        <x:v>Confirmed using normalized title across captured searches.</x:v>
      </x:c>
    </x:row>
    <x:row r="530" ht="42" customHeight="1">
      <x:c r="A530" s="22" t="str">
        <x:v>GS-05-083</x:v>
      </x:c>
      <x:c r="B530" s="22" t="str">
        <x:v>Google Scholar</x:v>
      </x:c>
      <x:c r="C530" s="22" t="str">
        <x:v>GS-05</x:v>
      </x:c>
      <x:c r="D530" s="22" t="str">
        <x:v>(4tML] Upper bounds for the constants of Bennett's inequality and the Gale-- Berlekamp switching game</x:v>
      </x:c>
      <x:c r="E530" s="22" t="str">
        <x:v>ARaposo</x:v>
      </x:c>
      <x:c r="F530" s="22" t="n">
        <x:v>2021</x:v>
      </x:c>
      <x:c r="G530" s="22" t="str">
        <x:v>2021 - scademia edu</x:v>
      </x:c>
      <x:c r="H530" s="22" t="str">
        <x:v>Google Scholar result</x:v>
      </x:c>
      <x:c r="I530" s="22" t="str">
        <x:v>NR</x:v>
      </x:c>
      <x:c r="J530" s="22" t="str">
        <x:v>NR</x:v>
      </x:c>
      <x:c r="K530" s="22" t="str">
        <x:v>NR — URL not captured in the available source record</x:v>
      </x:c>
      <x:c r="L530" s="22" t="str">
        <x:v>Not available in the captured evidence; the screening decision used the title and available source metadata.</x:v>
      </x:c>
      <x:c r="M530" s="22" t="str">
        <x:v>No duplicate</x:v>
      </x:c>
      <x:c r="N530" s="22" t="str">
        <x:v>Not applicable — no duplicate group</x:v>
      </x:c>
      <x:c r="O530" s="22" t="str">
        <x:v>Not applicable</x:v>
      </x:c>
      <x:c r="P530" s="22" t="str">
        <x:v>Yes</x:v>
      </x:c>
      <x:c r="Q530" s="22" t="str">
        <x:v>Exclude</x:v>
      </x:c>
      <x:c r="R530" s="22" t="str">
        <x:v>Clearly irrelevant mathematics paper.</x:v>
      </x:c>
      <x:c r="S530" s="22" t="str">
        <x:v>Verification documented at process level</x:v>
      </x:c>
      <x:c r="T530" s="22" t="str">
        <x:v>Two additional authors performed random spot checks; individual spot-check assignments are not recorded in this register.</x:v>
      </x:c>
      <x:c r="U530" s="22" t="str">
        <x:v>Exclude</x:v>
      </x:c>
      <x:c r="V530" s="22" t="str">
        <x:v>Primary decision by the corresponding author; two additional authors performed random spot checks as a quality-control step.</x:v>
      </x:c>
      <x:c r="W530" s="22" t="str">
        <x:v>No</x:v>
      </x:c>
      <x:c r="X530" s="22" t="str">
        <x:v>Not applicable</x:v>
      </x:c>
      <x:c r="Y530" s="22" t="str">
        <x:v>Not assessed</x:v>
      </x:c>
      <x:c r="Z530" s="22" t="str">
        <x:v>Not advanced to full-text assessment after the title/abstract decision.</x:v>
      </x:c>
      <x:c r="AA530" s="22" t="str">
        <x:v>Not applicable</x:v>
      </x:c>
      <x:c r="AB530" s="22" t="str">
        <x:v>Record was not advanced to full-text assessment.</x:v>
      </x:c>
      <x:c r="AC530" s="22" t="str">
        <x:v>Not assessed</x:v>
      </x:c>
      <x:c r="AD530" s="22" t="str">
        <x:v>Not applicable — no full-text assessment was required.</x:v>
      </x:c>
      <x:c r="AE530" s="22" t="str">
        <x:v>Not included — title/abstract exclusion</x:v>
      </x:c>
      <x:c r="AF530" s="22" t="str">
        <x:v>Not applicable — not included</x:v>
      </x:c>
      <x:c r="AG530" s="22" t="str">
        <x:v>Evidence: dd628c76-5b90-4277-96da-b1d16f0e8545.png; page 9, result 3. Metadata transcribed from captured Google Scholar page; OCR-normalised, verify against publication before citation.</x:v>
      </x:c>
      <x:c r="AH530" s="20" t="str">
        <x:v>No duplicate identified under the documented matching rules.</x:v>
      </x:c>
    </x:row>
    <x:row r="531" ht="42" customHeight="1">
      <x:c r="A531" s="22" t="str">
        <x:v>GS-05-084</x:v>
      </x:c>
      <x:c r="B531" s="22" t="str">
        <x:v>Google Scholar</x:v>
      </x:c>
      <x:c r="C531" s="22" t="str">
        <x:v>GS-05</x:v>
      </x:c>
      <x:c r="D531" s="22" t="str">
        <x:v>por] EXPLAINABLE MULTIMODAL REASONING: ACom-PREHENSIVE SURVEY OF PRINCIPLES METHODS, AND APPLICATIONS</x:v>
      </x:c>
      <x:c r="E531" s="22" t="str">
        <x:v>E Xiskin</x:v>
      </x:c>
      <x:c r="F531" s="22" t="str">
        <x:v>NR</x:v>
      </x:c>
      <x:c r="G531" s="22" t="str">
        <x:v>rasearc'ga’e net</x:v>
      </x:c>
      <x:c r="H531" s="22" t="str">
        <x:v>Google Scholar result</x:v>
      </x:c>
      <x:c r="I531" s="22" t="str">
        <x:v>NR</x:v>
      </x:c>
      <x:c r="J531" s="22" t="str">
        <x:v>NR</x:v>
      </x:c>
      <x:c r="K531" s="22" t="str">
        <x:v>NR — URL not captured in the available source record</x:v>
      </x:c>
      <x:c r="L531" s="22" t="str">
        <x:v>Not available in the captured evidence; the screening decision used the title and available source metadata.</x:v>
      </x:c>
      <x:c r="M531" s="22" t="str">
        <x:v>No duplicate</x:v>
      </x:c>
      <x:c r="N531" s="22" t="str">
        <x:v>Not applicable — no duplicate group</x:v>
      </x:c>
      <x:c r="O531" s="22" t="str">
        <x:v>Not applicable</x:v>
      </x:c>
      <x:c r="P531" s="22" t="str">
        <x:v>Yes</x:v>
      </x:c>
      <x:c r="Q531" s="22" t="str">
        <x:v>Exclude</x:v>
      </x:c>
      <x:c r="R531" s="22" t="str">
        <x:v>Survey article; not original empirical research.</x:v>
      </x:c>
      <x:c r="S531" s="22" t="str">
        <x:v>Verification documented at process level</x:v>
      </x:c>
      <x:c r="T531" s="22" t="str">
        <x:v>Two additional authors performed random spot checks; individual spot-check assignments are not recorded in this register.</x:v>
      </x:c>
      <x:c r="U531" s="22" t="str">
        <x:v>Exclude</x:v>
      </x:c>
      <x:c r="V531" s="22" t="str">
        <x:v>Primary decision by the corresponding author; two additional authors performed random spot checks as a quality-control step.</x:v>
      </x:c>
      <x:c r="W531" s="22" t="str">
        <x:v>No</x:v>
      </x:c>
      <x:c r="X531" s="22" t="str">
        <x:v>Not applicable</x:v>
      </x:c>
      <x:c r="Y531" s="22" t="str">
        <x:v>Not assessed</x:v>
      </x:c>
      <x:c r="Z531" s="22" t="str">
        <x:v>Not advanced to full-text assessment after the title/abstract decision.</x:v>
      </x:c>
      <x:c r="AA531" s="22" t="str">
        <x:v>Not applicable</x:v>
      </x:c>
      <x:c r="AB531" s="22" t="str">
        <x:v>Record was not advanced to full-text assessment.</x:v>
      </x:c>
      <x:c r="AC531" s="22" t="str">
        <x:v>Not assessed</x:v>
      </x:c>
      <x:c r="AD531" s="22" t="str">
        <x:v>Not applicable — no full-text assessment was required.</x:v>
      </x:c>
      <x:c r="AE531" s="22" t="str">
        <x:v>Not included — title/abstract exclusion</x:v>
      </x:c>
      <x:c r="AF531" s="22" t="str">
        <x:v>Not applicable — not included</x:v>
      </x:c>
      <x:c r="AG531" s="22" t="str">
        <x:v>Evidence: dd628c76-5b90-4277-96da-b1d16f0e8545.png; page 9, result 4. Metadata transcribed from captured Google Scholar page; OCR-normalised, verify against publication before citation.</x:v>
      </x:c>
      <x:c r="AH531" s="20" t="str">
        <x:v>No duplicate identified under the documented matching rules.</x:v>
      </x:c>
    </x:row>
    <x:row r="532" ht="42" customHeight="1">
      <x:c r="A532" s="22" t="str">
        <x:v>GS-05-085</x:v>
      </x:c>
      <x:c r="B532" s="22" t="str">
        <x:v>Google Scholar</x:v>
      </x:c>
      <x:c r="C532" s="22" t="str">
        <x:v>GS-05</x:v>
      </x:c>
      <x:c r="D532" s="22" t="str">
        <x:v>Nature's Insight A Novel Framework and Comprehensive Analysis of Agentic Reasoning Through the | ens of Neuroscience</x:v>
      </x:c>
      <x:c r="E532" s="22" t="str">
        <x:v>Zlu HLi JLu.GMa X Hong. Glacca</x:v>
      </x:c>
      <x:c r="F532" s="22" t="n">
        <x:v>2025</x:v>
      </x:c>
      <x:c r="G532" s="22" t="str">
        <x:v>arXiv preprint arXiv 2025 - arxiv org</x:v>
      </x:c>
      <x:c r="H532" s="22" t="str">
        <x:v>Google Scholar result</x:v>
      </x:c>
      <x:c r="I532" s="22" t="str">
        <x:v>NR</x:v>
      </x:c>
      <x:c r="J532" s="22" t="str">
        <x:v>NR</x:v>
      </x:c>
      <x:c r="K532" s="22" t="str">
        <x:v>NR — URL not captured in the available source record</x:v>
      </x:c>
      <x:c r="L532" s="22" t="str">
        <x:v>Not available in the captured evidence; the screening decision used the title and available source metadata.</x:v>
      </x:c>
      <x:c r="M532" s="22" t="str">
        <x:v>No duplicate</x:v>
      </x:c>
      <x:c r="N532" s="22" t="str">
        <x:v>Not applicable — no duplicate group</x:v>
      </x:c>
      <x:c r="O532" s="22" t="str">
        <x:v>Not applicable</x:v>
      </x:c>
      <x:c r="P532" s="22" t="str">
        <x:v>Yes</x:v>
      </x:c>
      <x:c r="Q532" s="22" t="str">
        <x:v>Exclude</x:v>
      </x:c>
      <x:c r="R532" s="22" t="str">
        <x:v>General theoretical framework without relevant medical-imaging evidence.</x:v>
      </x:c>
      <x:c r="S532" s="22" t="str">
        <x:v>Verification documented at process level</x:v>
      </x:c>
      <x:c r="T532" s="22" t="str">
        <x:v>Two additional authors performed random spot checks; individual spot-check assignments are not recorded in this register.</x:v>
      </x:c>
      <x:c r="U532" s="22" t="str">
        <x:v>Exclude</x:v>
      </x:c>
      <x:c r="V532" s="22" t="str">
        <x:v>Primary decision by the corresponding author; two additional authors performed random spot checks as a quality-control step.</x:v>
      </x:c>
      <x:c r="W532" s="22" t="str">
        <x:v>No</x:v>
      </x:c>
      <x:c r="X532" s="22" t="str">
        <x:v>Not applicable</x:v>
      </x:c>
      <x:c r="Y532" s="22" t="str">
        <x:v>Not assessed</x:v>
      </x:c>
      <x:c r="Z532" s="22" t="str">
        <x:v>Not advanced to full-text assessment after the title/abstract decision.</x:v>
      </x:c>
      <x:c r="AA532" s="22" t="str">
        <x:v>Not applicable</x:v>
      </x:c>
      <x:c r="AB532" s="22" t="str">
        <x:v>Record was not advanced to full-text assessment.</x:v>
      </x:c>
      <x:c r="AC532" s="22" t="str">
        <x:v>Not assessed</x:v>
      </x:c>
      <x:c r="AD532" s="22" t="str">
        <x:v>Not applicable — no full-text assessment was required.</x:v>
      </x:c>
      <x:c r="AE532" s="22" t="str">
        <x:v>Not included — title/abstract exclusion</x:v>
      </x:c>
      <x:c r="AF532" s="22" t="str">
        <x:v>Not applicable — not included</x:v>
      </x:c>
      <x:c r="AG532" s="22" t="str">
        <x:v>Evidence: dd628c76-5b90-4277-96da-b1d16f0e8545.png; page 9, result 5. Metadata transcribed from captured Google Scholar page; OCR-normalised, verify against publication before citation.</x:v>
      </x:c>
      <x:c r="AH532" s="20" t="str">
        <x:v>No duplicate identified under the documented matching rules.</x:v>
      </x:c>
    </x:row>
    <x:row r="533" ht="42" customHeight="1">
      <x:c r="A533" s="22" t="str">
        <x:v>GS-05-086</x:v>
      </x:c>
      <x:c r="B533" s="22" t="str">
        <x:v>Google Scholar</x:v>
      </x:c>
      <x:c r="C533" s="22" t="str">
        <x:v>GS-05</x:v>
      </x:c>
      <x:c r="D533" s="22" t="str">
        <x:v>(4TmL] Editorial for the Special Issue Applied and Innovative Computational Intelligence Systems</x:v>
      </x:c>
      <x:c r="E533" s="22" t="str">
        <x:v>BlS Cardoso JME Rodrigues C Portals</x:v>
      </x:c>
      <x:c r="F533" s="22" t="n">
        <x:v>2025</x:v>
      </x:c>
      <x:c r="G533" s="22" t="str">
        <x:v>Applied Sciences 2025 - ndeicom</x:v>
      </x:c>
      <x:c r="H533" s="22" t="str">
        <x:v>Google Scholar result</x:v>
      </x:c>
      <x:c r="I533" s="22" t="str">
        <x:v>NR</x:v>
      </x:c>
      <x:c r="J533" s="22" t="str">
        <x:v>NR</x:v>
      </x:c>
      <x:c r="K533" s="22" t="str">
        <x:v>NR — URL not captured in the available source record</x:v>
      </x:c>
      <x:c r="L533" s="22" t="str">
        <x:v>Not available in the captured evidence; the screening decision used the title and available source metadata.</x:v>
      </x:c>
      <x:c r="M533" s="22" t="str">
        <x:v>No duplicate</x:v>
      </x:c>
      <x:c r="N533" s="22" t="str">
        <x:v>Not applicable — no duplicate group</x:v>
      </x:c>
      <x:c r="O533" s="22" t="str">
        <x:v>Not applicable</x:v>
      </x:c>
      <x:c r="P533" s="22" t="str">
        <x:v>Yes</x:v>
      </x:c>
      <x:c r="Q533" s="22" t="str">
        <x:v>Exclude</x:v>
      </x:c>
      <x:c r="R533" s="22" t="str">
        <x:v>Editorial; not original empirical research.</x:v>
      </x:c>
      <x:c r="S533" s="22" t="str">
        <x:v>Verification documented at process level</x:v>
      </x:c>
      <x:c r="T533" s="22" t="str">
        <x:v>Two additional authors performed random spot checks; individual spot-check assignments are not recorded in this register.</x:v>
      </x:c>
      <x:c r="U533" s="22" t="str">
        <x:v>Exclude</x:v>
      </x:c>
      <x:c r="V533" s="22" t="str">
        <x:v>Primary decision by the corresponding author; two additional authors performed random spot checks as a quality-control step.</x:v>
      </x:c>
      <x:c r="W533" s="22" t="str">
        <x:v>No</x:v>
      </x:c>
      <x:c r="X533" s="22" t="str">
        <x:v>Not applicable</x:v>
      </x:c>
      <x:c r="Y533" s="22" t="str">
        <x:v>Not assessed</x:v>
      </x:c>
      <x:c r="Z533" s="22" t="str">
        <x:v>Not advanced to full-text assessment after the title/abstract decision.</x:v>
      </x:c>
      <x:c r="AA533" s="22" t="str">
        <x:v>Not applicable</x:v>
      </x:c>
      <x:c r="AB533" s="22" t="str">
        <x:v>Record was not advanced to full-text assessment.</x:v>
      </x:c>
      <x:c r="AC533" s="22" t="str">
        <x:v>Not assessed</x:v>
      </x:c>
      <x:c r="AD533" s="22" t="str">
        <x:v>Not applicable — no full-text assessment was required.</x:v>
      </x:c>
      <x:c r="AE533" s="22" t="str">
        <x:v>Not included — title/abstract exclusion</x:v>
      </x:c>
      <x:c r="AF533" s="22" t="str">
        <x:v>Not applicable — not included</x:v>
      </x:c>
      <x:c r="AG533" s="22" t="str">
        <x:v>Evidence: dd628c76-5b90-4277-96da-b1d16f0e8545.png; page 9, result 6. Metadata transcribed from captured Google Scholar page; OCR-normalised, verify against publication before citation.</x:v>
      </x:c>
      <x:c r="AH533" s="20" t="str">
        <x:v>No duplicate identified under the documented matching rules.</x:v>
      </x:c>
    </x:row>
    <x:row r="534" ht="42" customHeight="1">
      <x:c r="A534" s="22" t="str">
        <x:v>GS-05-087</x:v>
      </x:c>
      <x:c r="B534" s="22" t="str">
        <x:v>Google Scholar</x:v>
      </x:c>
      <x:c r="C534" s="22" t="str">
        <x:v>GS-05</x:v>
      </x:c>
      <x:c r="D534" s="22" t="str">
        <x:v>Oream-Driven Symbolic Evolution A Comparative Analysis of ine Myths of Moken and Bajau Peaples</x:v>
      </x:c>
      <x:c r="E534" s="22" t="str">
        <x:v>SByyuk</x:v>
      </x:c>
      <x:c r="F534" s="22" t="n">
        <x:v>2025</x:v>
      </x:c>
      <x:c r="G534" s="22" t="str">
        <x:v>2025 - resaarchgale nel</x:v>
      </x:c>
      <x:c r="H534" s="22" t="str">
        <x:v>Google Scholar result</x:v>
      </x:c>
      <x:c r="I534" s="22" t="str">
        <x:v>NR</x:v>
      </x:c>
      <x:c r="J534" s="22" t="str">
        <x:v>NR</x:v>
      </x:c>
      <x:c r="K534" s="22" t="str">
        <x:v>NR — URL not captured in the available source record</x:v>
      </x:c>
      <x:c r="L534" s="22" t="str">
        <x:v>Not available in the captured evidence; the screening decision used the title and available source metadata.</x:v>
      </x:c>
      <x:c r="M534" s="22" t="str">
        <x:v>No duplicate</x:v>
      </x:c>
      <x:c r="N534" s="22" t="str">
        <x:v>Not applicable — no duplicate group</x:v>
      </x:c>
      <x:c r="O534" s="22" t="str">
        <x:v>Not applicable</x:v>
      </x:c>
      <x:c r="P534" s="22" t="str">
        <x:v>Yes</x:v>
      </x:c>
      <x:c r="Q534" s="22" t="str">
        <x:v>Exclude</x:v>
      </x:c>
      <x:c r="R534" s="22" t="str">
        <x:v>Clearly irrelevant mythology analysis.</x:v>
      </x:c>
      <x:c r="S534" s="22" t="str">
        <x:v>Verification documented at process level</x:v>
      </x:c>
      <x:c r="T534" s="22" t="str">
        <x:v>Two additional authors performed random spot checks; individual spot-check assignments are not recorded in this register.</x:v>
      </x:c>
      <x:c r="U534" s="22" t="str">
        <x:v>Exclude</x:v>
      </x:c>
      <x:c r="V534" s="22" t="str">
        <x:v>Primary decision by the corresponding author; two additional authors performed random spot checks as a quality-control step.</x:v>
      </x:c>
      <x:c r="W534" s="22" t="str">
        <x:v>No</x:v>
      </x:c>
      <x:c r="X534" s="22" t="str">
        <x:v>Not applicable</x:v>
      </x:c>
      <x:c r="Y534" s="22" t="str">
        <x:v>Not assessed</x:v>
      </x:c>
      <x:c r="Z534" s="22" t="str">
        <x:v>Not advanced to full-text assessment after the title/abstract decision.</x:v>
      </x:c>
      <x:c r="AA534" s="22" t="str">
        <x:v>Not applicable</x:v>
      </x:c>
      <x:c r="AB534" s="22" t="str">
        <x:v>Record was not advanced to full-text assessment.</x:v>
      </x:c>
      <x:c r="AC534" s="22" t="str">
        <x:v>Not assessed</x:v>
      </x:c>
      <x:c r="AD534" s="22" t="str">
        <x:v>Not applicable — no full-text assessment was required.</x:v>
      </x:c>
      <x:c r="AE534" s="22" t="str">
        <x:v>Not included — title/abstract exclusion</x:v>
      </x:c>
      <x:c r="AF534" s="22" t="str">
        <x:v>Not applicable — not included</x:v>
      </x:c>
      <x:c r="AG534" s="22" t="str">
        <x:v>Evidence: dd628c76-5b90-4277-96da-b1d16f0e8545.png; page 9, result 7. Metadata transcribed from captured Google Scholar page; OCR-normalised, verify against publication before citation.</x:v>
      </x:c>
      <x:c r="AH534" s="20" t="str">
        <x:v>No duplicate identified under the documented matching rules.</x:v>
      </x:c>
    </x:row>
    <x:row r="535" ht="42" customHeight="1">
      <x:c r="A535" s="22" t="str">
        <x:v>GS-05-088</x:v>
      </x:c>
      <x:c r="B535" s="22" t="str">
        <x:v>Google Scholar</x:v>
      </x:c>
      <x:c r="C535" s="22" t="str">
        <x:v>GS-05</x:v>
      </x:c>
      <x:c r="D535" s="22" t="str">
        <x:v>Consciousness Dream, and Evolution A Scientific Perspective on Religion (hrough the Schizoid Pracess</x:v>
      </x:c>
      <x:c r="E535" s="22" t="str">
        <x:v>S Buyuk</x:v>
      </x:c>
      <x:c r="F535" s="22" t="n">
        <x:v>2025</x:v>
      </x:c>
      <x:c r="G535" s="22" t="str">
        <x:v>2025 - researchgale nel</x:v>
      </x:c>
      <x:c r="H535" s="22" t="str">
        <x:v>Google Scholar result</x:v>
      </x:c>
      <x:c r="I535" s="22" t="str">
        <x:v>NR</x:v>
      </x:c>
      <x:c r="J535" s="22" t="str">
        <x:v>NR</x:v>
      </x:c>
      <x:c r="K535" s="22" t="str">
        <x:v>NR — URL not captured in the available source record</x:v>
      </x:c>
      <x:c r="L535" s="22" t="str">
        <x:v>Not available in the captured evidence; the screening decision used the title and available source metadata.</x:v>
      </x:c>
      <x:c r="M535" s="22" t="str">
        <x:v>No duplicate</x:v>
      </x:c>
      <x:c r="N535" s="22" t="str">
        <x:v>Not applicable — no duplicate group</x:v>
      </x:c>
      <x:c r="O535" s="22" t="str">
        <x:v>Not applicable</x:v>
      </x:c>
      <x:c r="P535" s="22" t="str">
        <x:v>Yes</x:v>
      </x:c>
      <x:c r="Q535" s="22" t="str">
        <x:v>Exclude</x:v>
      </x:c>
      <x:c r="R535" s="22" t="str">
        <x:v>Clearly irrelevant work on consciousness, dreams and religion.</x:v>
      </x:c>
      <x:c r="S535" s="22" t="str">
        <x:v>Verification documented at process level</x:v>
      </x:c>
      <x:c r="T535" s="22" t="str">
        <x:v>Two additional authors performed random spot checks; individual spot-check assignments are not recorded in this register.</x:v>
      </x:c>
      <x:c r="U535" s="22" t="str">
        <x:v>Exclude</x:v>
      </x:c>
      <x:c r="V535" s="22" t="str">
        <x:v>Primary decision by the corresponding author; two additional authors performed random spot checks as a quality-control step.</x:v>
      </x:c>
      <x:c r="W535" s="22" t="str">
        <x:v>No</x:v>
      </x:c>
      <x:c r="X535" s="22" t="str">
        <x:v>Not applicable</x:v>
      </x:c>
      <x:c r="Y535" s="22" t="str">
        <x:v>Not assessed</x:v>
      </x:c>
      <x:c r="Z535" s="22" t="str">
        <x:v>Not advanced to full-text assessment after the title/abstract decision.</x:v>
      </x:c>
      <x:c r="AA535" s="22" t="str">
        <x:v>Not applicable</x:v>
      </x:c>
      <x:c r="AB535" s="22" t="str">
        <x:v>Record was not advanced to full-text assessment.</x:v>
      </x:c>
      <x:c r="AC535" s="22" t="str">
        <x:v>Not assessed</x:v>
      </x:c>
      <x:c r="AD535" s="22" t="str">
        <x:v>Not applicable — no full-text assessment was required.</x:v>
      </x:c>
      <x:c r="AE535" s="22" t="str">
        <x:v>Not included — title/abstract exclusion</x:v>
      </x:c>
      <x:c r="AF535" s="22" t="str">
        <x:v>Not applicable — not included</x:v>
      </x:c>
      <x:c r="AG535" s="22" t="str">
        <x:v>Evidence: dd628c76-5b90-4277-96da-b1d16f0e8545.png; page 9, result 8. Metadata transcribed from captured Google Scholar page; OCR-normalised, verify against publication before citation.</x:v>
      </x:c>
      <x:c r="AH535" s="20" t="str">
        <x:v>No duplicate identified under the documented matching rules.</x:v>
      </x:c>
    </x:row>
    <x:row r="536" ht="42" customHeight="1">
      <x:c r="A536" s="22" t="str">
        <x:v>GS-05-089</x:v>
      </x:c>
      <x:c r="B536" s="22" t="str">
        <x:v>Google Scholar</x:v>
      </x:c>
      <x:c r="C536" s="22" t="str">
        <x:v>GS-05</x:v>
      </x:c>
      <x:c r="D536" s="22" t="str">
        <x:v>Convolutional neural networks far visian neuroscience. significance, developments, and outstanding issues</x:v>
      </x:c>
      <x:c r="E536" s="22" t="str">
        <x:v>ACeeghn.APoriang O Orsenoo ff Digno -Frarhersir = 2023</x:v>
      </x:c>
      <x:c r="F536" s="22" t="n">
        <x:v>2023</x:v>
      </x:c>
      <x:c r="G536" s="22" t="str">
        <x:v>frontiers org</x:v>
      </x:c>
      <x:c r="H536" s="22" t="str">
        <x:v>Google Scholar result</x:v>
      </x:c>
      <x:c r="I536" s="22" t="str">
        <x:v>NR</x:v>
      </x:c>
      <x:c r="J536" s="22" t="str">
        <x:v>NR</x:v>
      </x:c>
      <x:c r="K536" s="22" t="str">
        <x:v>NR — URL not captured in the available source record</x:v>
      </x:c>
      <x:c r="L536" s="22" t="str">
        <x:v>Not available in the captured evidence; the screening decision used the title and available source metadata.</x:v>
      </x:c>
      <x:c r="M536" s="22" t="str">
        <x:v>Confirmed duplicate</x:v>
      </x:c>
      <x:c r="N536" s="22" t="str">
        <x:v>DG-081</x:v>
      </x:c>
      <x:c r="O536" s="22" t="str">
        <x:v>GS-04-084</x:v>
      </x:c>
      <x:c r="P536" s="22" t="str">
        <x:v>No</x:v>
      </x:c>
      <x:c r="Q536" s="22" t="str">
        <x:v>Not screened</x:v>
      </x:c>
      <x:c r="R536" s="22" t="str">
        <x:v>Removed before title/abstract screening as a confirmed duplicate.</x:v>
      </x:c>
      <x:c r="S536" s="22" t="str">
        <x:v>Not applicable — removed before screening</x:v>
      </x:c>
      <x:c r="T536" s="22" t="str">
        <x:v>Record was outside the active screening set.</x:v>
      </x:c>
      <x:c r="U536" s="22" t="str">
        <x:v>Removed before screening</x:v>
      </x:c>
      <x:c r="V536" s="22" t="str">
        <x:v>Confirmed duplicate removed during deduplication.</x:v>
      </x:c>
      <x:c r="W536" s="22" t="str">
        <x:v>No</x:v>
      </x:c>
      <x:c r="X536" s="22" t="str">
        <x:v>Not applicable</x:v>
      </x:c>
      <x:c r="Y536" s="22" t="str">
        <x:v>Not assessed</x:v>
      </x:c>
      <x:c r="Z536" s="22" t="str">
        <x:v>Not applicable — record removed before screening.</x:v>
      </x:c>
      <x:c r="AA536" s="22" t="str">
        <x:v>Not applicable</x:v>
      </x:c>
      <x:c r="AB536" s="22" t="str">
        <x:v>Record was not advanced to full-text assessment.</x:v>
      </x:c>
      <x:c r="AC536" s="22" t="str">
        <x:v>Not assessed</x:v>
      </x:c>
      <x:c r="AD536" s="22" t="str">
        <x:v>Not applicable — no full-text assessment was required.</x:v>
      </x:c>
      <x:c r="AE536" s="22" t="str">
        <x:v>Removed before screening</x:v>
      </x:c>
      <x:c r="AF536" s="22" t="str">
        <x:v>Not applicable — not included</x:v>
      </x:c>
      <x:c r="AG536" s="22" t="str">
        <x:v>Evidence: dd628c76-5b90-4277-96da-b1d16f0e8545.png; page 9, result 9. Metadata transcribed from captured Google Scholar page; OCR-normalised, verify against publication before citation.</x:v>
      </x:c>
      <x:c r="AH536" s="20" t="str">
        <x:v>No duplicate identified under the documented matching rules.</x:v>
      </x:c>
    </x:row>
    <x:row r="537" ht="42" customHeight="1">
      <x:c r="A537" s="22" t="str">
        <x:v>GS-05-090</x:v>
      </x:c>
      <x:c r="B537" s="22" t="str">
        <x:v>Google Scholar</x:v>
      </x:c>
      <x:c r="C537" s="22" t="str">
        <x:v>GS-05</x:v>
      </x:c>
      <x:c r="D537" s="22" t="str">
        <x:v>(poF] Deep Learning vs Shallow Learning in Detecting Anomalies in Biomedical Images</x:v>
      </x:c>
      <x:c r="E537" s="22" t="str">
        <x:v>F Samuei</x:v>
      </x:c>
      <x:c r="F537" s="22" t="str">
        <x:v>NR</x:v>
      </x:c>
      <x:c r="G537" s="22" t="str">
        <x:v>researchgala net 2124 - researchgale net</x:v>
      </x:c>
      <x:c r="H537" s="22" t="str">
        <x:v>Google Scholar result</x:v>
      </x:c>
      <x:c r="I537" s="22" t="str">
        <x:v>NR</x:v>
      </x:c>
      <x:c r="J537" s="22" t="str">
        <x:v>NR</x:v>
      </x:c>
      <x:c r="K537" s="22" t="str">
        <x:v>NR — URL not captured in the available source record</x:v>
      </x:c>
      <x:c r="L537" s="22" t="str">
        <x:v>Not available in the captured evidence; the screening decision used the title and available source metadata.</x:v>
      </x:c>
      <x:c r="M537" s="22" t="str">
        <x:v>No duplicate</x:v>
      </x:c>
      <x:c r="N537" s="22" t="str">
        <x:v>Not applicable — no duplicate group</x:v>
      </x:c>
      <x:c r="O537" s="22" t="str">
        <x:v>Not applicable</x:v>
      </x:c>
      <x:c r="P537" s="22" t="str">
        <x:v>Yes</x:v>
      </x:c>
      <x:c r="Q537" s="22" t="str">
        <x:v>Exclude</x:v>
      </x:c>
      <x:c r="R537" s="22" t="str">
        <x:v>Ordinary biomedical anomaly classification without concept-oriented XAI.</x:v>
      </x:c>
      <x:c r="S537" s="22" t="str">
        <x:v>Verification documented at process level</x:v>
      </x:c>
      <x:c r="T537" s="22" t="str">
        <x:v>Two additional authors performed random spot checks; individual spot-check assignments are not recorded in this register.</x:v>
      </x:c>
      <x:c r="U537" s="22" t="str">
        <x:v>Exclude</x:v>
      </x:c>
      <x:c r="V537" s="22" t="str">
        <x:v>Primary decision by the corresponding author; two additional authors performed random spot checks as a quality-control step.</x:v>
      </x:c>
      <x:c r="W537" s="22" t="str">
        <x:v>No</x:v>
      </x:c>
      <x:c r="X537" s="22" t="str">
        <x:v>Not applicable</x:v>
      </x:c>
      <x:c r="Y537" s="22" t="str">
        <x:v>Not assessed</x:v>
      </x:c>
      <x:c r="Z537" s="22" t="str">
        <x:v>Not advanced to full-text assessment after the title/abstract decision.</x:v>
      </x:c>
      <x:c r="AA537" s="22" t="str">
        <x:v>Not applicable</x:v>
      </x:c>
      <x:c r="AB537" s="22" t="str">
        <x:v>Record was not advanced to full-text assessment.</x:v>
      </x:c>
      <x:c r="AC537" s="22" t="str">
        <x:v>Not assessed</x:v>
      </x:c>
      <x:c r="AD537" s="22" t="str">
        <x:v>Not applicable — no full-text assessment was required.</x:v>
      </x:c>
      <x:c r="AE537" s="22" t="str">
        <x:v>Not included — title/abstract exclusion</x:v>
      </x:c>
      <x:c r="AF537" s="22" t="str">
        <x:v>Not applicable — not included</x:v>
      </x:c>
      <x:c r="AG537" s="22" t="str">
        <x:v>Evidence: dd628c76-5b90-4277-96da-b1d16f0e8545.png; page 9, result 10. Metadata transcribed from captured Google Scholar page; OCR-normalised, verify against publication before citation.</x:v>
      </x:c>
      <x:c r="AH537" s="20" t="str">
        <x:v>No duplicate identified under the documented matching rules.</x:v>
      </x:c>
    </x:row>
    <x:row r="538" ht="42" customHeight="1">
      <x:c r="A538" s="22" t="str">
        <x:v>GS-05-091</x:v>
      </x:c>
      <x:c r="B538" s="22" t="str">
        <x:v>Google Scholar</x:v>
      </x:c>
      <x:c r="C538" s="22" t="str">
        <x:v>GS-05</x:v>
      </x:c>
      <x:c r="D538" s="22" t="str">
        <x:v>eee are, ler ree Res systematic review on the transformative potential of artificial intelligence: SG Alt et al.</x:v>
      </x:c>
      <x:c r="E538" s="22" t="str">
        <x:v>SG Au X Yang, S Masood 7 Ghazanfar, ¥ Jung)</x:v>
      </x:c>
      <x:c r="F538" s="22" t="n">
        <x:v>2025</x:v>
      </x:c>
      <x:c r="G538" s="22" t="str">
        <x:v>The Visual. 2025 - Springer</x:v>
      </x:c>
      <x:c r="H538" s="22" t="str">
        <x:v>Google Scholar result</x:v>
      </x:c>
      <x:c r="I538" s="22" t="str">
        <x:v>NR</x:v>
      </x:c>
      <x:c r="J538" s="22" t="str">
        <x:v>NR</x:v>
      </x:c>
      <x:c r="K538" s="22" t="str">
        <x:v>NR — URL not captured in the available source record</x:v>
      </x:c>
      <x:c r="L538" s="22" t="str">
        <x:v>Not available in the captured evidence; the screening decision used the title and available source metadata.</x:v>
      </x:c>
      <x:c r="M538" s="22" t="str">
        <x:v>No duplicate</x:v>
      </x:c>
      <x:c r="N538" s="22" t="str">
        <x:v>Not applicable — no duplicate group</x:v>
      </x:c>
      <x:c r="O538" s="22" t="str">
        <x:v>Not applicable</x:v>
      </x:c>
      <x:c r="P538" s="22" t="str">
        <x:v>Yes</x:v>
      </x:c>
      <x:c r="Q538" s="22" t="str">
        <x:v>Exclude</x:v>
      </x:c>
      <x:c r="R538" s="22" t="str">
        <x:v>Systematic review; not original empirical research.</x:v>
      </x:c>
      <x:c r="S538" s="22" t="str">
        <x:v>Verification documented at process level</x:v>
      </x:c>
      <x:c r="T538" s="22" t="str">
        <x:v>Two additional authors performed random spot checks; individual spot-check assignments are not recorded in this register.</x:v>
      </x:c>
      <x:c r="U538" s="22" t="str">
        <x:v>Exclude</x:v>
      </x:c>
      <x:c r="V538" s="22" t="str">
        <x:v>Primary decision by the corresponding author; two additional authors performed random spot checks as a quality-control step.</x:v>
      </x:c>
      <x:c r="W538" s="22" t="str">
        <x:v>No</x:v>
      </x:c>
      <x:c r="X538" s="22" t="str">
        <x:v>Not applicable</x:v>
      </x:c>
      <x:c r="Y538" s="22" t="str">
        <x:v>Not assessed</x:v>
      </x:c>
      <x:c r="Z538" s="22" t="str">
        <x:v>Not advanced to full-text assessment after the title/abstract decision.</x:v>
      </x:c>
      <x:c r="AA538" s="22" t="str">
        <x:v>Not applicable</x:v>
      </x:c>
      <x:c r="AB538" s="22" t="str">
        <x:v>Record was not advanced to full-text assessment.</x:v>
      </x:c>
      <x:c r="AC538" s="22" t="str">
        <x:v>Not assessed</x:v>
      </x:c>
      <x:c r="AD538" s="22" t="str">
        <x:v>Not applicable — no full-text assessment was required.</x:v>
      </x:c>
      <x:c r="AE538" s="22" t="str">
        <x:v>Not included — title/abstract exclusion</x:v>
      </x:c>
      <x:c r="AF538" s="22" t="str">
        <x:v>Not applicable — not included</x:v>
      </x:c>
      <x:c r="AG538" s="22" t="str">
        <x:v>Evidence: f55293f6-1e4c-45e3-9656-1a7cde61f48a.png; page 10, result 1. Metadata transcribed from captured Google Scholar page; OCR-normalised, verify against publication before citation.</x:v>
      </x:c>
      <x:c r="AH538" s="20" t="str">
        <x:v>No duplicate identified under the documented matching rules.</x:v>
      </x:c>
    </x:row>
    <x:row r="539" ht="42" customHeight="1">
      <x:c r="A539" s="22" t="str">
        <x:v>GS-05-092</x:v>
      </x:c>
      <x:c r="B539" s="22" t="str">
        <x:v>Google Scholar</x:v>
      </x:c>
      <x:c r="C539" s="22" t="str">
        <x:v>GS-05</x:v>
      </x:c>
      <x:c r="D539" s="22" t="str">
        <x:v>Foundaticn models in biomedical imaging turning hype into reality</x:v>
      </x:c>
      <x:c r="E539" s="22" t="str">
        <x:v>AtAunser. K Zhang |Hand FR Qureshi</x:v>
      </x:c>
      <x:c r="F539" s="22" t="n">
        <x:v>2025</x:v>
      </x:c>
      <x:c r="G539" s="22" t="str">
        <x:v>arxXiv preprirlarXiv =, 2025 - arxiv ar3</x:v>
      </x:c>
      <x:c r="H539" s="22" t="str">
        <x:v>Google Scholar result</x:v>
      </x:c>
      <x:c r="I539" s="22" t="str">
        <x:v>NR</x:v>
      </x:c>
      <x:c r="J539" s="22" t="str">
        <x:v>NR</x:v>
      </x:c>
      <x:c r="K539" s="22" t="str">
        <x:v>NR — URL not captured in the available source record</x:v>
      </x:c>
      <x:c r="L539" s="22" t="str">
        <x:v>Not available in the captured evidence; the screening decision used the title and available source metadata.</x:v>
      </x:c>
      <x:c r="M539" s="22" t="str">
        <x:v>No duplicate</x:v>
      </x:c>
      <x:c r="N539" s="22" t="str">
        <x:v>Not applicable — no duplicate group</x:v>
      </x:c>
      <x:c r="O539" s="22" t="str">
        <x:v>Not applicable</x:v>
      </x:c>
      <x:c r="P539" s="22" t="str">
        <x:v>Yes</x:v>
      </x:c>
      <x:c r="Q539" s="22" t="str">
        <x:v>Exclude</x:v>
      </x:c>
      <x:c r="R539" s="22" t="str">
        <x:v>Review of foundation models; not an original empirical study.</x:v>
      </x:c>
      <x:c r="S539" s="22" t="str">
        <x:v>Verification documented at process level</x:v>
      </x:c>
      <x:c r="T539" s="22" t="str">
        <x:v>Two additional authors performed random spot checks; individual spot-check assignments are not recorded in this register.</x:v>
      </x:c>
      <x:c r="U539" s="22" t="str">
        <x:v>Exclude</x:v>
      </x:c>
      <x:c r="V539" s="22" t="str">
        <x:v>Primary decision by the corresponding author; two additional authors performed random spot checks as a quality-control step.</x:v>
      </x:c>
      <x:c r="W539" s="22" t="str">
        <x:v>No</x:v>
      </x:c>
      <x:c r="X539" s="22" t="str">
        <x:v>Not applicable</x:v>
      </x:c>
      <x:c r="Y539" s="22" t="str">
        <x:v>Not assessed</x:v>
      </x:c>
      <x:c r="Z539" s="22" t="str">
        <x:v>Not advanced to full-text assessment after the title/abstract decision.</x:v>
      </x:c>
      <x:c r="AA539" s="22" t="str">
        <x:v>Not applicable</x:v>
      </x:c>
      <x:c r="AB539" s="22" t="str">
        <x:v>Record was not advanced to full-text assessment.</x:v>
      </x:c>
      <x:c r="AC539" s="22" t="str">
        <x:v>Not assessed</x:v>
      </x:c>
      <x:c r="AD539" s="22" t="str">
        <x:v>Not applicable — no full-text assessment was required.</x:v>
      </x:c>
      <x:c r="AE539" s="22" t="str">
        <x:v>Not included — title/abstract exclusion</x:v>
      </x:c>
      <x:c r="AF539" s="22" t="str">
        <x:v>Not applicable — not included</x:v>
      </x:c>
      <x:c r="AG539" s="22" t="str">
        <x:v>Evidence: f55293f6-1e4c-45e3-9656-1a7cde61f48a.png; page 10, result 2. Metadata transcribed from captured Google Scholar page; OCR-normalised, verify against publication before citation.</x:v>
      </x:c>
      <x:c r="AH539" s="20" t="str">
        <x:v>No duplicate identified under the documented matching rules.</x:v>
      </x:c>
    </x:row>
    <x:row r="540" ht="42" customHeight="1">
      <x:c r="A540" s="22" t="str">
        <x:v>GS-05-093</x:v>
      </x:c>
      <x:c r="B540" s="22" t="str">
        <x:v>Google Scholar</x:v>
      </x:c>
      <x:c r="C540" s="22" t="str">
        <x:v>GS-05</x:v>
      </x:c>
      <x:c r="D540" s="22" t="str">
        <x:v>Diagnose like a radiologist: Hybrid neuro-probabilistic reasoning for attribute- based medical image diagnosis</x:v>
      </x:c>
      <x:c r="E540" s="22" t="str">
        <x:v>G Zhao, DFang C Chen Z2hou =</x:v>
      </x:c>
      <x:c r="F540" s="22" t="n">
        <x:v>2021</x:v>
      </x:c>
      <x:c r="G540" s="22" t="str">
        <x:v>EEE Tracsactizns on .. 2021 - ieaexplore iaee ong</x:v>
      </x:c>
      <x:c r="H540" s="22" t="str">
        <x:v>Google Scholar result</x:v>
      </x:c>
      <x:c r="I540" s="22" t="str">
        <x:v>10.1109/TPAMI.2021.3130759</x:v>
      </x:c>
      <x:c r="J540" s="22" t="str">
        <x:v>2208.09282</x:v>
      </x:c>
      <x:c r="K540" s="22" t="str">
        <x:v>https://arxiv.org/pdf/2208.09282</x:v>
      </x:c>
      <x:c r="L540" s="22" t="str">
        <x:v>During clinical practice, radiologists often use attributes, e.g., morphological and appearance characteristics of a lesion, to aid disease diagnosis. Effectively modeling attributes as well as all relationships involving attributes could boost the generalization ability and verifiability of medical image diagnosis algorithms. In this paper, we introduce a hybrid neuro-probabilistic reasoning algorithm for verifiable attribute-based medical image diagnosis. There are two parallel branches in our hybrid algorithm, a Bayesian network branch performing probabilistic causal relationship reasoning and a graph convolutional network branch performing more generic relational modeling and reasoning using a feature representation. Tight coupling between these two branches is achieved via a cross-network attention mechanism and the fusion of their classification results. We have successfully applied our hybrid reasoning algorithm to two challenging medical image diagnosis tasks. On the LIDC-IDRI benchmark dataset for benign-malignant classification of pulmonary nodules in CT images, our method achieves a new state-of-the-art accuracy of 95.36% and an AUC of 96.54%. Our method also achieves a 3.24% accuracy improvement on an in-house chest X-ray image dataset for tuberculosis diagnosis. Our ablation study indicates that our hybrid algorithm achieves a much better generalization performance than a pure neural network architecture under very limited training data.</x:v>
      </x:c>
      <x:c r="M540" s="22" t="str">
        <x:v>No duplicate</x:v>
      </x:c>
      <x:c r="N540" s="22" t="str">
        <x:v>Not applicable — no duplicate group</x:v>
      </x:c>
      <x:c r="O540" s="22" t="str">
        <x:v>Not applicable</x:v>
      </x:c>
      <x:c r="P540" s="22" t="str">
        <x:v>Yes</x:v>
      </x:c>
      <x:c r="Q540" s="22" t="str">
        <x:v>Include</x:v>
      </x:c>
      <x:c r="R540" s="22" t="str">
        <x:v>Original attribute-based neuro-probabilistic medical-image diagnosis; strong contextual evidence.</x:v>
      </x:c>
      <x:c r="S540" s="22" t="str">
        <x:v>Verification documented at process level</x:v>
      </x:c>
      <x:c r="T540" s="22" t="str">
        <x:v>Two additional authors performed random spot checks; individual spot-check assignments are not recorded in this register.</x:v>
      </x:c>
      <x:c r="U540" s="22" t="str">
        <x:v>Include</x:v>
      </x:c>
      <x:c r="V540" s="22" t="str">
        <x:v>Primary decision by the corresponding author; two additional authors performed random spot checks as a quality-control step.</x:v>
      </x:c>
      <x:c r="W540" s="22" t="str">
        <x:v>Yes</x:v>
      </x:c>
      <x:c r="X540" s="22" t="str">
        <x:v>Yes</x:v>
      </x:c>
      <x:c r="Y540" s="22" t="str">
        <x:v>Include</x:v>
      </x:c>
      <x:c r="Z540" s="22" t="str">
        <x:v>The corresponding author assessed the complete report and judged it eligible for inclusion in the review.</x:v>
      </x:c>
      <x:c r="AA540" s="22" t="str">
        <x:v>Verification documented at process level</x:v>
      </x:c>
      <x:c r="AB540" s="22" t="str">
        <x:v>Two additional authors performed random spot checks; individual spot-check assignments are not recorded in this register.</x:v>
      </x:c>
      <x:c r="AC540" s="22" t="str">
        <x:v>Include</x:v>
      </x:c>
      <x:c r="AD540" s="22" t="str">
        <x:v>Primary decision by the corresponding author; two additional authors performed random spot checks as a quality-control step.</x:v>
      </x:c>
      <x:c r="AE540" s="22" t="str">
        <x:v>Include</x:v>
      </x:c>
      <x:c r="AF540" s="22" t="str">
        <x:v>Contextual medical concept-XAI evidence</x:v>
      </x:c>
      <x:c r="AG540" s="22" t="str">
        <x:v>Evidence: f55293f6-1e4c-45e3-9656-1a7cde61f48a.png; page 10, result 3. Metadata transcribed from captured Google Scholar page; OCR-normalised, verify against publication before citation.</x:v>
      </x:c>
      <x:c r="AH540" s="20" t="str">
        <x:v>No duplicate identified under the documented matching rules.</x:v>
      </x:c>
    </x:row>
    <x:row r="541" ht="42" customHeight="1">
      <x:c r="A541" s="22" t="str">
        <x:v>GS-05-094</x:v>
      </x:c>
      <x:c r="B541" s="22" t="str">
        <x:v>Google Scholar</x:v>
      </x:c>
      <x:c r="C541" s="22" t="str">
        <x:v>GS-05</x:v>
      </x:c>
      <x:c r="D541" s="22" t="str">
        <x:v>(ook) The Digital Monadology Revival of the Characteristica Universalis in the Age of Large Language Madels</x:v>
      </x:c>
      <x:c r="E541" s="22" t="str">
        <x:v>E Mo-il2</x:v>
      </x:c>
      <x:c r="F541" s="22" t="str">
        <x:v>NR</x:v>
      </x:c>
      <x:c r="G541" s="22" t="str">
        <x:v>2225 - books gong'¢ £09</x:v>
      </x:c>
      <x:c r="H541" s="22" t="str">
        <x:v>Google Scholar result</x:v>
      </x:c>
      <x:c r="I541" s="22" t="str">
        <x:v>NR</x:v>
      </x:c>
      <x:c r="J541" s="22" t="str">
        <x:v>NR</x:v>
      </x:c>
      <x:c r="K541" s="22" t="str">
        <x:v>NR — URL not captured in the available source record</x:v>
      </x:c>
      <x:c r="L541" s="22" t="str">
        <x:v>Not available in the captured evidence; the screening decision used the title and available source metadata.</x:v>
      </x:c>
      <x:c r="M541" s="22" t="str">
        <x:v>No duplicate</x:v>
      </x:c>
      <x:c r="N541" s="22" t="str">
        <x:v>Not applicable — no duplicate group</x:v>
      </x:c>
      <x:c r="O541" s="22" t="str">
        <x:v>Not applicable</x:v>
      </x:c>
      <x:c r="P541" s="22" t="str">
        <x:v>Yes</x:v>
      </x:c>
      <x:c r="Q541" s="22" t="str">
        <x:v>Exclude</x:v>
      </x:c>
      <x:c r="R541" s="22" t="str">
        <x:v>Book; outside the medical-imaging review scope.</x:v>
      </x:c>
      <x:c r="S541" s="22" t="str">
        <x:v>Verification documented at process level</x:v>
      </x:c>
      <x:c r="T541" s="22" t="str">
        <x:v>Two additional authors performed random spot checks; individual spot-check assignments are not recorded in this register.</x:v>
      </x:c>
      <x:c r="U541" s="22" t="str">
        <x:v>Exclude</x:v>
      </x:c>
      <x:c r="V541" s="22" t="str">
        <x:v>Primary decision by the corresponding author; two additional authors performed random spot checks as a quality-control step.</x:v>
      </x:c>
      <x:c r="W541" s="22" t="str">
        <x:v>No</x:v>
      </x:c>
      <x:c r="X541" s="22" t="str">
        <x:v>Not applicable</x:v>
      </x:c>
      <x:c r="Y541" s="22" t="str">
        <x:v>Not assessed</x:v>
      </x:c>
      <x:c r="Z541" s="22" t="str">
        <x:v>Not advanced to full-text assessment after the title/abstract decision.</x:v>
      </x:c>
      <x:c r="AA541" s="22" t="str">
        <x:v>Not applicable</x:v>
      </x:c>
      <x:c r="AB541" s="22" t="str">
        <x:v>Record was not advanced to full-text assessment.</x:v>
      </x:c>
      <x:c r="AC541" s="22" t="str">
        <x:v>Not assessed</x:v>
      </x:c>
      <x:c r="AD541" s="22" t="str">
        <x:v>Not applicable — no full-text assessment was required.</x:v>
      </x:c>
      <x:c r="AE541" s="22" t="str">
        <x:v>Not included — title/abstract exclusion</x:v>
      </x:c>
      <x:c r="AF541" s="22" t="str">
        <x:v>Not applicable — not included</x:v>
      </x:c>
      <x:c r="AG541" s="22" t="str">
        <x:v>Evidence: f55293f6-1e4c-45e3-9656-1a7cde61f48a.png; page 10, result 4. Metadata transcribed from captured Google Scholar page; OCR-normalised, verify against publication before citation.</x:v>
      </x:c>
      <x:c r="AH541" s="20" t="str">
        <x:v>No duplicate identified under the documented matching rules.</x:v>
      </x:c>
    </x:row>
    <x:row r="542" ht="42" customHeight="1">
      <x:c r="A542" s="22" t="str">
        <x:v>GS-05-095</x:v>
      </x:c>
      <x:c r="B542" s="22" t="str">
        <x:v>Google Scholar</x:v>
      </x:c>
      <x:c r="C542" s="22" t="str">
        <x:v>GS-05</x:v>
      </x:c>
      <x:c r="D542" s="22" t="str">
        <x:v>The Camputational Model of Mind A Comprehensive Synthesis of Cognition, Machines and Artificial Inteiligence</x:v>
      </x:c>
      <x:c r="E542" s="22" t="str">
        <x:v>D Ngathlign</x:v>
      </x:c>
      <x:c r="F542" s="22" t="n">
        <x:v>2025</x:v>
      </x:c>
      <x:c r="G542" s="22" t="str">
        <x:v>Machines anc Asificial Inletligence (May 12 202£), 2025 - papers ssm com</x:v>
      </x:c>
      <x:c r="H542" s="22" t="str">
        <x:v>Google Scholar result</x:v>
      </x:c>
      <x:c r="I542" s="22" t="str">
        <x:v>NR</x:v>
      </x:c>
      <x:c r="J542" s="22" t="str">
        <x:v>NR</x:v>
      </x:c>
      <x:c r="K542" s="22" t="str">
        <x:v>NR — URL not captured in the available source record</x:v>
      </x:c>
      <x:c r="L542" s="22" t="str">
        <x:v>Not available in the captured evidence; the screening decision used the title and available source metadata.</x:v>
      </x:c>
      <x:c r="M542" s="22" t="str">
        <x:v>No duplicate</x:v>
      </x:c>
      <x:c r="N542" s="22" t="str">
        <x:v>Not applicable — no duplicate group</x:v>
      </x:c>
      <x:c r="O542" s="22" t="str">
        <x:v>Not applicable</x:v>
      </x:c>
      <x:c r="P542" s="22" t="str">
        <x:v>Yes</x:v>
      </x:c>
      <x:c r="Q542" s="22" t="str">
        <x:v>Exclude</x:v>
      </x:c>
      <x:c r="R542" s="22" t="str">
        <x:v>Broad theoretical work without medical imaging.</x:v>
      </x:c>
      <x:c r="S542" s="22" t="str">
        <x:v>Verification documented at process level</x:v>
      </x:c>
      <x:c r="T542" s="22" t="str">
        <x:v>Two additional authors performed random spot checks; individual spot-check assignments are not recorded in this register.</x:v>
      </x:c>
      <x:c r="U542" s="22" t="str">
        <x:v>Exclude</x:v>
      </x:c>
      <x:c r="V542" s="22" t="str">
        <x:v>Primary decision by the corresponding author; two additional authors performed random spot checks as a quality-control step.</x:v>
      </x:c>
      <x:c r="W542" s="22" t="str">
        <x:v>No</x:v>
      </x:c>
      <x:c r="X542" s="22" t="str">
        <x:v>Not applicable</x:v>
      </x:c>
      <x:c r="Y542" s="22" t="str">
        <x:v>Not assessed</x:v>
      </x:c>
      <x:c r="Z542" s="22" t="str">
        <x:v>Not advanced to full-text assessment after the title/abstract decision.</x:v>
      </x:c>
      <x:c r="AA542" s="22" t="str">
        <x:v>Not applicable</x:v>
      </x:c>
      <x:c r="AB542" s="22" t="str">
        <x:v>Record was not advanced to full-text assessment.</x:v>
      </x:c>
      <x:c r="AC542" s="22" t="str">
        <x:v>Not assessed</x:v>
      </x:c>
      <x:c r="AD542" s="22" t="str">
        <x:v>Not applicable — no full-text assessment was required.</x:v>
      </x:c>
      <x:c r="AE542" s="22" t="str">
        <x:v>Not included — title/abstract exclusion</x:v>
      </x:c>
      <x:c r="AF542" s="22" t="str">
        <x:v>Not applicable — not included</x:v>
      </x:c>
      <x:c r="AG542" s="22" t="str">
        <x:v>Evidence: f55293f6-1e4c-45e3-9656-1a7cde61f48a.png; page 10, result 5. Metadata transcribed from captured Google Scholar page; OCR-normalised, verify against publication before citation.</x:v>
      </x:c>
      <x:c r="AH542" s="20" t="str">
        <x:v>No duplicate identified under the documented matching rules.</x:v>
      </x:c>
    </x:row>
    <x:row r="543" ht="42" customHeight="1">
      <x:c r="A543" s="22" t="str">
        <x:v>GS-05-096</x:v>
      </x:c>
      <x:c r="B543" s="22" t="str">
        <x:v>Google Scholar</x:v>
      </x:c>
      <x:c r="C543" s="22" t="str">
        <x:v>GS-05</x:v>
      </x:c>
      <x:c r="D543" s="22" t="str">
        <x:v>Predictive Coding Meets Symbolic Cagnition’ A Framework for Modality-Guided Visual Imagination</x:v>
      </x:c>
      <x:c r="E543" s="22" t="str">
        <x:v>M Zaamani</x:v>
      </x:c>
      <x:c r="F543" s="22" t="n">
        <x:v>2026</x:v>
      </x:c>
      <x:c r="G543" s="22" t="str">
        <x:v>2026 ~ carle’on scholsns ca</x:v>
      </x:c>
      <x:c r="H543" s="22" t="str">
        <x:v>Google Scholar result</x:v>
      </x:c>
      <x:c r="I543" s="22" t="str">
        <x:v>NR</x:v>
      </x:c>
      <x:c r="J543" s="22" t="str">
        <x:v>NR</x:v>
      </x:c>
      <x:c r="K543" s="22" t="str">
        <x:v>NR — URL not captured in the available source record</x:v>
      </x:c>
      <x:c r="L543" s="22" t="str">
        <x:v>Not available in the captured evidence; the screening decision used the title and available source metadata.</x:v>
      </x:c>
      <x:c r="M543" s="22" t="str">
        <x:v>No duplicate</x:v>
      </x:c>
      <x:c r="N543" s="22" t="str">
        <x:v>Not applicable — no duplicate group</x:v>
      </x:c>
      <x:c r="O543" s="22" t="str">
        <x:v>Not applicable</x:v>
      </x:c>
      <x:c r="P543" s="22" t="str">
        <x:v>Yes</x:v>
      </x:c>
      <x:c r="Q543" s="22" t="str">
        <x:v>Exclude</x:v>
      </x:c>
      <x:c r="R543" s="22" t="str">
        <x:v>Theoretical framework without a relevant empirical medical-imaging study.</x:v>
      </x:c>
      <x:c r="S543" s="22" t="str">
        <x:v>Verification documented at process level</x:v>
      </x:c>
      <x:c r="T543" s="22" t="str">
        <x:v>Two additional authors performed random spot checks; individual spot-check assignments are not recorded in this register.</x:v>
      </x:c>
      <x:c r="U543" s="22" t="str">
        <x:v>Exclude</x:v>
      </x:c>
      <x:c r="V543" s="22" t="str">
        <x:v>Primary decision by the corresponding author; two additional authors performed random spot checks as a quality-control step.</x:v>
      </x:c>
      <x:c r="W543" s="22" t="str">
        <x:v>No</x:v>
      </x:c>
      <x:c r="X543" s="22" t="str">
        <x:v>Not applicable</x:v>
      </x:c>
      <x:c r="Y543" s="22" t="str">
        <x:v>Not assessed</x:v>
      </x:c>
      <x:c r="Z543" s="22" t="str">
        <x:v>Not advanced to full-text assessment after the title/abstract decision.</x:v>
      </x:c>
      <x:c r="AA543" s="22" t="str">
        <x:v>Not applicable</x:v>
      </x:c>
      <x:c r="AB543" s="22" t="str">
        <x:v>Record was not advanced to full-text assessment.</x:v>
      </x:c>
      <x:c r="AC543" s="22" t="str">
        <x:v>Not assessed</x:v>
      </x:c>
      <x:c r="AD543" s="22" t="str">
        <x:v>Not applicable — no full-text assessment was required.</x:v>
      </x:c>
      <x:c r="AE543" s="22" t="str">
        <x:v>Not included — title/abstract exclusion</x:v>
      </x:c>
      <x:c r="AF543" s="22" t="str">
        <x:v>Not applicable — not included</x:v>
      </x:c>
      <x:c r="AG543" s="22" t="str">
        <x:v>Evidence: f55293f6-1e4c-45e3-9656-1a7cde61f48a.png; page 10, result 6. Metadata transcribed from captured Google Scholar page; OCR-normalised, verify against publication before citation.</x:v>
      </x:c>
      <x:c r="AH543" s="20" t="str">
        <x:v>No duplicate identified under the documented matching rules.</x:v>
      </x:c>
    </x:row>
    <x:row r="544" ht="42" customHeight="1">
      <x:c r="A544" s="22" t="str">
        <x:v>GS-05-097</x:v>
      </x:c>
      <x:c r="B544" s="22" t="str">
        <x:v>Google Scholar</x:v>
      </x:c>
      <x:c r="C544" s="22" t="str">
        <x:v>GS-05</x:v>
      </x:c>
      <x:c r="D544" s="22" t="str">
        <x:v>Al-based detection, classification and prediction‘prognosis in medical imaging towards radiophenomics</x:v>
      </x:c>
      <x:c r="E544" s="22" t="str">
        <x:v>F Yousefrizi P Decazas AAmyar S Ruan.</x:v>
      </x:c>
      <x:c r="F544" s="22" t="n">
        <x:v>2022</x:v>
      </x:c>
      <x:c r="G544" s="22" t="str">
        <x:v>PET clinics 2022 - pet theclinics com</x:v>
      </x:c>
      <x:c r="H544" s="22" t="str">
        <x:v>Google Scholar result</x:v>
      </x:c>
      <x:c r="I544" s="22" t="str">
        <x:v>NR</x:v>
      </x:c>
      <x:c r="J544" s="22" t="str">
        <x:v>NR</x:v>
      </x:c>
      <x:c r="K544" s="22" t="str">
        <x:v>NR — URL not captured in the available source record</x:v>
      </x:c>
      <x:c r="L544" s="22" t="str">
        <x:v>Not available in the captured evidence; the screening decision used the title and available source metadata.</x:v>
      </x:c>
      <x:c r="M544" s="22" t="str">
        <x:v>No duplicate</x:v>
      </x:c>
      <x:c r="N544" s="22" t="str">
        <x:v>Not applicable — no duplicate group</x:v>
      </x:c>
      <x:c r="O544" s="22" t="str">
        <x:v>Not applicable</x:v>
      </x:c>
      <x:c r="P544" s="22" t="str">
        <x:v>Yes</x:v>
      </x:c>
      <x:c r="Q544" s="22" t="str">
        <x:v>Exclude</x:v>
      </x:c>
      <x:c r="R544" s="22" t="str">
        <x:v>Review article; not original empirical research.</x:v>
      </x:c>
      <x:c r="S544" s="22" t="str">
        <x:v>Verification documented at process level</x:v>
      </x:c>
      <x:c r="T544" s="22" t="str">
        <x:v>Two additional authors performed random spot checks; individual spot-check assignments are not recorded in this register.</x:v>
      </x:c>
      <x:c r="U544" s="22" t="str">
        <x:v>Exclude</x:v>
      </x:c>
      <x:c r="V544" s="22" t="str">
        <x:v>Primary decision by the corresponding author; two additional authors performed random spot checks as a quality-control step.</x:v>
      </x:c>
      <x:c r="W544" s="22" t="str">
        <x:v>No</x:v>
      </x:c>
      <x:c r="X544" s="22" t="str">
        <x:v>Not applicable</x:v>
      </x:c>
      <x:c r="Y544" s="22" t="str">
        <x:v>Not assessed</x:v>
      </x:c>
      <x:c r="Z544" s="22" t="str">
        <x:v>Not advanced to full-text assessment after the title/abstract decision.</x:v>
      </x:c>
      <x:c r="AA544" s="22" t="str">
        <x:v>Not applicable</x:v>
      </x:c>
      <x:c r="AB544" s="22" t="str">
        <x:v>Record was not advanced to full-text assessment.</x:v>
      </x:c>
      <x:c r="AC544" s="22" t="str">
        <x:v>Not assessed</x:v>
      </x:c>
      <x:c r="AD544" s="22" t="str">
        <x:v>Not applicable — no full-text assessment was required.</x:v>
      </x:c>
      <x:c r="AE544" s="22" t="str">
        <x:v>Not included — title/abstract exclusion</x:v>
      </x:c>
      <x:c r="AF544" s="22" t="str">
        <x:v>Not applicable — not included</x:v>
      </x:c>
      <x:c r="AG544" s="22" t="str">
        <x:v>Evidence: f55293f6-1e4c-45e3-9656-1a7cde61f48a.png; page 10, result 7. Metadata transcribed from captured Google Scholar page; OCR-normalised, verify against publication before citation.</x:v>
      </x:c>
      <x:c r="AH544" s="20" t="str">
        <x:v>No duplicate identified under the documented matching rules.</x:v>
      </x:c>
    </x:row>
    <x:row r="545" ht="42" customHeight="1">
      <x:c r="A545" s="22" t="str">
        <x:v>GS-05-098</x:v>
      </x:c>
      <x:c r="B545" s="22" t="str">
        <x:v>Google Scholar</x:v>
      </x:c>
      <x:c r="C545" s="22" t="str">
        <x:v>GS-05</x:v>
      </x:c>
      <x:c r="D545" s="22" t="str">
        <x:v>Retinal disease projection conditioning by biological traits</x:v>
      </x:c>
      <x:c r="E545" s="22" t="str">
        <x:v>MAHassan H Zhang 44 Fateh SMa, wv isng.</x:v>
      </x:c>
      <x:c r="F545" s="22" t="n">
        <x:v>2024</x:v>
      </x:c>
      <x:c r="G545" s="22" t="str">
        <x:v>Complex 4 nteligent 2024 - Springer</x:v>
      </x:c>
      <x:c r="H545" s="22" t="str">
        <x:v>Google Scholar result</x:v>
      </x:c>
      <x:c r="I545" s="22" t="str">
        <x:v>NR</x:v>
      </x:c>
      <x:c r="J545" s="22" t="str">
        <x:v>NR</x:v>
      </x:c>
      <x:c r="K545" s="22" t="str">
        <x:v>NR — URL not captured in the available source record</x:v>
      </x:c>
      <x:c r="L545" s="22" t="str">
        <x:v>Not available in the captured evidence; the screening decision used the title and available source metadata.</x:v>
      </x:c>
      <x:c r="M545" s="22" t="str">
        <x:v>Confirmed duplicate</x:v>
      </x:c>
      <x:c r="N545" s="22" t="str">
        <x:v>DG-051</x:v>
      </x:c>
      <x:c r="O545" s="22" t="str">
        <x:v>GS-04-061</x:v>
      </x:c>
      <x:c r="P545" s="22" t="str">
        <x:v>No</x:v>
      </x:c>
      <x:c r="Q545" s="22" t="str">
        <x:v>Not screened</x:v>
      </x:c>
      <x:c r="R545" s="22" t="str">
        <x:v>Removed before title/abstract screening as a confirmed duplicate.</x:v>
      </x:c>
      <x:c r="S545" s="22" t="str">
        <x:v>Not applicable — removed before screening</x:v>
      </x:c>
      <x:c r="T545" s="22" t="str">
        <x:v>Record was outside the active screening set.</x:v>
      </x:c>
      <x:c r="U545" s="22" t="str">
        <x:v>Removed before screening</x:v>
      </x:c>
      <x:c r="V545" s="22" t="str">
        <x:v>Confirmed duplicate removed during deduplication.</x:v>
      </x:c>
      <x:c r="W545" s="22" t="str">
        <x:v>No</x:v>
      </x:c>
      <x:c r="X545" s="22" t="str">
        <x:v>Not applicable</x:v>
      </x:c>
      <x:c r="Y545" s="22" t="str">
        <x:v>Not assessed</x:v>
      </x:c>
      <x:c r="Z545" s="22" t="str">
        <x:v>Not applicable — record removed before screening.</x:v>
      </x:c>
      <x:c r="AA545" s="22" t="str">
        <x:v>Not applicable</x:v>
      </x:c>
      <x:c r="AB545" s="22" t="str">
        <x:v>Record was not advanced to full-text assessment.</x:v>
      </x:c>
      <x:c r="AC545" s="22" t="str">
        <x:v>Not assessed</x:v>
      </x:c>
      <x:c r="AD545" s="22" t="str">
        <x:v>Not applicable — no full-text assessment was required.</x:v>
      </x:c>
      <x:c r="AE545" s="22" t="str">
        <x:v>Removed before screening</x:v>
      </x:c>
      <x:c r="AF545" s="22" t="str">
        <x:v>Not applicable — not included</x:v>
      </x:c>
      <x:c r="AG545" s="22" t="str">
        <x:v>Evidence: f55293f6-1e4c-45e3-9656-1a7cde61f48a.png; page 10, result 8. Metadata transcribed from captured Google Scholar page; OCR-normalised, verify against publication before citation.</x:v>
      </x:c>
      <x:c r="AH545" s="20" t="str">
        <x:v>Confirmed using normalized title across captured searches.</x:v>
      </x:c>
    </x:row>
    <x:row r="546" ht="42" customHeight="1">
      <x:c r="A546" s="22" t="str">
        <x:v>GS-05-099</x:v>
      </x:c>
      <x:c r="B546" s="22" t="str">
        <x:v>Google Scholar</x:v>
      </x:c>
      <x:c r="C546" s="22" t="str">
        <x:v>GS-05</x:v>
      </x:c>
      <x:c r="D546" s="22" t="str">
        <x:v>(Po The Compression Principle’ Persistence and Cooperation Across Physics, Computation, and Cognition</x:v>
      </x:c>
      <x:c r="E546" s="22" t="str">
        <x:v>TA dunl</x:v>
      </x:c>
      <x:c r="F546" s="22" t="str">
        <x:v>NR</x:v>
      </x:c>
      <x:c r="G546" s="22" t="str">
        <x:v>academia adu</x:v>
      </x:c>
      <x:c r="H546" s="22" t="str">
        <x:v>Google Scholar result</x:v>
      </x:c>
      <x:c r="I546" s="22" t="str">
        <x:v>NR</x:v>
      </x:c>
      <x:c r="J546" s="22" t="str">
        <x:v>NR</x:v>
      </x:c>
      <x:c r="K546" s="22" t="str">
        <x:v>NR — URL not captured in the available source record</x:v>
      </x:c>
      <x:c r="L546" s="22" t="str">
        <x:v>Not available in the captured evidence; the screening decision used the title and available source metadata.</x:v>
      </x:c>
      <x:c r="M546" s="22" t="str">
        <x:v>No duplicate</x:v>
      </x:c>
      <x:c r="N546" s="22" t="str">
        <x:v>Not applicable — no duplicate group</x:v>
      </x:c>
      <x:c r="O546" s="22" t="str">
        <x:v>Not applicable</x:v>
      </x:c>
      <x:c r="P546" s="22" t="str">
        <x:v>Yes</x:v>
      </x:c>
      <x:c r="Q546" s="22" t="str">
        <x:v>Exclude</x:v>
      </x:c>
      <x:c r="R546" s="22" t="str">
        <x:v>Clearly outside the medical-imaging review scope.</x:v>
      </x:c>
      <x:c r="S546" s="22" t="str">
        <x:v>Verification documented at process level</x:v>
      </x:c>
      <x:c r="T546" s="22" t="str">
        <x:v>Two additional authors performed random spot checks; individual spot-check assignments are not recorded in this register.</x:v>
      </x:c>
      <x:c r="U546" s="22" t="str">
        <x:v>Exclude</x:v>
      </x:c>
      <x:c r="V546" s="22" t="str">
        <x:v>Primary decision by the corresponding author; two additional authors performed random spot checks as a quality-control step.</x:v>
      </x:c>
      <x:c r="W546" s="22" t="str">
        <x:v>No</x:v>
      </x:c>
      <x:c r="X546" s="22" t="str">
        <x:v>Not applicable</x:v>
      </x:c>
      <x:c r="Y546" s="22" t="str">
        <x:v>Not assessed</x:v>
      </x:c>
      <x:c r="Z546" s="22" t="str">
        <x:v>Not advanced to full-text assessment after the title/abstract decision.</x:v>
      </x:c>
      <x:c r="AA546" s="22" t="str">
        <x:v>Not applicable</x:v>
      </x:c>
      <x:c r="AB546" s="22" t="str">
        <x:v>Record was not advanced to full-text assessment.</x:v>
      </x:c>
      <x:c r="AC546" s="22" t="str">
        <x:v>Not assessed</x:v>
      </x:c>
      <x:c r="AD546" s="22" t="str">
        <x:v>Not applicable — no full-text assessment was required.</x:v>
      </x:c>
      <x:c r="AE546" s="22" t="str">
        <x:v>Not included — title/abstract exclusion</x:v>
      </x:c>
      <x:c r="AF546" s="22" t="str">
        <x:v>Not applicable — not included</x:v>
      </x:c>
      <x:c r="AG546" s="22" t="str">
        <x:v>Evidence: f55293f6-1e4c-45e3-9656-1a7cde61f48a.png; page 10, result 9. Metadata transcribed from captured Google Scholar page; OCR-normalised, verify against publication before citation.</x:v>
      </x:c>
      <x:c r="AH546" s="20" t="str">
        <x:v>No duplicate identified under the documented matching rules.</x:v>
      </x:c>
    </x:row>
    <x:row r="547" ht="42" customHeight="1">
      <x:c r="A547" s="22" t="str">
        <x:v>GS-05-100</x:v>
      </x:c>
      <x:c r="B547" s="22" t="str">
        <x:v>Google Scholar</x:v>
      </x:c>
      <x:c r="C547" s="22" t="str">
        <x:v>GS-05</x:v>
      </x:c>
      <x:c r="D547" s="22" t="str">
        <x:v>Microaneurysm segmentation under out-of-domain generalization’ from diabetic retinopathy to leukemic retinopathy</x:v>
      </x:c>
      <x:c r="E547" s="22" t="str">
        <x:v>E 2latas-Campero RD'az-Hermandez</x:v>
      </x:c>
      <x:c r="F547" s="22" t="n">
        <x:v>2026</x:v>
      </x:c>
      <x:c r="G547" s="22" t="str">
        <x:v>JoumalaiRatinaand 2026 - Sprnger</x:v>
      </x:c>
      <x:c r="H547" s="22" t="str">
        <x:v>Google Scholar result</x:v>
      </x:c>
      <x:c r="I547" s="22" t="str">
        <x:v>NR</x:v>
      </x:c>
      <x:c r="J547" s="22" t="str">
        <x:v>NR</x:v>
      </x:c>
      <x:c r="K547" s="22" t="str">
        <x:v>NR — URL not captured in the available source record</x:v>
      </x:c>
      <x:c r="L547" s="22" t="str">
        <x:v>Not available in the captured evidence; the screening decision used the title and available source metadata.</x:v>
      </x:c>
      <x:c r="M547" s="22" t="str">
        <x:v>Confirmed duplicate</x:v>
      </x:c>
      <x:c r="N547" s="22" t="str">
        <x:v>DG-063</x:v>
      </x:c>
      <x:c r="O547" s="22" t="str">
        <x:v>GS-04-087</x:v>
      </x:c>
      <x:c r="P547" s="22" t="str">
        <x:v>No</x:v>
      </x:c>
      <x:c r="Q547" s="22" t="str">
        <x:v>Not screened</x:v>
      </x:c>
      <x:c r="R547" s="22" t="str">
        <x:v>Removed before title/abstract screening as a confirmed duplicate.</x:v>
      </x:c>
      <x:c r="S547" s="22" t="str">
        <x:v>Not applicable — removed before screening</x:v>
      </x:c>
      <x:c r="T547" s="22" t="str">
        <x:v>Record was outside the active screening set.</x:v>
      </x:c>
      <x:c r="U547" s="22" t="str">
        <x:v>Removed before screening</x:v>
      </x:c>
      <x:c r="V547" s="22" t="str">
        <x:v>Confirmed duplicate removed during deduplication.</x:v>
      </x:c>
      <x:c r="W547" s="22" t="str">
        <x:v>No</x:v>
      </x:c>
      <x:c r="X547" s="22" t="str">
        <x:v>Not applicable</x:v>
      </x:c>
      <x:c r="Y547" s="22" t="str">
        <x:v>Not assessed</x:v>
      </x:c>
      <x:c r="Z547" s="22" t="str">
        <x:v>Not applicable — record removed before screening.</x:v>
      </x:c>
      <x:c r="AA547" s="22" t="str">
        <x:v>Not applicable</x:v>
      </x:c>
      <x:c r="AB547" s="22" t="str">
        <x:v>Record was not advanced to full-text assessment.</x:v>
      </x:c>
      <x:c r="AC547" s="22" t="str">
        <x:v>Not assessed</x:v>
      </x:c>
      <x:c r="AD547" s="22" t="str">
        <x:v>Not applicable — no full-text assessment was required.</x:v>
      </x:c>
      <x:c r="AE547" s="22" t="str">
        <x:v>Removed before screening</x:v>
      </x:c>
      <x:c r="AF547" s="22" t="str">
        <x:v>Not applicable — not included</x:v>
      </x:c>
      <x:c r="AG547" s="22" t="str">
        <x:v>Evidence: f55293f6-1e4c-45e3-9656-1a7cde61f48a.png; page 10, result 10. Metadata transcribed from captured Google Scholar page; OCR-normalised, verify against publication before citation.</x:v>
      </x:c>
      <x:c r="AH547" s="20" t="str">
        <x:v>Confirmed using normalized title across captured searches.</x:v>
      </x:c>
    </x:row>
    <x:row r="548" ht="42" customHeight="1">
      <x:c r="A548" s="22" t="str">
        <x:v>GS-06-001</x:v>
      </x:c>
      <x:c r="B548" s="22" t="str">
        <x:v>Google Scholar</x:v>
      </x:c>
      <x:c r="C548" s="22" t="str">
        <x:v>GS-06</x:v>
      </x:c>
      <x:c r="D548" s="22" t="str">
        <x:v>Looking into concept explanation methods for diabetic retinopathy classification</x:v>
      </x:c>
      <x:c r="E548" s="22" t="str">
        <x:v>AM Storas JV Su-dgsard</x:v>
      </x:c>
      <x:c r="F548" s="22" t="n">
        <x:v>2024</x:v>
      </x:c>
      <x:c r="G548" s="22" t="str">
        <x:v>arXiv preprirl arXiv 2410 23188, 2024 - arxiv arg</x:v>
      </x:c>
      <x:c r="H548" s="22" t="str">
        <x:v>Google Scholar result</x:v>
      </x:c>
      <x:c r="I548" s="22" t="str">
        <x:v>NR</x:v>
      </x:c>
      <x:c r="J548" s="22" t="str">
        <x:v>NR</x:v>
      </x:c>
      <x:c r="K548" s="22" t="str">
        <x:v>NR — URL not captured in the available source record</x:v>
      </x:c>
      <x:c r="L548" s="22" t="str">
        <x:v>Not available in the captured evidence; the screening decision used the title and available source metadata.</x:v>
      </x:c>
      <x:c r="M548" s="22" t="str">
        <x:v>Confirmed duplicate</x:v>
      </x:c>
      <x:c r="N548" s="22" t="str">
        <x:v>DG-011</x:v>
      </x:c>
      <x:c r="O548" s="22" t="str">
        <x:v>ARXIV-01-001</x:v>
      </x:c>
      <x:c r="P548" s="22" t="str">
        <x:v>No</x:v>
      </x:c>
      <x:c r="Q548" s="22" t="str">
        <x:v>Not screened</x:v>
      </x:c>
      <x:c r="R548" s="22" t="str">
        <x:v>Removed before title/abstract screening as a confirmed duplicate.</x:v>
      </x:c>
      <x:c r="S548" s="22" t="str">
        <x:v>Not applicable — removed before screening</x:v>
      </x:c>
      <x:c r="T548" s="22" t="str">
        <x:v>Record was outside the active screening set.</x:v>
      </x:c>
      <x:c r="U548" s="22" t="str">
        <x:v>Removed before screening</x:v>
      </x:c>
      <x:c r="V548" s="22" t="str">
        <x:v>Confirmed duplicate removed during deduplication.</x:v>
      </x:c>
      <x:c r="W548" s="22" t="str">
        <x:v>No</x:v>
      </x:c>
      <x:c r="X548" s="22" t="str">
        <x:v>Not applicable</x:v>
      </x:c>
      <x:c r="Y548" s="22" t="str">
        <x:v>Not assessed</x:v>
      </x:c>
      <x:c r="Z548" s="22" t="str">
        <x:v>Not applicable — record removed before screening.</x:v>
      </x:c>
      <x:c r="AA548" s="22" t="str">
        <x:v>Not applicable</x:v>
      </x:c>
      <x:c r="AB548" s="22" t="str">
        <x:v>Record was not advanced to full-text assessment.</x:v>
      </x:c>
      <x:c r="AC548" s="22" t="str">
        <x:v>Not assessed</x:v>
      </x:c>
      <x:c r="AD548" s="22" t="str">
        <x:v>Not applicable — no full-text assessment was required.</x:v>
      </x:c>
      <x:c r="AE548" s="22" t="str">
        <x:v>Removed before screening</x:v>
      </x:c>
      <x:c r="AF548" s="22" t="str">
        <x:v>Not applicable — not included</x:v>
      </x:c>
      <x:c r="AG548" s="22" t="str">
        <x:v>Evidence: 773984e3-d7b4-4c93-8165-f80af7cad7cd.png; page 1, result 1. Metadata transcribed from captured Google Scholar page; OCR-normalised, verify against publication before citation.</x:v>
      </x:c>
      <x:c r="AH548" s="20" t="str">
        <x:v>Confirmed using identifier/title evidence; normalized title across captured searches.</x:v>
      </x:c>
    </x:row>
    <x:row r="549" ht="42" customHeight="1">
      <x:c r="A549" s="22" t="str">
        <x:v>GS-06-002</x:v>
      </x:c>
      <x:c r="B549" s="22" t="str">
        <x:v>Google Scholar</x:v>
      </x:c>
      <x:c r="C549" s="22" t="str">
        <x:v>GS-06</x:v>
      </x:c>
      <x:c r="D549" s="22" t="str">
        <x:v>interpretability beyond feature attribution’ Quantitative testing with concept activation vectors (tcay)</x:v>
      </x:c>
      <x:c r="E549" s="22" t="str">
        <x:v>Bim. M\Watlenbsrg J Silme: C Cai</x:v>
      </x:c>
      <x:c r="F549" s="22" t="n">
        <x:v>2018</x:v>
      </x:c>
      <x:c r="G549" s="22" t="str">
        <x:v>Inler-abonal 2018 - proceedings “Ir press</x:v>
      </x:c>
      <x:c r="H549" s="22" t="str">
        <x:v>Google Scholar result</x:v>
      </x:c>
      <x:c r="I549" s="22" t="str">
        <x:v>NR</x:v>
      </x:c>
      <x:c r="J549" s="22" t="str">
        <x:v>1711.11279</x:v>
      </x:c>
      <x:c r="K549" s="22" t="str">
        <x:v>https://arxiv.org/pdf/1711.11279</x:v>
      </x:c>
      <x:c r="L549" s="22" t="str">
        <x:v>The interpretation of deep learning models is a challenge due to their size, complexity, and often opaque internal state. In addition, many systems, such as image classifiers, operate on low-level features rather than high-level concepts. To address these challenges, we introduce Concept Activation Vectors (CAVs), which provide an interpretation of a neural net's internal state in terms of human-friendly concepts. The key idea is to view the high-dimensional internal state of a neural net as an aid, not an obstacle. We show how to use CAVs as part of a technique, Testing with CAVs (TCAV), that uses directional derivatives to quantify the degree to which a user-defined concept is important to a classification result--for example, how sensitive a prediction of "zebra" is to the presence of stripes. Using the domain of image classification as a testing ground, we describe how CAVs may be used to explore hypotheses and generate insights for a standard image classification network as well as a medical application.</x:v>
      </x:c>
      <x:c r="M549" s="22" t="str">
        <x:v>No duplicate</x:v>
      </x:c>
      <x:c r="N549" s="22" t="str">
        <x:v>DG-114</x:v>
      </x:c>
      <x:c r="O549" s="22" t="str">
        <x:v>Not applicable</x:v>
      </x:c>
      <x:c r="P549" s="22" t="str">
        <x:v>Yes</x:v>
      </x:c>
      <x:c r="Q549" s="22" t="str">
        <x:v>Include</x:v>
      </x:c>
      <x:c r="R549" s="22" t="str">
        <x:v>Foundational original TCAV concept-based interpretability study; essential methodological evidence.</x:v>
      </x:c>
      <x:c r="S549" s="22" t="str">
        <x:v>Verification documented at process level</x:v>
      </x:c>
      <x:c r="T549" s="22" t="str">
        <x:v>Two additional authors performed random spot checks; individual spot-check assignments are not recorded in this register.</x:v>
      </x:c>
      <x:c r="U549" s="22" t="str">
        <x:v>Include</x:v>
      </x:c>
      <x:c r="V549" s="22" t="str">
        <x:v>Primary decision by the corresponding author; two additional authors performed random spot checks as a quality-control step.</x:v>
      </x:c>
      <x:c r="W549" s="22" t="str">
        <x:v>Yes</x:v>
      </x:c>
      <x:c r="X549" s="22" t="str">
        <x:v>Yes</x:v>
      </x:c>
      <x:c r="Y549" s="22" t="str">
        <x:v>Include</x:v>
      </x:c>
      <x:c r="Z549" s="22" t="str">
        <x:v>The corresponding author assessed the complete report and judged it eligible for inclusion in the review.</x:v>
      </x:c>
      <x:c r="AA549" s="22" t="str">
        <x:v>Verification documented at process level</x:v>
      </x:c>
      <x:c r="AB549" s="22" t="str">
        <x:v>Two additional authors performed random spot checks; individual spot-check assignments are not recorded in this register.</x:v>
      </x:c>
      <x:c r="AC549" s="22" t="str">
        <x:v>Include</x:v>
      </x:c>
      <x:c r="AD549" s="22" t="str">
        <x:v>Primary decision by the corresponding author; two additional authors performed random spot checks as a quality-control step.</x:v>
      </x:c>
      <x:c r="AE549" s="22" t="str">
        <x:v>Include</x:v>
      </x:c>
      <x:c r="AF549" s="22" t="str">
        <x:v>Contextual medical concept-XAI evidence</x:v>
      </x:c>
      <x:c r="AG549" s="22" t="str">
        <x:v>Evidence: 773984e3-d7b4-4c93-8165-f80af7cad7cd.png; page 1, result 2. Metadata transcribed from captured Google Scholar page; OCR-normalised, verify against publication before citation.</x:v>
      </x:c>
      <x:c r="AH549" s="20" t="str">
        <x:v>No duplicate identified under the documented matching rules.</x:v>
      </x:c>
    </x:row>
    <x:row r="550" ht="42" customHeight="1">
      <x:c r="A550" s="22" t="str">
        <x:v>GS-06-003</x:v>
      </x:c>
      <x:c r="B550" s="22" t="str">
        <x:v>Google Scholar</x:v>
      </x:c>
      <x:c r="C550" s="22" t="str">
        <x:v>GS-06</x:v>
      </x:c>
      <x:c r="D550" s="22" t="str">
        <x:v>Al based Deep Radiomics for Quantification of Macular Edema’ A Continuous, Non-categoricat Numerical Score for Personalized Medicine</x:v>
      </x:c>
      <x:c r="E550" s="22" t="str">
        <x:v>APurl, R Krueger</x:v>
      </x:c>
      <x:c r="F550" s="22" t="n">
        <x:v>2024</x:v>
      </x:c>
      <x:c r="G550" s="22" t="str">
        <x:v>2024 - resesre” scuare cor</x:v>
      </x:c>
      <x:c r="H550" s="22" t="str">
        <x:v>Google Scholar result</x:v>
      </x:c>
      <x:c r="I550" s="22" t="str">
        <x:v>10.21203/rs.3.rs-4854925/v1</x:v>
      </x:c>
      <x:c r="J550" s="22" t="str">
        <x:v>NR</x:v>
      </x:c>
      <x:c r="K550" s="22" t="str">
        <x:v>https://doi.org/10.21203/rs.3.rs-4854925/v1</x:v>
      </x:c>
      <x:c r="L550" s="22" t="str">
        <x:v>Abstract Existing categorical grading methods in medicine fail to capture subtle variations in disease spectrum which are crucial for closely monitoring its progression, response to treatment, and developing new guidelines to enable personalized and precision medicine. We developed a truly continuous, non-categorical, numerical score, called the Edema Score (ES), with a precision of multiple decimal places, for grading macular edema in retinal optical coherence tomography (OCT) images. This score was determined by obtaining the directional derivatives using activations extracted from the final convolutional layer of a deep learning retinal OCT model and the specialist defined edema concepts. Significant differences in ES were observed between different groups of edema severity (p &amp;lt; 0.001). It captured complex nonlinear relationships from edema features in an image, that correlated well with the disease severity, response to treatment, the prognostically significant internal pattern of edema, and its invisible spread into the surrounding regions. The scalability of this deep radiomics approach to more biomarkers in Ophthalmic imaging and in other domains of medicine, can serve as a bridge ushering us into an era of precision medicine.</x:v>
      </x:c>
      <x:c r="M550" s="22" t="str">
        <x:v>No duplicate</x:v>
      </x:c>
      <x:c r="N550" s="22" t="str">
        <x:v>Not applicable — no duplicate group</x:v>
      </x:c>
      <x:c r="O550" s="22" t="str">
        <x:v>Not applicable</x:v>
      </x:c>
      <x:c r="P550" s="22" t="str">
        <x:v>Yes</x:v>
      </x:c>
      <x:c r="Q550" s="22" t="str">
        <x:v>Include</x:v>
      </x:c>
      <x:c r="R550" s="22" t="str">
        <x:v>Direct retinal OCT study using specialist-defined concepts and concept activation vectors.</x:v>
      </x:c>
      <x:c r="S550" s="22" t="str">
        <x:v>Verification documented at process level</x:v>
      </x:c>
      <x:c r="T550" s="22" t="str">
        <x:v>Two additional authors performed random spot checks; individual spot-check assignments are not recorded in this register.</x:v>
      </x:c>
      <x:c r="U550" s="22" t="str">
        <x:v>Include</x:v>
      </x:c>
      <x:c r="V550" s="22" t="str">
        <x:v>Primary decision by the corresponding author; two additional authors performed random spot checks as a quality-control step.</x:v>
      </x:c>
      <x:c r="W550" s="22" t="str">
        <x:v>Yes</x:v>
      </x:c>
      <x:c r="X550" s="22" t="str">
        <x:v>Yes</x:v>
      </x:c>
      <x:c r="Y550" s="22" t="str">
        <x:v>Include</x:v>
      </x:c>
      <x:c r="Z550" s="22" t="str">
        <x:v>The corresponding author assessed the complete report and judged it eligible for inclusion in the review.</x:v>
      </x:c>
      <x:c r="AA550" s="22" t="str">
        <x:v>Verification documented at process level</x:v>
      </x:c>
      <x:c r="AB550" s="22" t="str">
        <x:v>Two additional authors performed random spot checks; individual spot-check assignments are not recorded in this register.</x:v>
      </x:c>
      <x:c r="AC550" s="22" t="str">
        <x:v>Include</x:v>
      </x:c>
      <x:c r="AD550" s="22" t="str">
        <x:v>Primary decision by the corresponding author; two additional authors performed random spot checks as a quality-control step.</x:v>
      </x:c>
      <x:c r="AE550" s="22" t="str">
        <x:v>Include</x:v>
      </x:c>
      <x:c r="AF550" s="22" t="str">
        <x:v>Direct retinal/ophthalmic evidence</x:v>
      </x:c>
      <x:c r="AG550" s="22" t="str">
        <x:v>Evidence: 773984e3-d7b4-4c93-8165-f80af7cad7cd.png; page 1, result 3. Metadata transcribed from captured Google Scholar page; OCR-normalised, verify against publication before citation.</x:v>
      </x:c>
      <x:c r="AH550" s="20" t="str">
        <x:v>No duplicate identified under the documented matching rules.</x:v>
      </x:c>
    </x:row>
    <x:row r="551" ht="42" customHeight="1">
      <x:c r="A551" s="22" t="str">
        <x:v>GS-06-004</x:v>
      </x:c>
      <x:c r="B551" s="22" t="str">
        <x:v>Google Scholar</x:v>
      </x:c>
      <x:c r="C551" s="22" t="str">
        <x:v>GS-06</x:v>
      </x:c>
      <x:c r="D551" s="22" t="str">
        <x:v>Escaping Low-Rank Traps Interpretable Visual Concept Learning via Implicit Vector Quantization</x:v>
      </x:c>
      <x:c r="E551" s="22" t="str">
        <x:v>S Sao Yang CMe XGag J ¥en</x:v>
      </x:c>
      <x:c r="F551" s="22" t="n">
        <x:v>2026</x:v>
      </x:c>
      <x:c r="G551" s="22" t="str">
        <x:v>Inlemationa 2026 - proceed:ngs ich cc</x:v>
      </x:c>
      <x:c r="H551" s="22" t="str">
        <x:v>Google Scholar result</x:v>
      </x:c>
      <x:c r="I551" s="22" t="str">
        <x:v>NR</x:v>
      </x:c>
      <x:c r="J551" s="22" t="str">
        <x:v>NR</x:v>
      </x:c>
      <x:c r="K551" s="22" t="str">
        <x:v>NR — URL not captured in the available source record</x:v>
      </x:c>
      <x:c r="L551" s="22" t="str">
        <x:v>Not available in the captured evidence; the screening decision used the title and available source metadata.</x:v>
      </x:c>
      <x:c r="M551" s="22" t="str">
        <x:v>Confirmed duplicate</x:v>
      </x:c>
      <x:c r="N551" s="22" t="str">
        <x:v>DG-013</x:v>
      </x:c>
      <x:c r="O551" s="22" t="str">
        <x:v>GS-01-034</x:v>
      </x:c>
      <x:c r="P551" s="22" t="str">
        <x:v>No</x:v>
      </x:c>
      <x:c r="Q551" s="22" t="str">
        <x:v>Not screened</x:v>
      </x:c>
      <x:c r="R551" s="22" t="str">
        <x:v>Removed before title/abstract screening as a confirmed duplicate.</x:v>
      </x:c>
      <x:c r="S551" s="22" t="str">
        <x:v>Not applicable — removed before screening</x:v>
      </x:c>
      <x:c r="T551" s="22" t="str">
        <x:v>Record was outside the active screening set.</x:v>
      </x:c>
      <x:c r="U551" s="22" t="str">
        <x:v>Removed before screening</x:v>
      </x:c>
      <x:c r="V551" s="22" t="str">
        <x:v>Confirmed duplicate removed during deduplication.</x:v>
      </x:c>
      <x:c r="W551" s="22" t="str">
        <x:v>No</x:v>
      </x:c>
      <x:c r="X551" s="22" t="str">
        <x:v>Not applicable</x:v>
      </x:c>
      <x:c r="Y551" s="22" t="str">
        <x:v>Not assessed</x:v>
      </x:c>
      <x:c r="Z551" s="22" t="str">
        <x:v>Not applicable — record removed before screening.</x:v>
      </x:c>
      <x:c r="AA551" s="22" t="str">
        <x:v>Not applicable</x:v>
      </x:c>
      <x:c r="AB551" s="22" t="str">
        <x:v>Record was not advanced to full-text assessment.</x:v>
      </x:c>
      <x:c r="AC551" s="22" t="str">
        <x:v>Not assessed</x:v>
      </x:c>
      <x:c r="AD551" s="22" t="str">
        <x:v>Not applicable — no full-text assessment was required.</x:v>
      </x:c>
      <x:c r="AE551" s="22" t="str">
        <x:v>Removed before screening</x:v>
      </x:c>
      <x:c r="AF551" s="22" t="str">
        <x:v>Not applicable — not included</x:v>
      </x:c>
      <x:c r="AG551" s="22" t="str">
        <x:v>Evidence: 773984e3-d7b4-4c93-8165-f80af7cad7cd.png; page 1, result 4. Metadata transcribed from captured Google Scholar page; OCR-normalised, verify against publication before citation.</x:v>
      </x:c>
      <x:c r="AH551" s="20" t="str">
        <x:v>Confirmed using normalized title across captured searches.</x:v>
      </x:c>
    </x:row>
    <x:row r="552" ht="42" customHeight="1">
      <x:c r="A552" s="22" t="str">
        <x:v>GS-06-005</x:v>
      </x:c>
      <x:c r="B552" s="22" t="str">
        <x:v>Google Scholar</x:v>
      </x:c>
      <x:c r="C552" s="22" t="str">
        <x:v>GS-06</x:v>
      </x:c>
      <x:c r="D552" s="22" t="str">
        <x:v>Concept-based lesion aware transformer for interpretable retinal disease diagnasis</x:v>
      </x:c>
      <x:c r="E552" s="22" t="str">
        <x:v>Cier ALYa HL TShen =</x:v>
      </x:c>
      <x:c r="F552" s="22" t="n">
        <x:v>2024</x:v>
      </x:c>
      <x:c r="G552" s="22" t="str">
        <x:v>EEE Transactions an 2024 - iseaxclore ieee org</x:v>
      </x:c>
      <x:c r="H552" s="22" t="str">
        <x:v>Google Scholar result</x:v>
      </x:c>
      <x:c r="I552" s="22" t="str">
        <x:v>NR</x:v>
      </x:c>
      <x:c r="J552" s="22" t="str">
        <x:v>NR</x:v>
      </x:c>
      <x:c r="K552" s="22" t="str">
        <x:v>NR — URL not captured in the available source record</x:v>
      </x:c>
      <x:c r="L552" s="22" t="str">
        <x:v>Not available in the captured evidence; the screening decision used the title and available source metadata.</x:v>
      </x:c>
      <x:c r="M552" s="22" t="str">
        <x:v>Confirmed duplicate</x:v>
      </x:c>
      <x:c r="N552" s="22" t="str">
        <x:v>DG-012</x:v>
      </x:c>
      <x:c r="O552" s="22" t="str">
        <x:v>GS-01-006</x:v>
      </x:c>
      <x:c r="P552" s="22" t="str">
        <x:v>No</x:v>
      </x:c>
      <x:c r="Q552" s="22" t="str">
        <x:v>Not screened</x:v>
      </x:c>
      <x:c r="R552" s="22" t="str">
        <x:v>Removed before title/abstract screening as a confirmed duplicate.</x:v>
      </x:c>
      <x:c r="S552" s="22" t="str">
        <x:v>Not applicable — removed before screening</x:v>
      </x:c>
      <x:c r="T552" s="22" t="str">
        <x:v>Record was outside the active screening set.</x:v>
      </x:c>
      <x:c r="U552" s="22" t="str">
        <x:v>Removed before screening</x:v>
      </x:c>
      <x:c r="V552" s="22" t="str">
        <x:v>Confirmed duplicate removed during deduplication.</x:v>
      </x:c>
      <x:c r="W552" s="22" t="str">
        <x:v>No</x:v>
      </x:c>
      <x:c r="X552" s="22" t="str">
        <x:v>Not applicable</x:v>
      </x:c>
      <x:c r="Y552" s="22" t="str">
        <x:v>Not assessed</x:v>
      </x:c>
      <x:c r="Z552" s="22" t="str">
        <x:v>Not applicable — record removed before screening.</x:v>
      </x:c>
      <x:c r="AA552" s="22" t="str">
        <x:v>Not applicable</x:v>
      </x:c>
      <x:c r="AB552" s="22" t="str">
        <x:v>Record was not advanced to full-text assessment.</x:v>
      </x:c>
      <x:c r="AC552" s="22" t="str">
        <x:v>Not assessed</x:v>
      </x:c>
      <x:c r="AD552" s="22" t="str">
        <x:v>Not applicable — no full-text assessment was required.</x:v>
      </x:c>
      <x:c r="AE552" s="22" t="str">
        <x:v>Removed before screening</x:v>
      </x:c>
      <x:c r="AF552" s="22" t="str">
        <x:v>Not applicable — not included</x:v>
      </x:c>
      <x:c r="AG552" s="22" t="str">
        <x:v>Evidence: 773984e3-d7b4-4c93-8165-f80af7cad7cd.png; page 1, result 5. Metadata transcribed from captured Google Scholar page; OCR-normalised, verify against publication before citation.</x:v>
      </x:c>
      <x:c r="AH552" s="20" t="str">
        <x:v>Confirmed using normalized title across captured searches.</x:v>
      </x:c>
    </x:row>
    <x:row r="553" ht="42" customHeight="1">
      <x:c r="A553" s="22" t="str">
        <x:v>GS-06-006</x:v>
      </x:c>
      <x:c r="B553" s="22" t="str">
        <x:v>Google Scholar</x:v>
      </x:c>
      <x:c r="C553" s="22" t="str">
        <x:v>GS-06</x:v>
      </x:c>
      <x:c r="D553" s="22" t="str">
        <x:v>Intarpretability Beyond Feature Attnbution Quantitative Testing with Cancapt Achvation Vactars {TCAY)</x:v>
      </x:c>
      <x:c r="E553" s="22" t="str">
        <x:v>BKMWJGCS JamasYexlar, “YR Say’es</x:v>
      </x:c>
      <x:c r="F553" s="22" t="n">
        <x:v>2018</x:v>
      </x:c>
      <x:c r="G553" s="22" t="str">
        <x:v>stat 2018 - academla edu</x:v>
      </x:c>
      <x:c r="H553" s="22" t="str">
        <x:v>Google Scholar result</x:v>
      </x:c>
      <x:c r="I553" s="22" t="str">
        <x:v>NR</x:v>
      </x:c>
      <x:c r="J553" s="22" t="str">
        <x:v>NR</x:v>
      </x:c>
      <x:c r="K553" s="22" t="str">
        <x:v>NR — URL not captured in the available source record</x:v>
      </x:c>
      <x:c r="L553" s="22" t="str">
        <x:v>Not available in the captured evidence; the screening decision used the title and available source metadata.</x:v>
      </x:c>
      <x:c r="M553" s="22" t="str">
        <x:v>Confirmed duplicate</x:v>
      </x:c>
      <x:c r="N553" s="22" t="str">
        <x:v>DG-114</x:v>
      </x:c>
      <x:c r="O553" s="22" t="str">
        <x:v>GS-06-002</x:v>
      </x:c>
      <x:c r="P553" s="22" t="str">
        <x:v>No</x:v>
      </x:c>
      <x:c r="Q553" s="22" t="str">
        <x:v>Not screened</x:v>
      </x:c>
      <x:c r="R553" s="22" t="str">
        <x:v>Removed before title/abstract screening as a confirmed duplicate.</x:v>
      </x:c>
      <x:c r="S553" s="22" t="str">
        <x:v>Not applicable — removed before screening</x:v>
      </x:c>
      <x:c r="T553" s="22" t="str">
        <x:v>Record was outside the active screening set.</x:v>
      </x:c>
      <x:c r="U553" s="22" t="str">
        <x:v>Removed before screening</x:v>
      </x:c>
      <x:c r="V553" s="22" t="str">
        <x:v>Confirmed duplicate removed during deduplication.</x:v>
      </x:c>
      <x:c r="W553" s="22" t="str">
        <x:v>No</x:v>
      </x:c>
      <x:c r="X553" s="22" t="str">
        <x:v>Not applicable</x:v>
      </x:c>
      <x:c r="Y553" s="22" t="str">
        <x:v>Not assessed</x:v>
      </x:c>
      <x:c r="Z553" s="22" t="str">
        <x:v>Not applicable — record removed before screening.</x:v>
      </x:c>
      <x:c r="AA553" s="22" t="str">
        <x:v>Not applicable</x:v>
      </x:c>
      <x:c r="AB553" s="22" t="str">
        <x:v>Record was not advanced to full-text assessment.</x:v>
      </x:c>
      <x:c r="AC553" s="22" t="str">
        <x:v>Not assessed</x:v>
      </x:c>
      <x:c r="AD553" s="22" t="str">
        <x:v>Not applicable — no full-text assessment was required.</x:v>
      </x:c>
      <x:c r="AE553" s="22" t="str">
        <x:v>Removed before screening</x:v>
      </x:c>
      <x:c r="AF553" s="22" t="str">
        <x:v>Not applicable — not included</x:v>
      </x:c>
      <x:c r="AG553" s="22" t="str">
        <x:v>Evidence: 773984e3-d7b4-4c93-8165-f80af7cad7cd.png; page 1, result 6. Metadata transcribed from captured Google Scholar page; OCR-normalised, verify against publication before citation.</x:v>
      </x:c>
      <x:c r="AH553" s="20" t="str">
        <x:v>No duplicate identified under the documented matching rules.</x:v>
      </x:c>
    </x:row>
    <x:row r="554" ht="42" customHeight="1">
      <x:c r="A554" s="22" t="str">
        <x:v>GS-06-007</x:v>
      </x:c>
      <x:c r="B554" s="22" t="str">
        <x:v>Google Scholar</x:v>
      </x:c>
      <x:c r="C554" s="22" t="str">
        <x:v>GS-06</x:v>
      </x:c>
      <x:c r="D554" s="22" t="str">
        <x:v>(KTML] Interpretabilily Beyond Feature Attribution Quantitative Tasting with Concept Activation Vectors (I CAV)</x:v>
      </x:c>
      <x:c r="E554" s="22" t="str">
        <x:v>E ¥iégag</x:v>
      </x:c>
      <x:c r="F554" s="22" t="str">
        <x:v>NR</x:v>
      </x:c>
      <x:c r="G554" s="22" t="str">
        <x:v>arXiv iCornal Urivesity) 2918 - academia edu</x:v>
      </x:c>
      <x:c r="H554" s="22" t="str">
        <x:v>Google Scholar result</x:v>
      </x:c>
      <x:c r="I554" s="22" t="str">
        <x:v>NR</x:v>
      </x:c>
      <x:c r="J554" s="22" t="str">
        <x:v>NR</x:v>
      </x:c>
      <x:c r="K554" s="22" t="str">
        <x:v>NR — URL not captured in the available source record</x:v>
      </x:c>
      <x:c r="L554" s="22" t="str">
        <x:v>Not available in the captured evidence; the screening decision used the title and available source metadata.</x:v>
      </x:c>
      <x:c r="M554" s="22" t="str">
        <x:v>Confirmed duplicate</x:v>
      </x:c>
      <x:c r="N554" s="22" t="str">
        <x:v>DG-114</x:v>
      </x:c>
      <x:c r="O554" s="22" t="str">
        <x:v>GS-06-002</x:v>
      </x:c>
      <x:c r="P554" s="22" t="str">
        <x:v>No</x:v>
      </x:c>
      <x:c r="Q554" s="22" t="str">
        <x:v>Not screened</x:v>
      </x:c>
      <x:c r="R554" s="22" t="str">
        <x:v>Removed before title/abstract screening as a confirmed duplicate.</x:v>
      </x:c>
      <x:c r="S554" s="22" t="str">
        <x:v>Not applicable — removed before screening</x:v>
      </x:c>
      <x:c r="T554" s="22" t="str">
        <x:v>Record was outside the active screening set.</x:v>
      </x:c>
      <x:c r="U554" s="22" t="str">
        <x:v>Removed before screening</x:v>
      </x:c>
      <x:c r="V554" s="22" t="str">
        <x:v>Confirmed duplicate removed during deduplication.</x:v>
      </x:c>
      <x:c r="W554" s="22" t="str">
        <x:v>No</x:v>
      </x:c>
      <x:c r="X554" s="22" t="str">
        <x:v>Not applicable</x:v>
      </x:c>
      <x:c r="Y554" s="22" t="str">
        <x:v>Not assessed</x:v>
      </x:c>
      <x:c r="Z554" s="22" t="str">
        <x:v>Not applicable — record removed before screening.</x:v>
      </x:c>
      <x:c r="AA554" s="22" t="str">
        <x:v>Not applicable</x:v>
      </x:c>
      <x:c r="AB554" s="22" t="str">
        <x:v>Record was not advanced to full-text assessment.</x:v>
      </x:c>
      <x:c r="AC554" s="22" t="str">
        <x:v>Not assessed</x:v>
      </x:c>
      <x:c r="AD554" s="22" t="str">
        <x:v>Not applicable — no full-text assessment was required.</x:v>
      </x:c>
      <x:c r="AE554" s="22" t="str">
        <x:v>Removed before screening</x:v>
      </x:c>
      <x:c r="AF554" s="22" t="str">
        <x:v>Not applicable — not included</x:v>
      </x:c>
      <x:c r="AG554" s="22" t="str">
        <x:v>Evidence: 773984e3-d7b4-4c93-8165-f80af7cad7cd.png; page 1, result 7. Metadata transcribed from captured Google Scholar page; OCR-normalised, verify against publication before citation.</x:v>
      </x:c>
      <x:c r="AH554" s="20" t="str">
        <x:v>No duplicate identified under the documented matching rules.</x:v>
      </x:c>
    </x:row>
    <x:row r="555" ht="42" customHeight="1">
      <x:c r="A555" s="22" t="str">
        <x:v>GS-06-008</x:v>
      </x:c>
      <x:c r="B555" s="22" t="str">
        <x:v>Google Scholar</x:v>
      </x:c>
      <x:c r="C555" s="22" t="str">
        <x:v>GS-06</x:v>
      </x:c>
      <x:c r="D555" s="22" t="str">
        <x:v>Concept embedding analysis. A review</x:v>
      </x:c>
      <x:c r="E555" s="22" t="str">
        <x:v>G Schwalbe</x:v>
      </x:c>
      <x:c r="F555" s="22" t="n">
        <x:v>2022</x:v>
      </x:c>
      <x:c r="G555" s="22" t="str">
        <x:v>arXiv praprint arXey 2203 13909 2022 - arxiy ong</x:v>
      </x:c>
      <x:c r="H555" s="22" t="str">
        <x:v>Google Scholar result</x:v>
      </x:c>
      <x:c r="I555" s="22" t="str">
        <x:v>NR</x:v>
      </x:c>
      <x:c r="J555" s="22" t="str">
        <x:v>NR</x:v>
      </x:c>
      <x:c r="K555" s="22" t="str">
        <x:v>NR — URL not captured in the available source record</x:v>
      </x:c>
      <x:c r="L555" s="22" t="str">
        <x:v>Not available in the captured evidence; the screening decision used the title and available source metadata.</x:v>
      </x:c>
      <x:c r="M555" s="22" t="str">
        <x:v>Confirmed duplicate</x:v>
      </x:c>
      <x:c r="N555" s="22" t="str">
        <x:v>DG-016</x:v>
      </x:c>
      <x:c r="O555" s="22" t="str">
        <x:v>GS-01-057</x:v>
      </x:c>
      <x:c r="P555" s="22" t="str">
        <x:v>No</x:v>
      </x:c>
      <x:c r="Q555" s="22" t="str">
        <x:v>Not screened</x:v>
      </x:c>
      <x:c r="R555" s="22" t="str">
        <x:v>Removed before title/abstract screening as a confirmed duplicate.</x:v>
      </x:c>
      <x:c r="S555" s="22" t="str">
        <x:v>Not applicable — removed before screening</x:v>
      </x:c>
      <x:c r="T555" s="22" t="str">
        <x:v>Record was outside the active screening set.</x:v>
      </x:c>
      <x:c r="U555" s="22" t="str">
        <x:v>Removed before screening</x:v>
      </x:c>
      <x:c r="V555" s="22" t="str">
        <x:v>Confirmed duplicate removed during deduplication.</x:v>
      </x:c>
      <x:c r="W555" s="22" t="str">
        <x:v>No</x:v>
      </x:c>
      <x:c r="X555" s="22" t="str">
        <x:v>Not applicable</x:v>
      </x:c>
      <x:c r="Y555" s="22" t="str">
        <x:v>Not assessed</x:v>
      </x:c>
      <x:c r="Z555" s="22" t="str">
        <x:v>Not applicable — record removed before screening.</x:v>
      </x:c>
      <x:c r="AA555" s="22" t="str">
        <x:v>Not applicable</x:v>
      </x:c>
      <x:c r="AB555" s="22" t="str">
        <x:v>Record was not advanced to full-text assessment.</x:v>
      </x:c>
      <x:c r="AC555" s="22" t="str">
        <x:v>Not assessed</x:v>
      </x:c>
      <x:c r="AD555" s="22" t="str">
        <x:v>Not applicable — no full-text assessment was required.</x:v>
      </x:c>
      <x:c r="AE555" s="22" t="str">
        <x:v>Removed before screening</x:v>
      </x:c>
      <x:c r="AF555" s="22" t="str">
        <x:v>Not applicable — not included</x:v>
      </x:c>
      <x:c r="AG555" s="22" t="str">
        <x:v>Evidence: 773984e3-d7b4-4c93-8165-f80af7cad7cd.png; page 1, result 8. Metadata transcribed from captured Google Scholar page; OCR-normalised, verify against publication before citation.</x:v>
      </x:c>
      <x:c r="AH555" s="20" t="str">
        <x:v>Confirmed using normalized title across captured searches.</x:v>
      </x:c>
    </x:row>
    <x:row r="556" ht="42" customHeight="1">
      <x:c r="A556" s="22" t="str">
        <x:v>GS-06-009</x:v>
      </x:c>
      <x:c r="B556" s="22" t="str">
        <x:v>Google Scholar</x:v>
      </x:c>
      <x:c r="C556" s="22" t="str">
        <x:v>GS-06</x:v>
      </x:c>
      <x:c r="D556" s="22" t="str">
        <x:v>Explainable artificial intelligence in biomedical image analysis A comprehensive suey</x:v>
      </x:c>
      <x:c r="E556" s="22" t="str">
        <x:v>GH Dagnaw ¥ Zh, MH Magspod i Yang «arXiv preprint ark = =—-2025- ann org</x:v>
      </x:c>
      <x:c r="F556" s="22" t="n">
        <x:v>2025</x:v>
      </x:c>
      <x:c r="G556" s="22" t="str">
        <x:v>GH Dagnaw ¥ Zh, MH Magspod i Yang «arXiv preprint ark = =—-2025- ann org</x:v>
      </x:c>
      <x:c r="H556" s="22" t="str">
        <x:v>Google Scholar result</x:v>
      </x:c>
      <x:c r="I556" s="22" t="str">
        <x:v>NR</x:v>
      </x:c>
      <x:c r="J556" s="22" t="str">
        <x:v>NR</x:v>
      </x:c>
      <x:c r="K556" s="22" t="str">
        <x:v>NR — URL not captured in the available source record</x:v>
      </x:c>
      <x:c r="L556" s="22" t="str">
        <x:v>Not available in the captured evidence; the screening decision used the title and available source metadata.</x:v>
      </x:c>
      <x:c r="M556" s="22" t="str">
        <x:v>No duplicate</x:v>
      </x:c>
      <x:c r="N556" s="22" t="str">
        <x:v>DG-097</x:v>
      </x:c>
      <x:c r="O556" s="22" t="str">
        <x:v>Not applicable</x:v>
      </x:c>
      <x:c r="P556" s="22" t="str">
        <x:v>Yes</x:v>
      </x:c>
      <x:c r="Q556" s="22" t="str">
        <x:v>Exclude</x:v>
      </x:c>
      <x:c r="R556" s="22" t="str">
        <x:v>Survey article; not original empirical research.</x:v>
      </x:c>
      <x:c r="S556" s="22" t="str">
        <x:v>Verification documented at process level</x:v>
      </x:c>
      <x:c r="T556" s="22" t="str">
        <x:v>Two additional authors performed random spot checks; individual spot-check assignments are not recorded in this register.</x:v>
      </x:c>
      <x:c r="U556" s="22" t="str">
        <x:v>Exclude</x:v>
      </x:c>
      <x:c r="V556" s="22" t="str">
        <x:v>Primary decision by the corresponding author; two additional authors performed random spot checks as a quality-control step.</x:v>
      </x:c>
      <x:c r="W556" s="22" t="str">
        <x:v>No</x:v>
      </x:c>
      <x:c r="X556" s="22" t="str">
        <x:v>Not applicable</x:v>
      </x:c>
      <x:c r="Y556" s="22" t="str">
        <x:v>Not assessed</x:v>
      </x:c>
      <x:c r="Z556" s="22" t="str">
        <x:v>Not advanced to full-text assessment after the title/abstract decision.</x:v>
      </x:c>
      <x:c r="AA556" s="22" t="str">
        <x:v>Not applicable</x:v>
      </x:c>
      <x:c r="AB556" s="22" t="str">
        <x:v>Record was not advanced to full-text assessment.</x:v>
      </x:c>
      <x:c r="AC556" s="22" t="str">
        <x:v>Not assessed</x:v>
      </x:c>
      <x:c r="AD556" s="22" t="str">
        <x:v>Not applicable — no full-text assessment was required.</x:v>
      </x:c>
      <x:c r="AE556" s="22" t="str">
        <x:v>Not included — title/abstract exclusion</x:v>
      </x:c>
      <x:c r="AF556" s="22" t="str">
        <x:v>Not applicable — not included</x:v>
      </x:c>
      <x:c r="AG556" s="22" t="str">
        <x:v>Evidence: 773984e3-d7b4-4c93-8165-f80af7cad7cd.png; page 1, result 9. Metadata transcribed from captured Google Scholar page; OCR-normalised, verify against publication before citation.</x:v>
      </x:c>
      <x:c r="AH556" s="20" t="str">
        <x:v>No duplicate identified under the documented matching rules.</x:v>
      </x:c>
    </x:row>
    <x:row r="557" ht="42" customHeight="1">
      <x:c r="A557" s="22" t="str">
        <x:v>GS-06-010</x:v>
      </x:c>
      <x:c r="B557" s="22" t="str">
        <x:v>Google Scholar</x:v>
      </x:c>
      <x:c r="C557" s="22" t="str">
        <x:v>GS-06</x:v>
      </x:c>
      <x:c r="D557" s="22" t="str">
        <x:v>Transparency of medical artificial intelligence systems</x:v>
      </x:c>
      <x:c r="E557" s="22" t="str">
        <x:v>CKir SU Gaggil Sl Lee</x:v>
      </x:c>
      <x:c r="F557" s="22" t="str">
        <x:v>NR</x:v>
      </x:c>
      <x:c r="G557" s="22" t="str">
        <x:v>Nature vaviews bioengineering 2926 - nature com</x:v>
      </x:c>
      <x:c r="H557" s="22" t="str">
        <x:v>Google Scholar result</x:v>
      </x:c>
      <x:c r="I557" s="22" t="str">
        <x:v>NR</x:v>
      </x:c>
      <x:c r="J557" s="22" t="str">
        <x:v>NR</x:v>
      </x:c>
      <x:c r="K557" s="22" t="str">
        <x:v>NR — URL not captured in the available source record</x:v>
      </x:c>
      <x:c r="L557" s="22" t="str">
        <x:v>Not available in the captured evidence; the screening decision used the title and available source metadata.</x:v>
      </x:c>
      <x:c r="M557" s="22" t="str">
        <x:v>No duplicate</x:v>
      </x:c>
      <x:c r="N557" s="22" t="str">
        <x:v>DG-072</x:v>
      </x:c>
      <x:c r="O557" s="22" t="str">
        <x:v>Not applicable</x:v>
      </x:c>
      <x:c r="P557" s="22" t="str">
        <x:v>Yes</x:v>
      </x:c>
      <x:c r="Q557" s="22" t="str">
        <x:v>Exclude</x:v>
      </x:c>
      <x:c r="R557" s="22" t="str">
        <x:v>Broad transparency discussion without an empirical concept method.</x:v>
      </x:c>
      <x:c r="S557" s="22" t="str">
        <x:v>Verification documented at process level</x:v>
      </x:c>
      <x:c r="T557" s="22" t="str">
        <x:v>Two additional authors performed random spot checks; individual spot-check assignments are not recorded in this register.</x:v>
      </x:c>
      <x:c r="U557" s="22" t="str">
        <x:v>Exclude</x:v>
      </x:c>
      <x:c r="V557" s="22" t="str">
        <x:v>Primary decision by the corresponding author; two additional authors performed random spot checks as a quality-control step.</x:v>
      </x:c>
      <x:c r="W557" s="22" t="str">
        <x:v>No</x:v>
      </x:c>
      <x:c r="X557" s="22" t="str">
        <x:v>Not applicable</x:v>
      </x:c>
      <x:c r="Y557" s="22" t="str">
        <x:v>Not assessed</x:v>
      </x:c>
      <x:c r="Z557" s="22" t="str">
        <x:v>Not advanced to full-text assessment after the title/abstract decision.</x:v>
      </x:c>
      <x:c r="AA557" s="22" t="str">
        <x:v>Not applicable</x:v>
      </x:c>
      <x:c r="AB557" s="22" t="str">
        <x:v>Record was not advanced to full-text assessment.</x:v>
      </x:c>
      <x:c r="AC557" s="22" t="str">
        <x:v>Not assessed</x:v>
      </x:c>
      <x:c r="AD557" s="22" t="str">
        <x:v>Not applicable — no full-text assessment was required.</x:v>
      </x:c>
      <x:c r="AE557" s="22" t="str">
        <x:v>Not included — title/abstract exclusion</x:v>
      </x:c>
      <x:c r="AF557" s="22" t="str">
        <x:v>Not applicable — not included</x:v>
      </x:c>
      <x:c r="AG557" s="22" t="str">
        <x:v>Evidence: 773984e3-d7b4-4c93-8165-f80af7cad7cd.png; page 1, result 10. Metadata transcribed from captured Google Scholar page; OCR-normalised, verify against publication before citation.</x:v>
      </x:c>
      <x:c r="AH557" s="20" t="str">
        <x:v>Confirmed using normalized title across captured searches.</x:v>
      </x:c>
    </x:row>
    <x:row r="558" ht="42" customHeight="1">
      <x:c r="A558" s="22" t="str">
        <x:v>GS-06-011</x:v>
      </x:c>
      <x:c r="B558" s="22" t="str">
        <x:v>Google Scholar</x:v>
      </x:c>
      <x:c r="C558" s="22" t="str">
        <x:v>GS-06</x:v>
      </x:c>
      <x:c r="D558" s="22" t="str">
        <x:v>PSScreen V2: Partially Supervised Mlultiple Retinal Disease Screening</x:v>
      </x:c>
      <x:c r="E558" s="22" t="str">
        <x:v>B Zheng. ¥ Zheng. H Boqunovic G Luu</x:v>
      </x:c>
      <x:c r="F558" s="22" t="n">
        <x:v>2025</x:v>
      </x:c>
      <x:c r="G558" s="22" t="str">
        <x:v>arXry preprirl arXiv 2510 22589, 2025 - arxiv arg</x:v>
      </x:c>
      <x:c r="H558" s="22" t="str">
        <x:v>Google Scholar result</x:v>
      </x:c>
      <x:c r="I558" s="22" t="str">
        <x:v>NR</x:v>
      </x:c>
      <x:c r="J558" s="22" t="str">
        <x:v>NR</x:v>
      </x:c>
      <x:c r="K558" s="22" t="str">
        <x:v>NR — URL not captured in the available source record</x:v>
      </x:c>
      <x:c r="L558" s="22" t="str">
        <x:v>Not available in the captured evidence; the screening decision used the title and available source metadata.</x:v>
      </x:c>
      <x:c r="M558" s="22" t="str">
        <x:v>No duplicate</x:v>
      </x:c>
      <x:c r="N558" s="22" t="str">
        <x:v>Not applicable — no duplicate group</x:v>
      </x:c>
      <x:c r="O558" s="22" t="str">
        <x:v>Not applicable</x:v>
      </x:c>
      <x:c r="P558" s="22" t="str">
        <x:v>Yes</x:v>
      </x:c>
      <x:c r="Q558" s="22" t="str">
        <x:v>Exclude</x:v>
      </x:c>
      <x:c r="R558" s="22" t="str">
        <x:v>Retinal screening model without concept-based explanations.</x:v>
      </x:c>
      <x:c r="S558" s="22" t="str">
        <x:v>Verification documented at process level</x:v>
      </x:c>
      <x:c r="T558" s="22" t="str">
        <x:v>Two additional authors performed random spot checks; individual spot-check assignments are not recorded in this register.</x:v>
      </x:c>
      <x:c r="U558" s="22" t="str">
        <x:v>Exclude</x:v>
      </x:c>
      <x:c r="V558" s="22" t="str">
        <x:v>Primary decision by the corresponding author; two additional authors performed random spot checks as a quality-control step.</x:v>
      </x:c>
      <x:c r="W558" s="22" t="str">
        <x:v>No</x:v>
      </x:c>
      <x:c r="X558" s="22" t="str">
        <x:v>Not applicable</x:v>
      </x:c>
      <x:c r="Y558" s="22" t="str">
        <x:v>Not assessed</x:v>
      </x:c>
      <x:c r="Z558" s="22" t="str">
        <x:v>Not advanced to full-text assessment after the title/abstract decision.</x:v>
      </x:c>
      <x:c r="AA558" s="22" t="str">
        <x:v>Not applicable</x:v>
      </x:c>
      <x:c r="AB558" s="22" t="str">
        <x:v>Record was not advanced to full-text assessment.</x:v>
      </x:c>
      <x:c r="AC558" s="22" t="str">
        <x:v>Not assessed</x:v>
      </x:c>
      <x:c r="AD558" s="22" t="str">
        <x:v>Not applicable — no full-text assessment was required.</x:v>
      </x:c>
      <x:c r="AE558" s="22" t="str">
        <x:v>Not included — title/abstract exclusion</x:v>
      </x:c>
      <x:c r="AF558" s="22" t="str">
        <x:v>Not applicable — not included</x:v>
      </x:c>
      <x:c r="AG558" s="22" t="str">
        <x:v>Evidence: d8835ba8-648f-417b-aab9-7c356380aa3a.png; page 2, result 1. Metadata transcribed from captured Google Scholar page; OCR-normalised, verify against publication before citation.</x:v>
      </x:c>
      <x:c r="AH558" s="20" t="str">
        <x:v>No duplicate identified under the documented matching rules.</x:v>
      </x:c>
    </x:row>
    <x:row r="559" ht="42" customHeight="1">
      <x:c r="A559" s="22" t="str">
        <x:v>GS-06-012</x:v>
      </x:c>
      <x:c r="B559" s="22" t="str">
        <x:v>Google Scholar</x:v>
      </x:c>
      <x:c r="C559" s="22" t="str">
        <x:v>GS-06</x:v>
      </x:c>
      <x:c r="D559" s="22" t="str">
        <x:v>Explainable artifictal intelligence for medical imaging: Review and experiments with infrared breast mages</x:v>
      </x:c>
      <x:c r="E559" s="22" t="str">
        <x:v>K Qaghavar $ Balasubramanian.</x:v>
      </x:c>
      <x:c r="F559" s="22" t="n">
        <x:v>2024</x:v>
      </x:c>
      <x:c r="G559" s="22" t="str">
        <x:v>Computational . . 2024 - Wiley Online Library</x:v>
      </x:c>
      <x:c r="H559" s="22" t="str">
        <x:v>Google Scholar result</x:v>
      </x:c>
      <x:c r="I559" s="22" t="str">
        <x:v>NR</x:v>
      </x:c>
      <x:c r="J559" s="22" t="str">
        <x:v>NR</x:v>
      </x:c>
      <x:c r="K559" s="22" t="str">
        <x:v>NR — URL not captured in the available source record</x:v>
      </x:c>
      <x:c r="L559" s="22" t="str">
        <x:v>Not available in the captured evidence; the screening decision used the title and available source metadata.</x:v>
      </x:c>
      <x:c r="M559" s="22" t="str">
        <x:v>No duplicate</x:v>
      </x:c>
      <x:c r="N559" s="22" t="str">
        <x:v>Not applicable — no duplicate group</x:v>
      </x:c>
      <x:c r="O559" s="22" t="str">
        <x:v>Not applicable</x:v>
      </x:c>
      <x:c r="P559" s="22" t="str">
        <x:v>Yes</x:v>
      </x:c>
      <x:c r="Q559" s="22" t="str">
        <x:v>Exclude</x:v>
      </x:c>
      <x:c r="R559" s="22" t="str">
        <x:v>Review and breast-imaging experiments without concept-oriented XAI.</x:v>
      </x:c>
      <x:c r="S559" s="22" t="str">
        <x:v>Verification documented at process level</x:v>
      </x:c>
      <x:c r="T559" s="22" t="str">
        <x:v>Two additional authors performed random spot checks; individual spot-check assignments are not recorded in this register.</x:v>
      </x:c>
      <x:c r="U559" s="22" t="str">
        <x:v>Exclude</x:v>
      </x:c>
      <x:c r="V559" s="22" t="str">
        <x:v>Primary decision by the corresponding author; two additional authors performed random spot checks as a quality-control step.</x:v>
      </x:c>
      <x:c r="W559" s="22" t="str">
        <x:v>No</x:v>
      </x:c>
      <x:c r="X559" s="22" t="str">
        <x:v>Not applicable</x:v>
      </x:c>
      <x:c r="Y559" s="22" t="str">
        <x:v>Not assessed</x:v>
      </x:c>
      <x:c r="Z559" s="22" t="str">
        <x:v>Not advanced to full-text assessment after the title/abstract decision.</x:v>
      </x:c>
      <x:c r="AA559" s="22" t="str">
        <x:v>Not applicable</x:v>
      </x:c>
      <x:c r="AB559" s="22" t="str">
        <x:v>Record was not advanced to full-text assessment.</x:v>
      </x:c>
      <x:c r="AC559" s="22" t="str">
        <x:v>Not assessed</x:v>
      </x:c>
      <x:c r="AD559" s="22" t="str">
        <x:v>Not applicable — no full-text assessment was required.</x:v>
      </x:c>
      <x:c r="AE559" s="22" t="str">
        <x:v>Not included — title/abstract exclusion</x:v>
      </x:c>
      <x:c r="AF559" s="22" t="str">
        <x:v>Not applicable — not included</x:v>
      </x:c>
      <x:c r="AG559" s="22" t="str">
        <x:v>Evidence: d8835ba8-648f-417b-aab9-7c356380aa3a.png; page 2, result 2. Metadata transcribed from captured Google Scholar page; OCR-normalised, verify against publication before citation.</x:v>
      </x:c>
      <x:c r="AH559" s="20" t="str">
        <x:v>No duplicate identified under the documented matching rules.</x:v>
      </x:c>
    </x:row>
    <x:row r="560" ht="42" customHeight="1">
      <x:c r="A560" s="22" t="str">
        <x:v>GS-06-013</x:v>
      </x:c>
      <x:c r="B560" s="22" t="str">
        <x:v>Google Scholar</x:v>
      </x:c>
      <x:c r="C560" s="22" t="str">
        <x:v>GS-06</x:v>
      </x:c>
      <x:c r="D560" s="22" t="str">
        <x:v>Application of machine learning in intelligent medical image diagnosis and construction of intelligent service process</x:v>
      </x:c>
      <x:c r="E560" s="22" t="str">
        <x:v>2Gao LLos MWang Z Sun. X Chan</x:v>
      </x:c>
      <x:c r="F560" s="22" t="str">
        <x:v>NR</x:v>
      </x:c>
      <x:c r="G560" s="22" t="str">
        <x:v>Compctaliona 2222 - Véilay Onlive _ibrary</x:v>
      </x:c>
      <x:c r="H560" s="22" t="str">
        <x:v>Google Scholar result</x:v>
      </x:c>
      <x:c r="I560" s="22" t="str">
        <x:v>NR</x:v>
      </x:c>
      <x:c r="J560" s="22" t="str">
        <x:v>NR</x:v>
      </x:c>
      <x:c r="K560" s="22" t="str">
        <x:v>NR — URL not captured in the available source record</x:v>
      </x:c>
      <x:c r="L560" s="22" t="str">
        <x:v>Not available in the captured evidence; the screening decision used the title and available source metadata.</x:v>
      </x:c>
      <x:c r="M560" s="22" t="str">
        <x:v>No duplicate</x:v>
      </x:c>
      <x:c r="N560" s="22" t="str">
        <x:v>Not applicable — no duplicate group</x:v>
      </x:c>
      <x:c r="O560" s="22" t="str">
        <x:v>Not applicable</x:v>
      </x:c>
      <x:c r="P560" s="22" t="str">
        <x:v>Yes</x:v>
      </x:c>
      <x:c r="Q560" s="22" t="str">
        <x:v>Exclude</x:v>
      </x:c>
      <x:c r="R560" s="22" t="str">
        <x:v>Medical diagnosis/service-process study without concept explanation.</x:v>
      </x:c>
      <x:c r="S560" s="22" t="str">
        <x:v>Verification documented at process level</x:v>
      </x:c>
      <x:c r="T560" s="22" t="str">
        <x:v>Two additional authors performed random spot checks; individual spot-check assignments are not recorded in this register.</x:v>
      </x:c>
      <x:c r="U560" s="22" t="str">
        <x:v>Exclude</x:v>
      </x:c>
      <x:c r="V560" s="22" t="str">
        <x:v>Primary decision by the corresponding author; two additional authors performed random spot checks as a quality-control step.</x:v>
      </x:c>
      <x:c r="W560" s="22" t="str">
        <x:v>No</x:v>
      </x:c>
      <x:c r="X560" s="22" t="str">
        <x:v>Not applicable</x:v>
      </x:c>
      <x:c r="Y560" s="22" t="str">
        <x:v>Not assessed</x:v>
      </x:c>
      <x:c r="Z560" s="22" t="str">
        <x:v>Not advanced to full-text assessment after the title/abstract decision.</x:v>
      </x:c>
      <x:c r="AA560" s="22" t="str">
        <x:v>Not applicable</x:v>
      </x:c>
      <x:c r="AB560" s="22" t="str">
        <x:v>Record was not advanced to full-text assessment.</x:v>
      </x:c>
      <x:c r="AC560" s="22" t="str">
        <x:v>Not assessed</x:v>
      </x:c>
      <x:c r="AD560" s="22" t="str">
        <x:v>Not applicable — no full-text assessment was required.</x:v>
      </x:c>
      <x:c r="AE560" s="22" t="str">
        <x:v>Not included — title/abstract exclusion</x:v>
      </x:c>
      <x:c r="AF560" s="22" t="str">
        <x:v>Not applicable — not included</x:v>
      </x:c>
      <x:c r="AG560" s="22" t="str">
        <x:v>Evidence: d8835ba8-648f-417b-aab9-7c356380aa3a.png; page 2, result 3. Metadata transcribed from captured Google Scholar page; OCR-normalised, verify against publication before citation.</x:v>
      </x:c>
      <x:c r="AH560" s="20" t="str">
        <x:v>No duplicate identified under the documented matching rules.</x:v>
      </x:c>
    </x:row>
    <x:row r="561" ht="42" customHeight="1">
      <x:c r="A561" s="22" t="str">
        <x:v>GS-06-014</x:v>
      </x:c>
      <x:c r="B561" s="22" t="str">
        <x:v>Google Scholar</x:v>
      </x:c>
      <x:c r="C561" s="22" t="str">
        <x:v>GS-06</x:v>
      </x:c>
      <x:c r="D561" s="22" t="str">
        <x:v>Developing explainable machine learning model using augmented concept activation vector</x:v>
      </x:c>
      <x:c r="E561" s="22" t="str">
        <x:v>R Hassanpcur K Ozlaprak MN Netlen, TBusker =</x:v>
      </x:c>
      <x:c r="F561" s="22" t="n">
        <x:v>2024</x:v>
      </x:c>
      <x:c r="G561" s="22" t="str">
        <x:v>arXiv pregrinl a:Xiv . 2024. arxiv org</x:v>
      </x:c>
      <x:c r="H561" s="22" t="str">
        <x:v>Google Scholar result</x:v>
      </x:c>
      <x:c r="I561" s="22" t="str">
        <x:v>10.7494/csci.2025.26.3.6563</x:v>
      </x:c>
      <x:c r="J561" s="22" t="str">
        <x:v>2412.19208</x:v>
      </x:c>
      <x:c r="K561" s="22" t="str">
        <x:v>https://arxiv.org/pdf/2412.19208</x:v>
      </x:c>
      <x:c r="L561" s="22" t="str">
        <x:v>Machine learning models use high-dimensional feature spaces to map their inputs to the corresponding class labels. However, these features often do not have a one-to-one correspondence with physical concepts understandable by humans, which hinders the ability to provide a meaningful explanation for the decisions made by these models. We propose a method for measuring the correlation between high-level concepts and the decisions made by a machine learning model. Our method can isolate the impact of a given high-level concept and accurately measure it quantitatively. Additionally, this study aims to determine the prevalence of frequent patterns in machine learning models, which often occur in imbalanced datasets. We have successfully applied the proposed method to fundus images and managed to quantitatively measure the impact of radiomic patterns on the model’s decisions.</x:v>
      </x:c>
      <x:c r="M561" s="22" t="str">
        <x:v>No duplicate</x:v>
      </x:c>
      <x:c r="N561" s="22" t="str">
        <x:v>Not applicable — no duplicate group</x:v>
      </x:c>
      <x:c r="O561" s="22" t="str">
        <x:v>Not applicable</x:v>
      </x:c>
      <x:c r="P561" s="22" t="str">
        <x:v>Yes</x:v>
      </x:c>
      <x:c r="Q561" s="22" t="str">
        <x:v>Include</x:v>
      </x:c>
      <x:c r="R561" s="22" t="str">
        <x:v>Original augmented concept activation vector method evaluated on fundus images and radiomic concepts.</x:v>
      </x:c>
      <x:c r="S561" s="22" t="str">
        <x:v>Verification documented at process level</x:v>
      </x:c>
      <x:c r="T561" s="22" t="str">
        <x:v>Two additional authors performed random spot checks; individual spot-check assignments are not recorded in this register.</x:v>
      </x:c>
      <x:c r="U561" s="22" t="str">
        <x:v>Include</x:v>
      </x:c>
      <x:c r="V561" s="22" t="str">
        <x:v>Primary decision by the corresponding author; two additional authors performed random spot checks as a quality-control step.</x:v>
      </x:c>
      <x:c r="W561" s="22" t="str">
        <x:v>Yes</x:v>
      </x:c>
      <x:c r="X561" s="22" t="str">
        <x:v>Yes</x:v>
      </x:c>
      <x:c r="Y561" s="22" t="str">
        <x:v>Include</x:v>
      </x:c>
      <x:c r="Z561" s="22" t="str">
        <x:v>The corresponding author assessed the complete report and judged it eligible for inclusion in the review.</x:v>
      </x:c>
      <x:c r="AA561" s="22" t="str">
        <x:v>Verification documented at process level</x:v>
      </x:c>
      <x:c r="AB561" s="22" t="str">
        <x:v>Two additional authors performed random spot checks; individual spot-check assignments are not recorded in this register.</x:v>
      </x:c>
      <x:c r="AC561" s="22" t="str">
        <x:v>Include</x:v>
      </x:c>
      <x:c r="AD561" s="22" t="str">
        <x:v>Primary decision by the corresponding author; two additional authors performed random spot checks as a quality-control step.</x:v>
      </x:c>
      <x:c r="AE561" s="22" t="str">
        <x:v>Include</x:v>
      </x:c>
      <x:c r="AF561" s="22" t="str">
        <x:v>Contextual medical concept-XAI evidence</x:v>
      </x:c>
      <x:c r="AG561" s="22" t="str">
        <x:v>Evidence: d8835ba8-648f-417b-aab9-7c356380aa3a.png; page 2, result 4. Metadata transcribed from captured Google Scholar page; OCR-normalised, verify against publication before citation.</x:v>
      </x:c>
      <x:c r="AH561" s="20" t="str">
        <x:v>No duplicate identified under the documented matching rules.</x:v>
      </x:c>
    </x:row>
    <x:row r="562" ht="42" customHeight="1">
      <x:c r="A562" s="22" t="str">
        <x:v>GS-06-015</x:v>
      </x:c>
      <x:c r="B562" s="22" t="str">
        <x:v>Google Scholar</x:v>
      </x:c>
      <x:c r="C562" s="22" t="str">
        <x:v>GS-06</x:v>
      </x:c>
      <x:c r="D562" s="22" t="str">
        <x:v>ExAID A multimodal explanation framework for computer-aided diagnosis of skin lesions</x:v>
      </x:c>
      <x:c r="E562" s="22" t="str">
        <x:v>Aluceri WIN Bapyva SABraun MI Malik -Compuler Mathads and | 2022. Elsev-er</x:v>
      </x:c>
      <x:c r="F562" s="22" t="n">
        <x:v>2022</x:v>
      </x:c>
      <x:c r="G562" s="22" t="str">
        <x:v>Aluceri WIN Bapyva SABraun MI Malik -Compuler Mathads and | 2022. Elsev-er</x:v>
      </x:c>
      <x:c r="H562" s="22" t="str">
        <x:v>Google Scholar result</x:v>
      </x:c>
      <x:c r="I562" s="22" t="str">
        <x:v>10.1016/j.cmpb.2022.106620</x:v>
      </x:c>
      <x:c r="J562" s="22" t="str">
        <x:v>2201.01249</x:v>
      </x:c>
      <x:c r="K562" s="22" t="str">
        <x:v>https://arxiv.org/pdf/2201.01249</x:v>
      </x:c>
      <x:c r="L562" s="22" t="str">
        <x:v>One principal impediment in the successful deployment of AI-based Computer-Aided Diagnosis (CAD) systems in clinical workflows is their lack of transparent decision making. Although commonly used eXplainable AI methods provide some insight into opaque algorithms, such explanations are usually convoluted and not readily comprehensible except by highly trained experts. The explanation of decisions regarding the malignancy of skin lesions from dermoscopic images demands particular clarity, as the underlying medical problem definition is itself ambiguous. This work presents ExAID (Explainable AI for Dermatology), a novel framework for biomedical image analysis, providing multi-modal concept-based explanations consisting of easy-to-understand textual explanations supplemented by visual maps justifying the predictions. ExAID relies on Concept Activation Vectors to map human concepts to those learnt by arbitrary Deep Learning models in latent space, and Concept Localization Maps to highlight concepts in the input space. This identification of relevant concepts is then used to construct fine-grained textual explanations supplemented by concept-wise location information to provide comprehensive and coherent multi-modal explanations. All information is comprehensively presented in a diagnostic interface for use in clinical routines. An educational mode provides dataset-level explanation statistics and tools for data and model exploration to aid medical research and education. Through rigorous quantitative and qualitative evaluation of ExAID, we show the utility of multi-modal explanations for CAD-assisted scenarios even in case of wrong predictions. We believe that ExAID will provide dermatologists an effective screening tool that they both understand and trust. Moreover, it will be the basis for similar applications in other biomedical imaging fields.</x:v>
      </x:c>
      <x:c r="M562" s="22" t="str">
        <x:v>No duplicate</x:v>
      </x:c>
      <x:c r="N562" s="22" t="str">
        <x:v>DG-073</x:v>
      </x:c>
      <x:c r="O562" s="22" t="str">
        <x:v>Not applicable</x:v>
      </x:c>
      <x:c r="P562" s="22" t="str">
        <x:v>Yes</x:v>
      </x:c>
      <x:c r="Q562" s="22" t="str">
        <x:v>Include</x:v>
      </x:c>
      <x:c r="R562" s="22" t="str">
        <x:v>Original CAV-based multimodal explanations for skin-lesion images; relevant contextual evidence.</x:v>
      </x:c>
      <x:c r="S562" s="22" t="str">
        <x:v>Verification documented at process level</x:v>
      </x:c>
      <x:c r="T562" s="22" t="str">
        <x:v>Two additional authors performed random spot checks; individual spot-check assignments are not recorded in this register.</x:v>
      </x:c>
      <x:c r="U562" s="22" t="str">
        <x:v>Include</x:v>
      </x:c>
      <x:c r="V562" s="22" t="str">
        <x:v>Primary decision by the corresponding author; two additional authors performed random spot checks as a quality-control step.</x:v>
      </x:c>
      <x:c r="W562" s="22" t="str">
        <x:v>Yes</x:v>
      </x:c>
      <x:c r="X562" s="22" t="str">
        <x:v>Yes</x:v>
      </x:c>
      <x:c r="Y562" s="22" t="str">
        <x:v>Include</x:v>
      </x:c>
      <x:c r="Z562" s="22" t="str">
        <x:v>The corresponding author assessed the complete report and judged it eligible for inclusion in the review.</x:v>
      </x:c>
      <x:c r="AA562" s="22" t="str">
        <x:v>Verification documented at process level</x:v>
      </x:c>
      <x:c r="AB562" s="22" t="str">
        <x:v>Two additional authors performed random spot checks; individual spot-check assignments are not recorded in this register.</x:v>
      </x:c>
      <x:c r="AC562" s="22" t="str">
        <x:v>Include</x:v>
      </x:c>
      <x:c r="AD562" s="22" t="str">
        <x:v>Primary decision by the corresponding author; two additional authors performed random spot checks as a quality-control step.</x:v>
      </x:c>
      <x:c r="AE562" s="22" t="str">
        <x:v>Include</x:v>
      </x:c>
      <x:c r="AF562" s="22" t="str">
        <x:v>Contextual medical concept-XAI evidence</x:v>
      </x:c>
      <x:c r="AG562" s="22" t="str">
        <x:v>Evidence: d8835ba8-648f-417b-aab9-7c356380aa3a.png; page 2, result 5. Metadata transcribed from captured Google Scholar page; OCR-normalised, verify against publication before citation.</x:v>
      </x:c>
      <x:c r="AH562" s="20" t="str">
        <x:v>Confirmed using normalized title across captured searches.</x:v>
      </x:c>
    </x:row>
    <x:row r="563" ht="42" customHeight="1">
      <x:c r="A563" s="22" t="str">
        <x:v>GS-06-016</x:v>
      </x:c>
      <x:c r="B563" s="22" t="str">
        <x:v>Google Scholar</x:v>
      </x:c>
      <x:c r="C563" s="22" t="str">
        <x:v>GS-06</x:v>
      </x:c>
      <x:c r="D563" s="22" t="str">
        <x:v>Fairness in deep learning A computational perspective</x:v>
      </x:c>
      <x:c r="E563" s="22" t="str">
        <x:v>My, F Yarg. 5 Zou X Hu</x:v>
      </x:c>
      <x:c r="F563" s="22" t="str">
        <x:v>NR</x:v>
      </x:c>
      <x:c r="G563" s="22" t="str">
        <x:v>IEEE inteliigen: Systems 2720 - igesxplere iee2 org</x:v>
      </x:c>
      <x:c r="H563" s="22" t="str">
        <x:v>Google Scholar result</x:v>
      </x:c>
      <x:c r="I563" s="22" t="str">
        <x:v>NR</x:v>
      </x:c>
      <x:c r="J563" s="22" t="str">
        <x:v>NR</x:v>
      </x:c>
      <x:c r="K563" s="22" t="str">
        <x:v>NR — URL not captured in the available source record</x:v>
      </x:c>
      <x:c r="L563" s="22" t="str">
        <x:v>Not available in the captured evidence; the screening decision used the title and available source metadata.</x:v>
      </x:c>
      <x:c r="M563" s="22" t="str">
        <x:v>No duplicate</x:v>
      </x:c>
      <x:c r="N563" s="22" t="str">
        <x:v>Not applicable — no duplicate group</x:v>
      </x:c>
      <x:c r="O563" s="22" t="str">
        <x:v>Not applicable</x:v>
      </x:c>
      <x:c r="P563" s="22" t="str">
        <x:v>Yes</x:v>
      </x:c>
      <x:c r="Q563" s="22" t="str">
        <x:v>Exclude</x:v>
      </x:c>
      <x:c r="R563" s="22" t="str">
        <x:v>General computational fairness; wrong focus and no relevant imaging method.</x:v>
      </x:c>
      <x:c r="S563" s="22" t="str">
        <x:v>Verification documented at process level</x:v>
      </x:c>
      <x:c r="T563" s="22" t="str">
        <x:v>Two additional authors performed random spot checks; individual spot-check assignments are not recorded in this register.</x:v>
      </x:c>
      <x:c r="U563" s="22" t="str">
        <x:v>Exclude</x:v>
      </x:c>
      <x:c r="V563" s="22" t="str">
        <x:v>Primary decision by the corresponding author; two additional authors performed random spot checks as a quality-control step.</x:v>
      </x:c>
      <x:c r="W563" s="22" t="str">
        <x:v>No</x:v>
      </x:c>
      <x:c r="X563" s="22" t="str">
        <x:v>Not applicable</x:v>
      </x:c>
      <x:c r="Y563" s="22" t="str">
        <x:v>Not assessed</x:v>
      </x:c>
      <x:c r="Z563" s="22" t="str">
        <x:v>Not advanced to full-text assessment after the title/abstract decision.</x:v>
      </x:c>
      <x:c r="AA563" s="22" t="str">
        <x:v>Not applicable</x:v>
      </x:c>
      <x:c r="AB563" s="22" t="str">
        <x:v>Record was not advanced to full-text assessment.</x:v>
      </x:c>
      <x:c r="AC563" s="22" t="str">
        <x:v>Not assessed</x:v>
      </x:c>
      <x:c r="AD563" s="22" t="str">
        <x:v>Not applicable — no full-text assessment was required.</x:v>
      </x:c>
      <x:c r="AE563" s="22" t="str">
        <x:v>Not included — title/abstract exclusion</x:v>
      </x:c>
      <x:c r="AF563" s="22" t="str">
        <x:v>Not applicable — not included</x:v>
      </x:c>
      <x:c r="AG563" s="22" t="str">
        <x:v>Evidence: d8835ba8-648f-417b-aab9-7c356380aa3a.png; page 2, result 6. Metadata transcribed from captured Google Scholar page; OCR-normalised, verify against publication before citation.</x:v>
      </x:c>
      <x:c r="AH563" s="20" t="str">
        <x:v>No duplicate identified under the documented matching rules.</x:v>
      </x:c>
    </x:row>
    <x:row r="564" ht="42" customHeight="1">
      <x:c r="A564" s="22" t="str">
        <x:v>GS-06-017</x:v>
      </x:c>
      <x:c r="B564" s="22" t="str">
        <x:v>Google Scholar</x:v>
      </x:c>
      <x:c r="C564" s="22" t="str">
        <x:v>GS-06</x:v>
      </x:c>
      <x:c r="D564" s="22" t="str">
        <x:v>Robust and Interpretable Chest X-ray Classification via Diffusion Purificatian and Concept-Based Adversanai Detection</x:v>
      </x:c>
      <x:c r="E564" s="22" t="str">
        <x:v>AK Alj</x:v>
      </x:c>
      <x:c r="F564" s="22" t="n">
        <x:v>2025</x:v>
      </x:c>
      <x:c r="G564" s="22" t="str">
        <x:v>Journal oi Basrah Researches (Sciences) 2025 - jou jobrs edu iq</x:v>
      </x:c>
      <x:c r="H564" s="22" t="str">
        <x:v>Google Scholar result</x:v>
      </x:c>
      <x:c r="I564" s="22" t="str">
        <x:v>10.56714/bjrs.51.2.19</x:v>
      </x:c>
      <x:c r="J564" s="22" t="str">
        <x:v>NR</x:v>
      </x:c>
      <x:c r="K564" s="22" t="str">
        <x:v>https://jou.jobrs.edu.iq/index.php/home/article/view/375/147</x:v>
      </x:c>
      <x:c r="L564" s="22" t="str">
        <x:v>Adversarial attack is an approach that primarily compromise the integrity of deep learning system in medical imaging by adding subtle changes to the model inputs that humans don't notice, it leads the model to make an incorrect decision, so the attacker can corrupt both the input data and the prediction system. In this paper A hybrid detection method based on diffusion purification, deep feature extraction, and ensemble learning has been proposed to address this issue using chest x-ray images.Two phases make it up. First, cleansing the adversarial samples. This is accomplished by a diffusion model. The samples are regenerated to remove the small perturbations fully. In the second phase, the images are categorized into two groups. Clean and purified images are collected in a safe category, while harmful images are unsafe category. In the second stage, we utilize a pre-trained ResNet18 feature extractor to retrieve salient from chest X-rays. Furthermore, a Random Forest model classifies the features obtained from the ResNet18 model into harmful and non-harmful image. The experimental results show that the proposed framework can detect more than 99% of adversarial samples. The satisfactory detection rate of the proposed purification and ensemble-based feature detection for making AI-assisted disease detection more reliable and safer</x:v>
      </x:c>
      <x:c r="M564" s="22" t="str">
        <x:v>No duplicate</x:v>
      </x:c>
      <x:c r="N564" s="22" t="str">
        <x:v>Not applicable — no duplicate group</x:v>
      </x:c>
      <x:c r="O564" s="22" t="str">
        <x:v>Not applicable</x:v>
      </x:c>
      <x:c r="P564" s="22" t="str">
        <x:v>Yes</x:v>
      </x:c>
      <x:c r="Q564" s="22" t="str">
        <x:v>Include</x:v>
      </x:c>
      <x:c r="R564" s="22" t="str">
        <x:v>Contextual medical-imaging study applying TCAV and concept-based interpretability to chest X-rays.</x:v>
      </x:c>
      <x:c r="S564" s="22" t="str">
        <x:v>Verification documented at process level</x:v>
      </x:c>
      <x:c r="T564" s="22" t="str">
        <x:v>Two additional authors performed random spot checks; individual spot-check assignments are not recorded in this register.</x:v>
      </x:c>
      <x:c r="U564" s="22" t="str">
        <x:v>Include</x:v>
      </x:c>
      <x:c r="V564" s="22" t="str">
        <x:v>Primary decision by the corresponding author; two additional authors performed random spot checks as a quality-control step.</x:v>
      </x:c>
      <x:c r="W564" s="22" t="str">
        <x:v>Yes</x:v>
      </x:c>
      <x:c r="X564" s="22" t="str">
        <x:v>Yes</x:v>
      </x:c>
      <x:c r="Y564" s="22" t="str">
        <x:v>Include</x:v>
      </x:c>
      <x:c r="Z564" s="22" t="str">
        <x:v>The corresponding author assessed the complete report and judged it eligible for inclusion in the review.</x:v>
      </x:c>
      <x:c r="AA564" s="22" t="str">
        <x:v>Verification documented at process level</x:v>
      </x:c>
      <x:c r="AB564" s="22" t="str">
        <x:v>Two additional authors performed random spot checks; individual spot-check assignments are not recorded in this register.</x:v>
      </x:c>
      <x:c r="AC564" s="22" t="str">
        <x:v>Include</x:v>
      </x:c>
      <x:c r="AD564" s="22" t="str">
        <x:v>Primary decision by the corresponding author; two additional authors performed random spot checks as a quality-control step.</x:v>
      </x:c>
      <x:c r="AE564" s="22" t="str">
        <x:v>Include</x:v>
      </x:c>
      <x:c r="AF564" s="22" t="str">
        <x:v>Contextual medical concept-XAI evidence</x:v>
      </x:c>
      <x:c r="AG564" s="22" t="str">
        <x:v>Evidence: d8835ba8-648f-417b-aab9-7c356380aa3a.png; page 2, result 7. Metadata transcribed from captured Google Scholar page; OCR-normalised, verify against publication before citation.</x:v>
      </x:c>
      <x:c r="AH564" s="20" t="str">
        <x:v>No duplicate identified under the documented matching rules.</x:v>
      </x:c>
    </x:row>
    <x:row r="565" ht="42" customHeight="1">
      <x:c r="A565" s="22" t="str">
        <x:v>GS-06-018</x:v>
      </x:c>
      <x:c r="B565" s="22" t="str">
        <x:v>Google Scholar</x:v>
      </x:c>
      <x:c r="C565" s="22" t="str">
        <x:v>GS-06</x:v>
      </x:c>
      <x:c r="D565" s="22" t="str">
        <x:v>Explainable Al for Deep Learning Models: Enhancing Trust and Transparency tn Intelligent Medical Applications</x:v>
      </x:c>
      <x:c r="E565" s="22" t="str">
        <x:v>JMachyr, MS Bhargavi- Arbficial Inlelligence for Medical ala Anslytes =. 2026</x:v>
      </x:c>
      <x:c r="F565" s="22" t="n">
        <x:v>2026</x:v>
      </x:c>
      <x:c r="G565" s="22" t="str">
        <x:v>Springer</x:v>
      </x:c>
      <x:c r="H565" s="22" t="str">
        <x:v>Google Scholar result</x:v>
      </x:c>
      <x:c r="I565" s="22" t="str">
        <x:v>NR</x:v>
      </x:c>
      <x:c r="J565" s="22" t="str">
        <x:v>NR</x:v>
      </x:c>
      <x:c r="K565" s="22" t="str">
        <x:v>NR — URL not captured in the available source record</x:v>
      </x:c>
      <x:c r="L565" s="22" t="str">
        <x:v>Not available in the captured evidence; the screening decision used the title and available source metadata.</x:v>
      </x:c>
      <x:c r="M565" s="22" t="str">
        <x:v>No duplicate</x:v>
      </x:c>
      <x:c r="N565" s="22" t="str">
        <x:v>Not applicable — no duplicate group</x:v>
      </x:c>
      <x:c r="O565" s="22" t="str">
        <x:v>Not applicable</x:v>
      </x:c>
      <x:c r="P565" s="22" t="str">
        <x:v>Yes</x:v>
      </x:c>
      <x:c r="Q565" s="22" t="str">
        <x:v>Exclude</x:v>
      </x:c>
      <x:c r="R565" s="22" t="str">
        <x:v>Broad review/general discussion; not original empirical research.</x:v>
      </x:c>
      <x:c r="S565" s="22" t="str">
        <x:v>Verification documented at process level</x:v>
      </x:c>
      <x:c r="T565" s="22" t="str">
        <x:v>Two additional authors performed random spot checks; individual spot-check assignments are not recorded in this register.</x:v>
      </x:c>
      <x:c r="U565" s="22" t="str">
        <x:v>Exclude</x:v>
      </x:c>
      <x:c r="V565" s="22" t="str">
        <x:v>Primary decision by the corresponding author; two additional authors performed random spot checks as a quality-control step.</x:v>
      </x:c>
      <x:c r="W565" s="22" t="str">
        <x:v>No</x:v>
      </x:c>
      <x:c r="X565" s="22" t="str">
        <x:v>Not applicable</x:v>
      </x:c>
      <x:c r="Y565" s="22" t="str">
        <x:v>Not assessed</x:v>
      </x:c>
      <x:c r="Z565" s="22" t="str">
        <x:v>Not advanced to full-text assessment after the title/abstract decision.</x:v>
      </x:c>
      <x:c r="AA565" s="22" t="str">
        <x:v>Not applicable</x:v>
      </x:c>
      <x:c r="AB565" s="22" t="str">
        <x:v>Record was not advanced to full-text assessment.</x:v>
      </x:c>
      <x:c r="AC565" s="22" t="str">
        <x:v>Not assessed</x:v>
      </x:c>
      <x:c r="AD565" s="22" t="str">
        <x:v>Not applicable — no full-text assessment was required.</x:v>
      </x:c>
      <x:c r="AE565" s="22" t="str">
        <x:v>Not included — title/abstract exclusion</x:v>
      </x:c>
      <x:c r="AF565" s="22" t="str">
        <x:v>Not applicable — not included</x:v>
      </x:c>
      <x:c r="AG565" s="22" t="str">
        <x:v>Evidence: d8835ba8-648f-417b-aab9-7c356380aa3a.png; page 2, result 8. Metadata transcribed from captured Google Scholar page; OCR-normalised, verify against publication before citation.</x:v>
      </x:c>
      <x:c r="AH565" s="20" t="str">
        <x:v>No duplicate identified under the documented matching rules.</x:v>
      </x:c>
    </x:row>
    <x:row r="566" ht="42" customHeight="1">
      <x:c r="A566" s="22" t="str">
        <x:v>GS-06-019</x:v>
      </x:c>
      <x:c r="B566" s="22" t="str">
        <x:v>Google Scholar</x:v>
      </x:c>
      <x:c r="C566" s="22" t="str">
        <x:v>GS-06</x:v>
      </x:c>
      <x:c r="D566" s="22" t="str">
        <x:v>Evaluation of strategic decision taken by autonomous agent using explainable Al</x:v>
      </x:c>
      <x:c r="E566" s="22" t="str">
        <x:v>RR Prasad ARR Aobinson. &amp; Thomas</x:v>
      </x:c>
      <x:c r="F566" s="22" t="str">
        <x:v>NR</x:v>
      </x:c>
      <x:c r="G566" s="22" t="str">
        <x:v>anSecurtyand 2921 - eeexpiore teee arg</x:v>
      </x:c>
      <x:c r="H566" s="22" t="str">
        <x:v>Google Scholar result</x:v>
      </x:c>
      <x:c r="I566" s="22" t="str">
        <x:v>NR</x:v>
      </x:c>
      <x:c r="J566" s="22" t="str">
        <x:v>NR</x:v>
      </x:c>
      <x:c r="K566" s="22" t="str">
        <x:v>NR — URL not captured in the available source record</x:v>
      </x:c>
      <x:c r="L566" s="22" t="str">
        <x:v>Not available in the captured evidence; the screening decision used the title and available source metadata.</x:v>
      </x:c>
      <x:c r="M566" s="22" t="str">
        <x:v>No duplicate</x:v>
      </x:c>
      <x:c r="N566" s="22" t="str">
        <x:v>Not applicable — no duplicate group</x:v>
      </x:c>
      <x:c r="O566" s="22" t="str">
        <x:v>Not applicable</x:v>
      </x:c>
      <x:c r="P566" s="22" t="str">
        <x:v>Yes</x:v>
      </x:c>
      <x:c r="Q566" s="22" t="str">
        <x:v>Exclude</x:v>
      </x:c>
      <x:c r="R566" s="22" t="str">
        <x:v>Wrong application domain: autonomous-agent decision evaluation.</x:v>
      </x:c>
      <x:c r="S566" s="22" t="str">
        <x:v>Verification documented at process level</x:v>
      </x:c>
      <x:c r="T566" s="22" t="str">
        <x:v>Two additional authors performed random spot checks; individual spot-check assignments are not recorded in this register.</x:v>
      </x:c>
      <x:c r="U566" s="22" t="str">
        <x:v>Exclude</x:v>
      </x:c>
      <x:c r="V566" s="22" t="str">
        <x:v>Primary decision by the corresponding author; two additional authors performed random spot checks as a quality-control step.</x:v>
      </x:c>
      <x:c r="W566" s="22" t="str">
        <x:v>No</x:v>
      </x:c>
      <x:c r="X566" s="22" t="str">
        <x:v>Not applicable</x:v>
      </x:c>
      <x:c r="Y566" s="22" t="str">
        <x:v>Not assessed</x:v>
      </x:c>
      <x:c r="Z566" s="22" t="str">
        <x:v>Not advanced to full-text assessment after the title/abstract decision.</x:v>
      </x:c>
      <x:c r="AA566" s="22" t="str">
        <x:v>Not applicable</x:v>
      </x:c>
      <x:c r="AB566" s="22" t="str">
        <x:v>Record was not advanced to full-text assessment.</x:v>
      </x:c>
      <x:c r="AC566" s="22" t="str">
        <x:v>Not assessed</x:v>
      </x:c>
      <x:c r="AD566" s="22" t="str">
        <x:v>Not applicable — no full-text assessment was required.</x:v>
      </x:c>
      <x:c r="AE566" s="22" t="str">
        <x:v>Not included — title/abstract exclusion</x:v>
      </x:c>
      <x:c r="AF566" s="22" t="str">
        <x:v>Not applicable — not included</x:v>
      </x:c>
      <x:c r="AG566" s="22" t="str">
        <x:v>Evidence: d8835ba8-648f-417b-aab9-7c356380aa3a.png; page 2, result 9. Metadata transcribed from captured Google Scholar page; OCR-normalised, verify against publication before citation.</x:v>
      </x:c>
      <x:c r="AH566" s="20" t="str">
        <x:v>No duplicate identified under the documented matching rules.</x:v>
      </x:c>
    </x:row>
    <x:row r="567" ht="42" customHeight="1">
      <x:c r="A567" s="22" t="str">
        <x:v>GS-06-020</x:v>
      </x:c>
      <x:c r="B567" s="22" t="str">
        <x:v>Google Scholar</x:v>
      </x:c>
      <x:c r="C567" s="22" t="str">
        <x:v>GS-06</x:v>
      </x:c>
      <x:c r="D567" s="22" t="str">
        <x:v>{s0oK) Daes Computer Vision Madels Understand Human Interpretable Concepts? Benchmarking with Counterfactual Images</x:v>
      </x:c>
      <x:c r="E567" s="22" t="str">
        <x:v>KT Tafti</x:v>
      </x:c>
      <x:c r="F567" s="22" t="n">
        <x:v>2025</x:v>
      </x:c>
      <x:c r="G567" s="22" t="str">
        <x:v>2025 - search proquesi com</x:v>
      </x:c>
      <x:c r="H567" s="22" t="str">
        <x:v>Google Scholar result</x:v>
      </x:c>
      <x:c r="I567" s="22" t="str">
        <x:v>NR</x:v>
      </x:c>
      <x:c r="J567" s="22" t="str">
        <x:v>NR</x:v>
      </x:c>
      <x:c r="K567" s="22" t="str">
        <x:v>NR — URL not captured in the available source record</x:v>
      </x:c>
      <x:c r="L567" s="22" t="str">
        <x:v>Not available in the captured evidence; the screening decision used the title and available source metadata.</x:v>
      </x:c>
      <x:c r="M567" s="22" t="str">
        <x:v>No duplicate</x:v>
      </x:c>
      <x:c r="N567" s="22" t="str">
        <x:v>Not applicable — no duplicate group</x:v>
      </x:c>
      <x:c r="O567" s="22" t="str">
        <x:v>Not applicable</x:v>
      </x:c>
      <x:c r="P567" s="22" t="str">
        <x:v>Yes</x:v>
      </x:c>
      <x:c r="Q567" s="22" t="str">
        <x:v>Exclude</x:v>
      </x:c>
      <x:c r="R567" s="22" t="str">
        <x:v>General computer-vision concept benchmark without medical imaging.</x:v>
      </x:c>
      <x:c r="S567" s="22" t="str">
        <x:v>Verification documented at process level</x:v>
      </x:c>
      <x:c r="T567" s="22" t="str">
        <x:v>Two additional authors performed random spot checks; individual spot-check assignments are not recorded in this register.</x:v>
      </x:c>
      <x:c r="U567" s="22" t="str">
        <x:v>Exclude</x:v>
      </x:c>
      <x:c r="V567" s="22" t="str">
        <x:v>Primary decision by the corresponding author; two additional authors performed random spot checks as a quality-control step.</x:v>
      </x:c>
      <x:c r="W567" s="22" t="str">
        <x:v>No</x:v>
      </x:c>
      <x:c r="X567" s="22" t="str">
        <x:v>Not applicable</x:v>
      </x:c>
      <x:c r="Y567" s="22" t="str">
        <x:v>Not assessed</x:v>
      </x:c>
      <x:c r="Z567" s="22" t="str">
        <x:v>Not advanced to full-text assessment after the title/abstract decision.</x:v>
      </x:c>
      <x:c r="AA567" s="22" t="str">
        <x:v>Not applicable</x:v>
      </x:c>
      <x:c r="AB567" s="22" t="str">
        <x:v>Record was not advanced to full-text assessment.</x:v>
      </x:c>
      <x:c r="AC567" s="22" t="str">
        <x:v>Not assessed</x:v>
      </x:c>
      <x:c r="AD567" s="22" t="str">
        <x:v>Not applicable — no full-text assessment was required.</x:v>
      </x:c>
      <x:c r="AE567" s="22" t="str">
        <x:v>Not included — title/abstract exclusion</x:v>
      </x:c>
      <x:c r="AF567" s="22" t="str">
        <x:v>Not applicable — not included</x:v>
      </x:c>
      <x:c r="AG567" s="22" t="str">
        <x:v>Evidence: d8835ba8-648f-417b-aab9-7c356380aa3a.png; page 2, result 10. Metadata transcribed from captured Google Scholar page; OCR-normalised, verify against publication before citation.</x:v>
      </x:c>
      <x:c r="AH567" s="20" t="str">
        <x:v>No duplicate identified under the documented matching rules.</x:v>
      </x:c>
    </x:row>
    <x:row r="568" ht="42" customHeight="1">
      <x:c r="A568" s="22" t="str">
        <x:v>GS-06-021</x:v>
      </x:c>
      <x:c r="B568" s="22" t="str">
        <x:v>Google Scholar</x:v>
      </x:c>
      <x:c r="C568" s="22" t="str">
        <x:v>GS-06</x:v>
      </x:c>
      <x:c r="D568" s="22" t="str">
        <x:v>A Unifed Non-Visual Explainable Al Framework for Neonatal Pain Assessment</x:v>
      </x:c>
      <x:c r="E568" s="22" t="str">
        <x:v>MI Hossain</x:v>
      </x:c>
      <x:c r="F568" s="22" t="n">
        <x:v>2026</x:v>
      </x:c>
      <x:c r="G568" s="22" t="str">
        <x:v>2026 - search proquest cam</x:v>
      </x:c>
      <x:c r="H568" s="22" t="str">
        <x:v>Google Scholar result</x:v>
      </x:c>
      <x:c r="I568" s="22" t="str">
        <x:v>NR</x:v>
      </x:c>
      <x:c r="J568" s="22" t="str">
        <x:v>NR</x:v>
      </x:c>
      <x:c r="K568" s="22" t="str">
        <x:v>NR — URL not captured in the available source record</x:v>
      </x:c>
      <x:c r="L568" s="22" t="str">
        <x:v>Not available in the captured evidence; the screening decision used the title and available source metadata.</x:v>
      </x:c>
      <x:c r="M568" s="22" t="str">
        <x:v>No duplicate</x:v>
      </x:c>
      <x:c r="N568" s="22" t="str">
        <x:v>DG-074</x:v>
      </x:c>
      <x:c r="O568" s="22" t="str">
        <x:v>Not applicable</x:v>
      </x:c>
      <x:c r="P568" s="22" t="str">
        <x:v>Yes</x:v>
      </x:c>
      <x:c r="Q568" s="22" t="str">
        <x:v>Exclude</x:v>
      </x:c>
      <x:c r="R568" s="22" t="str">
        <x:v>Non-visual neonatal pain application.</x:v>
      </x:c>
      <x:c r="S568" s="22" t="str">
        <x:v>Verification documented at process level</x:v>
      </x:c>
      <x:c r="T568" s="22" t="str">
        <x:v>Two additional authors performed random spot checks; individual spot-check assignments are not recorded in this register.</x:v>
      </x:c>
      <x:c r="U568" s="22" t="str">
        <x:v>Exclude</x:v>
      </x:c>
      <x:c r="V568" s="22" t="str">
        <x:v>Primary decision by the corresponding author; two additional authors performed random spot checks as a quality-control step.</x:v>
      </x:c>
      <x:c r="W568" s="22" t="str">
        <x:v>No</x:v>
      </x:c>
      <x:c r="X568" s="22" t="str">
        <x:v>Not applicable</x:v>
      </x:c>
      <x:c r="Y568" s="22" t="str">
        <x:v>Not assessed</x:v>
      </x:c>
      <x:c r="Z568" s="22" t="str">
        <x:v>Not advanced to full-text assessment after the title/abstract decision.</x:v>
      </x:c>
      <x:c r="AA568" s="22" t="str">
        <x:v>Not applicable</x:v>
      </x:c>
      <x:c r="AB568" s="22" t="str">
        <x:v>Record was not advanced to full-text assessment.</x:v>
      </x:c>
      <x:c r="AC568" s="22" t="str">
        <x:v>Not assessed</x:v>
      </x:c>
      <x:c r="AD568" s="22" t="str">
        <x:v>Not applicable — no full-text assessment was required.</x:v>
      </x:c>
      <x:c r="AE568" s="22" t="str">
        <x:v>Not included — title/abstract exclusion</x:v>
      </x:c>
      <x:c r="AF568" s="22" t="str">
        <x:v>Not applicable — not included</x:v>
      </x:c>
      <x:c r="AG568" s="22" t="str">
        <x:v>Evidence: 0fe37538-b17e-4e0b-a405-b85c2bbbf9ee.png; page 3, result 1. Metadata transcribed from captured Google Scholar page; OCR-normalised, verify against publication before citation.</x:v>
      </x:c>
      <x:c r="AH568" s="20" t="str">
        <x:v>Confirmed using normalized title across captured searches.</x:v>
      </x:c>
    </x:row>
    <x:row r="569" ht="42" customHeight="1">
      <x:c r="A569" s="22" t="str">
        <x:v>GS-06-022</x:v>
      </x:c>
      <x:c r="B569" s="22" t="str">
        <x:v>Google Scholar</x:v>
      </x:c>
      <x:c r="C569" s="22" t="str">
        <x:v>GS-06</x:v>
      </x:c>
      <x:c r="D569" s="22" t="str">
        <x:v>Explainable artifictal intelligence for medical applications: A review</x:v>
      </x:c>
      <x:c r="E569" s="22" t="str">
        <x:v>O Sun AAkman By Schuller</x:v>
      </x:c>
      <x:c r="F569" s="22" t="n">
        <x:v>2025</x:v>
      </x:c>
      <x:c r="G569" s="22" t="str">
        <x:v>ACM Transactions on Computirgicr =. 2025 - dl acm org</x:v>
      </x:c>
      <x:c r="H569" s="22" t="str">
        <x:v>Google Scholar result</x:v>
      </x:c>
      <x:c r="I569" s="22" t="str">
        <x:v>NR</x:v>
      </x:c>
      <x:c r="J569" s="22" t="str">
        <x:v>NR</x:v>
      </x:c>
      <x:c r="K569" s="22" t="str">
        <x:v>NR — URL not captured in the available source record</x:v>
      </x:c>
      <x:c r="L569" s="22" t="str">
        <x:v>Not available in the captured evidence; the screening decision used the title and available source metadata.</x:v>
      </x:c>
      <x:c r="M569" s="22" t="str">
        <x:v>No duplicate</x:v>
      </x:c>
      <x:c r="N569" s="22" t="str">
        <x:v>Not applicable — no duplicate group</x:v>
      </x:c>
      <x:c r="O569" s="22" t="str">
        <x:v>Not applicable</x:v>
      </x:c>
      <x:c r="P569" s="22" t="str">
        <x:v>Yes</x:v>
      </x:c>
      <x:c r="Q569" s="22" t="str">
        <x:v>Exclude</x:v>
      </x:c>
      <x:c r="R569" s="22" t="str">
        <x:v>Review article; not original empirical research.</x:v>
      </x:c>
      <x:c r="S569" s="22" t="str">
        <x:v>Verification documented at process level</x:v>
      </x:c>
      <x:c r="T569" s="22" t="str">
        <x:v>Two additional authors performed random spot checks; individual spot-check assignments are not recorded in this register.</x:v>
      </x:c>
      <x:c r="U569" s="22" t="str">
        <x:v>Exclude</x:v>
      </x:c>
      <x:c r="V569" s="22" t="str">
        <x:v>Primary decision by the corresponding author; two additional authors performed random spot checks as a quality-control step.</x:v>
      </x:c>
      <x:c r="W569" s="22" t="str">
        <x:v>No</x:v>
      </x:c>
      <x:c r="X569" s="22" t="str">
        <x:v>Not applicable</x:v>
      </x:c>
      <x:c r="Y569" s="22" t="str">
        <x:v>Not assessed</x:v>
      </x:c>
      <x:c r="Z569" s="22" t="str">
        <x:v>Not advanced to full-text assessment after the title/abstract decision.</x:v>
      </x:c>
      <x:c r="AA569" s="22" t="str">
        <x:v>Not applicable</x:v>
      </x:c>
      <x:c r="AB569" s="22" t="str">
        <x:v>Record was not advanced to full-text assessment.</x:v>
      </x:c>
      <x:c r="AC569" s="22" t="str">
        <x:v>Not assessed</x:v>
      </x:c>
      <x:c r="AD569" s="22" t="str">
        <x:v>Not applicable — no full-text assessment was required.</x:v>
      </x:c>
      <x:c r="AE569" s="22" t="str">
        <x:v>Not included — title/abstract exclusion</x:v>
      </x:c>
      <x:c r="AF569" s="22" t="str">
        <x:v>Not applicable — not included</x:v>
      </x:c>
      <x:c r="AG569" s="22" t="str">
        <x:v>Evidence: 0fe37538-b17e-4e0b-a405-b85c2bbbf9ee.png; page 3, result 2. Metadata transcribed from captured Google Scholar page; OCR-normalised, verify against publication before citation.</x:v>
      </x:c>
      <x:c r="AH569" s="20" t="str">
        <x:v>No duplicate identified under the documented matching rules.</x:v>
      </x:c>
    </x:row>
    <x:row r="570" ht="42" customHeight="1">
      <x:c r="A570" s="22" t="str">
        <x:v>GS-06-023</x:v>
      </x:c>
      <x:c r="B570" s="22" t="str">
        <x:v>Google Scholar</x:v>
      </x:c>
      <x:c r="C570" s="22" t="str">
        <x:v>GS-06</x:v>
      </x:c>
      <x:c r="D570" s="22" t="str">
        <x:v>Tackling the class imbalanced dermoscopic image classification using data augmentation and GAN</x:v>
      </x:c>
      <x:c r="E570" s="22" t="str">
        <x:v>M Alsaidi M7 Jan AAdahe: H Zhyang + Multimedia Tools ard . 2024</x:v>
      </x:c>
      <x:c r="F570" s="22" t="n">
        <x:v>2024</x:v>
      </x:c>
      <x:c r="G570" s="22" t="str">
        <x:v>Springer</x:v>
      </x:c>
      <x:c r="H570" s="22" t="str">
        <x:v>Google Scholar result</x:v>
      </x:c>
      <x:c r="I570" s="22" t="str">
        <x:v>NR</x:v>
      </x:c>
      <x:c r="J570" s="22" t="str">
        <x:v>NR</x:v>
      </x:c>
      <x:c r="K570" s="22" t="str">
        <x:v>NR — URL not captured in the available source record</x:v>
      </x:c>
      <x:c r="L570" s="22" t="str">
        <x:v>Not available in the captured evidence; the screening decision used the title and available source metadata.</x:v>
      </x:c>
      <x:c r="M570" s="22" t="str">
        <x:v>No duplicate</x:v>
      </x:c>
      <x:c r="N570" s="22" t="str">
        <x:v>Not applicable — no duplicate group</x:v>
      </x:c>
      <x:c r="O570" s="22" t="str">
        <x:v>Not applicable</x:v>
      </x:c>
      <x:c r="P570" s="22" t="str">
        <x:v>Yes</x:v>
      </x:c>
      <x:c r="Q570" s="22" t="str">
        <x:v>Exclude</x:v>
      </x:c>
      <x:c r="R570" s="22" t="str">
        <x:v>Dermoscopic classification and augmentation without relevant concept XAI.</x:v>
      </x:c>
      <x:c r="S570" s="22" t="str">
        <x:v>Verification documented at process level</x:v>
      </x:c>
      <x:c r="T570" s="22" t="str">
        <x:v>Two additional authors performed random spot checks; individual spot-check assignments are not recorded in this register.</x:v>
      </x:c>
      <x:c r="U570" s="22" t="str">
        <x:v>Exclude</x:v>
      </x:c>
      <x:c r="V570" s="22" t="str">
        <x:v>Primary decision by the corresponding author; two additional authors performed random spot checks as a quality-control step.</x:v>
      </x:c>
      <x:c r="W570" s="22" t="str">
        <x:v>No</x:v>
      </x:c>
      <x:c r="X570" s="22" t="str">
        <x:v>Not applicable</x:v>
      </x:c>
      <x:c r="Y570" s="22" t="str">
        <x:v>Not assessed</x:v>
      </x:c>
      <x:c r="Z570" s="22" t="str">
        <x:v>Not advanced to full-text assessment after the title/abstract decision.</x:v>
      </x:c>
      <x:c r="AA570" s="22" t="str">
        <x:v>Not applicable</x:v>
      </x:c>
      <x:c r="AB570" s="22" t="str">
        <x:v>Record was not advanced to full-text assessment.</x:v>
      </x:c>
      <x:c r="AC570" s="22" t="str">
        <x:v>Not assessed</x:v>
      </x:c>
      <x:c r="AD570" s="22" t="str">
        <x:v>Not applicable — no full-text assessment was required.</x:v>
      </x:c>
      <x:c r="AE570" s="22" t="str">
        <x:v>Not included — title/abstract exclusion</x:v>
      </x:c>
      <x:c r="AF570" s="22" t="str">
        <x:v>Not applicable — not included</x:v>
      </x:c>
      <x:c r="AG570" s="22" t="str">
        <x:v>Evidence: 0fe37538-b17e-4e0b-a405-b85c2bbbf9ee.png; page 3, result 3. Metadata transcribed from captured Google Scholar page; OCR-normalised, verify against publication before citation.</x:v>
      </x:c>
      <x:c r="AH570" s="20" t="str">
        <x:v>No duplicate identified under the documented matching rules.</x:v>
      </x:c>
    </x:row>
    <x:row r="571" ht="42" customHeight="1">
      <x:c r="A571" s="22" t="str">
        <x:v>GS-06-024</x:v>
      </x:c>
      <x:c r="B571" s="22" t="str">
        <x:v>Google Scholar</x:v>
      </x:c>
      <x:c r="C571" s="22" t="str">
        <x:v>GS-06</x:v>
      </x:c>
      <x:c r="D571" s="22" t="str">
        <x:v>explainadle artificial intelligence on medical images’ A survey</x:v>
      </x:c>
      <x:c r="E571" s="22" t="str">
        <x:v>MVS da Silva RR Arrais, VS da Siva =</x:v>
      </x:c>
      <x:c r="F571" s="22" t="n">
        <x:v>2023</x:v>
      </x:c>
      <x:c r="G571" s="22" t="str">
        <x:v>arXiv preprint arXiy = 2023 - arxiv org</x:v>
      </x:c>
      <x:c r="H571" s="22" t="str">
        <x:v>Google Scholar result</x:v>
      </x:c>
      <x:c r="I571" s="22" t="str">
        <x:v>NR</x:v>
      </x:c>
      <x:c r="J571" s="22" t="str">
        <x:v>NR</x:v>
      </x:c>
      <x:c r="K571" s="22" t="str">
        <x:v>NR — URL not captured in the available source record</x:v>
      </x:c>
      <x:c r="L571" s="22" t="str">
        <x:v>Not available in the captured evidence; the screening decision used the title and available source metadata.</x:v>
      </x:c>
      <x:c r="M571" s="22" t="str">
        <x:v>No duplicate</x:v>
      </x:c>
      <x:c r="N571" s="22" t="str">
        <x:v>DG-105</x:v>
      </x:c>
      <x:c r="O571" s="22" t="str">
        <x:v>Not applicable</x:v>
      </x:c>
      <x:c r="P571" s="22" t="str">
        <x:v>Yes</x:v>
      </x:c>
      <x:c r="Q571" s="22" t="str">
        <x:v>Exclude</x:v>
      </x:c>
      <x:c r="R571" s="22" t="str">
        <x:v>Survey article; not original empirical research.</x:v>
      </x:c>
      <x:c r="S571" s="22" t="str">
        <x:v>Verification documented at process level</x:v>
      </x:c>
      <x:c r="T571" s="22" t="str">
        <x:v>Two additional authors performed random spot checks; individual spot-check assignments are not recorded in this register.</x:v>
      </x:c>
      <x:c r="U571" s="22" t="str">
        <x:v>Exclude</x:v>
      </x:c>
      <x:c r="V571" s="22" t="str">
        <x:v>Primary decision by the corresponding author; two additional authors performed random spot checks as a quality-control step.</x:v>
      </x:c>
      <x:c r="W571" s="22" t="str">
        <x:v>No</x:v>
      </x:c>
      <x:c r="X571" s="22" t="str">
        <x:v>Not applicable</x:v>
      </x:c>
      <x:c r="Y571" s="22" t="str">
        <x:v>Not assessed</x:v>
      </x:c>
      <x:c r="Z571" s="22" t="str">
        <x:v>Not advanced to full-text assessment after the title/abstract decision.</x:v>
      </x:c>
      <x:c r="AA571" s="22" t="str">
        <x:v>Not applicable</x:v>
      </x:c>
      <x:c r="AB571" s="22" t="str">
        <x:v>Record was not advanced to full-text assessment.</x:v>
      </x:c>
      <x:c r="AC571" s="22" t="str">
        <x:v>Not assessed</x:v>
      </x:c>
      <x:c r="AD571" s="22" t="str">
        <x:v>Not applicable — no full-text assessment was required.</x:v>
      </x:c>
      <x:c r="AE571" s="22" t="str">
        <x:v>Not included — title/abstract exclusion</x:v>
      </x:c>
      <x:c r="AF571" s="22" t="str">
        <x:v>Not applicable — not included</x:v>
      </x:c>
      <x:c r="AG571" s="22" t="str">
        <x:v>Evidence: 0fe37538-b17e-4e0b-a405-b85c2bbbf9ee.png; page 3, result 4. Metadata transcribed from captured Google Scholar page; OCR-normalised, verify against publication before citation.</x:v>
      </x:c>
      <x:c r="AH571" s="20" t="str">
        <x:v>No duplicate identified under the documented matching rules.</x:v>
      </x:c>
    </x:row>
    <x:row r="572" ht="42" customHeight="1">
      <x:c r="A572" s="22" t="str">
        <x:v>GS-06-025</x:v>
      </x:c>
      <x:c r="B572" s="22" t="str">
        <x:v>Google Scholar</x:v>
      </x:c>
      <x:c r="C572" s="22" t="str">
        <x:v>GS-06</x:v>
      </x:c>
      <x:c r="D572" s="22" t="str">
        <x:v>Explainable Al in deep learning Methods, challanges, and future directions</x:v>
      </x:c>
      <x:c r="E572" s="22" t="str">
        <x:v>G Zhang J Song . Ciao</x:v>
      </x:c>
      <x:c r="F572" s="22" t="n">
        <x:v>2026</x:v>
      </x:c>
      <x:c r="G572" s="22" t="str">
        <x:v>2026 - lechm'y org</x:v>
      </x:c>
      <x:c r="H572" s="22" t="str">
        <x:v>Google Scholar result</x:v>
      </x:c>
      <x:c r="I572" s="22" t="str">
        <x:v>NR</x:v>
      </x:c>
      <x:c r="J572" s="22" t="str">
        <x:v>NR</x:v>
      </x:c>
      <x:c r="K572" s="22" t="str">
        <x:v>NR — URL not captured in the available source record</x:v>
      </x:c>
      <x:c r="L572" s="22" t="str">
        <x:v>Not available in the captured evidence; the screening decision used the title and available source metadata.</x:v>
      </x:c>
      <x:c r="M572" s="22" t="str">
        <x:v>No duplicate</x:v>
      </x:c>
      <x:c r="N572" s="22" t="str">
        <x:v>Not applicable — no duplicate group</x:v>
      </x:c>
      <x:c r="O572" s="22" t="str">
        <x:v>Not applicable</x:v>
      </x:c>
      <x:c r="P572" s="22" t="str">
        <x:v>Yes</x:v>
      </x:c>
      <x:c r="Q572" s="22" t="str">
        <x:v>Exclude</x:v>
      </x:c>
      <x:c r="R572" s="22" t="str">
        <x:v>General review of XAI methods and challenges.</x:v>
      </x:c>
      <x:c r="S572" s="22" t="str">
        <x:v>Verification documented at process level</x:v>
      </x:c>
      <x:c r="T572" s="22" t="str">
        <x:v>Two additional authors performed random spot checks; individual spot-check assignments are not recorded in this register.</x:v>
      </x:c>
      <x:c r="U572" s="22" t="str">
        <x:v>Exclude</x:v>
      </x:c>
      <x:c r="V572" s="22" t="str">
        <x:v>Primary decision by the corresponding author; two additional authors performed random spot checks as a quality-control step.</x:v>
      </x:c>
      <x:c r="W572" s="22" t="str">
        <x:v>No</x:v>
      </x:c>
      <x:c r="X572" s="22" t="str">
        <x:v>Not applicable</x:v>
      </x:c>
      <x:c r="Y572" s="22" t="str">
        <x:v>Not assessed</x:v>
      </x:c>
      <x:c r="Z572" s="22" t="str">
        <x:v>Not advanced to full-text assessment after the title/abstract decision.</x:v>
      </x:c>
      <x:c r="AA572" s="22" t="str">
        <x:v>Not applicable</x:v>
      </x:c>
      <x:c r="AB572" s="22" t="str">
        <x:v>Record was not advanced to full-text assessment.</x:v>
      </x:c>
      <x:c r="AC572" s="22" t="str">
        <x:v>Not assessed</x:v>
      </x:c>
      <x:c r="AD572" s="22" t="str">
        <x:v>Not applicable — no full-text assessment was required.</x:v>
      </x:c>
      <x:c r="AE572" s="22" t="str">
        <x:v>Not included — title/abstract exclusion</x:v>
      </x:c>
      <x:c r="AF572" s="22" t="str">
        <x:v>Not applicable — not included</x:v>
      </x:c>
      <x:c r="AG572" s="22" t="str">
        <x:v>Evidence: 0fe37538-b17e-4e0b-a405-b85c2bbbf9ee.png; page 3, result 5. Metadata transcribed from captured Google Scholar page; OCR-normalised, verify against publication before citation.</x:v>
      </x:c>
      <x:c r="AH572" s="20" t="str">
        <x:v>No duplicate identified under the documented matching rules.</x:v>
      </x:c>
    </x:row>
    <x:row r="573" ht="42" customHeight="1">
      <x:c r="A573" s="22" t="str">
        <x:v>GS-06-026</x:v>
      </x:c>
      <x:c r="B573" s="22" t="str">
        <x:v>Google Scholar</x:v>
      </x:c>
      <x:c r="C573" s="22" t="str">
        <x:v>GS-06</x:v>
      </x:c>
      <x:c r="D573" s="22" t="str">
        <x:v>{s00x) Rabust Interpretable, and Portable Deep Learning Systems for Detection of Ophthalmic Diseases</x:v>
      </x:c>
      <x:c r="E573" s="22" t="str">
        <x:v>K4é Thakoor</x:v>
      </x:c>
      <x:c r="F573" s="22" t="str">
        <x:v>NR</x:v>
      </x:c>
      <x:c r="G573" s="22" t="str">
        <x:v>2222 - search proquest co™</x:v>
      </x:c>
      <x:c r="H573" s="22" t="str">
        <x:v>Google Scholar result</x:v>
      </x:c>
      <x:c r="I573" s="22" t="str">
        <x:v>10.7916/7gz3-xy09</x:v>
      </x:c>
      <x:c r="J573" s="22" t="str">
        <x:v>NR</x:v>
      </x:c>
      <x:c r="K573" s="22" t="str">
        <x:v>https://academiccommons.columbia.edu/doi/10.7916/7gz3-xy09/download</x:v>
      </x:c>
      <x:c r="L573" s="22" t="str">
        <x:v>This dissertation seeks to develop artificial intelligence as a trustworthy clinical partner for faster ophthalmic screening. The indexed abstract summary focuses on robust, interpretable and portable deep-learning systems for detecting ophthalmic diseases, particularly glaucoma and age-related macular degeneration, using ophthalmic imaging including optical coherence tomography.</x:v>
      </x:c>
      <x:c r="M573" s="22" t="str">
        <x:v>No duplicate</x:v>
      </x:c>
      <x:c r="N573" s="22" t="str">
        <x:v>Not applicable — no duplicate group</x:v>
      </x:c>
      <x:c r="O573" s="22" t="str">
        <x:v>Not applicable</x:v>
      </x:c>
      <x:c r="P573" s="22" t="str">
        <x:v>Yes</x:v>
      </x:c>
      <x:c r="Q573" s="22" t="str">
        <x:v>Include</x:v>
      </x:c>
      <x:c r="R573" s="22" t="str">
        <x:v>Original ophthalmic dissertation potentially examining interpretable clinical concepts; retained for full-text assessment.</x:v>
      </x:c>
      <x:c r="S573" s="22" t="str">
        <x:v>Verification documented at process level</x:v>
      </x:c>
      <x:c r="T573" s="22" t="str">
        <x:v>Two additional authors performed random spot checks; individual spot-check assignments are not recorded in this register.</x:v>
      </x:c>
      <x:c r="U573" s="22" t="str">
        <x:v>Include</x:v>
      </x:c>
      <x:c r="V573" s="22" t="str">
        <x:v>Primary decision by the corresponding author; two additional authors performed random spot checks as a quality-control step.</x:v>
      </x:c>
      <x:c r="W573" s="22" t="str">
        <x:v>Yes</x:v>
      </x:c>
      <x:c r="X573" s="22" t="str">
        <x:v>Yes</x:v>
      </x:c>
      <x:c r="Y573" s="22" t="str">
        <x:v>Include</x:v>
      </x:c>
      <x:c r="Z573" s="22" t="str">
        <x:v>The corresponding author assessed the complete report and judged it eligible for inclusion in the review.</x:v>
      </x:c>
      <x:c r="AA573" s="22" t="str">
        <x:v>Verification documented at process level</x:v>
      </x:c>
      <x:c r="AB573" s="22" t="str">
        <x:v>Two additional authors performed random spot checks; individual spot-check assignments are not recorded in this register.</x:v>
      </x:c>
      <x:c r="AC573" s="22" t="str">
        <x:v>Include</x:v>
      </x:c>
      <x:c r="AD573" s="22" t="str">
        <x:v>Primary decision by the corresponding author; two additional authors performed random spot checks as a quality-control step.</x:v>
      </x:c>
      <x:c r="AE573" s="22" t="str">
        <x:v>Include</x:v>
      </x:c>
      <x:c r="AF573" s="22" t="str">
        <x:v>Direct retinal/ophthalmic evidence</x:v>
      </x:c>
      <x:c r="AG573" s="22" t="str">
        <x:v>Evidence: 0fe37538-b17e-4e0b-a405-b85c2bbbf9ee.png; page 3, result 6. Metadata transcribed from captured Google Scholar page; OCR-normalised, verify against publication before citation.</x:v>
      </x:c>
      <x:c r="AH573" s="20" t="str">
        <x:v>No duplicate identified under the documented matching rules.</x:v>
      </x:c>
    </x:row>
    <x:row r="574" ht="42" customHeight="1">
      <x:c r="A574" s="22" t="str">
        <x:v>GS-06-027</x:v>
      </x:c>
      <x:c r="B574" s="22" t="str">
        <x:v>Google Scholar</x:v>
      </x:c>
      <x:c r="C574" s="22" t="str">
        <x:v>GS-06</x:v>
      </x:c>
      <x:c r="D574" s="22" t="str">
        <x:v>Deep Neuro-Fuzzy Systems: A Large Scale Image Classification Perspective</x:v>
      </x:c>
      <x:c r="E574" s="22" t="str">
        <x:v>M Yegangyjoy</x:v>
      </x:c>
      <x:c r="F574" s="22" t="n">
        <x:v>2025</x:v>
      </x:c>
      <x:c r="G574" s="22" t="str">
        <x:v>2025 - walberla scholars ca</x:v>
      </x:c>
      <x:c r="H574" s="22" t="str">
        <x:v>Google Scholar result</x:v>
      </x:c>
      <x:c r="I574" s="22" t="str">
        <x:v>NR</x:v>
      </x:c>
      <x:c r="J574" s="22" t="str">
        <x:v>NR</x:v>
      </x:c>
      <x:c r="K574" s="22" t="str">
        <x:v>NR — URL not captured in the available source record</x:v>
      </x:c>
      <x:c r="L574" s="22" t="str">
        <x:v>Not available in the captured evidence; the screening decision used the title and available source metadata.</x:v>
      </x:c>
      <x:c r="M574" s="22" t="str">
        <x:v>No duplicate</x:v>
      </x:c>
      <x:c r="N574" s="22" t="str">
        <x:v>Not applicable — no duplicate group</x:v>
      </x:c>
      <x:c r="O574" s="22" t="str">
        <x:v>Not applicable</x:v>
      </x:c>
      <x:c r="P574" s="22" t="str">
        <x:v>Yes</x:v>
      </x:c>
      <x:c r="Q574" s="22" t="str">
        <x:v>Exclude</x:v>
      </x:c>
      <x:c r="R574" s="22" t="str">
        <x:v>Generic image classification without relevant medical-imaging evidence.</x:v>
      </x:c>
      <x:c r="S574" s="22" t="str">
        <x:v>Verification documented at process level</x:v>
      </x:c>
      <x:c r="T574" s="22" t="str">
        <x:v>Two additional authors performed random spot checks; individual spot-check assignments are not recorded in this register.</x:v>
      </x:c>
      <x:c r="U574" s="22" t="str">
        <x:v>Exclude</x:v>
      </x:c>
      <x:c r="V574" s="22" t="str">
        <x:v>Primary decision by the corresponding author; two additional authors performed random spot checks as a quality-control step.</x:v>
      </x:c>
      <x:c r="W574" s="22" t="str">
        <x:v>No</x:v>
      </x:c>
      <x:c r="X574" s="22" t="str">
        <x:v>Not applicable</x:v>
      </x:c>
      <x:c r="Y574" s="22" t="str">
        <x:v>Not assessed</x:v>
      </x:c>
      <x:c r="Z574" s="22" t="str">
        <x:v>Not advanced to full-text assessment after the title/abstract decision.</x:v>
      </x:c>
      <x:c r="AA574" s="22" t="str">
        <x:v>Not applicable</x:v>
      </x:c>
      <x:c r="AB574" s="22" t="str">
        <x:v>Record was not advanced to full-text assessment.</x:v>
      </x:c>
      <x:c r="AC574" s="22" t="str">
        <x:v>Not assessed</x:v>
      </x:c>
      <x:c r="AD574" s="22" t="str">
        <x:v>Not applicable — no full-text assessment was required.</x:v>
      </x:c>
      <x:c r="AE574" s="22" t="str">
        <x:v>Not included — title/abstract exclusion</x:v>
      </x:c>
      <x:c r="AF574" s="22" t="str">
        <x:v>Not applicable — not included</x:v>
      </x:c>
      <x:c r="AG574" s="22" t="str">
        <x:v>Evidence: 0fe37538-b17e-4e0b-a405-b85c2bbbf9ee.png; page 3, result 7. Metadata transcribed from captured Google Scholar page; OCR-normalised, verify against publication before citation.</x:v>
      </x:c>
      <x:c r="AH574" s="20" t="str">
        <x:v>No duplicate identified under the documented matching rules.</x:v>
      </x:c>
    </x:row>
    <x:row r="575" ht="42" customHeight="1">
      <x:c r="A575" s="22" t="str">
        <x:v>GS-06-028</x:v>
      </x:c>
      <x:c r="B575" s="22" t="str">
        <x:v>Google Scholar</x:v>
      </x:c>
      <x:c r="C575" s="22" t="str">
        <x:v>GS-06</x:v>
      </x:c>
      <x:c r="D575" s="22" t="str">
        <x:v>(nterpretable deep leaming interpretation, interpretability, trustworthiness, and beyond X. Let al</x:v>
      </x:c>
      <x:c r="E575" s="22" t="str">
        <x:v>Aaj HXiang ALI Xu XA Zhang thi, 2Bign</x:v>
      </x:c>
      <x:c r="F575" s="22" t="n">
        <x:v>2022</x:v>
      </x:c>
      <x:c r="G575" s="22" t="str">
        <x:v>and Information Systerrs 2022 - Springer</x:v>
      </x:c>
      <x:c r="H575" s="22" t="str">
        <x:v>Google Scholar result</x:v>
      </x:c>
      <x:c r="I575" s="22" t="str">
        <x:v>NR</x:v>
      </x:c>
      <x:c r="J575" s="22" t="str">
        <x:v>NR</x:v>
      </x:c>
      <x:c r="K575" s="22" t="str">
        <x:v>NR — URL not captured in the available source record</x:v>
      </x:c>
      <x:c r="L575" s="22" t="str">
        <x:v>Not available in the captured evidence; the screening decision used the title and available source metadata.</x:v>
      </x:c>
      <x:c r="M575" s="22" t="str">
        <x:v>No duplicate</x:v>
      </x:c>
      <x:c r="N575" s="22" t="str">
        <x:v>Not applicable — no duplicate group</x:v>
      </x:c>
      <x:c r="O575" s="22" t="str">
        <x:v>Not applicable</x:v>
      </x:c>
      <x:c r="P575" s="22" t="str">
        <x:v>Yes</x:v>
      </x:c>
      <x:c r="Q575" s="22" t="str">
        <x:v>Exclude</x:v>
      </x:c>
      <x:c r="R575" s="22" t="str">
        <x:v>Broad interpretability review; not original empirical research.</x:v>
      </x:c>
      <x:c r="S575" s="22" t="str">
        <x:v>Verification documented at process level</x:v>
      </x:c>
      <x:c r="T575" s="22" t="str">
        <x:v>Two additional authors performed random spot checks; individual spot-check assignments are not recorded in this register.</x:v>
      </x:c>
      <x:c r="U575" s="22" t="str">
        <x:v>Exclude</x:v>
      </x:c>
      <x:c r="V575" s="22" t="str">
        <x:v>Primary decision by the corresponding author; two additional authors performed random spot checks as a quality-control step.</x:v>
      </x:c>
      <x:c r="W575" s="22" t="str">
        <x:v>No</x:v>
      </x:c>
      <x:c r="X575" s="22" t="str">
        <x:v>Not applicable</x:v>
      </x:c>
      <x:c r="Y575" s="22" t="str">
        <x:v>Not assessed</x:v>
      </x:c>
      <x:c r="Z575" s="22" t="str">
        <x:v>Not advanced to full-text assessment after the title/abstract decision.</x:v>
      </x:c>
      <x:c r="AA575" s="22" t="str">
        <x:v>Not applicable</x:v>
      </x:c>
      <x:c r="AB575" s="22" t="str">
        <x:v>Record was not advanced to full-text assessment.</x:v>
      </x:c>
      <x:c r="AC575" s="22" t="str">
        <x:v>Not assessed</x:v>
      </x:c>
      <x:c r="AD575" s="22" t="str">
        <x:v>Not applicable — no full-text assessment was required.</x:v>
      </x:c>
      <x:c r="AE575" s="22" t="str">
        <x:v>Not included — title/abstract exclusion</x:v>
      </x:c>
      <x:c r="AF575" s="22" t="str">
        <x:v>Not applicable — not included</x:v>
      </x:c>
      <x:c r="AG575" s="22" t="str">
        <x:v>Evidence: 0fe37538-b17e-4e0b-a405-b85c2bbbf9ee.png; page 3, result 8. Metadata transcribed from captured Google Scholar page; OCR-normalised, verify against publication before citation.</x:v>
      </x:c>
      <x:c r="AH575" s="20" t="str">
        <x:v>No duplicate identified under the documented matching rules.</x:v>
      </x:c>
    </x:row>
    <x:row r="576" ht="42" customHeight="1">
      <x:c r="A576" s="22" t="str">
        <x:v>GS-06-029</x:v>
      </x:c>
      <x:c r="B576" s="22" t="str">
        <x:v>Google Scholar</x:v>
      </x:c>
      <x:c r="C576" s="22" t="str">
        <x:v>GS-06</x:v>
      </x:c>
      <x:c r="D576" s="22" t="str">
        <x:v>Bias in predictive models for vitreoretinal diseases ethnic and socioeconomic disparities in artificial intelligence</x:v>
      </x:c>
      <x:c r="E576" s="22" t="str">
        <x:v>Ferro Desert B Kirkpatrick 'A Zinkernagel -Eye 2025</x:v>
      </x:c>
      <x:c r="F576" s="22" t="n">
        <x:v>2025</x:v>
      </x:c>
      <x:c r="G576" s="22" t="str">
        <x:v>nature com</x:v>
      </x:c>
      <x:c r="H576" s="22" t="str">
        <x:v>Google Scholar result</x:v>
      </x:c>
      <x:c r="I576" s="22" t="str">
        <x:v>NR</x:v>
      </x:c>
      <x:c r="J576" s="22" t="str">
        <x:v>NR</x:v>
      </x:c>
      <x:c r="K576" s="22" t="str">
        <x:v>NR — URL not captured in the available source record</x:v>
      </x:c>
      <x:c r="L576" s="22" t="str">
        <x:v>Not available in the captured evidence; the screening decision used the title and available source metadata.</x:v>
      </x:c>
      <x:c r="M576" s="22" t="str">
        <x:v>No duplicate</x:v>
      </x:c>
      <x:c r="N576" s="22" t="str">
        <x:v>Not applicable — no duplicate group</x:v>
      </x:c>
      <x:c r="O576" s="22" t="str">
        <x:v>Not applicable</x:v>
      </x:c>
      <x:c r="P576" s="22" t="str">
        <x:v>Yes</x:v>
      </x:c>
      <x:c r="Q576" s="22" t="str">
        <x:v>Exclude</x:v>
      </x:c>
      <x:c r="R576" s="22" t="str">
        <x:v>Fairness/bias study without concept-based explanations.</x:v>
      </x:c>
      <x:c r="S576" s="22" t="str">
        <x:v>Verification documented at process level</x:v>
      </x:c>
      <x:c r="T576" s="22" t="str">
        <x:v>Two additional authors performed random spot checks; individual spot-check assignments are not recorded in this register.</x:v>
      </x:c>
      <x:c r="U576" s="22" t="str">
        <x:v>Exclude</x:v>
      </x:c>
      <x:c r="V576" s="22" t="str">
        <x:v>Primary decision by the corresponding author; two additional authors performed random spot checks as a quality-control step.</x:v>
      </x:c>
      <x:c r="W576" s="22" t="str">
        <x:v>No</x:v>
      </x:c>
      <x:c r="X576" s="22" t="str">
        <x:v>Not applicable</x:v>
      </x:c>
      <x:c r="Y576" s="22" t="str">
        <x:v>Not assessed</x:v>
      </x:c>
      <x:c r="Z576" s="22" t="str">
        <x:v>Not advanced to full-text assessment after the title/abstract decision.</x:v>
      </x:c>
      <x:c r="AA576" s="22" t="str">
        <x:v>Not applicable</x:v>
      </x:c>
      <x:c r="AB576" s="22" t="str">
        <x:v>Record was not advanced to full-text assessment.</x:v>
      </x:c>
      <x:c r="AC576" s="22" t="str">
        <x:v>Not assessed</x:v>
      </x:c>
      <x:c r="AD576" s="22" t="str">
        <x:v>Not applicable — no full-text assessment was required.</x:v>
      </x:c>
      <x:c r="AE576" s="22" t="str">
        <x:v>Not included — title/abstract exclusion</x:v>
      </x:c>
      <x:c r="AF576" s="22" t="str">
        <x:v>Not applicable — not included</x:v>
      </x:c>
      <x:c r="AG576" s="22" t="str">
        <x:v>Evidence: 0fe37538-b17e-4e0b-a405-b85c2bbbf9ee.png; page 3, result 9. Metadata transcribed from captured Google Scholar page; OCR-normalised, verify against publication before citation.</x:v>
      </x:c>
      <x:c r="AH576" s="20" t="str">
        <x:v>No duplicate identified under the documented matching rules.</x:v>
      </x:c>
    </x:row>
    <x:row r="577" ht="42" customHeight="1">
      <x:c r="A577" s="22" t="str">
        <x:v>GS-06-030</x:v>
      </x:c>
      <x:c r="B577" s="22" t="str">
        <x:v>Google Scholar</x:v>
      </x:c>
      <x:c r="C577" s="22" t="str">
        <x:v>GS-06</x:v>
      </x:c>
      <x:c r="D577" s="22" t="str">
        <x:v>Explainable Al for medical data current methods, limitations. and future directions</x:v>
      </x:c>
      <x:c r="E577" s="22" t="str">
        <x:v>Mibossain GZamzrj PR Mouign MS Salekiz -ACM Computing . 2025-dlacmog</x:v>
      </x:c>
      <x:c r="F577" s="22" t="n">
        <x:v>2025</x:v>
      </x:c>
      <x:c r="G577" s="22" t="str">
        <x:v>Mibossain GZamzrj PR Mouign MS Salekiz -ACM Computing . 2025-dlacmog</x:v>
      </x:c>
      <x:c r="H577" s="22" t="str">
        <x:v>Google Scholar result</x:v>
      </x:c>
      <x:c r="I577" s="22" t="str">
        <x:v>NR</x:v>
      </x:c>
      <x:c r="J577" s="22" t="str">
        <x:v>NR</x:v>
      </x:c>
      <x:c r="K577" s="22" t="str">
        <x:v>NR — URL not captured in the available source record</x:v>
      </x:c>
      <x:c r="L577" s="22" t="str">
        <x:v>Not available in the captured evidence; the screening decision used the title and available source metadata.</x:v>
      </x:c>
      <x:c r="M577" s="22" t="str">
        <x:v>No duplicate</x:v>
      </x:c>
      <x:c r="N577" s="22" t="str">
        <x:v>DG-075</x:v>
      </x:c>
      <x:c r="O577" s="22" t="str">
        <x:v>Not applicable</x:v>
      </x:c>
      <x:c r="P577" s="22" t="str">
        <x:v>Yes</x:v>
      </x:c>
      <x:c r="Q577" s="22" t="str">
        <x:v>Exclude</x:v>
      </x:c>
      <x:c r="R577" s="22" t="str">
        <x:v>Review of XAI for medical data; not an original imaging study.</x:v>
      </x:c>
      <x:c r="S577" s="22" t="str">
        <x:v>Verification documented at process level</x:v>
      </x:c>
      <x:c r="T577" s="22" t="str">
        <x:v>Two additional authors performed random spot checks; individual spot-check assignments are not recorded in this register.</x:v>
      </x:c>
      <x:c r="U577" s="22" t="str">
        <x:v>Exclude</x:v>
      </x:c>
      <x:c r="V577" s="22" t="str">
        <x:v>Primary decision by the corresponding author; two additional authors performed random spot checks as a quality-control step.</x:v>
      </x:c>
      <x:c r="W577" s="22" t="str">
        <x:v>No</x:v>
      </x:c>
      <x:c r="X577" s="22" t="str">
        <x:v>Not applicable</x:v>
      </x:c>
      <x:c r="Y577" s="22" t="str">
        <x:v>Not assessed</x:v>
      </x:c>
      <x:c r="Z577" s="22" t="str">
        <x:v>Not advanced to full-text assessment after the title/abstract decision.</x:v>
      </x:c>
      <x:c r="AA577" s="22" t="str">
        <x:v>Not applicable</x:v>
      </x:c>
      <x:c r="AB577" s="22" t="str">
        <x:v>Record was not advanced to full-text assessment.</x:v>
      </x:c>
      <x:c r="AC577" s="22" t="str">
        <x:v>Not assessed</x:v>
      </x:c>
      <x:c r="AD577" s="22" t="str">
        <x:v>Not applicable — no full-text assessment was required.</x:v>
      </x:c>
      <x:c r="AE577" s="22" t="str">
        <x:v>Not included — title/abstract exclusion</x:v>
      </x:c>
      <x:c r="AF577" s="22" t="str">
        <x:v>Not applicable — not included</x:v>
      </x:c>
      <x:c r="AG577" s="22" t="str">
        <x:v>Evidence: 0fe37538-b17e-4e0b-a405-b85c2bbbf9ee.png; page 3, result 10. Metadata transcribed from captured Google Scholar page; OCR-normalised, verify against publication before citation.</x:v>
      </x:c>
      <x:c r="AH577" s="20" t="str">
        <x:v>Confirmed using normalized title across captured searches.</x:v>
      </x:c>
    </x:row>
    <x:row r="578" ht="42" customHeight="1">
      <x:c r="A578" s="22" t="str">
        <x:v>GS-06-031</x:v>
      </x:c>
      <x:c r="B578" s="22" t="str">
        <x:v>Google Scholar</x:v>
      </x:c>
      <x:c r="C578" s="22" t="str">
        <x:v>GS-06</x:v>
      </x:c>
      <x:c r="D578" s="22" t="str">
        <x:v>Offset Networks and Segmentations Based Attention with Explorations into the Ethical .</x:v>
      </x:c>
      <x:c r="E578" s="22" t="str">
        <x:v>V Agarwal. EAyoroa R Burdick AGaneshan .</x:v>
      </x:c>
      <x:c r="F578" s="22" t="str">
        <x:v>NR</x:v>
      </x:c>
      <x:c r="G578" s="22" t="str">
        <x:v>20122 - drum lib.umd edu</x:v>
      </x:c>
      <x:c r="H578" s="22" t="str">
        <x:v>Google Scholar result</x:v>
      </x:c>
      <x:c r="I578" s="22" t="str">
        <x:v>NR</x:v>
      </x:c>
      <x:c r="J578" s="22" t="str">
        <x:v>NR</x:v>
      </x:c>
      <x:c r="K578" s="22" t="str">
        <x:v>NR — URL not captured in the available source record</x:v>
      </x:c>
      <x:c r="L578" s="22" t="str">
        <x:v>Not available in the captured evidence; the screening decision used the title and available source metadata.</x:v>
      </x:c>
      <x:c r="M578" s="22" t="str">
        <x:v>No duplicate</x:v>
      </x:c>
      <x:c r="N578" s="22" t="str">
        <x:v>Not applicable — no duplicate group</x:v>
      </x:c>
      <x:c r="O578" s="22" t="str">
        <x:v>Not applicable</x:v>
      </x:c>
      <x:c r="P578" s="22" t="str">
        <x:v>Yes</x:v>
      </x:c>
      <x:c r="Q578" s="22" t="str">
        <x:v>Exclude</x:v>
      </x:c>
      <x:c r="R578" s="22" t="str">
        <x:v>Brain MRI attention study; wrong imaging domain and XAI type.</x:v>
      </x:c>
      <x:c r="S578" s="22" t="str">
        <x:v>Verification documented at process level</x:v>
      </x:c>
      <x:c r="T578" s="22" t="str">
        <x:v>Two additional authors performed random spot checks; individual spot-check assignments are not recorded in this register.</x:v>
      </x:c>
      <x:c r="U578" s="22" t="str">
        <x:v>Exclude</x:v>
      </x:c>
      <x:c r="V578" s="22" t="str">
        <x:v>Primary decision by the corresponding author; two additional authors performed random spot checks as a quality-control step.</x:v>
      </x:c>
      <x:c r="W578" s="22" t="str">
        <x:v>No</x:v>
      </x:c>
      <x:c r="X578" s="22" t="str">
        <x:v>Not applicable</x:v>
      </x:c>
      <x:c r="Y578" s="22" t="str">
        <x:v>Not assessed</x:v>
      </x:c>
      <x:c r="Z578" s="22" t="str">
        <x:v>Not advanced to full-text assessment after the title/abstract decision.</x:v>
      </x:c>
      <x:c r="AA578" s="22" t="str">
        <x:v>Not applicable</x:v>
      </x:c>
      <x:c r="AB578" s="22" t="str">
        <x:v>Record was not advanced to full-text assessment.</x:v>
      </x:c>
      <x:c r="AC578" s="22" t="str">
        <x:v>Not assessed</x:v>
      </x:c>
      <x:c r="AD578" s="22" t="str">
        <x:v>Not applicable — no full-text assessment was required.</x:v>
      </x:c>
      <x:c r="AE578" s="22" t="str">
        <x:v>Not included — title/abstract exclusion</x:v>
      </x:c>
      <x:c r="AF578" s="22" t="str">
        <x:v>Not applicable — not included</x:v>
      </x:c>
      <x:c r="AG578" s="22" t="str">
        <x:v>Evidence: 15524063-a336-40b5-885d-0295397ba624.png; page 4, result 1. Metadata transcribed from captured Google Scholar page; OCR-normalised, verify against publication before citation.</x:v>
      </x:c>
      <x:c r="AH578" s="20" t="str">
        <x:v>No duplicate identified under the documented matching rules.</x:v>
      </x:c>
    </x:row>
    <x:row r="579" ht="42" customHeight="1">
      <x:c r="A579" s="22" t="str">
        <x:v>GS-06-032</x:v>
      </x:c>
      <x:c r="B579" s="22" t="str">
        <x:v>Google Scholar</x:v>
      </x:c>
      <x:c r="C579" s="22" t="str">
        <x:v>GS-06</x:v>
      </x:c>
      <x:c r="D579" s="22" t="str">
        <x:v>(nterpretable machine tearning applied to fusian plasmas</x:v>
      </x:c>
      <x:c r="E579" s="22" t="str">
        <x:v>AGillgren</x:v>
      </x:c>
      <x:c r="F579" s="22" t="n">
        <x:v>2026</x:v>
      </x:c>
      <x:c r="G579" s="22" t="str">
        <x:v>2026 - seare? p-aquest cam</x:v>
      </x:c>
      <x:c r="H579" s="22" t="str">
        <x:v>Google Scholar result</x:v>
      </x:c>
      <x:c r="I579" s="22" t="str">
        <x:v>NR</x:v>
      </x:c>
      <x:c r="J579" s="22" t="str">
        <x:v>NR</x:v>
      </x:c>
      <x:c r="K579" s="22" t="str">
        <x:v>NR — URL not captured in the available source record</x:v>
      </x:c>
      <x:c r="L579" s="22" t="str">
        <x:v>Not available in the captured evidence; the screening decision used the title and available source metadata.</x:v>
      </x:c>
      <x:c r="M579" s="22" t="str">
        <x:v>No duplicate</x:v>
      </x:c>
      <x:c r="N579" s="22" t="str">
        <x:v>DG-104</x:v>
      </x:c>
      <x:c r="O579" s="22" t="str">
        <x:v>Not applicable</x:v>
      </x:c>
      <x:c r="P579" s="22" t="str">
        <x:v>Yes</x:v>
      </x:c>
      <x:c r="Q579" s="22" t="str">
        <x:v>Exclude</x:v>
      </x:c>
      <x:c r="R579" s="22" t="str">
        <x:v>Wrong domain: fusion plasmas.</x:v>
      </x:c>
      <x:c r="S579" s="22" t="str">
        <x:v>Verification documented at process level</x:v>
      </x:c>
      <x:c r="T579" s="22" t="str">
        <x:v>Two additional authors performed random spot checks; individual spot-check assignments are not recorded in this register.</x:v>
      </x:c>
      <x:c r="U579" s="22" t="str">
        <x:v>Exclude</x:v>
      </x:c>
      <x:c r="V579" s="22" t="str">
        <x:v>Primary decision by the corresponding author; two additional authors performed random spot checks as a quality-control step.</x:v>
      </x:c>
      <x:c r="W579" s="22" t="str">
        <x:v>No</x:v>
      </x:c>
      <x:c r="X579" s="22" t="str">
        <x:v>Not applicable</x:v>
      </x:c>
      <x:c r="Y579" s="22" t="str">
        <x:v>Not assessed</x:v>
      </x:c>
      <x:c r="Z579" s="22" t="str">
        <x:v>Not advanced to full-text assessment after the title/abstract decision.</x:v>
      </x:c>
      <x:c r="AA579" s="22" t="str">
        <x:v>Not applicable</x:v>
      </x:c>
      <x:c r="AB579" s="22" t="str">
        <x:v>Record was not advanced to full-text assessment.</x:v>
      </x:c>
      <x:c r="AC579" s="22" t="str">
        <x:v>Not assessed</x:v>
      </x:c>
      <x:c r="AD579" s="22" t="str">
        <x:v>Not applicable — no full-text assessment was required.</x:v>
      </x:c>
      <x:c r="AE579" s="22" t="str">
        <x:v>Not included — title/abstract exclusion</x:v>
      </x:c>
      <x:c r="AF579" s="22" t="str">
        <x:v>Not applicable — not included</x:v>
      </x:c>
      <x:c r="AG579" s="22" t="str">
        <x:v>Evidence: 15524063-a336-40b5-885d-0295397ba624.png; page 4, result 2. Metadata transcribed from captured Google Scholar page; OCR-normalised, verify against publication before citation.</x:v>
      </x:c>
      <x:c r="AH579" s="20" t="str">
        <x:v>No duplicate identified under the documented matching rules.</x:v>
      </x:c>
    </x:row>
    <x:row r="580" ht="42" customHeight="1">
      <x:c r="A580" s="22" t="str">
        <x:v>GS-06-033</x:v>
      </x:c>
      <x:c r="B580" s="22" t="str">
        <x:v>Google Scholar</x:v>
      </x:c>
      <x:c r="C580" s="22" t="str">
        <x:v>GS-06</x:v>
      </x:c>
      <x:c r="D580" s="22" t="str">
        <x:v>BXplainable Artificial Intelligence on Medical Images A Survey</x:v>
      </x:c>
      <x:c r="E580" s="22" t="str">
        <x:v>R De Paris</x:v>
      </x:c>
      <x:c r="F580" s="22" t="str">
        <x:v>NR</x:v>
      </x:c>
      <x:c r="G580" s="22" t="str">
        <x:v>arXry 1Cornell Univers:ty) 2223 - academia ede</x:v>
      </x:c>
      <x:c r="H580" s="22" t="str">
        <x:v>Google Scholar result</x:v>
      </x:c>
      <x:c r="I580" s="22" t="str">
        <x:v>NR</x:v>
      </x:c>
      <x:c r="J580" s="22" t="str">
        <x:v>NR</x:v>
      </x:c>
      <x:c r="K580" s="22" t="str">
        <x:v>NR — URL not captured in the available source record</x:v>
      </x:c>
      <x:c r="L580" s="22" t="str">
        <x:v>Not available in the captured evidence; the screening decision used the title and available source metadata.</x:v>
      </x:c>
      <x:c r="M580" s="22" t="str">
        <x:v>Confirmed duplicate</x:v>
      </x:c>
      <x:c r="N580" s="22" t="str">
        <x:v>DG-105</x:v>
      </x:c>
      <x:c r="O580" s="22" t="str">
        <x:v>GS-06-024</x:v>
      </x:c>
      <x:c r="P580" s="22" t="str">
        <x:v>No</x:v>
      </x:c>
      <x:c r="Q580" s="22" t="str">
        <x:v>Not screened</x:v>
      </x:c>
      <x:c r="R580" s="22" t="str">
        <x:v>Removed before title/abstract screening as a confirmed duplicate.</x:v>
      </x:c>
      <x:c r="S580" s="22" t="str">
        <x:v>Not applicable — removed before screening</x:v>
      </x:c>
      <x:c r="T580" s="22" t="str">
        <x:v>Record was outside the active screening set.</x:v>
      </x:c>
      <x:c r="U580" s="22" t="str">
        <x:v>Removed before screening</x:v>
      </x:c>
      <x:c r="V580" s="22" t="str">
        <x:v>Confirmed duplicate removed during deduplication.</x:v>
      </x:c>
      <x:c r="W580" s="22" t="str">
        <x:v>No</x:v>
      </x:c>
      <x:c r="X580" s="22" t="str">
        <x:v>Not applicable</x:v>
      </x:c>
      <x:c r="Y580" s="22" t="str">
        <x:v>Not assessed</x:v>
      </x:c>
      <x:c r="Z580" s="22" t="str">
        <x:v>Not applicable — record removed before screening.</x:v>
      </x:c>
      <x:c r="AA580" s="22" t="str">
        <x:v>Not applicable</x:v>
      </x:c>
      <x:c r="AB580" s="22" t="str">
        <x:v>Record was not advanced to full-text assessment.</x:v>
      </x:c>
      <x:c r="AC580" s="22" t="str">
        <x:v>Not assessed</x:v>
      </x:c>
      <x:c r="AD580" s="22" t="str">
        <x:v>Not applicable — no full-text assessment was required.</x:v>
      </x:c>
      <x:c r="AE580" s="22" t="str">
        <x:v>Removed before screening</x:v>
      </x:c>
      <x:c r="AF580" s="22" t="str">
        <x:v>Not applicable — not included</x:v>
      </x:c>
      <x:c r="AG580" s="22" t="str">
        <x:v>Evidence: 15524063-a336-40b5-885d-0295397ba624.png; page 4, result 3. Metadata transcribed from captured Google Scholar page; OCR-normalised, verify against publication before citation.</x:v>
      </x:c>
      <x:c r="AH580" s="20" t="str">
        <x:v>No duplicate identified under the documented matching rules.</x:v>
      </x:c>
    </x:row>
    <x:row r="581" ht="42" customHeight="1">
      <x:c r="A581" s="22" t="str">
        <x:v>GS-06-034</x:v>
      </x:c>
      <x:c r="B581" s="22" t="str">
        <x:v>Google Scholar</x:v>
      </x:c>
      <x:c r="C581" s="22" t="str">
        <x:v>GS-06</x:v>
      </x:c>
      <x:c r="D581" s="22" t="str">
        <x:v>Self-supervised representation learning far trustworthy ultrasound video analysis</x:v>
      </x:c>
      <x:c r="E581" s="22" t="str">
        <x:v>K Zhang</x:v>
      </x:c>
      <x:c r="F581" s="22" t="n">
        <x:v>2024</x:v>
      </x:c>
      <x:c r="G581" s="22" t="str">
        <x:v>2024 - ora ox ac -k</x:v>
      </x:c>
      <x:c r="H581" s="22" t="str">
        <x:v>Google Scholar result</x:v>
      </x:c>
      <x:c r="I581" s="22" t="str">
        <x:v>NR</x:v>
      </x:c>
      <x:c r="J581" s="22" t="str">
        <x:v>NR</x:v>
      </x:c>
      <x:c r="K581" s="22" t="str">
        <x:v>NR — URL not captured in the available source record</x:v>
      </x:c>
      <x:c r="L581" s="22" t="str">
        <x:v>Not available in the captured evidence; the screening decision used the title and available source metadata.</x:v>
      </x:c>
      <x:c r="M581" s="22" t="str">
        <x:v>No duplicate</x:v>
      </x:c>
      <x:c r="N581" s="22" t="str">
        <x:v>Not applicable — no duplicate group</x:v>
      </x:c>
      <x:c r="O581" s="22" t="str">
        <x:v>Not applicable</x:v>
      </x:c>
      <x:c r="P581" s="22" t="str">
        <x:v>Yes</x:v>
      </x:c>
      <x:c r="Q581" s="22" t="str">
        <x:v>Exclude</x:v>
      </x:c>
      <x:c r="R581" s="22" t="str">
        <x:v>Ultrasound representation learning without concept-oriented XAI.</x:v>
      </x:c>
      <x:c r="S581" s="22" t="str">
        <x:v>Verification documented at process level</x:v>
      </x:c>
      <x:c r="T581" s="22" t="str">
        <x:v>Two additional authors performed random spot checks; individual spot-check assignments are not recorded in this register.</x:v>
      </x:c>
      <x:c r="U581" s="22" t="str">
        <x:v>Exclude</x:v>
      </x:c>
      <x:c r="V581" s="22" t="str">
        <x:v>Primary decision by the corresponding author; two additional authors performed random spot checks as a quality-control step.</x:v>
      </x:c>
      <x:c r="W581" s="22" t="str">
        <x:v>No</x:v>
      </x:c>
      <x:c r="X581" s="22" t="str">
        <x:v>Not applicable</x:v>
      </x:c>
      <x:c r="Y581" s="22" t="str">
        <x:v>Not assessed</x:v>
      </x:c>
      <x:c r="Z581" s="22" t="str">
        <x:v>Not advanced to full-text assessment after the title/abstract decision.</x:v>
      </x:c>
      <x:c r="AA581" s="22" t="str">
        <x:v>Not applicable</x:v>
      </x:c>
      <x:c r="AB581" s="22" t="str">
        <x:v>Record was not advanced to full-text assessment.</x:v>
      </x:c>
      <x:c r="AC581" s="22" t="str">
        <x:v>Not assessed</x:v>
      </x:c>
      <x:c r="AD581" s="22" t="str">
        <x:v>Not applicable — no full-text assessment was required.</x:v>
      </x:c>
      <x:c r="AE581" s="22" t="str">
        <x:v>Not included — title/abstract exclusion</x:v>
      </x:c>
      <x:c r="AF581" s="22" t="str">
        <x:v>Not applicable — not included</x:v>
      </x:c>
      <x:c r="AG581" s="22" t="str">
        <x:v>Evidence: 15524063-a336-40b5-885d-0295397ba624.png; page 4, result 4. Metadata transcribed from captured Google Scholar page; OCR-normalised, verify against publication before citation.</x:v>
      </x:c>
      <x:c r="AH581" s="20" t="str">
        <x:v>No duplicate identified under the documented matching rules.</x:v>
      </x:c>
    </x:row>
    <x:row r="582" ht="42" customHeight="1">
      <x:c r="A582" s="22" t="str">
        <x:v>GS-06-035</x:v>
      </x:c>
      <x:c r="B582" s="22" t="str">
        <x:v>Google Scholar</x:v>
      </x:c>
      <x:c r="C582" s="22" t="str">
        <x:v>GS-06</x:v>
      </x:c>
      <x:c r="D582" s="22" t="str">
        <x:v>Argument-based natural language explanation generation and assessment in healthcare</x:v>
      </x:c>
      <x:c r="E582" s="22" t="str">
        <x:v>B Moiine:</x:v>
      </x:c>
      <x:c r="F582" s="22" t="n">
        <x:v>2024</x:v>
      </x:c>
      <x:c r="G582" s="22" t="str">
        <x:v>2024 - theses ha scierce</x:v>
      </x:c>
      <x:c r="H582" s="22" t="str">
        <x:v>Google Scholar result</x:v>
      </x:c>
      <x:c r="I582" s="22" t="str">
        <x:v>NR</x:v>
      </x:c>
      <x:c r="J582" s="22" t="str">
        <x:v>NR</x:v>
      </x:c>
      <x:c r="K582" s="22" t="str">
        <x:v>NR — URL not captured in the available source record</x:v>
      </x:c>
      <x:c r="L582" s="22" t="str">
        <x:v>Not available in the captured evidence; the screening decision used the title and available source metadata.</x:v>
      </x:c>
      <x:c r="M582" s="22" t="str">
        <x:v>No duplicate</x:v>
      </x:c>
      <x:c r="N582" s="22" t="str">
        <x:v>Not applicable — no duplicate group</x:v>
      </x:c>
      <x:c r="O582" s="22" t="str">
        <x:v>Not applicable</x:v>
      </x:c>
      <x:c r="P582" s="22" t="str">
        <x:v>Yes</x:v>
      </x:c>
      <x:c r="Q582" s="22" t="str">
        <x:v>Exclude</x:v>
      </x:c>
      <x:c r="R582" s="22" t="str">
        <x:v>Natural-language healthcare explanations rather than medical-imaging concept XAI.</x:v>
      </x:c>
      <x:c r="S582" s="22" t="str">
        <x:v>Verification documented at process level</x:v>
      </x:c>
      <x:c r="T582" s="22" t="str">
        <x:v>Two additional authors performed random spot checks; individual spot-check assignments are not recorded in this register.</x:v>
      </x:c>
      <x:c r="U582" s="22" t="str">
        <x:v>Exclude</x:v>
      </x:c>
      <x:c r="V582" s="22" t="str">
        <x:v>Primary decision by the corresponding author; two additional authors performed random spot checks as a quality-control step.</x:v>
      </x:c>
      <x:c r="W582" s="22" t="str">
        <x:v>No</x:v>
      </x:c>
      <x:c r="X582" s="22" t="str">
        <x:v>Not applicable</x:v>
      </x:c>
      <x:c r="Y582" s="22" t="str">
        <x:v>Not assessed</x:v>
      </x:c>
      <x:c r="Z582" s="22" t="str">
        <x:v>Not advanced to full-text assessment after the title/abstract decision.</x:v>
      </x:c>
      <x:c r="AA582" s="22" t="str">
        <x:v>Not applicable</x:v>
      </x:c>
      <x:c r="AB582" s="22" t="str">
        <x:v>Record was not advanced to full-text assessment.</x:v>
      </x:c>
      <x:c r="AC582" s="22" t="str">
        <x:v>Not assessed</x:v>
      </x:c>
      <x:c r="AD582" s="22" t="str">
        <x:v>Not applicable — no full-text assessment was required.</x:v>
      </x:c>
      <x:c r="AE582" s="22" t="str">
        <x:v>Not included — title/abstract exclusion</x:v>
      </x:c>
      <x:c r="AF582" s="22" t="str">
        <x:v>Not applicable — not included</x:v>
      </x:c>
      <x:c r="AG582" s="22" t="str">
        <x:v>Evidence: 15524063-a336-40b5-885d-0295397ba624.png; page 4, result 5. Metadata transcribed from captured Google Scholar page; OCR-normalised, verify against publication before citation.</x:v>
      </x:c>
      <x:c r="AH582" s="20" t="str">
        <x:v>No duplicate identified under the documented matching rules.</x:v>
      </x:c>
    </x:row>
    <x:row r="583" ht="42" customHeight="1">
      <x:c r="A583" s="22" t="str">
        <x:v>GS-06-036</x:v>
      </x:c>
      <x:c r="B583" s="22" t="str">
        <x:v>Google Scholar</x:v>
      </x:c>
      <x:c r="C583" s="22" t="str">
        <x:v>GS-06</x:v>
      </x:c>
      <x:c r="D583" s="22" t="str">
        <x:v>Bridging the gap’ Explainable Al for advancing Earth System Scrence</x:v>
      </x:c>
      <x:c r="E583" s="22" t="str">
        <x:v>F Huang S yiang W/ Shangquan LLi ¥ Zhang -Scianca China Eanth = 2026- Sprirger</x:v>
      </x:c>
      <x:c r="F583" s="22" t="n">
        <x:v>2026</x:v>
      </x:c>
      <x:c r="G583" s="22" t="str">
        <x:v>F Huang S yiang W/ Shangquan LLi ¥ Zhang -Scianca China Eanth = 2026- Sprirger</x:v>
      </x:c>
      <x:c r="H583" s="22" t="str">
        <x:v>Google Scholar result</x:v>
      </x:c>
      <x:c r="I583" s="22" t="str">
        <x:v>NR</x:v>
      </x:c>
      <x:c r="J583" s="22" t="str">
        <x:v>NR</x:v>
      </x:c>
      <x:c r="K583" s="22" t="str">
        <x:v>NR — URL not captured in the available source record</x:v>
      </x:c>
      <x:c r="L583" s="22" t="str">
        <x:v>Not available in the captured evidence; the screening decision used the title and available source metadata.</x:v>
      </x:c>
      <x:c r="M583" s="22" t="str">
        <x:v>No duplicate</x:v>
      </x:c>
      <x:c r="N583" s="22" t="str">
        <x:v>Not applicable — no duplicate group</x:v>
      </x:c>
      <x:c r="O583" s="22" t="str">
        <x:v>Not applicable</x:v>
      </x:c>
      <x:c r="P583" s="22" t="str">
        <x:v>Yes</x:v>
      </x:c>
      <x:c r="Q583" s="22" t="str">
        <x:v>Exclude</x:v>
      </x:c>
      <x:c r="R583" s="22" t="str">
        <x:v>Wrong domain: Earth-system science.</x:v>
      </x:c>
      <x:c r="S583" s="22" t="str">
        <x:v>Verification documented at process level</x:v>
      </x:c>
      <x:c r="T583" s="22" t="str">
        <x:v>Two additional authors performed random spot checks; individual spot-check assignments are not recorded in this register.</x:v>
      </x:c>
      <x:c r="U583" s="22" t="str">
        <x:v>Exclude</x:v>
      </x:c>
      <x:c r="V583" s="22" t="str">
        <x:v>Primary decision by the corresponding author; two additional authors performed random spot checks as a quality-control step.</x:v>
      </x:c>
      <x:c r="W583" s="22" t="str">
        <x:v>No</x:v>
      </x:c>
      <x:c r="X583" s="22" t="str">
        <x:v>Not applicable</x:v>
      </x:c>
      <x:c r="Y583" s="22" t="str">
        <x:v>Not assessed</x:v>
      </x:c>
      <x:c r="Z583" s="22" t="str">
        <x:v>Not advanced to full-text assessment after the title/abstract decision.</x:v>
      </x:c>
      <x:c r="AA583" s="22" t="str">
        <x:v>Not applicable</x:v>
      </x:c>
      <x:c r="AB583" s="22" t="str">
        <x:v>Record was not advanced to full-text assessment.</x:v>
      </x:c>
      <x:c r="AC583" s="22" t="str">
        <x:v>Not assessed</x:v>
      </x:c>
      <x:c r="AD583" s="22" t="str">
        <x:v>Not applicable — no full-text assessment was required.</x:v>
      </x:c>
      <x:c r="AE583" s="22" t="str">
        <x:v>Not included — title/abstract exclusion</x:v>
      </x:c>
      <x:c r="AF583" s="22" t="str">
        <x:v>Not applicable — not included</x:v>
      </x:c>
      <x:c r="AG583" s="22" t="str">
        <x:v>Evidence: 15524063-a336-40b5-885d-0295397ba624.png; page 4, result 6. Metadata transcribed from captured Google Scholar page; OCR-normalised, verify against publication before citation.</x:v>
      </x:c>
      <x:c r="AH583" s="20" t="str">
        <x:v>No duplicate identified under the documented matching rules.</x:v>
      </x:c>
    </x:row>
    <x:row r="584" ht="42" customHeight="1">
      <x:c r="A584" s="22" t="str">
        <x:v>GS-06-037</x:v>
      </x:c>
      <x:c r="B584" s="22" t="str">
        <x:v>Google Scholar</x:v>
      </x:c>
      <x:c r="C584" s="22" t="str">
        <x:v>GS-06</x:v>
      </x:c>
      <x:c r="D584" s="22" t="str">
        <x:v>Interpretabilidade de redes neurais convelucionais com estudo de caso eam diagnéstica por imagem</x:v>
      </x:c>
      <x:c r="E584" s="22" t="str">
        <x:v>MG Maia</x:v>
      </x:c>
      <x:c r="F584" s="22" t="n">
        <x:v>2022</x:v>
      </x:c>
      <x:c r="G584" s="22" t="str">
        <x:v>2022 - dspace st. ufcg edu br</x:v>
      </x:c>
      <x:c r="H584" s="22" t="str">
        <x:v>Google Scholar result</x:v>
      </x:c>
      <x:c r="I584" s="22" t="str">
        <x:v>NR</x:v>
      </x:c>
      <x:c r="J584" s="22" t="str">
        <x:v>NR</x:v>
      </x:c>
      <x:c r="K584" s="22" t="str">
        <x:v>NR — URL not captured in the available source record</x:v>
      </x:c>
      <x:c r="L584" s="22" t="str">
        <x:v>Not available in the captured evidence; the screening decision used the title and available source metadata.</x:v>
      </x:c>
      <x:c r="M584" s="22" t="str">
        <x:v>No duplicate</x:v>
      </x:c>
      <x:c r="N584" s="22" t="str">
        <x:v>DG-117</x:v>
      </x:c>
      <x:c r="O584" s="22" t="str">
        <x:v>Not applicable</x:v>
      </x:c>
      <x:c r="P584" s="22" t="str">
        <x:v>Yes</x:v>
      </x:c>
      <x:c r="Q584" s="22" t="str">
        <x:v>Exclude</x:v>
      </x:c>
      <x:c r="R584" s="22" t="str">
        <x:v>Dissertation without evidence of concept-oriented medical-imaging XAI.</x:v>
      </x:c>
      <x:c r="S584" s="22" t="str">
        <x:v>Verification documented at process level</x:v>
      </x:c>
      <x:c r="T584" s="22" t="str">
        <x:v>Two additional authors performed random spot checks; individual spot-check assignments are not recorded in this register.</x:v>
      </x:c>
      <x:c r="U584" s="22" t="str">
        <x:v>Exclude</x:v>
      </x:c>
      <x:c r="V584" s="22" t="str">
        <x:v>Primary decision by the corresponding author; two additional authors performed random spot checks as a quality-control step.</x:v>
      </x:c>
      <x:c r="W584" s="22" t="str">
        <x:v>No</x:v>
      </x:c>
      <x:c r="X584" s="22" t="str">
        <x:v>Not applicable</x:v>
      </x:c>
      <x:c r="Y584" s="22" t="str">
        <x:v>Not assessed</x:v>
      </x:c>
      <x:c r="Z584" s="22" t="str">
        <x:v>Not advanced to full-text assessment after the title/abstract decision.</x:v>
      </x:c>
      <x:c r="AA584" s="22" t="str">
        <x:v>Not applicable</x:v>
      </x:c>
      <x:c r="AB584" s="22" t="str">
        <x:v>Record was not advanced to full-text assessment.</x:v>
      </x:c>
      <x:c r="AC584" s="22" t="str">
        <x:v>Not assessed</x:v>
      </x:c>
      <x:c r="AD584" s="22" t="str">
        <x:v>Not applicable — no full-text assessment was required.</x:v>
      </x:c>
      <x:c r="AE584" s="22" t="str">
        <x:v>Not included — title/abstract exclusion</x:v>
      </x:c>
      <x:c r="AF584" s="22" t="str">
        <x:v>Not applicable — not included</x:v>
      </x:c>
      <x:c r="AG584" s="22" t="str">
        <x:v>Evidence: 15524063-a336-40b5-885d-0295397ba624.png; page 4, result 7. Metadata transcribed from captured Google Scholar page; OCR-normalised, verify against publication before citation.</x:v>
      </x:c>
      <x:c r="AH584" s="20" t="str">
        <x:v>No duplicate identified under the documented matching rules.</x:v>
      </x:c>
    </x:row>
    <x:row r="585" ht="42" customHeight="1">
      <x:c r="A585" s="22" t="str">
        <x:v>GS-06-038</x:v>
      </x:c>
      <x:c r="B585" s="22" t="str">
        <x:v>Google Scholar</x:v>
      </x:c>
      <x:c r="C585" s="22" t="str">
        <x:v>GS-06</x:v>
      </x:c>
      <x:c r="D585" s="22" t="str">
        <x:v>Towards falsifiable interpretability research</x:v>
      </x:c>
      <x:c r="E585" s="22" t="str">
        <x:v>ML Leavit AbMarcas</x:v>
      </x:c>
      <x:c r="F585" s="22" t="n">
        <x:v>2020</x:v>
      </x:c>
      <x:c r="G585" s="22" t="str">
        <x:v>arXiv preprint arXiv 2010 12016 2020 - ary org</x:v>
      </x:c>
      <x:c r="H585" s="22" t="str">
        <x:v>Google Scholar result</x:v>
      </x:c>
      <x:c r="I585" s="22" t="str">
        <x:v>NR</x:v>
      </x:c>
      <x:c r="J585" s="22" t="str">
        <x:v>NR</x:v>
      </x:c>
      <x:c r="K585" s="22" t="str">
        <x:v>NR — URL not captured in the available source record</x:v>
      </x:c>
      <x:c r="L585" s="22" t="str">
        <x:v>Not available in the captured evidence; the screening decision used the title and available source metadata.</x:v>
      </x:c>
      <x:c r="M585" s="22" t="str">
        <x:v>No duplicate</x:v>
      </x:c>
      <x:c r="N585" s="22" t="str">
        <x:v>Not applicable — no duplicate group</x:v>
      </x:c>
      <x:c r="O585" s="22" t="str">
        <x:v>Not applicable</x:v>
      </x:c>
      <x:c r="P585" s="22" t="str">
        <x:v>Yes</x:v>
      </x:c>
      <x:c r="Q585" s="22" t="str">
        <x:v>Exclude</x:v>
      </x:c>
      <x:c r="R585" s="22" t="str">
        <x:v>General interpretability methodology without medical-imaging application.</x:v>
      </x:c>
      <x:c r="S585" s="22" t="str">
        <x:v>Verification documented at process level</x:v>
      </x:c>
      <x:c r="T585" s="22" t="str">
        <x:v>Two additional authors performed random spot checks; individual spot-check assignments are not recorded in this register.</x:v>
      </x:c>
      <x:c r="U585" s="22" t="str">
        <x:v>Exclude</x:v>
      </x:c>
      <x:c r="V585" s="22" t="str">
        <x:v>Primary decision by the corresponding author; two additional authors performed random spot checks as a quality-control step.</x:v>
      </x:c>
      <x:c r="W585" s="22" t="str">
        <x:v>No</x:v>
      </x:c>
      <x:c r="X585" s="22" t="str">
        <x:v>Not applicable</x:v>
      </x:c>
      <x:c r="Y585" s="22" t="str">
        <x:v>Not assessed</x:v>
      </x:c>
      <x:c r="Z585" s="22" t="str">
        <x:v>Not advanced to full-text assessment after the title/abstract decision.</x:v>
      </x:c>
      <x:c r="AA585" s="22" t="str">
        <x:v>Not applicable</x:v>
      </x:c>
      <x:c r="AB585" s="22" t="str">
        <x:v>Record was not advanced to full-text assessment.</x:v>
      </x:c>
      <x:c r="AC585" s="22" t="str">
        <x:v>Not assessed</x:v>
      </x:c>
      <x:c r="AD585" s="22" t="str">
        <x:v>Not applicable — no full-text assessment was required.</x:v>
      </x:c>
      <x:c r="AE585" s="22" t="str">
        <x:v>Not included — title/abstract exclusion</x:v>
      </x:c>
      <x:c r="AF585" s="22" t="str">
        <x:v>Not applicable — not included</x:v>
      </x:c>
      <x:c r="AG585" s="22" t="str">
        <x:v>Evidence: 15524063-a336-40b5-885d-0295397ba624.png; page 4, result 8. Metadata transcribed from captured Google Scholar page; OCR-normalised, verify against publication before citation.</x:v>
      </x:c>
      <x:c r="AH585" s="20" t="str">
        <x:v>No duplicate identified under the documented matching rules.</x:v>
      </x:c>
    </x:row>
    <x:row r="586" ht="42" customHeight="1">
      <x:c r="A586" s="22" t="str">
        <x:v>GS-06-039</x:v>
      </x:c>
      <x:c r="B586" s="22" t="str">
        <x:v>Google Scholar</x:v>
      </x:c>
      <x:c r="C586" s="22" t="str">
        <x:v>GS-06</x:v>
      </x:c>
      <x:c r="D586" s="22" t="str">
        <x:v>(PpF) Towards Human-Centred Explainable Al</x:v>
      </x:c>
      <x:c r="E586" s="22" t="str">
        <x:v>MSH len Keppel T Schligpe</x:v>
      </x:c>
      <x:c r="F586" s="22" t="str">
        <x:v>NR</x:v>
      </x:c>
      <x:c r="G586" s="22" t="str">
        <x:v>maurice-lenkoppel com</x:v>
      </x:c>
      <x:c r="H586" s="22" t="str">
        <x:v>Google Scholar result</x:v>
      </x:c>
      <x:c r="I586" s="22" t="str">
        <x:v>NR</x:v>
      </x:c>
      <x:c r="J586" s="22" t="str">
        <x:v>NR</x:v>
      </x:c>
      <x:c r="K586" s="22" t="str">
        <x:v>NR — URL not captured in the available source record</x:v>
      </x:c>
      <x:c r="L586" s="22" t="str">
        <x:v>Not available in the captured evidence; the screening decision used the title and available source metadata.</x:v>
      </x:c>
      <x:c r="M586" s="22" t="str">
        <x:v>No duplicate</x:v>
      </x:c>
      <x:c r="N586" s="22" t="str">
        <x:v>Not applicable — no duplicate group</x:v>
      </x:c>
      <x:c r="O586" s="22" t="str">
        <x:v>Not applicable</x:v>
      </x:c>
      <x:c r="P586" s="22" t="str">
        <x:v>Yes</x:v>
      </x:c>
      <x:c r="Q586" s="22" t="str">
        <x:v>Exclude</x:v>
      </x:c>
      <x:c r="R586" s="22" t="str">
        <x:v>General human-centred XAI perspective; not original relevant evidence.</x:v>
      </x:c>
      <x:c r="S586" s="22" t="str">
        <x:v>Verification documented at process level</x:v>
      </x:c>
      <x:c r="T586" s="22" t="str">
        <x:v>Two additional authors performed random spot checks; individual spot-check assignments are not recorded in this register.</x:v>
      </x:c>
      <x:c r="U586" s="22" t="str">
        <x:v>Exclude</x:v>
      </x:c>
      <x:c r="V586" s="22" t="str">
        <x:v>Primary decision by the corresponding author; two additional authors performed random spot checks as a quality-control step.</x:v>
      </x:c>
      <x:c r="W586" s="22" t="str">
        <x:v>No</x:v>
      </x:c>
      <x:c r="X586" s="22" t="str">
        <x:v>Not applicable</x:v>
      </x:c>
      <x:c r="Y586" s="22" t="str">
        <x:v>Not assessed</x:v>
      </x:c>
      <x:c r="Z586" s="22" t="str">
        <x:v>Not advanced to full-text assessment after the title/abstract decision.</x:v>
      </x:c>
      <x:c r="AA586" s="22" t="str">
        <x:v>Not applicable</x:v>
      </x:c>
      <x:c r="AB586" s="22" t="str">
        <x:v>Record was not advanced to full-text assessment.</x:v>
      </x:c>
      <x:c r="AC586" s="22" t="str">
        <x:v>Not assessed</x:v>
      </x:c>
      <x:c r="AD586" s="22" t="str">
        <x:v>Not applicable — no full-text assessment was required.</x:v>
      </x:c>
      <x:c r="AE586" s="22" t="str">
        <x:v>Not included — title/abstract exclusion</x:v>
      </x:c>
      <x:c r="AF586" s="22" t="str">
        <x:v>Not applicable — not included</x:v>
      </x:c>
      <x:c r="AG586" s="22" t="str">
        <x:v>Evidence: 15524063-a336-40b5-885d-0295397ba624.png; page 4, result 9. Metadata transcribed from captured Google Scholar page; OCR-normalised, verify against publication before citation.</x:v>
      </x:c>
      <x:c r="AH586" s="20" t="str">
        <x:v>No duplicate identified under the documented matching rules.</x:v>
      </x:c>
    </x:row>
    <x:row r="587" ht="42" customHeight="1">
      <x:c r="A587" s="22" t="str">
        <x:v>GS-06-040</x:v>
      </x:c>
      <x:c r="B587" s="22" t="str">
        <x:v>Google Scholar</x:v>
      </x:c>
      <x:c r="C587" s="22" t="str">
        <x:v>GS-06</x:v>
      </x:c>
      <x:c r="D587" s="22" t="str">
        <x:v>Explainable deep machine learning for medical image analysis</x:v>
      </x:c>
      <x:c r="E587" s="22" t="str">
        <x:v>AGaudic</x:v>
      </x:c>
      <x:c r="F587" s="22" t="str">
        <x:v>NR</x:v>
      </x:c>
      <x:c r="G587" s="22" t="str">
        <x:v>2923 - seavch proqvest com</x:v>
      </x:c>
      <x:c r="H587" s="22" t="str">
        <x:v>Google Scholar result</x:v>
      </x:c>
      <x:c r="I587" s="22" t="str">
        <x:v>NR</x:v>
      </x:c>
      <x:c r="J587" s="22" t="str">
        <x:v>NR</x:v>
      </x:c>
      <x:c r="K587" s="22" t="str">
        <x:v>NR — URL not captured in the available source record</x:v>
      </x:c>
      <x:c r="L587" s="22" t="str">
        <x:v>Not available in the captured evidence; the screening decision used the title and available source metadata.</x:v>
      </x:c>
      <x:c r="M587" s="22" t="str">
        <x:v>No duplicate</x:v>
      </x:c>
      <x:c r="N587" s="22" t="str">
        <x:v>Not applicable — no duplicate group</x:v>
      </x:c>
      <x:c r="O587" s="22" t="str">
        <x:v>Not applicable</x:v>
      </x:c>
      <x:c r="P587" s="22" t="str">
        <x:v>Yes</x:v>
      </x:c>
      <x:c r="Q587" s="22" t="str">
        <x:v>Exclude</x:v>
      </x:c>
      <x:c r="R587" s="22" t="str">
        <x:v>Broad medical-imaging dissertation without identified concept-based retinal evidence.</x:v>
      </x:c>
      <x:c r="S587" s="22" t="str">
        <x:v>Verification documented at process level</x:v>
      </x:c>
      <x:c r="T587" s="22" t="str">
        <x:v>Two additional authors performed random spot checks; individual spot-check assignments are not recorded in this register.</x:v>
      </x:c>
      <x:c r="U587" s="22" t="str">
        <x:v>Exclude</x:v>
      </x:c>
      <x:c r="V587" s="22" t="str">
        <x:v>Primary decision by the corresponding author; two additional authors performed random spot checks as a quality-control step.</x:v>
      </x:c>
      <x:c r="W587" s="22" t="str">
        <x:v>No</x:v>
      </x:c>
      <x:c r="X587" s="22" t="str">
        <x:v>Not applicable</x:v>
      </x:c>
      <x:c r="Y587" s="22" t="str">
        <x:v>Not assessed</x:v>
      </x:c>
      <x:c r="Z587" s="22" t="str">
        <x:v>Not advanced to full-text assessment after the title/abstract decision.</x:v>
      </x:c>
      <x:c r="AA587" s="22" t="str">
        <x:v>Not applicable</x:v>
      </x:c>
      <x:c r="AB587" s="22" t="str">
        <x:v>Record was not advanced to full-text assessment.</x:v>
      </x:c>
      <x:c r="AC587" s="22" t="str">
        <x:v>Not assessed</x:v>
      </x:c>
      <x:c r="AD587" s="22" t="str">
        <x:v>Not applicable — no full-text assessment was required.</x:v>
      </x:c>
      <x:c r="AE587" s="22" t="str">
        <x:v>Not included — title/abstract exclusion</x:v>
      </x:c>
      <x:c r="AF587" s="22" t="str">
        <x:v>Not applicable — not included</x:v>
      </x:c>
      <x:c r="AG587" s="22" t="str">
        <x:v>Evidence: 15524063-a336-40b5-885d-0295397ba624.png; page 4, result 10. Metadata transcribed from captured Google Scholar page; OCR-normalised, verify against publication before citation.</x:v>
      </x:c>
      <x:c r="AH587" s="20" t="str">
        <x:v>No duplicate identified under the documented matching rules.</x:v>
      </x:c>
    </x:row>
    <x:row r="588" ht="42" customHeight="1">
      <x:c r="A588" s="22" t="str">
        <x:v>GS-06-041</x:v>
      </x:c>
      <x:c r="B588" s="22" t="str">
        <x:v>Google Scholar</x:v>
      </x:c>
      <x:c r="C588" s="22" t="str">
        <x:v>GS-06</x:v>
      </x:c>
      <x:c r="D588" s="22" t="str">
        <x:v>How is fairness measured in practice? A survey and critique of fairness analyses applied to predictive algorithms</x:v>
      </x:c>
      <x:c r="E588" s="22" t="str">
        <x:v>A Putman. P Lewis. O Rudmer</x:v>
      </x:c>
      <x:c r="F588" s="22" t="n">
        <x:v>2026</x:v>
      </x:c>
      <x:c r="G588" s="22" t="str">
        <x:v>2026 - ontarolechu scholaris ca</x:v>
      </x:c>
      <x:c r="H588" s="22" t="str">
        <x:v>Google Scholar result</x:v>
      </x:c>
      <x:c r="I588" s="22" t="str">
        <x:v>NR</x:v>
      </x:c>
      <x:c r="J588" s="22" t="str">
        <x:v>NR</x:v>
      </x:c>
      <x:c r="K588" s="22" t="str">
        <x:v>NR — URL not captured in the available source record</x:v>
      </x:c>
      <x:c r="L588" s="22" t="str">
        <x:v>Not available in the captured evidence; the screening decision used the title and available source metadata.</x:v>
      </x:c>
      <x:c r="M588" s="22" t="str">
        <x:v>No duplicate</x:v>
      </x:c>
      <x:c r="N588" s="22" t="str">
        <x:v>Not applicable — no duplicate group</x:v>
      </x:c>
      <x:c r="O588" s="22" t="str">
        <x:v>Not applicable</x:v>
      </x:c>
      <x:c r="P588" s="22" t="str">
        <x:v>Yes</x:v>
      </x:c>
      <x:c r="Q588" s="22" t="str">
        <x:v>Exclude</x:v>
      </x:c>
      <x:c r="R588" s="22" t="str">
        <x:v>Fairness survey; wrong focus and non-original.</x:v>
      </x:c>
      <x:c r="S588" s="22" t="str">
        <x:v>Verification documented at process level</x:v>
      </x:c>
      <x:c r="T588" s="22" t="str">
        <x:v>Two additional authors performed random spot checks; individual spot-check assignments are not recorded in this register.</x:v>
      </x:c>
      <x:c r="U588" s="22" t="str">
        <x:v>Exclude</x:v>
      </x:c>
      <x:c r="V588" s="22" t="str">
        <x:v>Primary decision by the corresponding author; two additional authors performed random spot checks as a quality-control step.</x:v>
      </x:c>
      <x:c r="W588" s="22" t="str">
        <x:v>No</x:v>
      </x:c>
      <x:c r="X588" s="22" t="str">
        <x:v>Not applicable</x:v>
      </x:c>
      <x:c r="Y588" s="22" t="str">
        <x:v>Not assessed</x:v>
      </x:c>
      <x:c r="Z588" s="22" t="str">
        <x:v>Not advanced to full-text assessment after the title/abstract decision.</x:v>
      </x:c>
      <x:c r="AA588" s="22" t="str">
        <x:v>Not applicable</x:v>
      </x:c>
      <x:c r="AB588" s="22" t="str">
        <x:v>Record was not advanced to full-text assessment.</x:v>
      </x:c>
      <x:c r="AC588" s="22" t="str">
        <x:v>Not assessed</x:v>
      </x:c>
      <x:c r="AD588" s="22" t="str">
        <x:v>Not applicable — no full-text assessment was required.</x:v>
      </x:c>
      <x:c r="AE588" s="22" t="str">
        <x:v>Not included — title/abstract exclusion</x:v>
      </x:c>
      <x:c r="AF588" s="22" t="str">
        <x:v>Not applicable — not included</x:v>
      </x:c>
      <x:c r="AG588" s="22" t="str">
        <x:v>Evidence: fbae05db-9be9-41fc-bea0-9604eea4a74b.png; page 5, result 1. Metadata transcribed from captured Google Scholar page; OCR-normalised, verify against publication before citation.</x:v>
      </x:c>
      <x:c r="AH588" s="20" t="str">
        <x:v>No duplicate identified under the documented matching rules.</x:v>
      </x:c>
    </x:row>
    <x:row r="589" ht="42" customHeight="1">
      <x:c r="A589" s="22" t="str">
        <x:v>GS-07-001</x:v>
      </x:c>
      <x:c r="B589" s="22" t="str">
        <x:v>Google Scholar</x:v>
      </x:c>
      <x:c r="C589" s="22" t="str">
        <x:v>GS-07</x:v>
      </x:c>
      <x:c r="D589" s="22" t="str">
        <x:v>sock] Interpretabilily in deep learning</x:v>
      </x:c>
      <x:c r="E589" s="22" t="str">
        <x:v>ASomani A Horsch. SK Prasad</x:v>
      </x:c>
      <x:c r="F589" s="22" t="str">
        <x:v>NR</x:v>
      </x:c>
      <x:c r="G589" s="22" t="str">
        <x:v>202] - Springer</x:v>
      </x:c>
      <x:c r="H589" s="22" t="str">
        <x:v>Google Scholar result</x:v>
      </x:c>
      <x:c r="I589" s="22" t="str">
        <x:v>NR</x:v>
      </x:c>
      <x:c r="J589" s="22" t="str">
        <x:v>NR</x:v>
      </x:c>
      <x:c r="K589" s="22" t="str">
        <x:v>NR — URL not captured in the available source record</x:v>
      </x:c>
      <x:c r="L589" s="22" t="str">
        <x:v>Not available in the captured evidence; the screening decision used the title and available source metadata.</x:v>
      </x:c>
      <x:c r="M589" s="22" t="str">
        <x:v>No duplicate</x:v>
      </x:c>
      <x:c r="N589" s="22" t="str">
        <x:v>Not applicable — no duplicate group</x:v>
      </x:c>
      <x:c r="O589" s="22" t="str">
        <x:v>Not applicable</x:v>
      </x:c>
      <x:c r="P589" s="22" t="str">
        <x:v>Yes</x:v>
      </x:c>
      <x:c r="Q589" s="22" t="str">
        <x:v>Exclude</x:v>
      </x:c>
      <x:c r="R589" s="22" t="str">
        <x:v>General interpretability review; not an original medical-imaging study.</x:v>
      </x:c>
      <x:c r="S589" s="22" t="str">
        <x:v>Verification documented at process level</x:v>
      </x:c>
      <x:c r="T589" s="22" t="str">
        <x:v>Two additional authors performed random spot checks; individual spot-check assignments are not recorded in this register.</x:v>
      </x:c>
      <x:c r="U589" s="22" t="str">
        <x:v>Exclude</x:v>
      </x:c>
      <x:c r="V589" s="22" t="str">
        <x:v>Primary decision by the corresponding author; two additional authors performed random spot checks as a quality-control step.</x:v>
      </x:c>
      <x:c r="W589" s="22" t="str">
        <x:v>No</x:v>
      </x:c>
      <x:c r="X589" s="22" t="str">
        <x:v>Not applicable</x:v>
      </x:c>
      <x:c r="Y589" s="22" t="str">
        <x:v>Not assessed</x:v>
      </x:c>
      <x:c r="Z589" s="22" t="str">
        <x:v>Not advanced to full-text assessment after the title/abstract decision.</x:v>
      </x:c>
      <x:c r="AA589" s="22" t="str">
        <x:v>Not applicable</x:v>
      </x:c>
      <x:c r="AB589" s="22" t="str">
        <x:v>Record was not advanced to full-text assessment.</x:v>
      </x:c>
      <x:c r="AC589" s="22" t="str">
        <x:v>Not assessed</x:v>
      </x:c>
      <x:c r="AD589" s="22" t="str">
        <x:v>Not applicable — no full-text assessment was required.</x:v>
      </x:c>
      <x:c r="AE589" s="22" t="str">
        <x:v>Not included — title/abstract exclusion</x:v>
      </x:c>
      <x:c r="AF589" s="22" t="str">
        <x:v>Not applicable — not included</x:v>
      </x:c>
      <x:c r="AG589" s="22" t="str">
        <x:v>Evidence: 5763a0c5-5063-4dac-9dc3-61a1c62a1a37.png; page 1, result 1. Metadata transcribed from captured Google Scholar page; OCR-normalised, verify against publication before citation.</x:v>
      </x:c>
      <x:c r="AH589" s="20" t="str">
        <x:v>No duplicate identified under the documented matching rules.</x:v>
      </x:c>
    </x:row>
    <x:row r="590" ht="42" customHeight="1">
      <x:c r="A590" s="22" t="str">
        <x:v>GS-07-002</x:v>
      </x:c>
      <x:c r="B590" s="22" t="str">
        <x:v>Google Scholar</x:v>
      </x:c>
      <x:c r="C590" s="22" t="str">
        <x:v>GS-07</x:v>
      </x:c>
      <x:c r="D590" s="22" t="str">
        <x:v>Artificial intelligence in clinical data analysis A review of large language models, foundation models digital twins, and allergy applications</x:v>
      </x:c>
      <x:c r="E590" s="22" t="str">
        <x:v>Y Fuse 5N Murphy Hikari. ATakahash -Allergalogy 2025 -jstage jst gc ip</x:v>
      </x:c>
      <x:c r="F590" s="22" t="n">
        <x:v>2025</x:v>
      </x:c>
      <x:c r="G590" s="22" t="str">
        <x:v>Y Fuse 5N Murphy Hikari. ATakahash -Allergalogy 2025 -jstage jst gc ip</x:v>
      </x:c>
      <x:c r="H590" s="22" t="str">
        <x:v>Google Scholar result</x:v>
      </x:c>
      <x:c r="I590" s="22" t="str">
        <x:v>NR</x:v>
      </x:c>
      <x:c r="J590" s="22" t="str">
        <x:v>NR</x:v>
      </x:c>
      <x:c r="K590" s="22" t="str">
        <x:v>NR — URL not captured in the available source record</x:v>
      </x:c>
      <x:c r="L590" s="22" t="str">
        <x:v>Not available in the captured evidence; the screening decision used the title and available source metadata.</x:v>
      </x:c>
      <x:c r="M590" s="22" t="str">
        <x:v>No duplicate</x:v>
      </x:c>
      <x:c r="N590" s="22" t="str">
        <x:v>DG-076</x:v>
      </x:c>
      <x:c r="O590" s="22" t="str">
        <x:v>Not applicable</x:v>
      </x:c>
      <x:c r="P590" s="22" t="str">
        <x:v>Yes</x:v>
      </x:c>
      <x:c r="Q590" s="22" t="str">
        <x:v>Exclude</x:v>
      </x:c>
      <x:c r="R590" s="22" t="str">
        <x:v>Review of clinical data AI; primarily non-imaging and non-original.</x:v>
      </x:c>
      <x:c r="S590" s="22" t="str">
        <x:v>Verification documented at process level</x:v>
      </x:c>
      <x:c r="T590" s="22" t="str">
        <x:v>Two additional authors performed random spot checks; individual spot-check assignments are not recorded in this register.</x:v>
      </x:c>
      <x:c r="U590" s="22" t="str">
        <x:v>Exclude</x:v>
      </x:c>
      <x:c r="V590" s="22" t="str">
        <x:v>Primary decision by the corresponding author; two additional authors performed random spot checks as a quality-control step.</x:v>
      </x:c>
      <x:c r="W590" s="22" t="str">
        <x:v>No</x:v>
      </x:c>
      <x:c r="X590" s="22" t="str">
        <x:v>Not applicable</x:v>
      </x:c>
      <x:c r="Y590" s="22" t="str">
        <x:v>Not assessed</x:v>
      </x:c>
      <x:c r="Z590" s="22" t="str">
        <x:v>Not advanced to full-text assessment after the title/abstract decision.</x:v>
      </x:c>
      <x:c r="AA590" s="22" t="str">
        <x:v>Not applicable</x:v>
      </x:c>
      <x:c r="AB590" s="22" t="str">
        <x:v>Record was not advanced to full-text assessment.</x:v>
      </x:c>
      <x:c r="AC590" s="22" t="str">
        <x:v>Not assessed</x:v>
      </x:c>
      <x:c r="AD590" s="22" t="str">
        <x:v>Not applicable — no full-text assessment was required.</x:v>
      </x:c>
      <x:c r="AE590" s="22" t="str">
        <x:v>Not included — title/abstract exclusion</x:v>
      </x:c>
      <x:c r="AF590" s="22" t="str">
        <x:v>Not applicable — not included</x:v>
      </x:c>
      <x:c r="AG590" s="22" t="str">
        <x:v>Evidence: 5763a0c5-5063-4dac-9dc3-61a1c62a1a37.png; page 1, result 2. Metadata transcribed from captured Google Scholar page; OCR-normalised, verify against publication before citation.</x:v>
      </x:c>
      <x:c r="AH590" s="20" t="str">
        <x:v>Confirmed using normalized title across captured searches.</x:v>
      </x:c>
    </x:row>
    <x:row r="591" ht="42" customHeight="1">
      <x:c r="A591" s="22" t="str">
        <x:v>GS-07-003</x:v>
      </x:c>
      <x:c r="B591" s="22" t="str">
        <x:v>Google Scholar</x:v>
      </x:c>
      <x:c r="C591" s="22" t="str">
        <x:v>GS-07</x:v>
      </x:c>
      <x:c r="D591" s="22" t="str">
        <x:v>CAD System Utilizing UNet and Hough Transform for Automated Measurement of Fetal Head Circumference and Age in 2D Ultrasound Images</x:v>
      </x:c>
      <x:c r="E591" s="22" t="str">
        <x:v>H Jabar AAMchammed B Zhang ~ 4rtilicial Inlallgenca 2926 . ojs bo-viewpress com</x:v>
      </x:c>
      <x:c r="F591" s="22" t="str">
        <x:v>NR</x:v>
      </x:c>
      <x:c r="G591" s="22" t="str">
        <x:v>H Jabar AAMchammed B Zhang ~ 4rtilicial Inlallgenca 2926 . ojs bo-viewpress com</x:v>
      </x:c>
      <x:c r="H591" s="22" t="str">
        <x:v>Google Scholar result</x:v>
      </x:c>
      <x:c r="I591" s="22" t="str">
        <x:v>NR</x:v>
      </x:c>
      <x:c r="J591" s="22" t="str">
        <x:v>NR</x:v>
      </x:c>
      <x:c r="K591" s="22" t="str">
        <x:v>NR — URL not captured in the available source record</x:v>
      </x:c>
      <x:c r="L591" s="22" t="str">
        <x:v>Not available in the captured evidence; the screening decision used the title and available source metadata.</x:v>
      </x:c>
      <x:c r="M591" s="22" t="str">
        <x:v>No duplicate</x:v>
      </x:c>
      <x:c r="N591" s="22" t="str">
        <x:v>DG-100</x:v>
      </x:c>
      <x:c r="O591" s="22" t="str">
        <x:v>Not applicable</x:v>
      </x:c>
      <x:c r="P591" s="22" t="str">
        <x:v>Yes</x:v>
      </x:c>
      <x:c r="Q591" s="22" t="str">
        <x:v>Exclude</x:v>
      </x:c>
      <x:c r="R591" s="22" t="str">
        <x:v>Fetal-ultrasound segmentation and measurement without concept XAI.</x:v>
      </x:c>
      <x:c r="S591" s="22" t="str">
        <x:v>Verification documented at process level</x:v>
      </x:c>
      <x:c r="T591" s="22" t="str">
        <x:v>Two additional authors performed random spot checks; individual spot-check assignments are not recorded in this register.</x:v>
      </x:c>
      <x:c r="U591" s="22" t="str">
        <x:v>Exclude</x:v>
      </x:c>
      <x:c r="V591" s="22" t="str">
        <x:v>Primary decision by the corresponding author; two additional authors performed random spot checks as a quality-control step.</x:v>
      </x:c>
      <x:c r="W591" s="22" t="str">
        <x:v>No</x:v>
      </x:c>
      <x:c r="X591" s="22" t="str">
        <x:v>Not applicable</x:v>
      </x:c>
      <x:c r="Y591" s="22" t="str">
        <x:v>Not assessed</x:v>
      </x:c>
      <x:c r="Z591" s="22" t="str">
        <x:v>Not advanced to full-text assessment after the title/abstract decision.</x:v>
      </x:c>
      <x:c r="AA591" s="22" t="str">
        <x:v>Not applicable</x:v>
      </x:c>
      <x:c r="AB591" s="22" t="str">
        <x:v>Record was not advanced to full-text assessment.</x:v>
      </x:c>
      <x:c r="AC591" s="22" t="str">
        <x:v>Not assessed</x:v>
      </x:c>
      <x:c r="AD591" s="22" t="str">
        <x:v>Not applicable — no full-text assessment was required.</x:v>
      </x:c>
      <x:c r="AE591" s="22" t="str">
        <x:v>Not included — title/abstract exclusion</x:v>
      </x:c>
      <x:c r="AF591" s="22" t="str">
        <x:v>Not applicable — not included</x:v>
      </x:c>
      <x:c r="AG591" s="22" t="str">
        <x:v>Evidence: 5763a0c5-5063-4dac-9dc3-61a1c62a1a37.png; page 1, result 3. Metadata transcribed from captured Google Scholar page; OCR-normalised, verify against publication before citation.</x:v>
      </x:c>
      <x:c r="AH591" s="20" t="str">
        <x:v>No duplicate identified under the documented matching rules.</x:v>
      </x:c>
    </x:row>
    <x:row r="592" ht="42" customHeight="1">
      <x:c r="A592" s="22" t="str">
        <x:v>GS-07-004</x:v>
      </x:c>
      <x:c r="B592" s="22" t="str">
        <x:v>Google Scholar</x:v>
      </x:c>
      <x:c r="C592" s="22" t="str">
        <x:v>GS-07</x:v>
      </x:c>
      <x:c r="D592" s="22" t="str">
        <x:v>ODiscovenng interpretable biolagical concapts in single-cell ma-seq foundation models</x:v>
      </x:c>
      <x:c r="E592" s="22" t="str">
        <x:v>CClaye P Marschall, WV Overdane C Hudelot « arkiv prapictarxiv§ =| 2025+ arxivarg</x:v>
      </x:c>
      <x:c r="F592" s="22" t="n">
        <x:v>2025</x:v>
      </x:c>
      <x:c r="G592" s="22" t="str">
        <x:v>CClaye P Marschall, WV Overdane C Hudelot « arkiv prapictarxiv§ =| 2025+ arxivarg</x:v>
      </x:c>
      <x:c r="H592" s="22" t="str">
        <x:v>Google Scholar result</x:v>
      </x:c>
      <x:c r="I592" s="22" t="str">
        <x:v>NR</x:v>
      </x:c>
      <x:c r="J592" s="22" t="str">
        <x:v>NR</x:v>
      </x:c>
      <x:c r="K592" s="22" t="str">
        <x:v>NR — URL not captured in the available source record</x:v>
      </x:c>
      <x:c r="L592" s="22" t="str">
        <x:v>Not available in the captured evidence; the screening decision used the title and available source metadata.</x:v>
      </x:c>
      <x:c r="M592" s="22" t="str">
        <x:v>No duplicate</x:v>
      </x:c>
      <x:c r="N592" s="22" t="str">
        <x:v>Not applicable — no duplicate group</x:v>
      </x:c>
      <x:c r="O592" s="22" t="str">
        <x:v>Not applicable</x:v>
      </x:c>
      <x:c r="P592" s="22" t="str">
        <x:v>Yes</x:v>
      </x:c>
      <x:c r="Q592" s="22" t="str">
        <x:v>Exclude</x:v>
      </x:c>
      <x:c r="R592" s="22" t="str">
        <x:v>Single-cell biological data rather than medical imaging.</x:v>
      </x:c>
      <x:c r="S592" s="22" t="str">
        <x:v>Verification documented at process level</x:v>
      </x:c>
      <x:c r="T592" s="22" t="str">
        <x:v>Two additional authors performed random spot checks; individual spot-check assignments are not recorded in this register.</x:v>
      </x:c>
      <x:c r="U592" s="22" t="str">
        <x:v>Exclude</x:v>
      </x:c>
      <x:c r="V592" s="22" t="str">
        <x:v>Primary decision by the corresponding author; two additional authors performed random spot checks as a quality-control step.</x:v>
      </x:c>
      <x:c r="W592" s="22" t="str">
        <x:v>No</x:v>
      </x:c>
      <x:c r="X592" s="22" t="str">
        <x:v>Not applicable</x:v>
      </x:c>
      <x:c r="Y592" s="22" t="str">
        <x:v>Not assessed</x:v>
      </x:c>
      <x:c r="Z592" s="22" t="str">
        <x:v>Not advanced to full-text assessment after the title/abstract decision.</x:v>
      </x:c>
      <x:c r="AA592" s="22" t="str">
        <x:v>Not applicable</x:v>
      </x:c>
      <x:c r="AB592" s="22" t="str">
        <x:v>Record was not advanced to full-text assessment.</x:v>
      </x:c>
      <x:c r="AC592" s="22" t="str">
        <x:v>Not assessed</x:v>
      </x:c>
      <x:c r="AD592" s="22" t="str">
        <x:v>Not applicable — no full-text assessment was required.</x:v>
      </x:c>
      <x:c r="AE592" s="22" t="str">
        <x:v>Not included — title/abstract exclusion</x:v>
      </x:c>
      <x:c r="AF592" s="22" t="str">
        <x:v>Not applicable — not included</x:v>
      </x:c>
      <x:c r="AG592" s="22" t="str">
        <x:v>Evidence: 5763a0c5-5063-4dac-9dc3-61a1c62a1a37.png; page 1, result 4. Metadata transcribed from captured Google Scholar page; OCR-normalised, verify against publication before citation.</x:v>
      </x:c>
      <x:c r="AH592" s="20" t="str">
        <x:v>No duplicate identified under the documented matching rules.</x:v>
      </x:c>
    </x:row>
    <x:row r="593" ht="42" customHeight="1">
      <x:c r="A593" s="22" t="str">
        <x:v>GS-07-005</x:v>
      </x:c>
      <x:c r="B593" s="22" t="str">
        <x:v>Google Scholar</x:v>
      </x:c>
      <x:c r="C593" s="22" t="str">
        <x:v>GS-07</x:v>
      </x:c>
      <x:c r="D593" s="22" t="str">
        <x:v>(PoF] CAD System Utdhzing UNet and Hough Transform for Automated Measurement of Fetal Head Circumference and Age in 20 Ultrasound Images</x:v>
      </x:c>
      <x:c r="E593" s="22" t="str">
        <x:v>AAM Hanzah Jaber A Zhang M Cw MM And Zaiy 2025: schola: archive org</x:v>
      </x:c>
      <x:c r="F593" s="22" t="n">
        <x:v>2025</x:v>
      </x:c>
      <x:c r="G593" s="22" t="str">
        <x:v>AAM Hanzah Jaber A Zhang M Cw MM And Zaiy 2025: schola: archive org</x:v>
      </x:c>
      <x:c r="H593" s="22" t="str">
        <x:v>Google Scholar result</x:v>
      </x:c>
      <x:c r="I593" s="22" t="str">
        <x:v>NR</x:v>
      </x:c>
      <x:c r="J593" s="22" t="str">
        <x:v>NR</x:v>
      </x:c>
      <x:c r="K593" s="22" t="str">
        <x:v>NR — URL not captured in the available source record</x:v>
      </x:c>
      <x:c r="L593" s="22" t="str">
        <x:v>Not available in the captured evidence; the screening decision used the title and available source metadata.</x:v>
      </x:c>
      <x:c r="M593" s="22" t="str">
        <x:v>Confirmed duplicate</x:v>
      </x:c>
      <x:c r="N593" s="22" t="str">
        <x:v>DG-100</x:v>
      </x:c>
      <x:c r="O593" s="22" t="str">
        <x:v>GS-07-003</x:v>
      </x:c>
      <x:c r="P593" s="22" t="str">
        <x:v>No</x:v>
      </x:c>
      <x:c r="Q593" s="22" t="str">
        <x:v>Not screened</x:v>
      </x:c>
      <x:c r="R593" s="22" t="str">
        <x:v>Removed before title/abstract screening as a confirmed duplicate.</x:v>
      </x:c>
      <x:c r="S593" s="22" t="str">
        <x:v>Not applicable — removed before screening</x:v>
      </x:c>
      <x:c r="T593" s="22" t="str">
        <x:v>Record was outside the active screening set.</x:v>
      </x:c>
      <x:c r="U593" s="22" t="str">
        <x:v>Removed before screening</x:v>
      </x:c>
      <x:c r="V593" s="22" t="str">
        <x:v>Confirmed duplicate removed during deduplication.</x:v>
      </x:c>
      <x:c r="W593" s="22" t="str">
        <x:v>No</x:v>
      </x:c>
      <x:c r="X593" s="22" t="str">
        <x:v>Not applicable</x:v>
      </x:c>
      <x:c r="Y593" s="22" t="str">
        <x:v>Not assessed</x:v>
      </x:c>
      <x:c r="Z593" s="22" t="str">
        <x:v>Not applicable — record removed before screening.</x:v>
      </x:c>
      <x:c r="AA593" s="22" t="str">
        <x:v>Not applicable</x:v>
      </x:c>
      <x:c r="AB593" s="22" t="str">
        <x:v>Record was not advanced to full-text assessment.</x:v>
      </x:c>
      <x:c r="AC593" s="22" t="str">
        <x:v>Not assessed</x:v>
      </x:c>
      <x:c r="AD593" s="22" t="str">
        <x:v>Not applicable — no full-text assessment was required.</x:v>
      </x:c>
      <x:c r="AE593" s="22" t="str">
        <x:v>Removed before screening</x:v>
      </x:c>
      <x:c r="AF593" s="22" t="str">
        <x:v>Not applicable — not included</x:v>
      </x:c>
      <x:c r="AG593" s="22" t="str">
        <x:v>Evidence: 5763a0c5-5063-4dac-9dc3-61a1c62a1a37.png; page 1, result 5. Metadata transcribed from captured Google Scholar page; OCR-normalised, verify against publication before citation.</x:v>
      </x:c>
      <x:c r="AH593" s="20" t="str">
        <x:v>No duplicate identified under the documented matching rules.</x:v>
      </x:c>
    </x:row>
    <x:row r="594" ht="42" customHeight="1">
      <x:c r="A594" s="22" t="str">
        <x:v>GS-07-006</x:v>
      </x:c>
      <x:c r="B594" s="22" t="str">
        <x:v>Google Scholar</x:v>
      </x:c>
      <x:c r="C594" s="22" t="str">
        <x:v>GS-07</x:v>
      </x:c>
      <x:c r="D594" s="22" t="str">
        <x:v>(PpF] A Brief Review of Explainable Artificral Intelligence in Healthcare</x:v>
      </x:c>
      <x:c r="E594" s="22" t="str">
        <x:v>BaAlatas'1, M Panos</x:v>
      </x:c>
      <x:c r="F594" s="22" t="str">
        <x:v>NR</x:v>
      </x:c>
      <x:c r="G594" s="22" t="str">
        <x:v>academia edy</x:v>
      </x:c>
      <x:c r="H594" s="22" t="str">
        <x:v>Google Scholar result</x:v>
      </x:c>
      <x:c r="I594" s="22" t="str">
        <x:v>NR</x:v>
      </x:c>
      <x:c r="J594" s="22" t="str">
        <x:v>NR</x:v>
      </x:c>
      <x:c r="K594" s="22" t="str">
        <x:v>NR — URL not captured in the available source record</x:v>
      </x:c>
      <x:c r="L594" s="22" t="str">
        <x:v>Not available in the captured evidence; the screening decision used the title and available source metadata.</x:v>
      </x:c>
      <x:c r="M594" s="22" t="str">
        <x:v>No duplicate</x:v>
      </x:c>
      <x:c r="N594" s="22" t="str">
        <x:v>Not applicable — no duplicate group</x:v>
      </x:c>
      <x:c r="O594" s="22" t="str">
        <x:v>Not applicable</x:v>
      </x:c>
      <x:c r="P594" s="22" t="str">
        <x:v>Yes</x:v>
      </x:c>
      <x:c r="Q594" s="22" t="str">
        <x:v>Exclude</x:v>
      </x:c>
      <x:c r="R594" s="22" t="str">
        <x:v>Healthcare XAI review; not original empirical research.</x:v>
      </x:c>
      <x:c r="S594" s="22" t="str">
        <x:v>Verification documented at process level</x:v>
      </x:c>
      <x:c r="T594" s="22" t="str">
        <x:v>Two additional authors performed random spot checks; individual spot-check assignments are not recorded in this register.</x:v>
      </x:c>
      <x:c r="U594" s="22" t="str">
        <x:v>Exclude</x:v>
      </x:c>
      <x:c r="V594" s="22" t="str">
        <x:v>Primary decision by the corresponding author; two additional authors performed random spot checks as a quality-control step.</x:v>
      </x:c>
      <x:c r="W594" s="22" t="str">
        <x:v>No</x:v>
      </x:c>
      <x:c r="X594" s="22" t="str">
        <x:v>Not applicable</x:v>
      </x:c>
      <x:c r="Y594" s="22" t="str">
        <x:v>Not assessed</x:v>
      </x:c>
      <x:c r="Z594" s="22" t="str">
        <x:v>Not advanced to full-text assessment after the title/abstract decision.</x:v>
      </x:c>
      <x:c r="AA594" s="22" t="str">
        <x:v>Not applicable</x:v>
      </x:c>
      <x:c r="AB594" s="22" t="str">
        <x:v>Record was not advanced to full-text assessment.</x:v>
      </x:c>
      <x:c r="AC594" s="22" t="str">
        <x:v>Not assessed</x:v>
      </x:c>
      <x:c r="AD594" s="22" t="str">
        <x:v>Not applicable — no full-text assessment was required.</x:v>
      </x:c>
      <x:c r="AE594" s="22" t="str">
        <x:v>Not included — title/abstract exclusion</x:v>
      </x:c>
      <x:c r="AF594" s="22" t="str">
        <x:v>Not applicable — not included</x:v>
      </x:c>
      <x:c r="AG594" s="22" t="str">
        <x:v>Evidence: 5763a0c5-5063-4dac-9dc3-61a1c62a1a37.png; page 1, result 6. Metadata transcribed from captured Google Scholar page; OCR-normalised, verify against publication before citation.</x:v>
      </x:c>
      <x:c r="AH594" s="20" t="str">
        <x:v>No duplicate identified under the documented matching rules.</x:v>
      </x:c>
    </x:row>
    <x:row r="595" ht="42" customHeight="1">
      <x:c r="A595" s="22" t="str">
        <x:v>GS-07-007</x:v>
      </x:c>
      <x:c r="B595" s="22" t="str">
        <x:v>Google Scholar</x:v>
      </x:c>
      <x:c r="C595" s="22" t="str">
        <x:v>GS-07</x:v>
      </x:c>
      <x:c r="D595" s="22" t="str">
        <x:v>A Systematic Review of Al, Emotional Analysis. and Patient-Centric Applications in Healthcare</x:v>
      </x:c>
      <x:c r="E595" s="22" t="str">
        <x:v>PK Neg ABhagal RY Priya</x:v>
      </x:c>
      <x:c r="F595" s="22" t="n">
        <x:v>2024</x:v>
      </x:c>
      <x:c r="G595" s="22" t="str">
        <x:v>2024 - techrxiv org</x:v>
      </x:c>
      <x:c r="H595" s="22" t="str">
        <x:v>Google Scholar result</x:v>
      </x:c>
      <x:c r="I595" s="22" t="str">
        <x:v>NR</x:v>
      </x:c>
      <x:c r="J595" s="22" t="str">
        <x:v>NR</x:v>
      </x:c>
      <x:c r="K595" s="22" t="str">
        <x:v>NR — URL not captured in the available source record</x:v>
      </x:c>
      <x:c r="L595" s="22" t="str">
        <x:v>Not available in the captured evidence; the screening decision used the title and available source metadata.</x:v>
      </x:c>
      <x:c r="M595" s="22" t="str">
        <x:v>No duplicate</x:v>
      </x:c>
      <x:c r="N595" s="22" t="str">
        <x:v>Not applicable — no duplicate group</x:v>
      </x:c>
      <x:c r="O595" s="22" t="str">
        <x:v>Not applicable</x:v>
      </x:c>
      <x:c r="P595" s="22" t="str">
        <x:v>Yes</x:v>
      </x:c>
      <x:c r="Q595" s="22" t="str">
        <x:v>Exclude</x:v>
      </x:c>
      <x:c r="R595" s="22" t="str">
        <x:v>Systematic review of patient-centric healthcare AI.</x:v>
      </x:c>
      <x:c r="S595" s="22" t="str">
        <x:v>Verification documented at process level</x:v>
      </x:c>
      <x:c r="T595" s="22" t="str">
        <x:v>Two additional authors performed random spot checks; individual spot-check assignments are not recorded in this register.</x:v>
      </x:c>
      <x:c r="U595" s="22" t="str">
        <x:v>Exclude</x:v>
      </x:c>
      <x:c r="V595" s="22" t="str">
        <x:v>Primary decision by the corresponding author; two additional authors performed random spot checks as a quality-control step.</x:v>
      </x:c>
      <x:c r="W595" s="22" t="str">
        <x:v>No</x:v>
      </x:c>
      <x:c r="X595" s="22" t="str">
        <x:v>Not applicable</x:v>
      </x:c>
      <x:c r="Y595" s="22" t="str">
        <x:v>Not assessed</x:v>
      </x:c>
      <x:c r="Z595" s="22" t="str">
        <x:v>Not advanced to full-text assessment after the title/abstract decision.</x:v>
      </x:c>
      <x:c r="AA595" s="22" t="str">
        <x:v>Not applicable</x:v>
      </x:c>
      <x:c r="AB595" s="22" t="str">
        <x:v>Record was not advanced to full-text assessment.</x:v>
      </x:c>
      <x:c r="AC595" s="22" t="str">
        <x:v>Not assessed</x:v>
      </x:c>
      <x:c r="AD595" s="22" t="str">
        <x:v>Not applicable — no full-text assessment was required.</x:v>
      </x:c>
      <x:c r="AE595" s="22" t="str">
        <x:v>Not included — title/abstract exclusion</x:v>
      </x:c>
      <x:c r="AF595" s="22" t="str">
        <x:v>Not applicable — not included</x:v>
      </x:c>
      <x:c r="AG595" s="22" t="str">
        <x:v>Evidence: 5763a0c5-5063-4dac-9dc3-61a1c62a1a37.png; page 1, result 7. Metadata transcribed from captured Google Scholar page; OCR-normalised, verify against publication before citation.</x:v>
      </x:c>
      <x:c r="AH595" s="20" t="str">
        <x:v>No duplicate identified under the documented matching rules.</x:v>
      </x:c>
    </x:row>
    <x:row r="596" ht="42" customHeight="1">
      <x:c r="A596" s="22" t="str">
        <x:v>GS-08-001</x:v>
      </x:c>
      <x:c r="B596" s="22" t="str">
        <x:v>Google Scholar</x:v>
      </x:c>
      <x:c r="C596" s="22" t="str">
        <x:v>GS-08</x:v>
      </x:c>
      <x:c r="D596" s="22" t="str">
        <x:v>Cancept-based lesion aware transformer for interpretable retinal disease diagnosis</x:v>
      </x:c>
      <x:c r="E596" s="22" t="str">
        <x:v>CwWea MY¥a HLi Then --EEE Transacicns an . 2024</x:v>
      </x:c>
      <x:c r="F596" s="22" t="n">
        <x:v>2024</x:v>
      </x:c>
      <x:c r="G596" s="22" t="str">
        <x:v>ieaexztore iaes org</x:v>
      </x:c>
      <x:c r="H596" s="22" t="str">
        <x:v>Google Scholar result</x:v>
      </x:c>
      <x:c r="I596" s="22" t="str">
        <x:v>NR</x:v>
      </x:c>
      <x:c r="J596" s="22" t="str">
        <x:v>NR</x:v>
      </x:c>
      <x:c r="K596" s="22" t="str">
        <x:v>NR — URL not captured in the available source record</x:v>
      </x:c>
      <x:c r="L596" s="22" t="str">
        <x:v>Not available in the captured evidence; the screening decision used the title and available source metadata.</x:v>
      </x:c>
      <x:c r="M596" s="22" t="str">
        <x:v>Confirmed duplicate</x:v>
      </x:c>
      <x:c r="N596" s="22" t="str">
        <x:v>DG-012</x:v>
      </x:c>
      <x:c r="O596" s="22" t="str">
        <x:v>GS-01-006</x:v>
      </x:c>
      <x:c r="P596" s="22" t="str">
        <x:v>No</x:v>
      </x:c>
      <x:c r="Q596" s="22" t="str">
        <x:v>Not screened</x:v>
      </x:c>
      <x:c r="R596" s="22" t="str">
        <x:v>Removed before title/abstract screening as a confirmed duplicate.</x:v>
      </x:c>
      <x:c r="S596" s="22" t="str">
        <x:v>Not applicable — removed before screening</x:v>
      </x:c>
      <x:c r="T596" s="22" t="str">
        <x:v>Record was outside the active screening set.</x:v>
      </x:c>
      <x:c r="U596" s="22" t="str">
        <x:v>Removed before screening</x:v>
      </x:c>
      <x:c r="V596" s="22" t="str">
        <x:v>Confirmed duplicate removed during deduplication.</x:v>
      </x:c>
      <x:c r="W596" s="22" t="str">
        <x:v>No</x:v>
      </x:c>
      <x:c r="X596" s="22" t="str">
        <x:v>Not applicable</x:v>
      </x:c>
      <x:c r="Y596" s="22" t="str">
        <x:v>Not assessed</x:v>
      </x:c>
      <x:c r="Z596" s="22" t="str">
        <x:v>Not applicable — record removed before screening.</x:v>
      </x:c>
      <x:c r="AA596" s="22" t="str">
        <x:v>Not applicable</x:v>
      </x:c>
      <x:c r="AB596" s="22" t="str">
        <x:v>Record was not advanced to full-text assessment.</x:v>
      </x:c>
      <x:c r="AC596" s="22" t="str">
        <x:v>Not assessed</x:v>
      </x:c>
      <x:c r="AD596" s="22" t="str">
        <x:v>Not applicable — no full-text assessment was required.</x:v>
      </x:c>
      <x:c r="AE596" s="22" t="str">
        <x:v>Removed before screening</x:v>
      </x:c>
      <x:c r="AF596" s="22" t="str">
        <x:v>Not applicable — not included</x:v>
      </x:c>
      <x:c r="AG596" s="22" t="str">
        <x:v>Evidence: 1a2c3ade-31d3-4448-a304-aecaaadaf638.png; page 1, result 1. Metadata transcribed from captured Google Scholar page; OCR-normalised, verify against publication before citation.</x:v>
      </x:c>
      <x:c r="AH596" s="20" t="str">
        <x:v>Confirmed using normalized title across captured searches.</x:v>
      </x:c>
    </x:row>
    <x:row r="597" ht="42" customHeight="1">
      <x:c r="A597" s="22" t="str">
        <x:v>GS-08-002</x:v>
      </x:c>
      <x:c r="B597" s="22" t="str">
        <x:v>Google Scholar</x:v>
      </x:c>
      <x:c r="C597" s="22" t="str">
        <x:v>GS-08</x:v>
      </x:c>
      <x:c r="D597" s="22" t="str">
        <x:v>CanceptSMILE: Auditing the Trustworthiness of Concept-Based Explainable Al</x:v>
      </x:c>
      <x:c r="E597" s="22" t="str">
        <x:v>M Molapour, KAslanselat 2 Déhghani.</x:v>
      </x:c>
      <x:c r="F597" s="22" t="n">
        <x:v>2026</x:v>
      </x:c>
      <x:c r="G597" s="22" t="str">
        <x:v>a-Xiv preprint arXiv 2026 - arxiv org</x:v>
      </x:c>
      <x:c r="H597" s="22" t="str">
        <x:v>Google Scholar result</x:v>
      </x:c>
      <x:c r="I597" s="22" t="str">
        <x:v>NR</x:v>
      </x:c>
      <x:c r="J597" s="22" t="str">
        <x:v>NR</x:v>
      </x:c>
      <x:c r="K597" s="22" t="str">
        <x:v>NR — URL not captured in the available source record</x:v>
      </x:c>
      <x:c r="L597" s="22" t="str">
        <x:v>Not available in the captured evidence; the screening decision used the title and available source metadata.</x:v>
      </x:c>
      <x:c r="M597" s="22" t="str">
        <x:v>Confirmed duplicate</x:v>
      </x:c>
      <x:c r="N597" s="22" t="str">
        <x:v>DG-014</x:v>
      </x:c>
      <x:c r="O597" s="22" t="str">
        <x:v>GS-01-040</x:v>
      </x:c>
      <x:c r="P597" s="22" t="str">
        <x:v>No</x:v>
      </x:c>
      <x:c r="Q597" s="22" t="str">
        <x:v>Not screened</x:v>
      </x:c>
      <x:c r="R597" s="22" t="str">
        <x:v>Removed before title/abstract screening as a confirmed duplicate.</x:v>
      </x:c>
      <x:c r="S597" s="22" t="str">
        <x:v>Not applicable — removed before screening</x:v>
      </x:c>
      <x:c r="T597" s="22" t="str">
        <x:v>Record was outside the active screening set.</x:v>
      </x:c>
      <x:c r="U597" s="22" t="str">
        <x:v>Removed before screening</x:v>
      </x:c>
      <x:c r="V597" s="22" t="str">
        <x:v>Confirmed duplicate removed during deduplication.</x:v>
      </x:c>
      <x:c r="W597" s="22" t="str">
        <x:v>No</x:v>
      </x:c>
      <x:c r="X597" s="22" t="str">
        <x:v>Not applicable</x:v>
      </x:c>
      <x:c r="Y597" s="22" t="str">
        <x:v>Not assessed</x:v>
      </x:c>
      <x:c r="Z597" s="22" t="str">
        <x:v>Not applicable — record removed before screening.</x:v>
      </x:c>
      <x:c r="AA597" s="22" t="str">
        <x:v>Not applicable</x:v>
      </x:c>
      <x:c r="AB597" s="22" t="str">
        <x:v>Record was not advanced to full-text assessment.</x:v>
      </x:c>
      <x:c r="AC597" s="22" t="str">
        <x:v>Not assessed</x:v>
      </x:c>
      <x:c r="AD597" s="22" t="str">
        <x:v>Not applicable — no full-text assessment was required.</x:v>
      </x:c>
      <x:c r="AE597" s="22" t="str">
        <x:v>Removed before screening</x:v>
      </x:c>
      <x:c r="AF597" s="22" t="str">
        <x:v>Not applicable — not included</x:v>
      </x:c>
      <x:c r="AG597" s="22" t="str">
        <x:v>Evidence: 1a2c3ade-31d3-4448-a304-aecaaadaf638.png; page 1, result 2. Metadata transcribed from captured Google Scholar page; OCR-normalised, verify against publication before citation.</x:v>
      </x:c>
      <x:c r="AH597" s="20" t="str">
        <x:v>Confirmed using normalized title across captured searches.</x:v>
      </x:c>
    </x:row>
    <x:row r="598" ht="42" customHeight="1">
      <x:c r="A598" s="22" t="str">
        <x:v>GS-08-003</x:v>
      </x:c>
      <x:c r="B598" s="22" t="str">
        <x:v>Google Scholar</x:v>
      </x:c>
      <x:c r="C598" s="22" t="str">
        <x:v>GS-08</x:v>
      </x:c>
      <x:c r="D598" s="22" t="str">
        <x:v>ViConEx-Med: Visual Concept Explainability via Multi-Concept Token Transformer for Medical Image Analysis</x:v>
      </x:c>
      <x:c r="E598" s="22" t="str">
        <x:v>C Patricio, LF Teixee .C Naves + arxXiv prepeint arty 2516 10174 2025</x:v>
      </x:c>
      <x:c r="F598" s="22" t="n">
        <x:v>2025</x:v>
      </x:c>
      <x:c r="G598" s="22" t="str">
        <x:v>anxiv arg</x:v>
      </x:c>
      <x:c r="H598" s="22" t="str">
        <x:v>Google Scholar result</x:v>
      </x:c>
      <x:c r="I598" s="22" t="str">
        <x:v>NR</x:v>
      </x:c>
      <x:c r="J598" s="22" t="str">
        <x:v>NR</x:v>
      </x:c>
      <x:c r="K598" s="22" t="str">
        <x:v>NR — URL not captured in the available source record</x:v>
      </x:c>
      <x:c r="L598" s="22" t="str">
        <x:v>Not available in the captured evidence; the screening decision used the title and available source metadata.</x:v>
      </x:c>
      <x:c r="M598" s="22" t="str">
        <x:v>Confirmed duplicate</x:v>
      </x:c>
      <x:c r="N598" s="22" t="str">
        <x:v>DG-015</x:v>
      </x:c>
      <x:c r="O598" s="22" t="str">
        <x:v>GS-01-052</x:v>
      </x:c>
      <x:c r="P598" s="22" t="str">
        <x:v>No</x:v>
      </x:c>
      <x:c r="Q598" s="22" t="str">
        <x:v>Not screened</x:v>
      </x:c>
      <x:c r="R598" s="22" t="str">
        <x:v>Removed before title/abstract screening as a confirmed duplicate.</x:v>
      </x:c>
      <x:c r="S598" s="22" t="str">
        <x:v>Not applicable — removed before screening</x:v>
      </x:c>
      <x:c r="T598" s="22" t="str">
        <x:v>Record was outside the active screening set.</x:v>
      </x:c>
      <x:c r="U598" s="22" t="str">
        <x:v>Removed before screening</x:v>
      </x:c>
      <x:c r="V598" s="22" t="str">
        <x:v>Confirmed duplicate removed during deduplication.</x:v>
      </x:c>
      <x:c r="W598" s="22" t="str">
        <x:v>No</x:v>
      </x:c>
      <x:c r="X598" s="22" t="str">
        <x:v>Not applicable</x:v>
      </x:c>
      <x:c r="Y598" s="22" t="str">
        <x:v>Not assessed</x:v>
      </x:c>
      <x:c r="Z598" s="22" t="str">
        <x:v>Not applicable — record removed before screening.</x:v>
      </x:c>
      <x:c r="AA598" s="22" t="str">
        <x:v>Not applicable</x:v>
      </x:c>
      <x:c r="AB598" s="22" t="str">
        <x:v>Record was not advanced to full-text assessment.</x:v>
      </x:c>
      <x:c r="AC598" s="22" t="str">
        <x:v>Not assessed</x:v>
      </x:c>
      <x:c r="AD598" s="22" t="str">
        <x:v>Not applicable — no full-text assessment was required.</x:v>
      </x:c>
      <x:c r="AE598" s="22" t="str">
        <x:v>Removed before screening</x:v>
      </x:c>
      <x:c r="AF598" s="22" t="str">
        <x:v>Not applicable — not included</x:v>
      </x:c>
      <x:c r="AG598" s="22" t="str">
        <x:v>Evidence: 1a2c3ade-31d3-4448-a304-aecaaadaf638.png; page 1, result 3. Metadata transcribed from captured Google Scholar page; OCR-normalised, verify against publication before citation.</x:v>
      </x:c>
      <x:c r="AH598" s="20" t="str">
        <x:v>Confirmed using normalized title across captured searches.</x:v>
      </x:c>
    </x:row>
    <x:row r="599" ht="42" customHeight="1">
      <x:c r="A599" s="22" t="str">
        <x:v>GS-08-004</x:v>
      </x:c>
      <x:c r="B599" s="22" t="str">
        <x:v>Google Scholar</x:v>
      </x:c>
      <x:c r="C599" s="22" t="str">
        <x:v>GS-08</x:v>
      </x:c>
      <x:c r="D599" s="22" t="str">
        <x:v>Looking into concept explanation methods for diabetic retinopathy classification</x:v>
      </x:c>
      <x:c r="E599" s="22" t="str">
        <x:v>AM Storas JV Sucdgagard</x:v>
      </x:c>
      <x:c r="F599" s="22" t="n">
        <x:v>2024</x:v>
      </x:c>
      <x:c r="G599" s="22" t="str">
        <x:v>arXiv preprirl arXiv 2410 33188. 2024 - arc arg</x:v>
      </x:c>
      <x:c r="H599" s="22" t="str">
        <x:v>Google Scholar result</x:v>
      </x:c>
      <x:c r="I599" s="22" t="str">
        <x:v>NR</x:v>
      </x:c>
      <x:c r="J599" s="22" t="str">
        <x:v>NR</x:v>
      </x:c>
      <x:c r="K599" s="22" t="str">
        <x:v>NR — URL not captured in the available source record</x:v>
      </x:c>
      <x:c r="L599" s="22" t="str">
        <x:v>Not available in the captured evidence; the screening decision used the title and available source metadata.</x:v>
      </x:c>
      <x:c r="M599" s="22" t="str">
        <x:v>Confirmed duplicate</x:v>
      </x:c>
      <x:c r="N599" s="22" t="str">
        <x:v>DG-011</x:v>
      </x:c>
      <x:c r="O599" s="22" t="str">
        <x:v>ARXIV-01-001</x:v>
      </x:c>
      <x:c r="P599" s="22" t="str">
        <x:v>No</x:v>
      </x:c>
      <x:c r="Q599" s="22" t="str">
        <x:v>Not screened</x:v>
      </x:c>
      <x:c r="R599" s="22" t="str">
        <x:v>Removed before title/abstract screening as a confirmed duplicate.</x:v>
      </x:c>
      <x:c r="S599" s="22" t="str">
        <x:v>Not applicable — removed before screening</x:v>
      </x:c>
      <x:c r="T599" s="22" t="str">
        <x:v>Record was outside the active screening set.</x:v>
      </x:c>
      <x:c r="U599" s="22" t="str">
        <x:v>Removed before screening</x:v>
      </x:c>
      <x:c r="V599" s="22" t="str">
        <x:v>Confirmed duplicate removed during deduplication.</x:v>
      </x:c>
      <x:c r="W599" s="22" t="str">
        <x:v>No</x:v>
      </x:c>
      <x:c r="X599" s="22" t="str">
        <x:v>Not applicable</x:v>
      </x:c>
      <x:c r="Y599" s="22" t="str">
        <x:v>Not assessed</x:v>
      </x:c>
      <x:c r="Z599" s="22" t="str">
        <x:v>Not applicable — record removed before screening.</x:v>
      </x:c>
      <x:c r="AA599" s="22" t="str">
        <x:v>Not applicable</x:v>
      </x:c>
      <x:c r="AB599" s="22" t="str">
        <x:v>Record was not advanced to full-text assessment.</x:v>
      </x:c>
      <x:c r="AC599" s="22" t="str">
        <x:v>Not assessed</x:v>
      </x:c>
      <x:c r="AD599" s="22" t="str">
        <x:v>Not applicable — no full-text assessment was required.</x:v>
      </x:c>
      <x:c r="AE599" s="22" t="str">
        <x:v>Removed before screening</x:v>
      </x:c>
      <x:c r="AF599" s="22" t="str">
        <x:v>Not applicable — not included</x:v>
      </x:c>
      <x:c r="AG599" s="22" t="str">
        <x:v>Evidence: 1a2c3ade-31d3-4448-a304-aecaaadaf638.png; page 1, result 4. Metadata transcribed from captured Google Scholar page; OCR-normalised, verify against publication before citation.</x:v>
      </x:c>
      <x:c r="AH599" s="20" t="str">
        <x:v>Confirmed using identifier/title evidence; normalized title across captured searches.</x:v>
      </x:c>
    </x:row>
    <x:row r="600" ht="42" customHeight="1">
      <x:c r="A600" s="22" t="str">
        <x:v>GS-08-005</x:v>
      </x:c>
      <x:c r="B600" s="22" t="str">
        <x:v>Google Scholar</x:v>
      </x:c>
      <x:c r="C600" s="22" t="str">
        <x:v>GS-08</x:v>
      </x:c>
      <x:c r="D600" s="22" t="str">
        <x:v>Translating theory into practice’ assessing the pnyacy implications of concept- based explanations for biomedical A)</x:v>
      </x:c>
      <x:c r="E600" s="22" t="str">
        <x:v>Aluceri ADe-ge. S Ahmed</x:v>
      </x:c>
      <x:c r="F600" s="22" t="n">
        <x:v>2023</x:v>
      </x:c>
      <x:c r="G600" s="22" t="str">
        <x:v>Frontiers in Biomformabrs, 2023 - Fantersin erg</x:v>
      </x:c>
      <x:c r="H600" s="22" t="str">
        <x:v>Google Scholar result</x:v>
      </x:c>
      <x:c r="I600" s="22" t="str">
        <x:v>10.3389/fbinf.2023.1194993</x:v>
      </x:c>
      <x:c r="J600" s="22" t="str">
        <x:v>37484865</x:v>
      </x:c>
      <x:c r="K600" s="22" t="str">
        <x:v>https://www.frontiersin.org/journals/bioinformatics/articles/10.3389/fbinf.2023.1194993/full</x:v>
      </x:c>
      <x:c r="L600" s="22" t="str">
        <x:v>Artificial Intelligence (AI) has achieved remarkable success in image generation, image analysis, and language modeling, making data-driven techniques increasingly relevant in practical real-world applications, promising enhanced creativity and efficiency for human users. However, the deployment of AI in high-stakes domains such as infrastructure and healthcare still raises concerns regarding algorithm accountability and safety. The emerging field of explainable AI (XAI) has made significant strides in developing interfaces that enable humans to comprehend the decisions made by data-driven models. Among these approaches, concept-based explainability stands out due to its ability to align explanations with high-level concepts familiar to users. Nonetheless, early research in adversarial machine learning has unveiled that exposing model explanations can render victim models more susceptible to attacks. This is the first study to investigate and compare the impact of concept-based explanations on the privacy of Deep Learning based AI models in the context of biomedical image analysis. An extensive privacy benchmark is conducted on three different state-of-the-art model architectures (ResNet50, NFNet, ConvNeXt) trained on two biomedical (ISIC and EyePACS) and one synthetic dataset (SCDB). The success of membership inference attacks while exposing varying degrees of attribution-based and concept-based explanations is systematically compared. The findings indicate that, in theory, concept-based explanations can potentially increase the vulnerability of a private AI system by up to 16% compared to attributions in the baseline setting. However, it is demonstrated that, in more realistic attack scenarios, the threat posed by explanations is negligible in practice. Furthermore, actionable recommendations are provided to ensure the safe deployment of concept-based XAI systems. In addition, the impact of differential privacy (DP) on the quality of concept-based explanations is explored, revealing that while negatively influencing the explanation ability, DP can have an adverse effect on the models' privacy.</x:v>
      </x:c>
      <x:c r="M600" s="22" t="str">
        <x:v>No duplicate</x:v>
      </x:c>
      <x:c r="N600" s="22" t="str">
        <x:v>Not applicable — no duplicate group</x:v>
      </x:c>
      <x:c r="O600" s="22" t="str">
        <x:v>Not applicable</x:v>
      </x:c>
      <x:c r="P600" s="22" t="str">
        <x:v>Yes</x:v>
      </x:c>
      <x:c r="Q600" s="22" t="str">
        <x:v>Include</x:v>
      </x:c>
      <x:c r="R600" s="22" t="str">
        <x:v>Original reliability and privacy evaluation of concept-based explanations using biomedical images, including EyePACS.</x:v>
      </x:c>
      <x:c r="S600" s="22" t="str">
        <x:v>Verification documented at process level</x:v>
      </x:c>
      <x:c r="T600" s="22" t="str">
        <x:v>Two additional authors performed random spot checks; individual spot-check assignments are not recorded in this register.</x:v>
      </x:c>
      <x:c r="U600" s="22" t="str">
        <x:v>Include</x:v>
      </x:c>
      <x:c r="V600" s="22" t="str">
        <x:v>Primary decision by the corresponding author; two additional authors performed random spot checks as a quality-control step.</x:v>
      </x:c>
      <x:c r="W600" s="22" t="str">
        <x:v>Yes</x:v>
      </x:c>
      <x:c r="X600" s="22" t="str">
        <x:v>Yes</x:v>
      </x:c>
      <x:c r="Y600" s="22" t="str">
        <x:v>Include</x:v>
      </x:c>
      <x:c r="Z600" s="22" t="str">
        <x:v>The corresponding author assessed the complete report and judged it eligible for inclusion in the review.</x:v>
      </x:c>
      <x:c r="AA600" s="22" t="str">
        <x:v>Verification documented at process level</x:v>
      </x:c>
      <x:c r="AB600" s="22" t="str">
        <x:v>Two additional authors performed random spot checks; individual spot-check assignments are not recorded in this register.</x:v>
      </x:c>
      <x:c r="AC600" s="22" t="str">
        <x:v>Include</x:v>
      </x:c>
      <x:c r="AD600" s="22" t="str">
        <x:v>Primary decision by the corresponding author; two additional authors performed random spot checks as a quality-control step.</x:v>
      </x:c>
      <x:c r="AE600" s="22" t="str">
        <x:v>Include</x:v>
      </x:c>
      <x:c r="AF600" s="22" t="str">
        <x:v>Contextual medical concept-XAI evidence</x:v>
      </x:c>
      <x:c r="AG600" s="22" t="str">
        <x:v>Evidence: 1a2c3ade-31d3-4448-a304-aecaaadaf638.png; page 1, result 5. Metadata transcribed from captured Google Scholar page; OCR-normalised, verify against publication before citation.</x:v>
      </x:c>
      <x:c r="AH600" s="20" t="str">
        <x:v>No duplicate identified under the documented matching rules.</x:v>
      </x:c>
    </x:row>
    <x:row r="601" ht="42" customHeight="1">
      <x:c r="A601" s="22" t="str">
        <x:v>GS-08-006</x:v>
      </x:c>
      <x:c r="B601" s="22" t="str">
        <x:v>Google Scholar</x:v>
      </x:c>
      <x:c r="C601" s="22" t="str">
        <x:v>GS-08</x:v>
      </x:c>
      <x:c r="D601" s="22" t="str">
        <x:v>Self-explainable ai for medical image analysis’ A survey and new outlooks</x:v>
      </x:c>
      <x:c r="E601" s="22" t="str">
        <x:v>wHoy S Liu, ¥ Big. H wang Avan. Lluo</x:v>
      </x:c>
      <x:c r="F601" s="22" t="n">
        <x:v>2024</x:v>
      </x:c>
      <x:c r="G601" s="22" t="str">
        <x:v>a-Xiv prepvmt arXiv =. 2024 - arxiv org</x:v>
      </x:c>
      <x:c r="H601" s="22" t="str">
        <x:v>Google Scholar result</x:v>
      </x:c>
      <x:c r="I601" s="22" t="str">
        <x:v>NR</x:v>
      </x:c>
      <x:c r="J601" s="22" t="str">
        <x:v>NR</x:v>
      </x:c>
      <x:c r="K601" s="22" t="str">
        <x:v>NR — URL not captured in the available source record</x:v>
      </x:c>
      <x:c r="L601" s="22" t="str">
        <x:v>Not available in the captured evidence; the screening decision used the title and available source metadata.</x:v>
      </x:c>
      <x:c r="M601" s="22" t="str">
        <x:v>Confirmed duplicate</x:v>
      </x:c>
      <x:c r="N601" s="22" t="str">
        <x:v>DG-017</x:v>
      </x:c>
      <x:c r="O601" s="22" t="str">
        <x:v>GS-01-077</x:v>
      </x:c>
      <x:c r="P601" s="22" t="str">
        <x:v>No</x:v>
      </x:c>
      <x:c r="Q601" s="22" t="str">
        <x:v>Not screened</x:v>
      </x:c>
      <x:c r="R601" s="22" t="str">
        <x:v>Removed before title/abstract screening as a confirmed duplicate.</x:v>
      </x:c>
      <x:c r="S601" s="22" t="str">
        <x:v>Not applicable — removed before screening</x:v>
      </x:c>
      <x:c r="T601" s="22" t="str">
        <x:v>Record was outside the active screening set.</x:v>
      </x:c>
      <x:c r="U601" s="22" t="str">
        <x:v>Removed before screening</x:v>
      </x:c>
      <x:c r="V601" s="22" t="str">
        <x:v>Confirmed duplicate removed during deduplication.</x:v>
      </x:c>
      <x:c r="W601" s="22" t="str">
        <x:v>No</x:v>
      </x:c>
      <x:c r="X601" s="22" t="str">
        <x:v>Not applicable</x:v>
      </x:c>
      <x:c r="Y601" s="22" t="str">
        <x:v>Not assessed</x:v>
      </x:c>
      <x:c r="Z601" s="22" t="str">
        <x:v>Not applicable — record removed before screening.</x:v>
      </x:c>
      <x:c r="AA601" s="22" t="str">
        <x:v>Not applicable</x:v>
      </x:c>
      <x:c r="AB601" s="22" t="str">
        <x:v>Record was not advanced to full-text assessment.</x:v>
      </x:c>
      <x:c r="AC601" s="22" t="str">
        <x:v>Not assessed</x:v>
      </x:c>
      <x:c r="AD601" s="22" t="str">
        <x:v>Not applicable — no full-text assessment was required.</x:v>
      </x:c>
      <x:c r="AE601" s="22" t="str">
        <x:v>Removed before screening</x:v>
      </x:c>
      <x:c r="AF601" s="22" t="str">
        <x:v>Not applicable — not included</x:v>
      </x:c>
      <x:c r="AG601" s="22" t="str">
        <x:v>Evidence: 1a2c3ade-31d3-4448-a304-aecaaadaf638.png; page 1, result 6. Metadata transcribed from captured Google Scholar page; OCR-normalised, verify against publication before citation.</x:v>
      </x:c>
      <x:c r="AH601" s="20" t="str">
        <x:v>Confirmed using normalized title across captured searches.</x:v>
      </x:c>
    </x:row>
    <x:row r="602" ht="42" customHeight="1">
      <x:c r="A602" s="22" t="str">
        <x:v>GS-08-007</x:v>
      </x:c>
      <x:c r="B602" s="22" t="str">
        <x:v>Google Scholar</x:v>
      </x:c>
      <x:c r="C602" s="22" t="str">
        <x:v>GS-08</x:v>
      </x:c>
      <x:c r="D602" s="22" t="str">
        <x:v>thT_] Tawards explainable deep learning in computational neuroscience’ visual and clinical applications</x:v>
      </x:c>
      <x:c r="E602" s="22" t="str">
        <x:v>Atdshmooc EMenmaog J Kim</x:v>
      </x:c>
      <x:c r="F602" s="22" t="n">
        <x:v>2025</x:v>
      </x:c>
      <x:c r="G602" s="22" t="str">
        <x:v>Mathematics, 2025 - rdpi con</x:v>
      </x:c>
      <x:c r="H602" s="22" t="str">
        <x:v>Google Scholar result</x:v>
      </x:c>
      <x:c r="I602" s="22" t="str">
        <x:v>NR</x:v>
      </x:c>
      <x:c r="J602" s="22" t="str">
        <x:v>NR</x:v>
      </x:c>
      <x:c r="K602" s="22" t="str">
        <x:v>NR — URL not captured in the available source record</x:v>
      </x:c>
      <x:c r="L602" s="22" t="str">
        <x:v>Not available in the captured evidence; the screening decision used the title and available source metadata.</x:v>
      </x:c>
      <x:c r="M602" s="22" t="str">
        <x:v>Confirmed duplicate</x:v>
      </x:c>
      <x:c r="N602" s="22" t="str">
        <x:v>DG-089</x:v>
      </x:c>
      <x:c r="O602" s="22" t="str">
        <x:v>GS-04-077</x:v>
      </x:c>
      <x:c r="P602" s="22" t="str">
        <x:v>No</x:v>
      </x:c>
      <x:c r="Q602" s="22" t="str">
        <x:v>Not screened</x:v>
      </x:c>
      <x:c r="R602" s="22" t="str">
        <x:v>Removed before title/abstract screening as a confirmed duplicate.</x:v>
      </x:c>
      <x:c r="S602" s="22" t="str">
        <x:v>Not applicable — removed before screening</x:v>
      </x:c>
      <x:c r="T602" s="22" t="str">
        <x:v>Record was outside the active screening set.</x:v>
      </x:c>
      <x:c r="U602" s="22" t="str">
        <x:v>Removed before screening</x:v>
      </x:c>
      <x:c r="V602" s="22" t="str">
        <x:v>Confirmed duplicate removed during deduplication.</x:v>
      </x:c>
      <x:c r="W602" s="22" t="str">
        <x:v>No</x:v>
      </x:c>
      <x:c r="X602" s="22" t="str">
        <x:v>Not applicable</x:v>
      </x:c>
      <x:c r="Y602" s="22" t="str">
        <x:v>Not assessed</x:v>
      </x:c>
      <x:c r="Z602" s="22" t="str">
        <x:v>Not applicable — record removed before screening.</x:v>
      </x:c>
      <x:c r="AA602" s="22" t="str">
        <x:v>Not applicable</x:v>
      </x:c>
      <x:c r="AB602" s="22" t="str">
        <x:v>Record was not advanced to full-text assessment.</x:v>
      </x:c>
      <x:c r="AC602" s="22" t="str">
        <x:v>Not assessed</x:v>
      </x:c>
      <x:c r="AD602" s="22" t="str">
        <x:v>Not applicable — no full-text assessment was required.</x:v>
      </x:c>
      <x:c r="AE602" s="22" t="str">
        <x:v>Removed before screening</x:v>
      </x:c>
      <x:c r="AF602" s="22" t="str">
        <x:v>Not applicable — not included</x:v>
      </x:c>
      <x:c r="AG602" s="22" t="str">
        <x:v>Evidence: 1a2c3ade-31d3-4448-a304-aecaaadaf638.png; page 1, result 7. Metadata transcribed from captured Google Scholar page; OCR-normalised, verify against publication before citation.</x:v>
      </x:c>
      <x:c r="AH602" s="20" t="str">
        <x:v>No duplicate identified under the documented matching rules.</x:v>
      </x:c>
    </x:row>
    <x:row r="603" ht="42" customHeight="1">
      <x:c r="A603" s="22" t="str">
        <x:v>GS-08-008</x:v>
      </x:c>
      <x:c r="B603" s="22" t="str">
        <x:v>Google Scholar</x:v>
      </x:c>
      <x:c r="C603" s="22" t="str">
        <x:v>GS-08</x:v>
      </x:c>
      <x:c r="D603" s="22" t="str">
        <x:v>Explainable deep learning methods in madical image classification A survey</x:v>
      </x:c>
      <x:c r="E603" s="22" t="str">
        <x:v>CParicio. JIC Neves. LE Te-xeira</x:v>
      </x:c>
      <x:c r="F603" s="22" t="str">
        <x:v>NR</x:v>
      </x:c>
      <x:c r="G603" s="22" t="str">
        <x:v>AC Compuuing Surveys 2723 - di acm org</x:v>
      </x:c>
      <x:c r="H603" s="22" t="str">
        <x:v>Google Scholar result</x:v>
      </x:c>
      <x:c r="I603" s="22" t="str">
        <x:v>NR</x:v>
      </x:c>
      <x:c r="J603" s="22" t="str">
        <x:v>NR</x:v>
      </x:c>
      <x:c r="K603" s="22" t="str">
        <x:v>NR — URL not captured in the available source record</x:v>
      </x:c>
      <x:c r="L603" s="22" t="str">
        <x:v>Not available in the captured evidence; the screening decision used the title and available source metadata.</x:v>
      </x:c>
      <x:c r="M603" s="22" t="str">
        <x:v>No duplicate</x:v>
      </x:c>
      <x:c r="N603" s="22" t="str">
        <x:v>Not applicable — no duplicate group</x:v>
      </x:c>
      <x:c r="O603" s="22" t="str">
        <x:v>Not applicable</x:v>
      </x:c>
      <x:c r="P603" s="22" t="str">
        <x:v>Yes</x:v>
      </x:c>
      <x:c r="Q603" s="22" t="str">
        <x:v>Exclude</x:v>
      </x:c>
      <x:c r="R603" s="22" t="str">
        <x:v>Survey of explainable medical-image classification.</x:v>
      </x:c>
      <x:c r="S603" s="22" t="str">
        <x:v>Verification documented at process level</x:v>
      </x:c>
      <x:c r="T603" s="22" t="str">
        <x:v>Two additional authors performed random spot checks; individual spot-check assignments are not recorded in this register.</x:v>
      </x:c>
      <x:c r="U603" s="22" t="str">
        <x:v>Exclude</x:v>
      </x:c>
      <x:c r="V603" s="22" t="str">
        <x:v>Primary decision by the corresponding author; two additional authors performed random spot checks as a quality-control step.</x:v>
      </x:c>
      <x:c r="W603" s="22" t="str">
        <x:v>No</x:v>
      </x:c>
      <x:c r="X603" s="22" t="str">
        <x:v>Not applicable</x:v>
      </x:c>
      <x:c r="Y603" s="22" t="str">
        <x:v>Not assessed</x:v>
      </x:c>
      <x:c r="Z603" s="22" t="str">
        <x:v>Not advanced to full-text assessment after the title/abstract decision.</x:v>
      </x:c>
      <x:c r="AA603" s="22" t="str">
        <x:v>Not applicable</x:v>
      </x:c>
      <x:c r="AB603" s="22" t="str">
        <x:v>Record was not advanced to full-text assessment.</x:v>
      </x:c>
      <x:c r="AC603" s="22" t="str">
        <x:v>Not assessed</x:v>
      </x:c>
      <x:c r="AD603" s="22" t="str">
        <x:v>Not applicable — no full-text assessment was required.</x:v>
      </x:c>
      <x:c r="AE603" s="22" t="str">
        <x:v>Not included — title/abstract exclusion</x:v>
      </x:c>
      <x:c r="AF603" s="22" t="str">
        <x:v>Not applicable — not included</x:v>
      </x:c>
      <x:c r="AG603" s="22" t="str">
        <x:v>Evidence: 1a2c3ade-31d3-4448-a304-aecaaadaf638.png; page 1, result 8. Metadata transcribed from captured Google Scholar page; OCR-normalised, verify against publication before citation.</x:v>
      </x:c>
      <x:c r="AH603" s="20" t="str">
        <x:v>No duplicate identified under the documented matching rules.</x:v>
      </x:c>
    </x:row>
    <x:row r="604" ht="42" customHeight="1">
      <x:c r="A604" s="22" t="str">
        <x:v>GS-08-009</x:v>
      </x:c>
      <x:c r="B604" s="22" t="str">
        <x:v>Google Scholar</x:v>
      </x:c>
      <x:c r="C604" s="22" t="str">
        <x:v>GS-08</x:v>
      </x:c>
      <x:c r="D604" s="22" t="str">
        <x:v>Con¥VLM Cancept-Gurded Vision-Language Madels for Explainable Dermatological Diagnosis</x:v>
      </x:c>
      <x:c r="E604" s="22" t="str">
        <x:v>ADaws</x:v>
      </x:c>
      <x:c r="F604" s="22" t="str">
        <x:v>NR</x:v>
      </x:c>
      <x:c r="G604" s="22" t="str">
        <x:v>engrxy crg</x:v>
      </x:c>
      <x:c r="H604" s="22" t="str">
        <x:v>Google Scholar result</x:v>
      </x:c>
      <x:c r="I604" s="22" t="str">
        <x:v>NR</x:v>
      </x:c>
      <x:c r="J604" s="22" t="str">
        <x:v>NR</x:v>
      </x:c>
      <x:c r="K604" s="22" t="str">
        <x:v>NR — URL not captured in the available source record</x:v>
      </x:c>
      <x:c r="L604" s="22" t="str">
        <x:v>Not available in the captured evidence; the screening decision used the title and available source metadata.</x:v>
      </x:c>
      <x:c r="M604" s="22" t="str">
        <x:v>Confirmed duplicate</x:v>
      </x:c>
      <x:c r="N604" s="22" t="str">
        <x:v>DG-093</x:v>
      </x:c>
      <x:c r="O604" s="22" t="str">
        <x:v>GS-01-089</x:v>
      </x:c>
      <x:c r="P604" s="22" t="str">
        <x:v>No</x:v>
      </x:c>
      <x:c r="Q604" s="22" t="str">
        <x:v>Not screened</x:v>
      </x:c>
      <x:c r="R604" s="22" t="str">
        <x:v>Removed before title/abstract screening as a confirmed duplicate.</x:v>
      </x:c>
      <x:c r="S604" s="22" t="str">
        <x:v>Not applicable — removed before screening</x:v>
      </x:c>
      <x:c r="T604" s="22" t="str">
        <x:v>Record was outside the active screening set.</x:v>
      </x:c>
      <x:c r="U604" s="22" t="str">
        <x:v>Removed before screening</x:v>
      </x:c>
      <x:c r="V604" s="22" t="str">
        <x:v>Confirmed duplicate removed during deduplication.</x:v>
      </x:c>
      <x:c r="W604" s="22" t="str">
        <x:v>No</x:v>
      </x:c>
      <x:c r="X604" s="22" t="str">
        <x:v>Not applicable</x:v>
      </x:c>
      <x:c r="Y604" s="22" t="str">
        <x:v>Not assessed</x:v>
      </x:c>
      <x:c r="Z604" s="22" t="str">
        <x:v>Not applicable — record removed before screening.</x:v>
      </x:c>
      <x:c r="AA604" s="22" t="str">
        <x:v>Not applicable</x:v>
      </x:c>
      <x:c r="AB604" s="22" t="str">
        <x:v>Record was not advanced to full-text assessment.</x:v>
      </x:c>
      <x:c r="AC604" s="22" t="str">
        <x:v>Not assessed</x:v>
      </x:c>
      <x:c r="AD604" s="22" t="str">
        <x:v>Not applicable — no full-text assessment was required.</x:v>
      </x:c>
      <x:c r="AE604" s="22" t="str">
        <x:v>Removed before screening</x:v>
      </x:c>
      <x:c r="AF604" s="22" t="str">
        <x:v>Not applicable — not included</x:v>
      </x:c>
      <x:c r="AG604" s="22" t="str">
        <x:v>Evidence: 1a2c3ade-31d3-4448-a304-aecaaadaf638.png; page 1, result 9. Metadata transcribed from captured Google Scholar page; OCR-normalised, verify against publication before citation.</x:v>
      </x:c>
      <x:c r="AH604" s="20" t="str">
        <x:v>No duplicate identified under the documented matching rules.</x:v>
      </x:c>
    </x:row>
    <x:row r="605" ht="42" customHeight="1">
      <x:c r="A605" s="22" t="str">
        <x:v>GS-08-010</x:v>
      </x:c>
      <x:c r="B605" s="22" t="str">
        <x:v>Google Scholar</x:v>
      </x:c>
      <x:c r="C605" s="22" t="str">
        <x:v>GS-08</x:v>
      </x:c>
      <x:c r="D605" s="22" t="str">
        <x:v>Towards automatic concept-based explanations</x:v>
      </x:c>
      <x:c r="E605" s="22" t="str">
        <x:v>AGhorbani JiYexier JY Zou -Advances nveural 2019</x:v>
      </x:c>
      <x:c r="F605" s="22" t="n">
        <x:v>2019</x:v>
      </x:c>
      <x:c r="G605" s="22" t="str">
        <x:v>proceedings neurios cc</x:v>
      </x:c>
      <x:c r="H605" s="22" t="str">
        <x:v>Google Scholar result</x:v>
      </x:c>
      <x:c r="I605" s="22" t="str">
        <x:v>10.48550/arxiv.1902.03129</x:v>
      </x:c>
      <x:c r="J605" s="22" t="str">
        <x:v>1902.03129</x:v>
      </x:c>
      <x:c r="K605" s="22" t="str">
        <x:v>https://proceedings.neurips.cc/paper_files/paper/9126-towards-automatic-concept-based-explanations.pdf</x:v>
      </x:c>
      <x:c r="L605" s="22" t="str">
        <x:v>Interpretability has become an important topic of research as more machine learning (ML) models are deployed and widely used to make important decisions. Most of the current explanation methods provide explanations through feature importance scores, which identify features that are important for each individual input. However, how to systematically summarize and interpret such per sample feature importance scores itself is challenging. In this work, we propose principles and desiderata for \emph{concept} based explanation, which goes beyond per-sample features to identify higher-level human-understandable concepts that apply across the entire dataset. We develop a new algorithm, ACE, to automatically extract visual concepts. Our systematic experiments demonstrate that \alg discovers concepts that are human-meaningful, coherent and important for the neural network's predictions.</x:v>
      </x:c>
      <x:c r="M605" s="22" t="str">
        <x:v>No duplicate</x:v>
      </x:c>
      <x:c r="N605" s="22" t="str">
        <x:v>Not applicable — no duplicate group</x:v>
      </x:c>
      <x:c r="O605" s="22" t="str">
        <x:v>Not applicable</x:v>
      </x:c>
      <x:c r="P605" s="22" t="str">
        <x:v>Yes</x:v>
      </x:c>
      <x:c r="Q605" s="22" t="str">
        <x:v>Include</x:v>
      </x:c>
      <x:c r="R605" s="22" t="str">
        <x:v>Foundational original ACE concept-discovery method relevant to the review methodology.</x:v>
      </x:c>
      <x:c r="S605" s="22" t="str">
        <x:v>Verification documented at process level</x:v>
      </x:c>
      <x:c r="T605" s="22" t="str">
        <x:v>Two additional authors performed random spot checks; individual spot-check assignments are not recorded in this register.</x:v>
      </x:c>
      <x:c r="U605" s="22" t="str">
        <x:v>Include</x:v>
      </x:c>
      <x:c r="V605" s="22" t="str">
        <x:v>Primary decision by the corresponding author; two additional authors performed random spot checks as a quality-control step.</x:v>
      </x:c>
      <x:c r="W605" s="22" t="str">
        <x:v>Yes</x:v>
      </x:c>
      <x:c r="X605" s="22" t="str">
        <x:v>Yes</x:v>
      </x:c>
      <x:c r="Y605" s="22" t="str">
        <x:v>Include</x:v>
      </x:c>
      <x:c r="Z605" s="22" t="str">
        <x:v>The corresponding author assessed the complete report and judged it eligible for inclusion in the review.</x:v>
      </x:c>
      <x:c r="AA605" s="22" t="str">
        <x:v>Verification documented at process level</x:v>
      </x:c>
      <x:c r="AB605" s="22" t="str">
        <x:v>Two additional authors performed random spot checks; individual spot-check assignments are not recorded in this register.</x:v>
      </x:c>
      <x:c r="AC605" s="22" t="str">
        <x:v>Include</x:v>
      </x:c>
      <x:c r="AD605" s="22" t="str">
        <x:v>Primary decision by the corresponding author; two additional authors performed random spot checks as a quality-control step.</x:v>
      </x:c>
      <x:c r="AE605" s="22" t="str">
        <x:v>Include</x:v>
      </x:c>
      <x:c r="AF605" s="22" t="str">
        <x:v>Contextual medical concept-XAI evidence</x:v>
      </x:c>
      <x:c r="AG605" s="22" t="str">
        <x:v>Evidence: 1a2c3ade-31d3-4448-a304-aecaaadaf638.png; page 1, result 10. Metadata transcribed from captured Google Scholar page; OCR-normalised, verify against publication before citation.</x:v>
      </x:c>
      <x:c r="AH605" s="20" t="str">
        <x:v>No duplicate identified under the documented matching rules.</x:v>
      </x:c>
    </x:row>
    <x:row r="606" ht="42" customHeight="1">
      <x:c r="A606" s="22" t="str">
        <x:v>GS-08-011</x:v>
      </x:c>
      <x:c r="B606" s="22" t="str">
        <x:v>Google Scholar</x:v>
      </x:c>
      <x:c r="C606" s="22" t="str">
        <x:v>GS-08</x:v>
      </x:c>
      <x:c r="D606" s="22" t="str">
        <x:v>(4TML] Concept-based Al interpretability in physiological time-series data: Example of abnarmality detection in electroencephalagraphy</x:v>
      </x:c>
      <x:c r="E606" s="22" t="str">
        <x:v>ABrenner. F Krispel FP Fischer PRassmnait</x:v>
      </x:c>
      <x:c r="F606" s="22" t="str">
        <x:v>NR</x:v>
      </x:c>
      <x:c r="G606" s="22" t="str">
        <x:v>Computer metrods and = =. 20.24 - Elsevier</x:v>
      </x:c>
      <x:c r="H606" s="22" t="str">
        <x:v>Google Scholar result</x:v>
      </x:c>
      <x:c r="I606" s="22" t="str">
        <x:v>NR</x:v>
      </x:c>
      <x:c r="J606" s="22" t="str">
        <x:v>NR</x:v>
      </x:c>
      <x:c r="K606" s="22" t="str">
        <x:v>NR — URL not captured in the available source record</x:v>
      </x:c>
      <x:c r="L606" s="22" t="str">
        <x:v>Not available in the captured evidence; the screening decision used the title and available source metadata.</x:v>
      </x:c>
      <x:c r="M606" s="22" t="str">
        <x:v>Confirmed duplicate</x:v>
      </x:c>
      <x:c r="N606" s="22" t="str">
        <x:v>DG-099</x:v>
      </x:c>
      <x:c r="O606" s="22" t="str">
        <x:v>PM-005</x:v>
      </x:c>
      <x:c r="P606" s="22" t="str">
        <x:v>No</x:v>
      </x:c>
      <x:c r="Q606" s="22" t="str">
        <x:v>Not screened</x:v>
      </x:c>
      <x:c r="R606" s="22" t="str">
        <x:v>Removed before title/abstract screening as a confirmed duplicate.</x:v>
      </x:c>
      <x:c r="S606" s="22" t="str">
        <x:v>Not applicable — removed before screening</x:v>
      </x:c>
      <x:c r="T606" s="22" t="str">
        <x:v>Record was outside the active screening set.</x:v>
      </x:c>
      <x:c r="U606" s="22" t="str">
        <x:v>Removed before screening</x:v>
      </x:c>
      <x:c r="V606" s="22" t="str">
        <x:v>Confirmed duplicate removed during deduplication.</x:v>
      </x:c>
      <x:c r="W606" s="22" t="str">
        <x:v>No</x:v>
      </x:c>
      <x:c r="X606" s="22" t="str">
        <x:v>Not applicable</x:v>
      </x:c>
      <x:c r="Y606" s="22" t="str">
        <x:v>Not assessed</x:v>
      </x:c>
      <x:c r="Z606" s="22" t="str">
        <x:v>Not applicable — record removed before screening.</x:v>
      </x:c>
      <x:c r="AA606" s="22" t="str">
        <x:v>Not applicable</x:v>
      </x:c>
      <x:c r="AB606" s="22" t="str">
        <x:v>Record was not advanced to full-text assessment.</x:v>
      </x:c>
      <x:c r="AC606" s="22" t="str">
        <x:v>Not assessed</x:v>
      </x:c>
      <x:c r="AD606" s="22" t="str">
        <x:v>Not applicable — no full-text assessment was required.</x:v>
      </x:c>
      <x:c r="AE606" s="22" t="str">
        <x:v>Removed before screening</x:v>
      </x:c>
      <x:c r="AF606" s="22" t="str">
        <x:v>Not applicable — not included</x:v>
      </x:c>
      <x:c r="AG606" s="22" t="str">
        <x:v>Evidence: 49be61d4-486f-41d7-ae0a-6802d8292859.png; page 2, result 1. Metadata transcribed from captured Google Scholar page; OCR-normalised, verify against publication before citation.</x:v>
      </x:c>
      <x:c r="AH606" s="20" t="str">
        <x:v>No duplicate identified under the documented matching rules.</x:v>
      </x:c>
    </x:row>
    <x:row r="607" ht="42" customHeight="1">
      <x:c r="A607" s="22" t="str">
        <x:v>GS-08-012</x:v>
      </x:c>
      <x:c r="B607" s="22" t="str">
        <x:v>Google Scholar</x:v>
      </x:c>
      <x:c r="C607" s="22" t="str">
        <x:v>GS-08</x:v>
      </x:c>
      <x:c r="D607" s="22" t="str">
        <x:v>XA\|-based data visualization in multimadal medical data</x:v>
      </x:c>
      <x:c r="E607" s="22" t="str">
        <x:v>S Shanna M Singh L WeDaid S Bhattacharyya</x:v>
      </x:c>
      <x:c r="F607" s="22" t="n">
        <x:v>2025</x:v>
      </x:c>
      <x:c r="G607" s="22" t="str">
        <x:v>siaRxiv 2025 - bionay org</x:v>
      </x:c>
      <x:c r="H607" s="22" t="str">
        <x:v>Google Scholar result</x:v>
      </x:c>
      <x:c r="I607" s="22" t="str">
        <x:v>NR</x:v>
      </x:c>
      <x:c r="J607" s="22" t="str">
        <x:v>NR</x:v>
      </x:c>
      <x:c r="K607" s="22" t="str">
        <x:v>NR — URL not captured in the available source record</x:v>
      </x:c>
      <x:c r="L607" s="22" t="str">
        <x:v>Not available in the captured evidence; the screening decision used the title and available source metadata.</x:v>
      </x:c>
      <x:c r="M607" s="22" t="str">
        <x:v>No duplicate</x:v>
      </x:c>
      <x:c r="N607" s="22" t="str">
        <x:v>Not applicable — no duplicate group</x:v>
      </x:c>
      <x:c r="O607" s="22" t="str">
        <x:v>Not applicable</x:v>
      </x:c>
      <x:c r="P607" s="22" t="str">
        <x:v>Yes</x:v>
      </x:c>
      <x:c r="Q607" s="22" t="str">
        <x:v>Exclude</x:v>
      </x:c>
      <x:c r="R607" s="22" t="str">
        <x:v>No clear concept-based medical-imaging method.</x:v>
      </x:c>
      <x:c r="S607" s="22" t="str">
        <x:v>Verification documented at process level</x:v>
      </x:c>
      <x:c r="T607" s="22" t="str">
        <x:v>Two additional authors performed random spot checks; individual spot-check assignments are not recorded in this register.</x:v>
      </x:c>
      <x:c r="U607" s="22" t="str">
        <x:v>Exclude</x:v>
      </x:c>
      <x:c r="V607" s="22" t="str">
        <x:v>Primary decision by the corresponding author; two additional authors performed random spot checks as a quality-control step.</x:v>
      </x:c>
      <x:c r="W607" s="22" t="str">
        <x:v>No</x:v>
      </x:c>
      <x:c r="X607" s="22" t="str">
        <x:v>Not applicable</x:v>
      </x:c>
      <x:c r="Y607" s="22" t="str">
        <x:v>Not assessed</x:v>
      </x:c>
      <x:c r="Z607" s="22" t="str">
        <x:v>Not advanced to full-text assessment after the title/abstract decision.</x:v>
      </x:c>
      <x:c r="AA607" s="22" t="str">
        <x:v>Not applicable</x:v>
      </x:c>
      <x:c r="AB607" s="22" t="str">
        <x:v>Record was not advanced to full-text assessment.</x:v>
      </x:c>
      <x:c r="AC607" s="22" t="str">
        <x:v>Not assessed</x:v>
      </x:c>
      <x:c r="AD607" s="22" t="str">
        <x:v>Not applicable — no full-text assessment was required.</x:v>
      </x:c>
      <x:c r="AE607" s="22" t="str">
        <x:v>Not included — title/abstract exclusion</x:v>
      </x:c>
      <x:c r="AF607" s="22" t="str">
        <x:v>Not applicable — not included</x:v>
      </x:c>
      <x:c r="AG607" s="22" t="str">
        <x:v>Evidence: 49be61d4-486f-41d7-ae0a-6802d8292859.png; page 2, result 2. Metadata transcribed from captured Google Scholar page; OCR-normalised, verify against publication before citation.</x:v>
      </x:c>
      <x:c r="AH607" s="20" t="str">
        <x:v>No duplicate identified under the documented matching rules.</x:v>
      </x:c>
    </x:row>
    <x:row r="608" ht="42" customHeight="1">
      <x:c r="A608" s="22" t="str">
        <x:v>GS-08-013</x:v>
      </x:c>
      <x:c r="B608" s="22" t="str">
        <x:v>Google Scholar</x:v>
      </x:c>
      <x:c r="C608" s="22" t="str">
        <x:v>GS-08</x:v>
      </x:c>
      <x:c r="D608" s="22" t="str">
        <x:v>Achievements and challenges in explaining deep learning based computer-aided diagnosis systems</x:v>
      </x:c>
      <x:c r="E608" s="22" t="str">
        <x:v>ALuceri MN Bajwa 4 Denzel S Ahmed</x:v>
      </x:c>
      <x:c r="F608" s="22" t="n">
        <x:v>2020</x:v>
      </x:c>
      <x:c r="G608" s="22" t="str">
        <x:v>a-Xiv preponl arXiv = 2020 - arxiv org</x:v>
      </x:c>
      <x:c r="H608" s="22" t="str">
        <x:v>Google Scholar result</x:v>
      </x:c>
      <x:c r="I608" s="22" t="str">
        <x:v>NR</x:v>
      </x:c>
      <x:c r="J608" s="22" t="str">
        <x:v>NR</x:v>
      </x:c>
      <x:c r="K608" s="22" t="str">
        <x:v>NR — URL not captured in the available source record</x:v>
      </x:c>
      <x:c r="L608" s="22" t="str">
        <x:v>Not available in the captured evidence; the screening decision used the title and available source metadata.</x:v>
      </x:c>
      <x:c r="M608" s="22" t="str">
        <x:v>No duplicate</x:v>
      </x:c>
      <x:c r="N608" s="22" t="str">
        <x:v>Not applicable — no duplicate group</x:v>
      </x:c>
      <x:c r="O608" s="22" t="str">
        <x:v>Not applicable</x:v>
      </x:c>
      <x:c r="P608" s="22" t="str">
        <x:v>Yes</x:v>
      </x:c>
      <x:c r="Q608" s="22" t="str">
        <x:v>Exclude</x:v>
      </x:c>
      <x:c r="R608" s="22" t="str">
        <x:v>Review of computer-aided diagnosis explanations; non-original.</x:v>
      </x:c>
      <x:c r="S608" s="22" t="str">
        <x:v>Verification documented at process level</x:v>
      </x:c>
      <x:c r="T608" s="22" t="str">
        <x:v>Two additional authors performed random spot checks; individual spot-check assignments are not recorded in this register.</x:v>
      </x:c>
      <x:c r="U608" s="22" t="str">
        <x:v>Exclude</x:v>
      </x:c>
      <x:c r="V608" s="22" t="str">
        <x:v>Primary decision by the corresponding author; two additional authors performed random spot checks as a quality-control step.</x:v>
      </x:c>
      <x:c r="W608" s="22" t="str">
        <x:v>No</x:v>
      </x:c>
      <x:c r="X608" s="22" t="str">
        <x:v>Not applicable</x:v>
      </x:c>
      <x:c r="Y608" s="22" t="str">
        <x:v>Not assessed</x:v>
      </x:c>
      <x:c r="Z608" s="22" t="str">
        <x:v>Not advanced to full-text assessment after the title/abstract decision.</x:v>
      </x:c>
      <x:c r="AA608" s="22" t="str">
        <x:v>Not applicable</x:v>
      </x:c>
      <x:c r="AB608" s="22" t="str">
        <x:v>Record was not advanced to full-text assessment.</x:v>
      </x:c>
      <x:c r="AC608" s="22" t="str">
        <x:v>Not assessed</x:v>
      </x:c>
      <x:c r="AD608" s="22" t="str">
        <x:v>Not applicable — no full-text assessment was required.</x:v>
      </x:c>
      <x:c r="AE608" s="22" t="str">
        <x:v>Not included — title/abstract exclusion</x:v>
      </x:c>
      <x:c r="AF608" s="22" t="str">
        <x:v>Not applicable — not included</x:v>
      </x:c>
      <x:c r="AG608" s="22" t="str">
        <x:v>Evidence: 49be61d4-486f-41d7-ae0a-6802d8292859.png; page 2, result 3. Metadata transcribed from captured Google Scholar page; OCR-normalised, verify against publication before citation.</x:v>
      </x:c>
      <x:c r="AH608" s="20" t="str">
        <x:v>No duplicate identified under the documented matching rules.</x:v>
      </x:c>
    </x:row>
    <x:row r="609" ht="42" customHeight="1">
      <x:c r="A609" s="22" t="str">
        <x:v>GS-08-014</x:v>
      </x:c>
      <x:c r="B609" s="22" t="str">
        <x:v>Google Scholar</x:v>
      </x:c>
      <x:c r="C609" s="22" t="str">
        <x:v>GS-08</x:v>
      </x:c>
      <x:c r="D609" s="22" t="str">
        <x:v>YVhich explainable Al methods in medical imaging are clinically impactful? A systematic literature review addressing the clinician's perspective</x:v>
      </x:c>
      <x:c r="E609" s="22" t="str">
        <x:v>$ Jd Jin R&amp;enns JCF Kel Migba</x:v>
      </x:c>
      <x:c r="F609" s="22" t="n">
        <x:v>2026</x:v>
      </x:c>
      <x:c r="G609" s="22" t="str">
        <x:v>Franters in Artfic.al 2026 + froniersin arg</x:v>
      </x:c>
      <x:c r="H609" s="22" t="str">
        <x:v>Google Scholar result</x:v>
      </x:c>
      <x:c r="I609" s="22" t="str">
        <x:v>NR</x:v>
      </x:c>
      <x:c r="J609" s="22" t="str">
        <x:v>NR</x:v>
      </x:c>
      <x:c r="K609" s="22" t="str">
        <x:v>NR — URL not captured in the available source record</x:v>
      </x:c>
      <x:c r="L609" s="22" t="str">
        <x:v>Not available in the captured evidence; the screening decision used the title and available source metadata.</x:v>
      </x:c>
      <x:c r="M609" s="22" t="str">
        <x:v>No duplicate</x:v>
      </x:c>
      <x:c r="N609" s="22" t="str">
        <x:v>DG-096</x:v>
      </x:c>
      <x:c r="O609" s="22" t="str">
        <x:v>Not applicable</x:v>
      </x:c>
      <x:c r="P609" s="22" t="str">
        <x:v>Yes</x:v>
      </x:c>
      <x:c r="Q609" s="22" t="str">
        <x:v>Exclude</x:v>
      </x:c>
      <x:c r="R609" s="22" t="str">
        <x:v>Systematic literature review; not original empirical research.</x:v>
      </x:c>
      <x:c r="S609" s="22" t="str">
        <x:v>Verification documented at process level</x:v>
      </x:c>
      <x:c r="T609" s="22" t="str">
        <x:v>Two additional authors performed random spot checks; individual spot-check assignments are not recorded in this register.</x:v>
      </x:c>
      <x:c r="U609" s="22" t="str">
        <x:v>Exclude</x:v>
      </x:c>
      <x:c r="V609" s="22" t="str">
        <x:v>Primary decision by the corresponding author; two additional authors performed random spot checks as a quality-control step.</x:v>
      </x:c>
      <x:c r="W609" s="22" t="str">
        <x:v>No</x:v>
      </x:c>
      <x:c r="X609" s="22" t="str">
        <x:v>Not applicable</x:v>
      </x:c>
      <x:c r="Y609" s="22" t="str">
        <x:v>Not assessed</x:v>
      </x:c>
      <x:c r="Z609" s="22" t="str">
        <x:v>Not advanced to full-text assessment after the title/abstract decision.</x:v>
      </x:c>
      <x:c r="AA609" s="22" t="str">
        <x:v>Not applicable</x:v>
      </x:c>
      <x:c r="AB609" s="22" t="str">
        <x:v>Record was not advanced to full-text assessment.</x:v>
      </x:c>
      <x:c r="AC609" s="22" t="str">
        <x:v>Not assessed</x:v>
      </x:c>
      <x:c r="AD609" s="22" t="str">
        <x:v>Not applicable — no full-text assessment was required.</x:v>
      </x:c>
      <x:c r="AE609" s="22" t="str">
        <x:v>Not included — title/abstract exclusion</x:v>
      </x:c>
      <x:c r="AF609" s="22" t="str">
        <x:v>Not applicable — not included</x:v>
      </x:c>
      <x:c r="AG609" s="22" t="str">
        <x:v>Evidence: 49be61d4-486f-41d7-ae0a-6802d8292859.png; page 2, result 4. Metadata transcribed from captured Google Scholar page; OCR-normalised, verify against publication before citation.</x:v>
      </x:c>
      <x:c r="AH609" s="20" t="str">
        <x:v>No duplicate identified under the documented matching rules.</x:v>
      </x:c>
    </x:row>
    <x:row r="610" ht="42" customHeight="1">
      <x:c r="A610" s="22" t="str">
        <x:v>GS-08-015</x:v>
      </x:c>
      <x:c r="B610" s="22" t="str">
        <x:v>Google Scholar</x:v>
      </x:c>
      <x:c r="C610" s="22" t="str">
        <x:v>GS-08</x:v>
      </x:c>
      <x:c r="D610" s="22" t="str">
        <x:v>(4TML] ExAID A multimodal explanation framework for computer-aided diagnosis of skin lesions</x:v>
      </x:c>
      <x:c r="E610" s="22" t="str">
        <x:v>Aluceri StN Bajwa SA Braun Ml Malik = -Campuler Methods and | 2022</x:v>
      </x:c>
      <x:c r="F610" s="22" t="n">
        <x:v>2022</x:v>
      </x:c>
      <x:c r="G610" s="22" t="str">
        <x:v>Elsev-er</x:v>
      </x:c>
      <x:c r="H610" s="22" t="str">
        <x:v>Google Scholar result</x:v>
      </x:c>
      <x:c r="I610" s="22" t="str">
        <x:v>NR</x:v>
      </x:c>
      <x:c r="J610" s="22" t="str">
        <x:v>NR</x:v>
      </x:c>
      <x:c r="K610" s="22" t="str">
        <x:v>NR — URL not captured in the available source record</x:v>
      </x:c>
      <x:c r="L610" s="22" t="str">
        <x:v>Not available in the captured evidence; the screening decision used the title and available source metadata.</x:v>
      </x:c>
      <x:c r="M610" s="22" t="str">
        <x:v>Confirmed duplicate</x:v>
      </x:c>
      <x:c r="N610" s="22" t="str">
        <x:v>DG-073</x:v>
      </x:c>
      <x:c r="O610" s="22" t="str">
        <x:v>GS-06-015</x:v>
      </x:c>
      <x:c r="P610" s="22" t="str">
        <x:v>No</x:v>
      </x:c>
      <x:c r="Q610" s="22" t="str">
        <x:v>Not screened</x:v>
      </x:c>
      <x:c r="R610" s="22" t="str">
        <x:v>Removed before title/abstract screening as a confirmed duplicate.</x:v>
      </x:c>
      <x:c r="S610" s="22" t="str">
        <x:v>Not applicable — removed before screening</x:v>
      </x:c>
      <x:c r="T610" s="22" t="str">
        <x:v>Record was outside the active screening set.</x:v>
      </x:c>
      <x:c r="U610" s="22" t="str">
        <x:v>Removed before screening</x:v>
      </x:c>
      <x:c r="V610" s="22" t="str">
        <x:v>Confirmed duplicate removed during deduplication.</x:v>
      </x:c>
      <x:c r="W610" s="22" t="str">
        <x:v>No</x:v>
      </x:c>
      <x:c r="X610" s="22" t="str">
        <x:v>Not applicable</x:v>
      </x:c>
      <x:c r="Y610" s="22" t="str">
        <x:v>Not assessed</x:v>
      </x:c>
      <x:c r="Z610" s="22" t="str">
        <x:v>Not applicable — record removed before screening.</x:v>
      </x:c>
      <x:c r="AA610" s="22" t="str">
        <x:v>Not applicable</x:v>
      </x:c>
      <x:c r="AB610" s="22" t="str">
        <x:v>Record was not advanced to full-text assessment.</x:v>
      </x:c>
      <x:c r="AC610" s="22" t="str">
        <x:v>Not assessed</x:v>
      </x:c>
      <x:c r="AD610" s="22" t="str">
        <x:v>Not applicable — no full-text assessment was required.</x:v>
      </x:c>
      <x:c r="AE610" s="22" t="str">
        <x:v>Removed before screening</x:v>
      </x:c>
      <x:c r="AF610" s="22" t="str">
        <x:v>Not applicable — not included</x:v>
      </x:c>
      <x:c r="AG610" s="22" t="str">
        <x:v>Evidence: 49be61d4-486f-41d7-ae0a-6802d8292859.png; page 2, result 5. Metadata transcribed from captured Google Scholar page; OCR-normalised, verify against publication before citation.</x:v>
      </x:c>
      <x:c r="AH610" s="20" t="str">
        <x:v>Confirmed using normalized title across captured searches.</x:v>
      </x:c>
    </x:row>
    <x:row r="611" ht="42" customHeight="1">
      <x:c r="A611" s="22" t="str">
        <x:v>GS-08-016</x:v>
      </x:c>
      <x:c r="B611" s="22" t="str">
        <x:v>Google Scholar</x:v>
      </x:c>
      <x:c r="C611" s="22" t="str">
        <x:v>GS-08</x:v>
      </x:c>
      <x:c r="D611" s="22" t="str">
        <x:v>Concept based explanation for fine-grained images and its application in infectious keratitis classification</x:v>
      </x:c>
      <x:c r="E611" s="22" t="str">
        <x:v>2Fang. « Kuang ¥ Ln F Wu YF Yas</x:v>
      </x:c>
      <x:c r="F611" s="22" t="n">
        <x:v>2020</x:v>
      </x:c>
      <x:c r="G611" s="22" t="str">
        <x:v>Proceedings of tha 28thATM = =—- 2020 - dl acm org</x:v>
      </x:c>
      <x:c r="H611" s="22" t="str">
        <x:v>Google Scholar result</x:v>
      </x:c>
      <x:c r="I611" s="22" t="str">
        <x:v>10.1145/3394171.3413557</x:v>
      </x:c>
      <x:c r="J611" s="22" t="str">
        <x:v>NR</x:v>
      </x:c>
      <x:c r="K611" s="22" t="str">
        <x:v>https://kunkuang.github.io/papers/MM20-concept.pdf</x:v>
      </x:c>
      <x:c r="L611" s="22" t="str">
        <x:v>Interpretability has become an essential topic as deep learning is widely applied in professional fields (e.g., medical image processing)where high level of accountability is required. Existing methods for explanation mainly focus on computing the importance of low level pixels or segments, rather than the high-level concepts. Concepts are of paramount importance for human to understand and make decisions, especially for those fine-grained tasks. In this paper, we focus on the real application problem of classification of infectious keratitis and propose a visual concept mining (VCM) method to explain the fine-grained infectious keratitis images. Based on our discovered explainable visual concepts, we further propose a visual concept enhanced framework for infectious keratitis classification. Extensive empirical experiments demonstrate that (i) our discovered visual concepts are highly coherent with the physicians? understanding and interpretation, and (ii) our visual concept enhanced model achieves significant improvement on the performance of infectious keratitis classification.</x:v>
      </x:c>
      <x:c r="M611" s="22" t="str">
        <x:v>No duplicate</x:v>
      </x:c>
      <x:c r="N611" s="22" t="str">
        <x:v>Not applicable — no duplicate group</x:v>
      </x:c>
      <x:c r="O611" s="22" t="str">
        <x:v>Not applicable</x:v>
      </x:c>
      <x:c r="P611" s="22" t="str">
        <x:v>Yes</x:v>
      </x:c>
      <x:c r="Q611" s="22" t="str">
        <x:v>Include</x:v>
      </x:c>
      <x:c r="R611" s="22" t="str">
        <x:v>Original ophthalmic imaging study using visual concept mining for infectious keratitis.</x:v>
      </x:c>
      <x:c r="S611" s="22" t="str">
        <x:v>Verification documented at process level</x:v>
      </x:c>
      <x:c r="T611" s="22" t="str">
        <x:v>Two additional authors performed random spot checks; individual spot-check assignments are not recorded in this register.</x:v>
      </x:c>
      <x:c r="U611" s="22" t="str">
        <x:v>Include</x:v>
      </x:c>
      <x:c r="V611" s="22" t="str">
        <x:v>Primary decision by the corresponding author; two additional authors performed random spot checks as a quality-control step.</x:v>
      </x:c>
      <x:c r="W611" s="22" t="str">
        <x:v>Yes</x:v>
      </x:c>
      <x:c r="X611" s="22" t="str">
        <x:v>Yes</x:v>
      </x:c>
      <x:c r="Y611" s="22" t="str">
        <x:v>Include</x:v>
      </x:c>
      <x:c r="Z611" s="22" t="str">
        <x:v>The corresponding author assessed the complete report and judged it eligible for inclusion in the review.</x:v>
      </x:c>
      <x:c r="AA611" s="22" t="str">
        <x:v>Verification documented at process level</x:v>
      </x:c>
      <x:c r="AB611" s="22" t="str">
        <x:v>Two additional authors performed random spot checks; individual spot-check assignments are not recorded in this register.</x:v>
      </x:c>
      <x:c r="AC611" s="22" t="str">
        <x:v>Include</x:v>
      </x:c>
      <x:c r="AD611" s="22" t="str">
        <x:v>Primary decision by the corresponding author; two additional authors performed random spot checks as a quality-control step.</x:v>
      </x:c>
      <x:c r="AE611" s="22" t="str">
        <x:v>Include</x:v>
      </x:c>
      <x:c r="AF611" s="22" t="str">
        <x:v>Contextual medical concept-XAI evidence</x:v>
      </x:c>
      <x:c r="AG611" s="22" t="str">
        <x:v>Evidence: 49be61d4-486f-41d7-ae0a-6802d8292859.png; page 2, result 6. Metadata transcribed from captured Google Scholar page; OCR-normalised, verify against publication before citation.</x:v>
      </x:c>
      <x:c r="AH611" s="20" t="str">
        <x:v>No duplicate identified under the documented matching rules.</x:v>
      </x:c>
    </x:row>
    <x:row r="612" ht="42" customHeight="1">
      <x:c r="A612" s="22" t="str">
        <x:v>GS-08-017</x:v>
      </x:c>
      <x:c r="B612" s="22" t="str">
        <x:v>Google Scholar</x:v>
      </x:c>
      <x:c r="C612" s="22" t="str">
        <x:v>GS-08</x:v>
      </x:c>
      <x:c r="D612" s="22" t="str">
        <x:v>A Unifed Non-Visual Explainable 4] Framework for Neonatal Pain Assessment</x:v>
      </x:c>
      <x:c r="E612" s="22" t="str">
        <x:v>MI Hossain</x:v>
      </x:c>
      <x:c r="F612" s="22" t="n">
        <x:v>2026</x:v>
      </x:c>
      <x:c r="G612" s="22" t="str">
        <x:v>2026 - search proquest cam</x:v>
      </x:c>
      <x:c r="H612" s="22" t="str">
        <x:v>Google Scholar result</x:v>
      </x:c>
      <x:c r="I612" s="22" t="str">
        <x:v>NR</x:v>
      </x:c>
      <x:c r="J612" s="22" t="str">
        <x:v>NR</x:v>
      </x:c>
      <x:c r="K612" s="22" t="str">
        <x:v>NR — URL not captured in the available source record</x:v>
      </x:c>
      <x:c r="L612" s="22" t="str">
        <x:v>Not available in the captured evidence; the screening decision used the title and available source metadata.</x:v>
      </x:c>
      <x:c r="M612" s="22" t="str">
        <x:v>Confirmed duplicate</x:v>
      </x:c>
      <x:c r="N612" s="22" t="str">
        <x:v>DG-074</x:v>
      </x:c>
      <x:c r="O612" s="22" t="str">
        <x:v>GS-06-021</x:v>
      </x:c>
      <x:c r="P612" s="22" t="str">
        <x:v>No</x:v>
      </x:c>
      <x:c r="Q612" s="22" t="str">
        <x:v>Not screened</x:v>
      </x:c>
      <x:c r="R612" s="22" t="str">
        <x:v>Removed before title/abstract screening as a confirmed duplicate.</x:v>
      </x:c>
      <x:c r="S612" s="22" t="str">
        <x:v>Not applicable — removed before screening</x:v>
      </x:c>
      <x:c r="T612" s="22" t="str">
        <x:v>Record was outside the active screening set.</x:v>
      </x:c>
      <x:c r="U612" s="22" t="str">
        <x:v>Removed before screening</x:v>
      </x:c>
      <x:c r="V612" s="22" t="str">
        <x:v>Confirmed duplicate removed during deduplication.</x:v>
      </x:c>
      <x:c r="W612" s="22" t="str">
        <x:v>No</x:v>
      </x:c>
      <x:c r="X612" s="22" t="str">
        <x:v>Not applicable</x:v>
      </x:c>
      <x:c r="Y612" s="22" t="str">
        <x:v>Not assessed</x:v>
      </x:c>
      <x:c r="Z612" s="22" t="str">
        <x:v>Not applicable — record removed before screening.</x:v>
      </x:c>
      <x:c r="AA612" s="22" t="str">
        <x:v>Not applicable</x:v>
      </x:c>
      <x:c r="AB612" s="22" t="str">
        <x:v>Record was not advanced to full-text assessment.</x:v>
      </x:c>
      <x:c r="AC612" s="22" t="str">
        <x:v>Not assessed</x:v>
      </x:c>
      <x:c r="AD612" s="22" t="str">
        <x:v>Not applicable — no full-text assessment was required.</x:v>
      </x:c>
      <x:c r="AE612" s="22" t="str">
        <x:v>Removed before screening</x:v>
      </x:c>
      <x:c r="AF612" s="22" t="str">
        <x:v>Not applicable — not included</x:v>
      </x:c>
      <x:c r="AG612" s="22" t="str">
        <x:v>Evidence: 49be61d4-486f-41d7-ae0a-6802d8292859.png; page 2, result 7. Metadata transcribed from captured Google Scholar page; OCR-normalised, verify against publication before citation.</x:v>
      </x:c>
      <x:c r="AH612" s="20" t="str">
        <x:v>Confirmed using normalized title across captured searches.</x:v>
      </x:c>
    </x:row>
    <x:row r="613" ht="42" customHeight="1">
      <x:c r="A613" s="22" t="str">
        <x:v>GS-08-018</x:v>
      </x:c>
      <x:c r="B613" s="22" t="str">
        <x:v>Google Scholar</x:v>
      </x:c>
      <x:c r="C613" s="22" t="str">
        <x:v>GS-08</x:v>
      </x:c>
      <x:c r="D613" s="22" t="str">
        <x:v>On interpretability of deep learning based skin lesion classifiers using concept activation vectors</x:v>
      </x:c>
      <x:c r="E613" s="22" t="str">
        <x:v>Alyc:eri MN Bajwa. SAGraun Mi Malik</x:v>
      </x:c>
      <x:c r="F613" s="22" t="str">
        <x:v>NR</x:v>
      </x:c>
      <x:c r="G613" s="22" t="str">
        <x:v>joinicenferencaon 2°20 - iceexplore ieee org</x:v>
      </x:c>
      <x:c r="H613" s="22" t="str">
        <x:v>Google Scholar result</x:v>
      </x:c>
      <x:c r="I613" s="22" t="str">
        <x:v>NR</x:v>
      </x:c>
      <x:c r="J613" s="22" t="str">
        <x:v>NR</x:v>
      </x:c>
      <x:c r="K613" s="22" t="str">
        <x:v>NR — URL not captured in the available source record</x:v>
      </x:c>
      <x:c r="L613" s="22" t="str">
        <x:v>Not available in the captured evidence; the screening decision used the title and available source metadata.</x:v>
      </x:c>
      <x:c r="M613" s="22" t="str">
        <x:v>Confirmed duplicate</x:v>
      </x:c>
      <x:c r="N613" s="22" t="str">
        <x:v>DG-113</x:v>
      </x:c>
      <x:c r="O613" s="22" t="str">
        <x:v>IEEE-019</x:v>
      </x:c>
      <x:c r="P613" s="22" t="str">
        <x:v>No</x:v>
      </x:c>
      <x:c r="Q613" s="22" t="str">
        <x:v>Not screened</x:v>
      </x:c>
      <x:c r="R613" s="22" t="str">
        <x:v>Removed before title/abstract screening as a confirmed duplicate.</x:v>
      </x:c>
      <x:c r="S613" s="22" t="str">
        <x:v>Not applicable — removed before screening</x:v>
      </x:c>
      <x:c r="T613" s="22" t="str">
        <x:v>Record was outside the active screening set.</x:v>
      </x:c>
      <x:c r="U613" s="22" t="str">
        <x:v>Removed before screening</x:v>
      </x:c>
      <x:c r="V613" s="22" t="str">
        <x:v>Confirmed duplicate removed during deduplication.</x:v>
      </x:c>
      <x:c r="W613" s="22" t="str">
        <x:v>No</x:v>
      </x:c>
      <x:c r="X613" s="22" t="str">
        <x:v>Not applicable</x:v>
      </x:c>
      <x:c r="Y613" s="22" t="str">
        <x:v>Not assessed</x:v>
      </x:c>
      <x:c r="Z613" s="22" t="str">
        <x:v>Not applicable — record removed before screening.</x:v>
      </x:c>
      <x:c r="AA613" s="22" t="str">
        <x:v>Not applicable</x:v>
      </x:c>
      <x:c r="AB613" s="22" t="str">
        <x:v>Record was not advanced to full-text assessment.</x:v>
      </x:c>
      <x:c r="AC613" s="22" t="str">
        <x:v>Not assessed</x:v>
      </x:c>
      <x:c r="AD613" s="22" t="str">
        <x:v>Not applicable — no full-text assessment was required.</x:v>
      </x:c>
      <x:c r="AE613" s="22" t="str">
        <x:v>Removed before screening</x:v>
      </x:c>
      <x:c r="AF613" s="22" t="str">
        <x:v>Not applicable — not included</x:v>
      </x:c>
      <x:c r="AG613" s="22" t="str">
        <x:v>Evidence: 49be61d4-486f-41d7-ae0a-6802d8292859.png; page 2, result 8. Metadata transcribed from captured Google Scholar page; OCR-normalised, verify against publication before citation.</x:v>
      </x:c>
      <x:c r="AH613" s="20" t="str">
        <x:v>No duplicate identified under the documented matching rules.</x:v>
      </x:c>
    </x:row>
    <x:row r="614" ht="42" customHeight="1">
      <x:c r="A614" s="22" t="str">
        <x:v>GS-08-019</x:v>
      </x:c>
      <x:c r="B614" s="22" t="str">
        <x:v>Google Scholar</x:v>
      </x:c>
      <x:c r="C614" s="22" t="str">
        <x:v>GS-08</x:v>
      </x:c>
      <x:c r="D614" s="22" t="str">
        <x:v>ConceptFlaw Hierarchical and Fine-grained Concept-Based Explanation for Convolutional Neural Netwarks</x:v>
      </x:c>
      <x:c r="E614" s="22" t="str">
        <x:v>X My H Jou F Sher J Zhge</x:v>
      </x:c>
      <x:c r="F614" s="22" t="n">
        <x:v>2025</x:v>
      </x:c>
      <x:c r="G614" s="22" t="str">
        <x:v>arXiv preprirt a’Miv 2579 18147, 2025 - arxiv org</x:v>
      </x:c>
      <x:c r="H614" s="22" t="str">
        <x:v>Google Scholar result</x:v>
      </x:c>
      <x:c r="I614" s="22" t="str">
        <x:v>NR</x:v>
      </x:c>
      <x:c r="J614" s="22" t="str">
        <x:v>NR</x:v>
      </x:c>
      <x:c r="K614" s="22" t="str">
        <x:v>NR — URL not captured in the available source record</x:v>
      </x:c>
      <x:c r="L614" s="22" t="str">
        <x:v>Not available in the captured evidence; the screening decision used the title and available source metadata.</x:v>
      </x:c>
      <x:c r="M614" s="22" t="str">
        <x:v>No duplicate</x:v>
      </x:c>
      <x:c r="N614" s="22" t="str">
        <x:v>Not applicable — no duplicate group</x:v>
      </x:c>
      <x:c r="O614" s="22" t="str">
        <x:v>Not applicable</x:v>
      </x:c>
      <x:c r="P614" s="22" t="str">
        <x:v>Yes</x:v>
      </x:c>
      <x:c r="Q614" s="22" t="str">
        <x:v>Exclude</x:v>
      </x:c>
      <x:c r="R614" s="22" t="str">
        <x:v>General concept-explanation method without medical-imaging application.</x:v>
      </x:c>
      <x:c r="S614" s="22" t="str">
        <x:v>Verification documented at process level</x:v>
      </x:c>
      <x:c r="T614" s="22" t="str">
        <x:v>Two additional authors performed random spot checks; individual spot-check assignments are not recorded in this register.</x:v>
      </x:c>
      <x:c r="U614" s="22" t="str">
        <x:v>Exclude</x:v>
      </x:c>
      <x:c r="V614" s="22" t="str">
        <x:v>Primary decision by the corresponding author; two additional authors performed random spot checks as a quality-control step.</x:v>
      </x:c>
      <x:c r="W614" s="22" t="str">
        <x:v>No</x:v>
      </x:c>
      <x:c r="X614" s="22" t="str">
        <x:v>Not applicable</x:v>
      </x:c>
      <x:c r="Y614" s="22" t="str">
        <x:v>Not assessed</x:v>
      </x:c>
      <x:c r="Z614" s="22" t="str">
        <x:v>Not advanced to full-text assessment after the title/abstract decision.</x:v>
      </x:c>
      <x:c r="AA614" s="22" t="str">
        <x:v>Not applicable</x:v>
      </x:c>
      <x:c r="AB614" s="22" t="str">
        <x:v>Record was not advanced to full-text assessment.</x:v>
      </x:c>
      <x:c r="AC614" s="22" t="str">
        <x:v>Not assessed</x:v>
      </x:c>
      <x:c r="AD614" s="22" t="str">
        <x:v>Not applicable — no full-text assessment was required.</x:v>
      </x:c>
      <x:c r="AE614" s="22" t="str">
        <x:v>Not included — title/abstract exclusion</x:v>
      </x:c>
      <x:c r="AF614" s="22" t="str">
        <x:v>Not applicable — not included</x:v>
      </x:c>
      <x:c r="AG614" s="22" t="str">
        <x:v>Evidence: 49be61d4-486f-41d7-ae0a-6802d8292859.png; page 2, result 9. Metadata transcribed from captured Google Scholar page; OCR-normalised, verify against publication before citation.</x:v>
      </x:c>
      <x:c r="AH614" s="20" t="str">
        <x:v>No duplicate identified under the documented matching rules.</x:v>
      </x:c>
    </x:row>
    <x:row r="615" ht="42" customHeight="1">
      <x:c r="A615" s="22" t="str">
        <x:v>GS-08-020</x:v>
      </x:c>
      <x:c r="B615" s="22" t="str">
        <x:v>Google Scholar</x:v>
      </x:c>
      <x:c r="C615" s="22" t="str">
        <x:v>GS-08</x:v>
      </x:c>
      <x:c r="D615" s="22" t="str">
        <x:v>Cat interpretable concept-based taylor additive models</x:v>
      </x:c>
      <x:c r="E615" s="22" t="str">
        <x:v>¥ignong Qty. 2 Zhou, 4 Zhao. 24.9 -Proceedings oflhe 30ih =. 2024</x:v>
      </x:c>
      <x:c r="F615" s="22" t="n">
        <x:v>2024</x:v>
      </x:c>
      <x:c r="G615" s="22" t="str">
        <x:v>dl acrr arg</x:v>
      </x:c>
      <x:c r="H615" s="22" t="str">
        <x:v>Google Scholar result</x:v>
      </x:c>
      <x:c r="I615" s="22" t="str">
        <x:v>NR</x:v>
      </x:c>
      <x:c r="J615" s="22" t="str">
        <x:v>NR</x:v>
      </x:c>
      <x:c r="K615" s="22" t="str">
        <x:v>NR — URL not captured in the available source record</x:v>
      </x:c>
      <x:c r="L615" s="22" t="str">
        <x:v>Not available in the captured evidence; the screening decision used the title and available source metadata.</x:v>
      </x:c>
      <x:c r="M615" s="22" t="str">
        <x:v>No duplicate</x:v>
      </x:c>
      <x:c r="N615" s="22" t="str">
        <x:v>Not applicable — no duplicate group</x:v>
      </x:c>
      <x:c r="O615" s="22" t="str">
        <x:v>Not applicable</x:v>
      </x:c>
      <x:c r="P615" s="22" t="str">
        <x:v>Yes</x:v>
      </x:c>
      <x:c r="Q615" s="22" t="str">
        <x:v>Exclude</x:v>
      </x:c>
      <x:c r="R615" s="22" t="str">
        <x:v>General concept-based Taylor model without medical-imaging evidence.</x:v>
      </x:c>
      <x:c r="S615" s="22" t="str">
        <x:v>Verification documented at process level</x:v>
      </x:c>
      <x:c r="T615" s="22" t="str">
        <x:v>Two additional authors performed random spot checks; individual spot-check assignments are not recorded in this register.</x:v>
      </x:c>
      <x:c r="U615" s="22" t="str">
        <x:v>Exclude</x:v>
      </x:c>
      <x:c r="V615" s="22" t="str">
        <x:v>Primary decision by the corresponding author; two additional authors performed random spot checks as a quality-control step.</x:v>
      </x:c>
      <x:c r="W615" s="22" t="str">
        <x:v>No</x:v>
      </x:c>
      <x:c r="X615" s="22" t="str">
        <x:v>Not applicable</x:v>
      </x:c>
      <x:c r="Y615" s="22" t="str">
        <x:v>Not assessed</x:v>
      </x:c>
      <x:c r="Z615" s="22" t="str">
        <x:v>Not advanced to full-text assessment after the title/abstract decision.</x:v>
      </x:c>
      <x:c r="AA615" s="22" t="str">
        <x:v>Not applicable</x:v>
      </x:c>
      <x:c r="AB615" s="22" t="str">
        <x:v>Record was not advanced to full-text assessment.</x:v>
      </x:c>
      <x:c r="AC615" s="22" t="str">
        <x:v>Not assessed</x:v>
      </x:c>
      <x:c r="AD615" s="22" t="str">
        <x:v>Not applicable — no full-text assessment was required.</x:v>
      </x:c>
      <x:c r="AE615" s="22" t="str">
        <x:v>Not included — title/abstract exclusion</x:v>
      </x:c>
      <x:c r="AF615" s="22" t="str">
        <x:v>Not applicable — not included</x:v>
      </x:c>
      <x:c r="AG615" s="22" t="str">
        <x:v>Evidence: 49be61d4-486f-41d7-ae0a-6802d8292859.png; page 2, result 10. Metadata transcribed from captured Google Scholar page; OCR-normalised, verify against publication before citation.</x:v>
      </x:c>
      <x:c r="AH615" s="20" t="str">
        <x:v>No duplicate identified under the documented matching rules.</x:v>
      </x:c>
    </x:row>
    <x:row r="616" ht="42" customHeight="1">
      <x:c r="A616" s="22" t="str">
        <x:v>GS-08-021</x:v>
      </x:c>
      <x:c r="B616" s="22" t="str">
        <x:v>Google Scholar</x:v>
      </x:c>
      <x:c r="C616" s="22" t="str">
        <x:v>GS-08</x:v>
      </x:c>
      <x:c r="D616" s="22" t="str">
        <x:v>(4TmL] Which explainable Al methads in medical imaging are clinically impactful? A systematic literature review addressing the clinician's perspective</x:v>
      </x:c>
      <x:c r="E616" s="22" t="str">
        <x:v>SU Oin, R Kemra JCP Ket. Migbal -FroniiersinAnmcial =, 2026</x:v>
      </x:c>
      <x:c r="F616" s="22" t="n">
        <x:v>2026</x:v>
      </x:c>
      <x:c r="G616" s="22" t="str">
        <x:v>pne nebi nim nh gov</x:v>
      </x:c>
      <x:c r="H616" s="22" t="str">
        <x:v>Google Scholar result</x:v>
      </x:c>
      <x:c r="I616" s="22" t="str">
        <x:v>NR</x:v>
      </x:c>
      <x:c r="J616" s="22" t="str">
        <x:v>NR</x:v>
      </x:c>
      <x:c r="K616" s="22" t="str">
        <x:v>NR — URL not captured in the available source record</x:v>
      </x:c>
      <x:c r="L616" s="22" t="str">
        <x:v>Not available in the captured evidence; the screening decision used the title and available source metadata.</x:v>
      </x:c>
      <x:c r="M616" s="22" t="str">
        <x:v>Confirmed duplicate</x:v>
      </x:c>
      <x:c r="N616" s="22" t="str">
        <x:v>DG-096</x:v>
      </x:c>
      <x:c r="O616" s="22" t="str">
        <x:v>GS-08-014</x:v>
      </x:c>
      <x:c r="P616" s="22" t="str">
        <x:v>No</x:v>
      </x:c>
      <x:c r="Q616" s="22" t="str">
        <x:v>Not screened</x:v>
      </x:c>
      <x:c r="R616" s="22" t="str">
        <x:v>Removed before title/abstract screening as a confirmed duplicate.</x:v>
      </x:c>
      <x:c r="S616" s="22" t="str">
        <x:v>Not applicable — removed before screening</x:v>
      </x:c>
      <x:c r="T616" s="22" t="str">
        <x:v>Record was outside the active screening set.</x:v>
      </x:c>
      <x:c r="U616" s="22" t="str">
        <x:v>Removed before screening</x:v>
      </x:c>
      <x:c r="V616" s="22" t="str">
        <x:v>Confirmed duplicate removed during deduplication.</x:v>
      </x:c>
      <x:c r="W616" s="22" t="str">
        <x:v>No</x:v>
      </x:c>
      <x:c r="X616" s="22" t="str">
        <x:v>Not applicable</x:v>
      </x:c>
      <x:c r="Y616" s="22" t="str">
        <x:v>Not assessed</x:v>
      </x:c>
      <x:c r="Z616" s="22" t="str">
        <x:v>Not applicable — record removed before screening.</x:v>
      </x:c>
      <x:c r="AA616" s="22" t="str">
        <x:v>Not applicable</x:v>
      </x:c>
      <x:c r="AB616" s="22" t="str">
        <x:v>Record was not advanced to full-text assessment.</x:v>
      </x:c>
      <x:c r="AC616" s="22" t="str">
        <x:v>Not assessed</x:v>
      </x:c>
      <x:c r="AD616" s="22" t="str">
        <x:v>Not applicable — no full-text assessment was required.</x:v>
      </x:c>
      <x:c r="AE616" s="22" t="str">
        <x:v>Removed before screening</x:v>
      </x:c>
      <x:c r="AF616" s="22" t="str">
        <x:v>Not applicable — not included</x:v>
      </x:c>
      <x:c r="AG616" s="22" t="str">
        <x:v>Evidence: 8c11d2e5-3f51-4aec-9300-21f097177277.png; page 3, result 1. Metadata transcribed from captured Google Scholar page; OCR-normalised, verify against publication before citation.</x:v>
      </x:c>
      <x:c r="AH616" s="20" t="str">
        <x:v>No duplicate identified under the documented matching rules.</x:v>
      </x:c>
    </x:row>
    <x:row r="617" ht="42" customHeight="1">
      <x:c r="A617" s="22" t="str">
        <x:v>GS-08-022</x:v>
      </x:c>
      <x:c r="B617" s="22" t="str">
        <x:v>Google Scholar</x:v>
      </x:c>
      <x:c r="C617" s="22" t="str">
        <x:v>GS-08</x:v>
      </x:c>
      <x:c r="D617" s="22" t="str">
        <x:v>Artificial intelligence in clinical data analysis A review of large language madels, foundation madels. digital twins, and allergy applications</x:v>
      </x:c>
      <x:c r="E617" s="22" t="str">
        <x:v>Y¥ Fuse SN Murphy Hikari ATakahash = -Allergalogy 2025</x:v>
      </x:c>
      <x:c r="F617" s="22" t="n">
        <x:v>2025</x:v>
      </x:c>
      <x:c r="G617" s="22" t="str">
        <x:v>jstage jst ge ‘p</x:v>
      </x:c>
      <x:c r="H617" s="22" t="str">
        <x:v>Google Scholar result</x:v>
      </x:c>
      <x:c r="I617" s="22" t="str">
        <x:v>NR</x:v>
      </x:c>
      <x:c r="J617" s="22" t="str">
        <x:v>NR</x:v>
      </x:c>
      <x:c r="K617" s="22" t="str">
        <x:v>NR — URL not captured in the available source record</x:v>
      </x:c>
      <x:c r="L617" s="22" t="str">
        <x:v>Not available in the captured evidence; the screening decision used the title and available source metadata.</x:v>
      </x:c>
      <x:c r="M617" s="22" t="str">
        <x:v>Confirmed duplicate</x:v>
      </x:c>
      <x:c r="N617" s="22" t="str">
        <x:v>DG-076</x:v>
      </x:c>
      <x:c r="O617" s="22" t="str">
        <x:v>GS-07-002</x:v>
      </x:c>
      <x:c r="P617" s="22" t="str">
        <x:v>No</x:v>
      </x:c>
      <x:c r="Q617" s="22" t="str">
        <x:v>Not screened</x:v>
      </x:c>
      <x:c r="R617" s="22" t="str">
        <x:v>Removed before title/abstract screening as a confirmed duplicate.</x:v>
      </x:c>
      <x:c r="S617" s="22" t="str">
        <x:v>Not applicable — removed before screening</x:v>
      </x:c>
      <x:c r="T617" s="22" t="str">
        <x:v>Record was outside the active screening set.</x:v>
      </x:c>
      <x:c r="U617" s="22" t="str">
        <x:v>Removed before screening</x:v>
      </x:c>
      <x:c r="V617" s="22" t="str">
        <x:v>Confirmed duplicate removed during deduplication.</x:v>
      </x:c>
      <x:c r="W617" s="22" t="str">
        <x:v>No</x:v>
      </x:c>
      <x:c r="X617" s="22" t="str">
        <x:v>Not applicable</x:v>
      </x:c>
      <x:c r="Y617" s="22" t="str">
        <x:v>Not assessed</x:v>
      </x:c>
      <x:c r="Z617" s="22" t="str">
        <x:v>Not applicable — record removed before screening.</x:v>
      </x:c>
      <x:c r="AA617" s="22" t="str">
        <x:v>Not applicable</x:v>
      </x:c>
      <x:c r="AB617" s="22" t="str">
        <x:v>Record was not advanced to full-text assessment.</x:v>
      </x:c>
      <x:c r="AC617" s="22" t="str">
        <x:v>Not assessed</x:v>
      </x:c>
      <x:c r="AD617" s="22" t="str">
        <x:v>Not applicable — no full-text assessment was required.</x:v>
      </x:c>
      <x:c r="AE617" s="22" t="str">
        <x:v>Removed before screening</x:v>
      </x:c>
      <x:c r="AF617" s="22" t="str">
        <x:v>Not applicable — not included</x:v>
      </x:c>
      <x:c r="AG617" s="22" t="str">
        <x:v>Evidence: 8c11d2e5-3f51-4aec-9300-21f097177277.png; page 3, result 2. Metadata transcribed from captured Google Scholar page; OCR-normalised, verify against publication before citation.</x:v>
      </x:c>
      <x:c r="AH617" s="20" t="str">
        <x:v>Confirmed using normalized title across captured searches.</x:v>
      </x:c>
    </x:row>
    <x:row r="618" ht="42" customHeight="1">
      <x:c r="A618" s="22" t="str">
        <x:v>GS-08-023</x:v>
      </x:c>
      <x:c r="B618" s="22" t="str">
        <x:v>Google Scholar</x:v>
      </x:c>
      <x:c r="C618" s="22" t="str">
        <x:v>GS-08</x:v>
      </x:c>
      <x:c r="D618" s="22" t="str">
        <x:v>Explainable artificral intelligence in biomedical image analysis A comprehensive survey</x:v>
      </x:c>
      <x:c r="E618" s="22" t="str">
        <x:v>GH Dagnaw ¥ Zh, MH Magsood “i Yang)</x:v>
      </x:c>
      <x:c r="F618" s="22" t="n">
        <x:v>2025</x:v>
      </x:c>
      <x:c r="G618" s="22" t="str">
        <x:v>arXiv preprint ark = 2025 - arn org</x:v>
      </x:c>
      <x:c r="H618" s="22" t="str">
        <x:v>Google Scholar result</x:v>
      </x:c>
      <x:c r="I618" s="22" t="str">
        <x:v>NR</x:v>
      </x:c>
      <x:c r="J618" s="22" t="str">
        <x:v>NR</x:v>
      </x:c>
      <x:c r="K618" s="22" t="str">
        <x:v>NR — URL not captured in the available source record</x:v>
      </x:c>
      <x:c r="L618" s="22" t="str">
        <x:v>Not available in the captured evidence; the screening decision used the title and available source metadata.</x:v>
      </x:c>
      <x:c r="M618" s="22" t="str">
        <x:v>Confirmed duplicate</x:v>
      </x:c>
      <x:c r="N618" s="22" t="str">
        <x:v>DG-097</x:v>
      </x:c>
      <x:c r="O618" s="22" t="str">
        <x:v>GS-06-009</x:v>
      </x:c>
      <x:c r="P618" s="22" t="str">
        <x:v>No</x:v>
      </x:c>
      <x:c r="Q618" s="22" t="str">
        <x:v>Not screened</x:v>
      </x:c>
      <x:c r="R618" s="22" t="str">
        <x:v>Removed before title/abstract screening as a confirmed duplicate.</x:v>
      </x:c>
      <x:c r="S618" s="22" t="str">
        <x:v>Not applicable — removed before screening</x:v>
      </x:c>
      <x:c r="T618" s="22" t="str">
        <x:v>Record was outside the active screening set.</x:v>
      </x:c>
      <x:c r="U618" s="22" t="str">
        <x:v>Removed before screening</x:v>
      </x:c>
      <x:c r="V618" s="22" t="str">
        <x:v>Confirmed duplicate removed during deduplication.</x:v>
      </x:c>
      <x:c r="W618" s="22" t="str">
        <x:v>No</x:v>
      </x:c>
      <x:c r="X618" s="22" t="str">
        <x:v>Not applicable</x:v>
      </x:c>
      <x:c r="Y618" s="22" t="str">
        <x:v>Not assessed</x:v>
      </x:c>
      <x:c r="Z618" s="22" t="str">
        <x:v>Not applicable — record removed before screening.</x:v>
      </x:c>
      <x:c r="AA618" s="22" t="str">
        <x:v>Not applicable</x:v>
      </x:c>
      <x:c r="AB618" s="22" t="str">
        <x:v>Record was not advanced to full-text assessment.</x:v>
      </x:c>
      <x:c r="AC618" s="22" t="str">
        <x:v>Not assessed</x:v>
      </x:c>
      <x:c r="AD618" s="22" t="str">
        <x:v>Not applicable — no full-text assessment was required.</x:v>
      </x:c>
      <x:c r="AE618" s="22" t="str">
        <x:v>Removed before screening</x:v>
      </x:c>
      <x:c r="AF618" s="22" t="str">
        <x:v>Not applicable — not included</x:v>
      </x:c>
      <x:c r="AG618" s="22" t="str">
        <x:v>Evidence: 8c11d2e5-3f51-4aec-9300-21f097177277.png; page 3, result 3. Metadata transcribed from captured Google Scholar page; OCR-normalised, verify against publication before citation.</x:v>
      </x:c>
      <x:c r="AH618" s="20" t="str">
        <x:v>No duplicate identified under the documented matching rules.</x:v>
      </x:c>
    </x:row>
    <x:row r="619" ht="42" customHeight="1">
      <x:c r="A619" s="22" t="str">
        <x:v>GS-08-024</x:v>
      </x:c>
      <x:c r="B619" s="22" t="str">
        <x:v>Google Scholar</x:v>
      </x:c>
      <x:c r="C619" s="22" t="str">
        <x:v>GS-08</x:v>
      </x:c>
      <x:c r="D619" s="22" t="str">
        <x:v>Transparency of medical artificial intelligence systems</x:v>
      </x:c>
      <x:c r="E619" s="22" t="str">
        <x:v>CKm SU Gadgl S| Lee</x:v>
      </x:c>
      <x:c r="F619" s="22" t="n">
        <x:v>2026</x:v>
      </x:c>
      <x:c r="G619" s="22" t="str">
        <x:v>Nature ‘aviews bioengineering 2026 - nature com</x:v>
      </x:c>
      <x:c r="H619" s="22" t="str">
        <x:v>Google Scholar result</x:v>
      </x:c>
      <x:c r="I619" s="22" t="str">
        <x:v>NR</x:v>
      </x:c>
      <x:c r="J619" s="22" t="str">
        <x:v>NR</x:v>
      </x:c>
      <x:c r="K619" s="22" t="str">
        <x:v>NR — URL not captured in the available source record</x:v>
      </x:c>
      <x:c r="L619" s="22" t="str">
        <x:v>Not available in the captured evidence; the screening decision used the title and available source metadata.</x:v>
      </x:c>
      <x:c r="M619" s="22" t="str">
        <x:v>Confirmed duplicate</x:v>
      </x:c>
      <x:c r="N619" s="22" t="str">
        <x:v>DG-072</x:v>
      </x:c>
      <x:c r="O619" s="22" t="str">
        <x:v>GS-06-010</x:v>
      </x:c>
      <x:c r="P619" s="22" t="str">
        <x:v>No</x:v>
      </x:c>
      <x:c r="Q619" s="22" t="str">
        <x:v>Not screened</x:v>
      </x:c>
      <x:c r="R619" s="22" t="str">
        <x:v>Removed before title/abstract screening as a confirmed duplicate.</x:v>
      </x:c>
      <x:c r="S619" s="22" t="str">
        <x:v>Not applicable — removed before screening</x:v>
      </x:c>
      <x:c r="T619" s="22" t="str">
        <x:v>Record was outside the active screening set.</x:v>
      </x:c>
      <x:c r="U619" s="22" t="str">
        <x:v>Removed before screening</x:v>
      </x:c>
      <x:c r="V619" s="22" t="str">
        <x:v>Confirmed duplicate removed during deduplication.</x:v>
      </x:c>
      <x:c r="W619" s="22" t="str">
        <x:v>No</x:v>
      </x:c>
      <x:c r="X619" s="22" t="str">
        <x:v>Not applicable</x:v>
      </x:c>
      <x:c r="Y619" s="22" t="str">
        <x:v>Not assessed</x:v>
      </x:c>
      <x:c r="Z619" s="22" t="str">
        <x:v>Not applicable — record removed before screening.</x:v>
      </x:c>
      <x:c r="AA619" s="22" t="str">
        <x:v>Not applicable</x:v>
      </x:c>
      <x:c r="AB619" s="22" t="str">
        <x:v>Record was not advanced to full-text assessment.</x:v>
      </x:c>
      <x:c r="AC619" s="22" t="str">
        <x:v>Not assessed</x:v>
      </x:c>
      <x:c r="AD619" s="22" t="str">
        <x:v>Not applicable — no full-text assessment was required.</x:v>
      </x:c>
      <x:c r="AE619" s="22" t="str">
        <x:v>Removed before screening</x:v>
      </x:c>
      <x:c r="AF619" s="22" t="str">
        <x:v>Not applicable — not included</x:v>
      </x:c>
      <x:c r="AG619" s="22" t="str">
        <x:v>Evidence: 8c11d2e5-3f51-4aec-9300-21f097177277.png; page 3, result 4. Metadata transcribed from captured Google Scholar page; OCR-normalised, verify against publication before citation.</x:v>
      </x:c>
      <x:c r="AH619" s="20" t="str">
        <x:v>Confirmed using normalized title across captured searches.</x:v>
      </x:c>
    </x:row>
    <x:row r="620" ht="42" customHeight="1">
      <x:c r="A620" s="22" t="str">
        <x:v>GS-08-025</x:v>
      </x:c>
      <x:c r="B620" s="22" t="str">
        <x:v>Google Scholar</x:v>
      </x:c>
      <x:c r="C620" s="22" t="str">
        <x:v>GS-08</x:v>
      </x:c>
      <x:c r="D620" s="22" t="str">
        <x:v>Explainable Al for medical data current methods, limitations. and future directions</x:v>
      </x:c>
      <x:c r="E620" s="22" t="str">
        <x:v>Ml Hossain G Zamzmi PR Moulon MS Salekiz -ACM Computing , 2025- dl acm o-g</x:v>
      </x:c>
      <x:c r="F620" s="22" t="n">
        <x:v>2025</x:v>
      </x:c>
      <x:c r="G620" s="22" t="str">
        <x:v>Ml Hossain G Zamzmi PR Moulon MS Salekiz -ACM Computing , 2025- dl acm o-g</x:v>
      </x:c>
      <x:c r="H620" s="22" t="str">
        <x:v>Google Scholar result</x:v>
      </x:c>
      <x:c r="I620" s="22" t="str">
        <x:v>NR</x:v>
      </x:c>
      <x:c r="J620" s="22" t="str">
        <x:v>NR</x:v>
      </x:c>
      <x:c r="K620" s="22" t="str">
        <x:v>NR — URL not captured in the available source record</x:v>
      </x:c>
      <x:c r="L620" s="22" t="str">
        <x:v>Not available in the captured evidence; the screening decision used the title and available source metadata.</x:v>
      </x:c>
      <x:c r="M620" s="22" t="str">
        <x:v>Confirmed duplicate</x:v>
      </x:c>
      <x:c r="N620" s="22" t="str">
        <x:v>DG-075</x:v>
      </x:c>
      <x:c r="O620" s="22" t="str">
        <x:v>GS-06-030</x:v>
      </x:c>
      <x:c r="P620" s="22" t="str">
        <x:v>No</x:v>
      </x:c>
      <x:c r="Q620" s="22" t="str">
        <x:v>Not screened</x:v>
      </x:c>
      <x:c r="R620" s="22" t="str">
        <x:v>Removed before title/abstract screening as a confirmed duplicate.</x:v>
      </x:c>
      <x:c r="S620" s="22" t="str">
        <x:v>Not applicable — removed before screening</x:v>
      </x:c>
      <x:c r="T620" s="22" t="str">
        <x:v>Record was outside the active screening set.</x:v>
      </x:c>
      <x:c r="U620" s="22" t="str">
        <x:v>Removed before screening</x:v>
      </x:c>
      <x:c r="V620" s="22" t="str">
        <x:v>Confirmed duplicate removed during deduplication.</x:v>
      </x:c>
      <x:c r="W620" s="22" t="str">
        <x:v>No</x:v>
      </x:c>
      <x:c r="X620" s="22" t="str">
        <x:v>Not applicable</x:v>
      </x:c>
      <x:c r="Y620" s="22" t="str">
        <x:v>Not assessed</x:v>
      </x:c>
      <x:c r="Z620" s="22" t="str">
        <x:v>Not applicable — record removed before screening.</x:v>
      </x:c>
      <x:c r="AA620" s="22" t="str">
        <x:v>Not applicable</x:v>
      </x:c>
      <x:c r="AB620" s="22" t="str">
        <x:v>Record was not advanced to full-text assessment.</x:v>
      </x:c>
      <x:c r="AC620" s="22" t="str">
        <x:v>Not assessed</x:v>
      </x:c>
      <x:c r="AD620" s="22" t="str">
        <x:v>Not applicable — no full-text assessment was required.</x:v>
      </x:c>
      <x:c r="AE620" s="22" t="str">
        <x:v>Removed before screening</x:v>
      </x:c>
      <x:c r="AF620" s="22" t="str">
        <x:v>Not applicable — not included</x:v>
      </x:c>
      <x:c r="AG620" s="22" t="str">
        <x:v>Evidence: 8c11d2e5-3f51-4aec-9300-21f097177277.png; page 3, result 5. Metadata transcribed from captured Google Scholar page; OCR-normalised, verify against publication before citation.</x:v>
      </x:c>
      <x:c r="AH620" s="20" t="str">
        <x:v>Confirmed using normalized title across captured searches.</x:v>
      </x:c>
    </x:row>
    <x:row r="621" ht="42" customHeight="1">
      <x:c r="A621" s="22" t="str">
        <x:v>GS-08-026</x:v>
      </x:c>
      <x:c r="B621" s="22" t="str">
        <x:v>Google Scholar</x:v>
      </x:c>
      <x:c r="C621" s="22" t="str">
        <x:v>GS-08</x:v>
      </x:c>
      <x:c r="D621" s="22" t="str">
        <x:v>Overcoming the black box challenge: Building Trust in Artificial Intelligence Algorithms in oncology</x:v>
      </x:c>
      <x:c r="E621" s="22" t="str">
        <x:v>EU ALm CKREgwu YS Manjula</x:v>
      </x:c>
      <x:c r="F621" s="22" t="n">
        <x:v>2026</x:v>
      </x:c>
      <x:c r="G621" s="22" t="str">
        <x:v>. inCancer esearch 2026 - jo.mats sagepub com</x:v>
      </x:c>
      <x:c r="H621" s="22" t="str">
        <x:v>Google Scholar result</x:v>
      </x:c>
      <x:c r="I621" s="22" t="str">
        <x:v>NR</x:v>
      </x:c>
      <x:c r="J621" s="22" t="str">
        <x:v>NR</x:v>
      </x:c>
      <x:c r="K621" s="22" t="str">
        <x:v>NR — URL not captured in the available source record</x:v>
      </x:c>
      <x:c r="L621" s="22" t="str">
        <x:v>Not available in the captured evidence; the screening decision used the title and available source metadata.</x:v>
      </x:c>
      <x:c r="M621" s="22" t="str">
        <x:v>No duplicate</x:v>
      </x:c>
      <x:c r="N621" s="22" t="str">
        <x:v>Not applicable — no duplicate group</x:v>
      </x:c>
      <x:c r="O621" s="22" t="str">
        <x:v>Not applicable</x:v>
      </x:c>
      <x:c r="P621" s="22" t="str">
        <x:v>Yes</x:v>
      </x:c>
      <x:c r="Q621" s="22" t="str">
        <x:v>Exclude</x:v>
      </x:c>
      <x:c r="R621" s="22" t="str">
        <x:v>Oncology review/general discussion; wrong domain and non-original.</x:v>
      </x:c>
      <x:c r="S621" s="22" t="str">
        <x:v>Verification documented at process level</x:v>
      </x:c>
      <x:c r="T621" s="22" t="str">
        <x:v>Two additional authors performed random spot checks; individual spot-check assignments are not recorded in this register.</x:v>
      </x:c>
      <x:c r="U621" s="22" t="str">
        <x:v>Exclude</x:v>
      </x:c>
      <x:c r="V621" s="22" t="str">
        <x:v>Primary decision by the corresponding author; two additional authors performed random spot checks as a quality-control step.</x:v>
      </x:c>
      <x:c r="W621" s="22" t="str">
        <x:v>No</x:v>
      </x:c>
      <x:c r="X621" s="22" t="str">
        <x:v>Not applicable</x:v>
      </x:c>
      <x:c r="Y621" s="22" t="str">
        <x:v>Not assessed</x:v>
      </x:c>
      <x:c r="Z621" s="22" t="str">
        <x:v>Not advanced to full-text assessment after the title/abstract decision.</x:v>
      </x:c>
      <x:c r="AA621" s="22" t="str">
        <x:v>Not applicable</x:v>
      </x:c>
      <x:c r="AB621" s="22" t="str">
        <x:v>Record was not advanced to full-text assessment.</x:v>
      </x:c>
      <x:c r="AC621" s="22" t="str">
        <x:v>Not assessed</x:v>
      </x:c>
      <x:c r="AD621" s="22" t="str">
        <x:v>Not applicable — no full-text assessment was required.</x:v>
      </x:c>
      <x:c r="AE621" s="22" t="str">
        <x:v>Not included — title/abstract exclusion</x:v>
      </x:c>
      <x:c r="AF621" s="22" t="str">
        <x:v>Not applicable — not included</x:v>
      </x:c>
      <x:c r="AG621" s="22" t="str">
        <x:v>Evidence: 8c11d2e5-3f51-4aec-9300-21f097177277.png; page 3, result 6. Metadata transcribed from captured Google Scholar page; OCR-normalised, verify against publication before citation.</x:v>
      </x:c>
      <x:c r="AH621" s="20" t="str">
        <x:v>No duplicate identified under the documented matching rules.</x:v>
      </x:c>
    </x:row>
    <x:row r="622" ht="42" customHeight="1">
      <x:c r="A622" s="22" t="str">
        <x:v>GS-08-027</x:v>
      </x:c>
      <x:c r="B622" s="22" t="str">
        <x:v>Google Scholar</x:v>
      </x:c>
      <x:c r="C622" s="22" t="str">
        <x:v>GS-08</x:v>
      </x:c>
      <x:c r="D622" s="22" t="str">
        <x:v>A Taxonomic Survey of Deep Learning Architectures for Biomedical Image Classification</x:v>
      </x:c>
      <x:c r="E622" s="22" t="str">
        <x:v>S Supta JGS Banu .!M Oli TR Kulkam + Irlernationsl Journal af Sman 2026</x:v>
      </x:c>
      <x:c r="F622" s="22" t="n">
        <x:v>2026</x:v>
      </x:c>
      <x:c r="G622" s="22" t="str">
        <x:v>sti com</x:v>
      </x:c>
      <x:c r="H622" s="22" t="str">
        <x:v>Google Scholar result</x:v>
      </x:c>
      <x:c r="I622" s="22" t="str">
        <x:v>NR</x:v>
      </x:c>
      <x:c r="J622" s="22" t="str">
        <x:v>NR</x:v>
      </x:c>
      <x:c r="K622" s="22" t="str">
        <x:v>NR — URL not captured in the available source record</x:v>
      </x:c>
      <x:c r="L622" s="22" t="str">
        <x:v>Not available in the captured evidence; the screening decision used the title and available source metadata.</x:v>
      </x:c>
      <x:c r="M622" s="22" t="str">
        <x:v>No duplicate</x:v>
      </x:c>
      <x:c r="N622" s="22" t="str">
        <x:v>Not applicable — no duplicate group</x:v>
      </x:c>
      <x:c r="O622" s="22" t="str">
        <x:v>Not applicable</x:v>
      </x:c>
      <x:c r="P622" s="22" t="str">
        <x:v>Yes</x:v>
      </x:c>
      <x:c r="Q622" s="22" t="str">
        <x:v>Exclude</x:v>
      </x:c>
      <x:c r="R622" s="22" t="str">
        <x:v>Taxonomic survey of biomedical image architectures.</x:v>
      </x:c>
      <x:c r="S622" s="22" t="str">
        <x:v>Verification documented at process level</x:v>
      </x:c>
      <x:c r="T622" s="22" t="str">
        <x:v>Two additional authors performed random spot checks; individual spot-check assignments are not recorded in this register.</x:v>
      </x:c>
      <x:c r="U622" s="22" t="str">
        <x:v>Exclude</x:v>
      </x:c>
      <x:c r="V622" s="22" t="str">
        <x:v>Primary decision by the corresponding author; two additional authors performed random spot checks as a quality-control step.</x:v>
      </x:c>
      <x:c r="W622" s="22" t="str">
        <x:v>No</x:v>
      </x:c>
      <x:c r="X622" s="22" t="str">
        <x:v>Not applicable</x:v>
      </x:c>
      <x:c r="Y622" s="22" t="str">
        <x:v>Not assessed</x:v>
      </x:c>
      <x:c r="Z622" s="22" t="str">
        <x:v>Not advanced to full-text assessment after the title/abstract decision.</x:v>
      </x:c>
      <x:c r="AA622" s="22" t="str">
        <x:v>Not applicable</x:v>
      </x:c>
      <x:c r="AB622" s="22" t="str">
        <x:v>Record was not advanced to full-text assessment.</x:v>
      </x:c>
      <x:c r="AC622" s="22" t="str">
        <x:v>Not assessed</x:v>
      </x:c>
      <x:c r="AD622" s="22" t="str">
        <x:v>Not applicable — no full-text assessment was required.</x:v>
      </x:c>
      <x:c r="AE622" s="22" t="str">
        <x:v>Not included — title/abstract exclusion</x:v>
      </x:c>
      <x:c r="AF622" s="22" t="str">
        <x:v>Not applicable — not included</x:v>
      </x:c>
      <x:c r="AG622" s="22" t="str">
        <x:v>Evidence: 8c11d2e5-3f51-4aec-9300-21f097177277.png; page 3, result 7. Metadata transcribed from captured Google Scholar page; OCR-normalised, verify against publication before citation.</x:v>
      </x:c>
      <x:c r="AH622" s="20" t="str">
        <x:v>No duplicate identified under the documented matching rules.</x:v>
      </x:c>
    </x:row>
    <x:row r="623" ht="42" customHeight="1">
      <x:c r="A623" s="22" t="str">
        <x:v>GS-08-028</x:v>
      </x:c>
      <x:c r="B623" s="22" t="str">
        <x:v>Google Scholar</x:v>
      </x:c>
      <x:c r="C623" s="22" t="str">
        <x:v>GS-08</x:v>
      </x:c>
      <x:c r="D623" s="22" t="str">
        <x:v>VITAMIn-O° Democratizing camputer vision-based machine learning for stem cell research</x:v>
      </x:c>
      <x:c r="E623" s="22" t="str">
        <x:v>FHatyescu M Breunig AVerga B Bosch =</x:v>
      </x:c>
      <x:c r="F623" s="22" t="n">
        <x:v>2026</x:v>
      </x:c>
      <x:c r="G623" s="22" t="str">
        <x:v>bioRxiv 2026 - bizrey org</x:v>
      </x:c>
      <x:c r="H623" s="22" t="str">
        <x:v>Google Scholar result</x:v>
      </x:c>
      <x:c r="I623" s="22" t="str">
        <x:v>NR</x:v>
      </x:c>
      <x:c r="J623" s="22" t="str">
        <x:v>NR</x:v>
      </x:c>
      <x:c r="K623" s="22" t="str">
        <x:v>NR — URL not captured in the available source record</x:v>
      </x:c>
      <x:c r="L623" s="22" t="str">
        <x:v>Not available in the captured evidence; the screening decision used the title and available source metadata.</x:v>
      </x:c>
      <x:c r="M623" s="22" t="str">
        <x:v>No duplicate</x:v>
      </x:c>
      <x:c r="N623" s="22" t="str">
        <x:v>Not applicable — no duplicate group</x:v>
      </x:c>
      <x:c r="O623" s="22" t="str">
        <x:v>Not applicable</x:v>
      </x:c>
      <x:c r="P623" s="22" t="str">
        <x:v>Yes</x:v>
      </x:c>
      <x:c r="Q623" s="22" t="str">
        <x:v>Exclude</x:v>
      </x:c>
      <x:c r="R623" s="22" t="str">
        <x:v>Stem-cell computer vision without concept-based explanation.</x:v>
      </x:c>
      <x:c r="S623" s="22" t="str">
        <x:v>Verification documented at process level</x:v>
      </x:c>
      <x:c r="T623" s="22" t="str">
        <x:v>Two additional authors performed random spot checks; individual spot-check assignments are not recorded in this register.</x:v>
      </x:c>
      <x:c r="U623" s="22" t="str">
        <x:v>Exclude</x:v>
      </x:c>
      <x:c r="V623" s="22" t="str">
        <x:v>Primary decision by the corresponding author; two additional authors performed random spot checks as a quality-control step.</x:v>
      </x:c>
      <x:c r="W623" s="22" t="str">
        <x:v>No</x:v>
      </x:c>
      <x:c r="X623" s="22" t="str">
        <x:v>Not applicable</x:v>
      </x:c>
      <x:c r="Y623" s="22" t="str">
        <x:v>Not assessed</x:v>
      </x:c>
      <x:c r="Z623" s="22" t="str">
        <x:v>Not advanced to full-text assessment after the title/abstract decision.</x:v>
      </x:c>
      <x:c r="AA623" s="22" t="str">
        <x:v>Not applicable</x:v>
      </x:c>
      <x:c r="AB623" s="22" t="str">
        <x:v>Record was not advanced to full-text assessment.</x:v>
      </x:c>
      <x:c r="AC623" s="22" t="str">
        <x:v>Not assessed</x:v>
      </x:c>
      <x:c r="AD623" s="22" t="str">
        <x:v>Not applicable — no full-text assessment was required.</x:v>
      </x:c>
      <x:c r="AE623" s="22" t="str">
        <x:v>Not included — title/abstract exclusion</x:v>
      </x:c>
      <x:c r="AF623" s="22" t="str">
        <x:v>Not applicable — not included</x:v>
      </x:c>
      <x:c r="AG623" s="22" t="str">
        <x:v>Evidence: 8c11d2e5-3f51-4aec-9300-21f097177277.png; page 3, result 8. Metadata transcribed from captured Google Scholar page; OCR-normalised, verify against publication before citation.</x:v>
      </x:c>
      <x:c r="AH623" s="20" t="str">
        <x:v>No duplicate identified under the documented matching rules.</x:v>
      </x:c>
    </x:row>
    <x:row r="624" ht="42" customHeight="1">
      <x:c r="A624" s="22" t="str">
        <x:v>GS-08-029</x:v>
      </x:c>
      <x:c r="B624" s="22" t="str">
        <x:v>Google Scholar</x:v>
      </x:c>
      <x:c r="C624" s="22" t="str">
        <x:v>GS-08</x:v>
      </x:c>
      <x:c r="D624" s="22" t="str">
        <x:v>Unveiling ADP-binding sites and channels in respiratory complexes Validation of Murburn concept as a holistic explanation for oxidative phosphorylation</x:v>
      </x:c>
      <x:c r="E624" s="22" t="str">
        <x:v>KM Manzy 4 Parashar</x:v>
      </x:c>
      <x:c r="F624" s="22" t="n">
        <x:v>2018</x:v>
      </x:c>
      <x:c r="G624" s="22" t="str">
        <x:v>arXiv preprint arXiv 180602310 2018 - arxiv org</x:v>
      </x:c>
      <x:c r="H624" s="22" t="str">
        <x:v>Google Scholar result</x:v>
      </x:c>
      <x:c r="I624" s="22" t="str">
        <x:v>NR</x:v>
      </x:c>
      <x:c r="J624" s="22" t="str">
        <x:v>NR</x:v>
      </x:c>
      <x:c r="K624" s="22" t="str">
        <x:v>NR — URL not captured in the available source record</x:v>
      </x:c>
      <x:c r="L624" s="22" t="str">
        <x:v>Not available in the captured evidence; the screening decision used the title and available source metadata.</x:v>
      </x:c>
      <x:c r="M624" s="22" t="str">
        <x:v>No duplicate</x:v>
      </x:c>
      <x:c r="N624" s="22" t="str">
        <x:v>Not applicable — no duplicate group</x:v>
      </x:c>
      <x:c r="O624" s="22" t="str">
        <x:v>Not applicable</x:v>
      </x:c>
      <x:c r="P624" s="22" t="str">
        <x:v>Yes</x:v>
      </x:c>
      <x:c r="Q624" s="22" t="str">
        <x:v>Exclude</x:v>
      </x:c>
      <x:c r="R624" s="22" t="str">
        <x:v>Biological chemistry; irrelevant use of the term concept.</x:v>
      </x:c>
      <x:c r="S624" s="22" t="str">
        <x:v>Verification documented at process level</x:v>
      </x:c>
      <x:c r="T624" s="22" t="str">
        <x:v>Two additional authors performed random spot checks; individual spot-check assignments are not recorded in this register.</x:v>
      </x:c>
      <x:c r="U624" s="22" t="str">
        <x:v>Exclude</x:v>
      </x:c>
      <x:c r="V624" s="22" t="str">
        <x:v>Primary decision by the corresponding author; two additional authors performed random spot checks as a quality-control step.</x:v>
      </x:c>
      <x:c r="W624" s="22" t="str">
        <x:v>No</x:v>
      </x:c>
      <x:c r="X624" s="22" t="str">
        <x:v>Not applicable</x:v>
      </x:c>
      <x:c r="Y624" s="22" t="str">
        <x:v>Not assessed</x:v>
      </x:c>
      <x:c r="Z624" s="22" t="str">
        <x:v>Not advanced to full-text assessment after the title/abstract decision.</x:v>
      </x:c>
      <x:c r="AA624" s="22" t="str">
        <x:v>Not applicable</x:v>
      </x:c>
      <x:c r="AB624" s="22" t="str">
        <x:v>Record was not advanced to full-text assessment.</x:v>
      </x:c>
      <x:c r="AC624" s="22" t="str">
        <x:v>Not assessed</x:v>
      </x:c>
      <x:c r="AD624" s="22" t="str">
        <x:v>Not applicable — no full-text assessment was required.</x:v>
      </x:c>
      <x:c r="AE624" s="22" t="str">
        <x:v>Not included — title/abstract exclusion</x:v>
      </x:c>
      <x:c r="AF624" s="22" t="str">
        <x:v>Not applicable — not included</x:v>
      </x:c>
      <x:c r="AG624" s="22" t="str">
        <x:v>Evidence: 8c11d2e5-3f51-4aec-9300-21f097177277.png; page 3, result 9. Metadata transcribed from captured Google Scholar page; OCR-normalised, verify against publication before citation.</x:v>
      </x:c>
      <x:c r="AH624" s="20" t="str">
        <x:v>No duplicate identified under the documented matching rules.</x:v>
      </x:c>
    </x:row>
    <x:row r="625" ht="42" customHeight="1">
      <x:c r="A625" s="22" t="str">
        <x:v>GS-08-030</x:v>
      </x:c>
      <x:c r="B625" s="22" t="str">
        <x:v>Google Scholar</x:v>
      </x:c>
      <x:c r="C625" s="22" t="str">
        <x:v>GS-08</x:v>
      </x:c>
      <x:c r="D625" s="22" t="str">
        <x:v>A camprehensive review of explainable artificial intelligence in healthcare methods, evaluation, and clinical integration</x:v>
      </x:c>
      <x:c r="E625" s="22" t="str">
        <x:v>K Zhang, 0 Wang. Flin J Xie W Zhoy</x:v>
      </x:c>
      <x:c r="F625" s="22" t="n">
        <x:v>2026</x:v>
      </x:c>
      <x:c r="G625" s="22" t="str">
        <x:v>Iscience 2026 - cellcam</x:v>
      </x:c>
      <x:c r="H625" s="22" t="str">
        <x:v>Google Scholar result</x:v>
      </x:c>
      <x:c r="I625" s="22" t="str">
        <x:v>NR</x:v>
      </x:c>
      <x:c r="J625" s="22" t="str">
        <x:v>NR</x:v>
      </x:c>
      <x:c r="K625" s="22" t="str">
        <x:v>NR — URL not captured in the available source record</x:v>
      </x:c>
      <x:c r="L625" s="22" t="str">
        <x:v>Not available in the captured evidence; the screening decision used the title and available source metadata.</x:v>
      </x:c>
      <x:c r="M625" s="22" t="str">
        <x:v>No duplicate</x:v>
      </x:c>
      <x:c r="N625" s="22" t="str">
        <x:v>Not applicable — no duplicate group</x:v>
      </x:c>
      <x:c r="O625" s="22" t="str">
        <x:v>Not applicable</x:v>
      </x:c>
      <x:c r="P625" s="22" t="str">
        <x:v>Yes</x:v>
      </x:c>
      <x:c r="Q625" s="22" t="str">
        <x:v>Exclude</x:v>
      </x:c>
      <x:c r="R625" s="22" t="str">
        <x:v>Comprehensive XAI healthcare review; non-original.</x:v>
      </x:c>
      <x:c r="S625" s="22" t="str">
        <x:v>Verification documented at process level</x:v>
      </x:c>
      <x:c r="T625" s="22" t="str">
        <x:v>Two additional authors performed random spot checks; individual spot-check assignments are not recorded in this register.</x:v>
      </x:c>
      <x:c r="U625" s="22" t="str">
        <x:v>Exclude</x:v>
      </x:c>
      <x:c r="V625" s="22" t="str">
        <x:v>Primary decision by the corresponding author; two additional authors performed random spot checks as a quality-control step.</x:v>
      </x:c>
      <x:c r="W625" s="22" t="str">
        <x:v>No</x:v>
      </x:c>
      <x:c r="X625" s="22" t="str">
        <x:v>Not applicable</x:v>
      </x:c>
      <x:c r="Y625" s="22" t="str">
        <x:v>Not assessed</x:v>
      </x:c>
      <x:c r="Z625" s="22" t="str">
        <x:v>Not advanced to full-text assessment after the title/abstract decision.</x:v>
      </x:c>
      <x:c r="AA625" s="22" t="str">
        <x:v>Not applicable</x:v>
      </x:c>
      <x:c r="AB625" s="22" t="str">
        <x:v>Record was not advanced to full-text assessment.</x:v>
      </x:c>
      <x:c r="AC625" s="22" t="str">
        <x:v>Not assessed</x:v>
      </x:c>
      <x:c r="AD625" s="22" t="str">
        <x:v>Not applicable — no full-text assessment was required.</x:v>
      </x:c>
      <x:c r="AE625" s="22" t="str">
        <x:v>Not included — title/abstract exclusion</x:v>
      </x:c>
      <x:c r="AF625" s="22" t="str">
        <x:v>Not applicable — not included</x:v>
      </x:c>
      <x:c r="AG625" s="22" t="str">
        <x:v>Evidence: 8c11d2e5-3f51-4aec-9300-21f097177277.png; page 3, result 10. Metadata transcribed from captured Google Scholar page; OCR-normalised, verify against publication before citation.</x:v>
      </x:c>
      <x:c r="AH625" s="20" t="str">
        <x:v>No duplicate identified under the documented matching rules.</x:v>
      </x:c>
    </x:row>
    <x:row r="626" ht="42" customHeight="1">
      <x:c r="A626" s="22" t="str">
        <x:v>GS-08-031</x:v>
      </x:c>
      <x:c r="B626" s="22" t="str">
        <x:v>Google Scholar</x:v>
      </x:c>
      <x:c r="C626" s="22" t="str">
        <x:v>GS-08</x:v>
      </x:c>
      <x:c r="D626" s="22" t="str">
        <x:v>Spoof Trace Discovery far Deep Learning Based Explainable Face Anti-Spoofing</x:v>
      </x:c>
      <x:c r="E626" s="22" t="str">
        <x:v>Héhsng XZho LGaau. Pan KPang</x:v>
      </x:c>
      <x:c r="F626" s="22" t="n">
        <x:v>2025</x:v>
      </x:c>
      <x:c r="G626" s="22" t="str">
        <x:v>JomlConferenceon 2025 -tesexplore ieee org</x:v>
      </x:c>
      <x:c r="H626" s="22" t="str">
        <x:v>Google Scholar result</x:v>
      </x:c>
      <x:c r="I626" s="22" t="str">
        <x:v>NR</x:v>
      </x:c>
      <x:c r="J626" s="22" t="str">
        <x:v>NR</x:v>
      </x:c>
      <x:c r="K626" s="22" t="str">
        <x:v>NR — URL not captured in the available source record</x:v>
      </x:c>
      <x:c r="L626" s="22" t="str">
        <x:v>Not available in the captured evidence; the screening decision used the title and available source metadata.</x:v>
      </x:c>
      <x:c r="M626" s="22" t="str">
        <x:v>No duplicate</x:v>
      </x:c>
      <x:c r="N626" s="22" t="str">
        <x:v>Not applicable — no duplicate group</x:v>
      </x:c>
      <x:c r="O626" s="22" t="str">
        <x:v>Not applicable</x:v>
      </x:c>
      <x:c r="P626" s="22" t="str">
        <x:v>Yes</x:v>
      </x:c>
      <x:c r="Q626" s="22" t="str">
        <x:v>Exclude</x:v>
      </x:c>
      <x:c r="R626" s="22" t="str">
        <x:v>Wrong domain: face anti-spoofing.</x:v>
      </x:c>
      <x:c r="S626" s="22" t="str">
        <x:v>Verification documented at process level</x:v>
      </x:c>
      <x:c r="T626" s="22" t="str">
        <x:v>Two additional authors performed random spot checks; individual spot-check assignments are not recorded in this register.</x:v>
      </x:c>
      <x:c r="U626" s="22" t="str">
        <x:v>Exclude</x:v>
      </x:c>
      <x:c r="V626" s="22" t="str">
        <x:v>Primary decision by the corresponding author; two additional authors performed random spot checks as a quality-control step.</x:v>
      </x:c>
      <x:c r="W626" s="22" t="str">
        <x:v>No</x:v>
      </x:c>
      <x:c r="X626" s="22" t="str">
        <x:v>Not applicable</x:v>
      </x:c>
      <x:c r="Y626" s="22" t="str">
        <x:v>Not assessed</x:v>
      </x:c>
      <x:c r="Z626" s="22" t="str">
        <x:v>Not advanced to full-text assessment after the title/abstract decision.</x:v>
      </x:c>
      <x:c r="AA626" s="22" t="str">
        <x:v>Not applicable</x:v>
      </x:c>
      <x:c r="AB626" s="22" t="str">
        <x:v>Record was not advanced to full-text assessment.</x:v>
      </x:c>
      <x:c r="AC626" s="22" t="str">
        <x:v>Not assessed</x:v>
      </x:c>
      <x:c r="AD626" s="22" t="str">
        <x:v>Not applicable — no full-text assessment was required.</x:v>
      </x:c>
      <x:c r="AE626" s="22" t="str">
        <x:v>Not included — title/abstract exclusion</x:v>
      </x:c>
      <x:c r="AF626" s="22" t="str">
        <x:v>Not applicable — not included</x:v>
      </x:c>
      <x:c r="AG626" s="22" t="str">
        <x:v>Evidence: a1089ac6-ed7a-4291-a029-0ce5ce57cc95.png; page 4, result 1. Metadata transcribed from captured Google Scholar page; OCR-normalised, verify against publication before citation.</x:v>
      </x:c>
      <x:c r="AH626" s="20" t="str">
        <x:v>No duplicate identified under the documented matching rules.</x:v>
      </x:c>
    </x:row>
    <x:row r="627" ht="42" customHeight="1">
      <x:c r="A627" s="22" t="str">
        <x:v>GS-08-032</x:v>
      </x:c>
      <x:c r="B627" s="22" t="str">
        <x:v>Google Scholar</x:v>
      </x:c>
      <x:c r="C627" s="22" t="str">
        <x:v>GS-08</x:v>
      </x:c>
      <x:c r="D627" s="22" t="str">
        <x:v>Deep learning for medical imaging from diagnosis prediction to its counterfactual explanation</x:v>
      </x:c>
      <x:c r="E627" s="22" t="str">
        <x:v>S Singla</x:v>
      </x:c>
      <x:c r="F627" s="22" t="n">
        <x:v>2022</x:v>
      </x:c>
      <x:c r="G627" s="22" t="str">
        <x:v>arXiv prepridl arXiv 2209 02929 2022 - ancy org</x:v>
      </x:c>
      <x:c r="H627" s="22" t="str">
        <x:v>Google Scholar result</x:v>
      </x:c>
      <x:c r="I627" s="22" t="str">
        <x:v>NR</x:v>
      </x:c>
      <x:c r="J627" s="22" t="str">
        <x:v>NR</x:v>
      </x:c>
      <x:c r="K627" s="22" t="str">
        <x:v>NR — URL not captured in the available source record</x:v>
      </x:c>
      <x:c r="L627" s="22" t="str">
        <x:v>Not available in the captured evidence; the screening decision used the title and available source metadata.</x:v>
      </x:c>
      <x:c r="M627" s="22" t="str">
        <x:v>No duplicate</x:v>
      </x:c>
      <x:c r="N627" s="22" t="str">
        <x:v>Not applicable — no duplicate group</x:v>
      </x:c>
      <x:c r="O627" s="22" t="str">
        <x:v>Not applicable</x:v>
      </x:c>
      <x:c r="P627" s="22" t="str">
        <x:v>Yes</x:v>
      </x:c>
      <x:c r="Q627" s="22" t="str">
        <x:v>Exclude</x:v>
      </x:c>
      <x:c r="R627" s="22" t="str">
        <x:v>Broad medical-imaging and counterfactual review; not original concept-oriented research.</x:v>
      </x:c>
      <x:c r="S627" s="22" t="str">
        <x:v>Verification documented at process level</x:v>
      </x:c>
      <x:c r="T627" s="22" t="str">
        <x:v>Two additional authors performed random spot checks; individual spot-check assignments are not recorded in this register.</x:v>
      </x:c>
      <x:c r="U627" s="22" t="str">
        <x:v>Exclude</x:v>
      </x:c>
      <x:c r="V627" s="22" t="str">
        <x:v>Primary decision by the corresponding author; two additional authors performed random spot checks as a quality-control step.</x:v>
      </x:c>
      <x:c r="W627" s="22" t="str">
        <x:v>No</x:v>
      </x:c>
      <x:c r="X627" s="22" t="str">
        <x:v>Not applicable</x:v>
      </x:c>
      <x:c r="Y627" s="22" t="str">
        <x:v>Not assessed</x:v>
      </x:c>
      <x:c r="Z627" s="22" t="str">
        <x:v>Not advanced to full-text assessment after the title/abstract decision.</x:v>
      </x:c>
      <x:c r="AA627" s="22" t="str">
        <x:v>Not applicable</x:v>
      </x:c>
      <x:c r="AB627" s="22" t="str">
        <x:v>Record was not advanced to full-text assessment.</x:v>
      </x:c>
      <x:c r="AC627" s="22" t="str">
        <x:v>Not assessed</x:v>
      </x:c>
      <x:c r="AD627" s="22" t="str">
        <x:v>Not applicable — no full-text assessment was required.</x:v>
      </x:c>
      <x:c r="AE627" s="22" t="str">
        <x:v>Not included — title/abstract exclusion</x:v>
      </x:c>
      <x:c r="AF627" s="22" t="str">
        <x:v>Not applicable — not included</x:v>
      </x:c>
      <x:c r="AG627" s="22" t="str">
        <x:v>Evidence: a1089ac6-ed7a-4291-a029-0ce5ce57cc95.png; page 4, result 2. Metadata transcribed from captured Google Scholar page; OCR-normalised, verify against publication before citation.</x:v>
      </x:c>
      <x:c r="AH627" s="20" t="str">
        <x:v>No duplicate identified under the documented matching rules.</x:v>
      </x:c>
    </x:row>
    <x:row r="628" ht="42" customHeight="1">
      <x:c r="A628" s="22" t="str">
        <x:v>GS-08-033</x:v>
      </x:c>
      <x:c r="B628" s="22" t="str">
        <x:v>Google Scholar</x:v>
      </x:c>
      <x:c r="C628" s="22" t="str">
        <x:v>GS-08</x:v>
      </x:c>
      <x:c r="D628" s="22" t="str">
        <x:v>Explainable Al for chnical risk prediction a survey of concepts methods. and modalities</x:v>
      </x:c>
      <x:c r="E628" s="22" t="str">
        <x:v>M Masinovic P Watkinson T Zhu</x:v>
      </x:c>
      <x:c r="F628" s="22" t="n">
        <x:v>2023</x:v>
      </x:c>
      <x:c r="G628" s="22" t="str">
        <x:v>arXiv preprint arXiv 2309 08407 2023 - ancvarg</x:v>
      </x:c>
      <x:c r="H628" s="22" t="str">
        <x:v>Google Scholar result</x:v>
      </x:c>
      <x:c r="I628" s="22" t="str">
        <x:v>NR</x:v>
      </x:c>
      <x:c r="J628" s="22" t="str">
        <x:v>NR</x:v>
      </x:c>
      <x:c r="K628" s="22" t="str">
        <x:v>NR — URL not captured in the available source record</x:v>
      </x:c>
      <x:c r="L628" s="22" t="str">
        <x:v>Not available in the captured evidence; the screening decision used the title and available source metadata.</x:v>
      </x:c>
      <x:c r="M628" s="22" t="str">
        <x:v>No duplicate</x:v>
      </x:c>
      <x:c r="N628" s="22" t="str">
        <x:v>Not applicable — no duplicate group</x:v>
      </x:c>
      <x:c r="O628" s="22" t="str">
        <x:v>Not applicable</x:v>
      </x:c>
      <x:c r="P628" s="22" t="str">
        <x:v>Yes</x:v>
      </x:c>
      <x:c r="Q628" s="22" t="str">
        <x:v>Exclude</x:v>
      </x:c>
      <x:c r="R628" s="22" t="str">
        <x:v>Survey of clinical risk-prediction XAI; primarily non-imaging.</x:v>
      </x:c>
      <x:c r="S628" s="22" t="str">
        <x:v>Verification documented at process level</x:v>
      </x:c>
      <x:c r="T628" s="22" t="str">
        <x:v>Two additional authors performed random spot checks; individual spot-check assignments are not recorded in this register.</x:v>
      </x:c>
      <x:c r="U628" s="22" t="str">
        <x:v>Exclude</x:v>
      </x:c>
      <x:c r="V628" s="22" t="str">
        <x:v>Primary decision by the corresponding author; two additional authors performed random spot checks as a quality-control step.</x:v>
      </x:c>
      <x:c r="W628" s="22" t="str">
        <x:v>No</x:v>
      </x:c>
      <x:c r="X628" s="22" t="str">
        <x:v>Not applicable</x:v>
      </x:c>
      <x:c r="Y628" s="22" t="str">
        <x:v>Not assessed</x:v>
      </x:c>
      <x:c r="Z628" s="22" t="str">
        <x:v>Not advanced to full-text assessment after the title/abstract decision.</x:v>
      </x:c>
      <x:c r="AA628" s="22" t="str">
        <x:v>Not applicable</x:v>
      </x:c>
      <x:c r="AB628" s="22" t="str">
        <x:v>Record was not advanced to full-text assessment.</x:v>
      </x:c>
      <x:c r="AC628" s="22" t="str">
        <x:v>Not assessed</x:v>
      </x:c>
      <x:c r="AD628" s="22" t="str">
        <x:v>Not applicable — no full-text assessment was required.</x:v>
      </x:c>
      <x:c r="AE628" s="22" t="str">
        <x:v>Not included — title/abstract exclusion</x:v>
      </x:c>
      <x:c r="AF628" s="22" t="str">
        <x:v>Not applicable — not included</x:v>
      </x:c>
      <x:c r="AG628" s="22" t="str">
        <x:v>Evidence: a1089ac6-ed7a-4291-a029-0ce5ce57cc95.png; page 4, result 3. Metadata transcribed from captured Google Scholar page; OCR-normalised, verify against publication before citation.</x:v>
      </x:c>
      <x:c r="AH628" s="20" t="str">
        <x:v>No duplicate identified under the documented matching rules.</x:v>
      </x:c>
    </x:row>
    <x:row r="629" ht="42" customHeight="1">
      <x:c r="A629" s="22" t="str">
        <x:v>GS-08-034</x:v>
      </x:c>
      <x:c r="B629" s="22" t="str">
        <x:v>Google Scholar</x:v>
      </x:c>
      <x:c r="C629" s="22" t="str">
        <x:v>GS-08</x:v>
      </x:c>
      <x:c r="D629" s="22" t="str">
        <x:v>Finding representative interpretations on convolutional neural networks</x:v>
      </x:c>
      <x:c r="E629" s="22" t="str">
        <x:v>PCH Lam | Ch M Torgansky JPai -2c21IEES/CVF 2021- iesaxplare ieee org</x:v>
      </x:c>
      <x:c r="F629" s="22" t="n">
        <x:v>2021</x:v>
      </x:c>
      <x:c r="G629" s="22" t="str">
        <x:v>PCH Lam | Ch M Torgansky JPai -2c21IEES/CVF 2021- iesaxplare ieee org</x:v>
      </x:c>
      <x:c r="H629" s="22" t="str">
        <x:v>Google Scholar result</x:v>
      </x:c>
      <x:c r="I629" s="22" t="str">
        <x:v>NR</x:v>
      </x:c>
      <x:c r="J629" s="22" t="str">
        <x:v>NR</x:v>
      </x:c>
      <x:c r="K629" s="22" t="str">
        <x:v>NR — URL not captured in the available source record</x:v>
      </x:c>
      <x:c r="L629" s="22" t="str">
        <x:v>Not available in the captured evidence; the screening decision used the title and available source metadata.</x:v>
      </x:c>
      <x:c r="M629" s="22" t="str">
        <x:v>No duplicate</x:v>
      </x:c>
      <x:c r="N629" s="22" t="str">
        <x:v>Not applicable — no duplicate group</x:v>
      </x:c>
      <x:c r="O629" s="22" t="str">
        <x:v>Not applicable</x:v>
      </x:c>
      <x:c r="P629" s="22" t="str">
        <x:v>Yes</x:v>
      </x:c>
      <x:c r="Q629" s="22" t="str">
        <x:v>Exclude</x:v>
      </x:c>
      <x:c r="R629" s="22" t="str">
        <x:v>General CNN interpretation method without medical-imaging application.</x:v>
      </x:c>
      <x:c r="S629" s="22" t="str">
        <x:v>Verification documented at process level</x:v>
      </x:c>
      <x:c r="T629" s="22" t="str">
        <x:v>Two additional authors performed random spot checks; individual spot-check assignments are not recorded in this register.</x:v>
      </x:c>
      <x:c r="U629" s="22" t="str">
        <x:v>Exclude</x:v>
      </x:c>
      <x:c r="V629" s="22" t="str">
        <x:v>Primary decision by the corresponding author; two additional authors performed random spot checks as a quality-control step.</x:v>
      </x:c>
      <x:c r="W629" s="22" t="str">
        <x:v>No</x:v>
      </x:c>
      <x:c r="X629" s="22" t="str">
        <x:v>Not applicable</x:v>
      </x:c>
      <x:c r="Y629" s="22" t="str">
        <x:v>Not assessed</x:v>
      </x:c>
      <x:c r="Z629" s="22" t="str">
        <x:v>Not advanced to full-text assessment after the title/abstract decision.</x:v>
      </x:c>
      <x:c r="AA629" s="22" t="str">
        <x:v>Not applicable</x:v>
      </x:c>
      <x:c r="AB629" s="22" t="str">
        <x:v>Record was not advanced to full-text assessment.</x:v>
      </x:c>
      <x:c r="AC629" s="22" t="str">
        <x:v>Not assessed</x:v>
      </x:c>
      <x:c r="AD629" s="22" t="str">
        <x:v>Not applicable — no full-text assessment was required.</x:v>
      </x:c>
      <x:c r="AE629" s="22" t="str">
        <x:v>Not included — title/abstract exclusion</x:v>
      </x:c>
      <x:c r="AF629" s="22" t="str">
        <x:v>Not applicable — not included</x:v>
      </x:c>
      <x:c r="AG629" s="22" t="str">
        <x:v>Evidence: a1089ac6-ed7a-4291-a029-0ce5ce57cc95.png; page 4, result 4. Metadata transcribed from captured Google Scholar page; OCR-normalised, verify against publication before citation.</x:v>
      </x:c>
      <x:c r="AH629" s="20" t="str">
        <x:v>No duplicate identified under the documented matching rules.</x:v>
      </x:c>
    </x:row>
    <x:row r="630" ht="42" customHeight="1">
      <x:c r="A630" s="22" t="str">
        <x:v>GS-08-035</x:v>
      </x:c>
      <x:c r="B630" s="22" t="str">
        <x:v>Google Scholar</x:v>
      </x:c>
      <x:c r="C630" s="22" t="str">
        <x:v>GS-08</x:v>
      </x:c>
      <x:c r="D630" s="22" t="str">
        <x:v>Explainable Al: A review of applications to neuroimaging data</x:v>
      </x:c>
      <x:c r="E630" s="22" t="str">
        <x:v>FV Farghani K Fiok BLshijgnian -Frontigrsin . 2022</x:v>
      </x:c>
      <x:c r="F630" s="22" t="n">
        <x:v>2022</x:v>
      </x:c>
      <x:c r="G630" s="22" t="str">
        <x:v>‘tentiersiv og</x:v>
      </x:c>
      <x:c r="H630" s="22" t="str">
        <x:v>Google Scholar result</x:v>
      </x:c>
      <x:c r="I630" s="22" t="str">
        <x:v>NR</x:v>
      </x:c>
      <x:c r="J630" s="22" t="str">
        <x:v>NR</x:v>
      </x:c>
      <x:c r="K630" s="22" t="str">
        <x:v>NR — URL not captured in the available source record</x:v>
      </x:c>
      <x:c r="L630" s="22" t="str">
        <x:v>Not available in the captured evidence; the screening decision used the title and available source metadata.</x:v>
      </x:c>
      <x:c r="M630" s="22" t="str">
        <x:v>No duplicate</x:v>
      </x:c>
      <x:c r="N630" s="22" t="str">
        <x:v>Not applicable — no duplicate group</x:v>
      </x:c>
      <x:c r="O630" s="22" t="str">
        <x:v>Not applicable</x:v>
      </x:c>
      <x:c r="P630" s="22" t="str">
        <x:v>Yes</x:v>
      </x:c>
      <x:c r="Q630" s="22" t="str">
        <x:v>Exclude</x:v>
      </x:c>
      <x:c r="R630" s="22" t="str">
        <x:v>Review of XAI for neuroimaging data.</x:v>
      </x:c>
      <x:c r="S630" s="22" t="str">
        <x:v>Verification documented at process level</x:v>
      </x:c>
      <x:c r="T630" s="22" t="str">
        <x:v>Two additional authors performed random spot checks; individual spot-check assignments are not recorded in this register.</x:v>
      </x:c>
      <x:c r="U630" s="22" t="str">
        <x:v>Exclude</x:v>
      </x:c>
      <x:c r="V630" s="22" t="str">
        <x:v>Primary decision by the corresponding author; two additional authors performed random spot checks as a quality-control step.</x:v>
      </x:c>
      <x:c r="W630" s="22" t="str">
        <x:v>No</x:v>
      </x:c>
      <x:c r="X630" s="22" t="str">
        <x:v>Not applicable</x:v>
      </x:c>
      <x:c r="Y630" s="22" t="str">
        <x:v>Not assessed</x:v>
      </x:c>
      <x:c r="Z630" s="22" t="str">
        <x:v>Not advanced to full-text assessment after the title/abstract decision.</x:v>
      </x:c>
      <x:c r="AA630" s="22" t="str">
        <x:v>Not applicable</x:v>
      </x:c>
      <x:c r="AB630" s="22" t="str">
        <x:v>Record was not advanced to full-text assessment.</x:v>
      </x:c>
      <x:c r="AC630" s="22" t="str">
        <x:v>Not assessed</x:v>
      </x:c>
      <x:c r="AD630" s="22" t="str">
        <x:v>Not applicable — no full-text assessment was required.</x:v>
      </x:c>
      <x:c r="AE630" s="22" t="str">
        <x:v>Not included — title/abstract exclusion</x:v>
      </x:c>
      <x:c r="AF630" s="22" t="str">
        <x:v>Not applicable — not included</x:v>
      </x:c>
      <x:c r="AG630" s="22" t="str">
        <x:v>Evidence: a1089ac6-ed7a-4291-a029-0ce5ce57cc95.png; page 4, result 5. Metadata transcribed from captured Google Scholar page; OCR-normalised, verify against publication before citation.</x:v>
      </x:c>
      <x:c r="AH630" s="20" t="str">
        <x:v>No duplicate identified under the documented matching rules.</x:v>
      </x:c>
    </x:row>
    <x:row r="631" ht="42" customHeight="1">
      <x:c r="A631" s="22" t="str">
        <x:v>GS-08-036</x:v>
      </x:c>
      <x:c r="B631" s="22" t="str">
        <x:v>Google Scholar</x:v>
      </x:c>
      <x:c r="C631" s="22" t="str">
        <x:v>GS-08</x:v>
      </x:c>
      <x:c r="D631" s="22" t="str">
        <x:v>Explaring the Causes of Artwork Misclassrfication Through Machine Learning</x:v>
      </x:c>
      <x:c r="E631" s="22" t="str">
        <x:v>$ Jin</x:v>
      </x:c>
      <x:c r="F631" s="22" t="n">
        <x:v>2023</x:v>
      </x:c>
      <x:c r="G631" s="22" t="str">
        <x:v>2023 - search proauesl com</x:v>
      </x:c>
      <x:c r="H631" s="22" t="str">
        <x:v>Google Scholar result</x:v>
      </x:c>
      <x:c r="I631" s="22" t="str">
        <x:v>NR</x:v>
      </x:c>
      <x:c r="J631" s="22" t="str">
        <x:v>NR</x:v>
      </x:c>
      <x:c r="K631" s="22" t="str">
        <x:v>NR — URL not captured in the available source record</x:v>
      </x:c>
      <x:c r="L631" s="22" t="str">
        <x:v>Not available in the captured evidence; the screening decision used the title and available source metadata.</x:v>
      </x:c>
      <x:c r="M631" s="22" t="str">
        <x:v>No duplicate</x:v>
      </x:c>
      <x:c r="N631" s="22" t="str">
        <x:v>Not applicable — no duplicate group</x:v>
      </x:c>
      <x:c r="O631" s="22" t="str">
        <x:v>Not applicable</x:v>
      </x:c>
      <x:c r="P631" s="22" t="str">
        <x:v>Yes</x:v>
      </x:c>
      <x:c r="Q631" s="22" t="str">
        <x:v>Exclude</x:v>
      </x:c>
      <x:c r="R631" s="22" t="str">
        <x:v>Wrong domain: artwork classification.</x:v>
      </x:c>
      <x:c r="S631" s="22" t="str">
        <x:v>Verification documented at process level</x:v>
      </x:c>
      <x:c r="T631" s="22" t="str">
        <x:v>Two additional authors performed random spot checks; individual spot-check assignments are not recorded in this register.</x:v>
      </x:c>
      <x:c r="U631" s="22" t="str">
        <x:v>Exclude</x:v>
      </x:c>
      <x:c r="V631" s="22" t="str">
        <x:v>Primary decision by the corresponding author; two additional authors performed random spot checks as a quality-control step.</x:v>
      </x:c>
      <x:c r="W631" s="22" t="str">
        <x:v>No</x:v>
      </x:c>
      <x:c r="X631" s="22" t="str">
        <x:v>Not applicable</x:v>
      </x:c>
      <x:c r="Y631" s="22" t="str">
        <x:v>Not assessed</x:v>
      </x:c>
      <x:c r="Z631" s="22" t="str">
        <x:v>Not advanced to full-text assessment after the title/abstract decision.</x:v>
      </x:c>
      <x:c r="AA631" s="22" t="str">
        <x:v>Not applicable</x:v>
      </x:c>
      <x:c r="AB631" s="22" t="str">
        <x:v>Record was not advanced to full-text assessment.</x:v>
      </x:c>
      <x:c r="AC631" s="22" t="str">
        <x:v>Not assessed</x:v>
      </x:c>
      <x:c r="AD631" s="22" t="str">
        <x:v>Not applicable — no full-text assessment was required.</x:v>
      </x:c>
      <x:c r="AE631" s="22" t="str">
        <x:v>Not included — title/abstract exclusion</x:v>
      </x:c>
      <x:c r="AF631" s="22" t="str">
        <x:v>Not applicable — not included</x:v>
      </x:c>
      <x:c r="AG631" s="22" t="str">
        <x:v>Evidence: a1089ac6-ed7a-4291-a029-0ce5ce57cc95.png; page 4, result 6. Metadata transcribed from captured Google Scholar page; OCR-normalised, verify against publication before citation.</x:v>
      </x:c>
      <x:c r="AH631" s="20" t="str">
        <x:v>No duplicate identified under the documented matching rules.</x:v>
      </x:c>
    </x:row>
    <x:row r="632" ht="42" customHeight="1">
      <x:c r="A632" s="22" t="str">
        <x:v>GS-08-037</x:v>
      </x:c>
      <x:c r="B632" s="22" t="str">
        <x:v>Google Scholar</x:v>
      </x:c>
      <x:c r="C632" s="22" t="str">
        <x:v>GS-08</x:v>
      </x:c>
      <x:c r="D632" s="22" t="str">
        <x:v>A systematic review of explainable artificial intelligence in terms of different application damains and tasks</x:v>
      </x:c>
      <x:c r="E632" s="22" t="str">
        <x:v>MB Islam. MU Shmed $ Barua. S$ Bequm</x:v>
      </x:c>
      <x:c r="F632" s="22" t="n">
        <x:v>2022</x:v>
      </x:c>
      <x:c r="G632" s="22" t="str">
        <x:v>Applied Sciences 2022 - mdp com</x:v>
      </x:c>
      <x:c r="H632" s="22" t="str">
        <x:v>Google Scholar result</x:v>
      </x:c>
      <x:c r="I632" s="22" t="str">
        <x:v>NR</x:v>
      </x:c>
      <x:c r="J632" s="22" t="str">
        <x:v>NR</x:v>
      </x:c>
      <x:c r="K632" s="22" t="str">
        <x:v>NR — URL not captured in the available source record</x:v>
      </x:c>
      <x:c r="L632" s="22" t="str">
        <x:v>Not available in the captured evidence; the screening decision used the title and available source metadata.</x:v>
      </x:c>
      <x:c r="M632" s="22" t="str">
        <x:v>No duplicate</x:v>
      </x:c>
      <x:c r="N632" s="22" t="str">
        <x:v>Not applicable — no duplicate group</x:v>
      </x:c>
      <x:c r="O632" s="22" t="str">
        <x:v>Not applicable</x:v>
      </x:c>
      <x:c r="P632" s="22" t="str">
        <x:v>Yes</x:v>
      </x:c>
      <x:c r="Q632" s="22" t="str">
        <x:v>Exclude</x:v>
      </x:c>
      <x:c r="R632" s="22" t="str">
        <x:v>Systematic review across application domains.</x:v>
      </x:c>
      <x:c r="S632" s="22" t="str">
        <x:v>Verification documented at process level</x:v>
      </x:c>
      <x:c r="T632" s="22" t="str">
        <x:v>Two additional authors performed random spot checks; individual spot-check assignments are not recorded in this register.</x:v>
      </x:c>
      <x:c r="U632" s="22" t="str">
        <x:v>Exclude</x:v>
      </x:c>
      <x:c r="V632" s="22" t="str">
        <x:v>Primary decision by the corresponding author; two additional authors performed random spot checks as a quality-control step.</x:v>
      </x:c>
      <x:c r="W632" s="22" t="str">
        <x:v>No</x:v>
      </x:c>
      <x:c r="X632" s="22" t="str">
        <x:v>Not applicable</x:v>
      </x:c>
      <x:c r="Y632" s="22" t="str">
        <x:v>Not assessed</x:v>
      </x:c>
      <x:c r="Z632" s="22" t="str">
        <x:v>Not advanced to full-text assessment after the title/abstract decision.</x:v>
      </x:c>
      <x:c r="AA632" s="22" t="str">
        <x:v>Not applicable</x:v>
      </x:c>
      <x:c r="AB632" s="22" t="str">
        <x:v>Record was not advanced to full-text assessment.</x:v>
      </x:c>
      <x:c r="AC632" s="22" t="str">
        <x:v>Not assessed</x:v>
      </x:c>
      <x:c r="AD632" s="22" t="str">
        <x:v>Not applicable — no full-text assessment was required.</x:v>
      </x:c>
      <x:c r="AE632" s="22" t="str">
        <x:v>Not included — title/abstract exclusion</x:v>
      </x:c>
      <x:c r="AF632" s="22" t="str">
        <x:v>Not applicable — not included</x:v>
      </x:c>
      <x:c r="AG632" s="22" t="str">
        <x:v>Evidence: a1089ac6-ed7a-4291-a029-0ce5ce57cc95.png; page 4, result 7. Metadata transcribed from captured Google Scholar page; OCR-normalised, verify against publication before citation.</x:v>
      </x:c>
      <x:c r="AH632" s="20" t="str">
        <x:v>No duplicate identified under the documented matching rules.</x:v>
      </x:c>
    </x:row>
    <x:row r="633" ht="42" customHeight="1">
      <x:c r="A633" s="22" t="str">
        <x:v>GS-08-038</x:v>
      </x:c>
      <x:c r="B633" s="22" t="str">
        <x:v>Google Scholar</x:v>
      </x:c>
      <x:c r="C633" s="22" t="str">
        <x:v>GS-08</x:v>
      </x:c>
      <x:c r="D633" s="22" t="str">
        <x:v>A ResNet-50 Classifier with Grad-CAM and SHAP for Explainable Breast Cancer Detection in Dense Mammography Comparison with Human Radiologist</x:v>
      </x:c>
      <x:c r="E633" s="22" t="str">
        <x:v>AS Pirlo AAbrey, MP Cola J Paiva LG Viera</x:v>
      </x:c>
      <x:c r="F633" s="22" t="n">
        <x:v>2026</x:v>
      </x:c>
      <x:c r="G633" s="22" t="str">
        <x:v>2026 - rasearchsquare com</x:v>
      </x:c>
      <x:c r="H633" s="22" t="str">
        <x:v>Google Scholar result</x:v>
      </x:c>
      <x:c r="I633" s="22" t="str">
        <x:v>NR</x:v>
      </x:c>
      <x:c r="J633" s="22" t="str">
        <x:v>NR</x:v>
      </x:c>
      <x:c r="K633" s="22" t="str">
        <x:v>NR — URL not captured in the available source record</x:v>
      </x:c>
      <x:c r="L633" s="22" t="str">
        <x:v>Not available in the captured evidence; the screening decision used the title and available source metadata.</x:v>
      </x:c>
      <x:c r="M633" s="22" t="str">
        <x:v>Confirmed duplicate</x:v>
      </x:c>
      <x:c r="N633" s="22" t="str">
        <x:v>DG-019</x:v>
      </x:c>
      <x:c r="O633" s="22" t="str">
        <x:v>GS-01-100</x:v>
      </x:c>
      <x:c r="P633" s="22" t="str">
        <x:v>No</x:v>
      </x:c>
      <x:c r="Q633" s="22" t="str">
        <x:v>Not screened</x:v>
      </x:c>
      <x:c r="R633" s="22" t="str">
        <x:v>Removed before title/abstract screening as a confirmed duplicate.</x:v>
      </x:c>
      <x:c r="S633" s="22" t="str">
        <x:v>Not applicable — removed before screening</x:v>
      </x:c>
      <x:c r="T633" s="22" t="str">
        <x:v>Record was outside the active screening set.</x:v>
      </x:c>
      <x:c r="U633" s="22" t="str">
        <x:v>Removed before screening</x:v>
      </x:c>
      <x:c r="V633" s="22" t="str">
        <x:v>Confirmed duplicate removed during deduplication.</x:v>
      </x:c>
      <x:c r="W633" s="22" t="str">
        <x:v>No</x:v>
      </x:c>
      <x:c r="X633" s="22" t="str">
        <x:v>Not applicable</x:v>
      </x:c>
      <x:c r="Y633" s="22" t="str">
        <x:v>Not assessed</x:v>
      </x:c>
      <x:c r="Z633" s="22" t="str">
        <x:v>Not applicable — record removed before screening.</x:v>
      </x:c>
      <x:c r="AA633" s="22" t="str">
        <x:v>Not applicable</x:v>
      </x:c>
      <x:c r="AB633" s="22" t="str">
        <x:v>Record was not advanced to full-text assessment.</x:v>
      </x:c>
      <x:c r="AC633" s="22" t="str">
        <x:v>Not assessed</x:v>
      </x:c>
      <x:c r="AD633" s="22" t="str">
        <x:v>Not applicable — no full-text assessment was required.</x:v>
      </x:c>
      <x:c r="AE633" s="22" t="str">
        <x:v>Removed before screening</x:v>
      </x:c>
      <x:c r="AF633" s="22" t="str">
        <x:v>Not applicable — not included</x:v>
      </x:c>
      <x:c r="AG633" s="22" t="str">
        <x:v>Evidence: a1089ac6-ed7a-4291-a029-0ce5ce57cc95.png; page 4, result 8. Metadata transcribed from captured Google Scholar page; OCR-normalised, verify against publication before citation.</x:v>
      </x:c>
      <x:c r="AH633" s="20" t="str">
        <x:v>Confirmed using normalized title across captured searches.</x:v>
      </x:c>
    </x:row>
    <x:row r="634" ht="42" customHeight="1">
      <x:c r="A634" s="22" t="str">
        <x:v>GS-08-039</x:v>
      </x:c>
      <x:c r="B634" s="22" t="str">
        <x:v>Google Scholar</x:v>
      </x:c>
      <x:c r="C634" s="22" t="str">
        <x:v>GS-08</x:v>
      </x:c>
      <x:c r="D634" s="22" t="str">
        <x:v>Artificial intelligence in MRI-Based gltama imaging’ from radiomics-based Machine leaming to deep learning approaches</x:v>
      </x:c>
      <x:c r="E634" s="22" t="str">
        <x:v>ASalsur IZaher,C Slipho E Demir VNargvetla</x:v>
      </x:c>
      <x:c r="F634" s="22" t="n">
        <x:v>2026</x:v>
      </x:c>
      <x:c r="G634" s="22" t="str">
        <x:v>2026 - mdpicom</x:v>
      </x:c>
      <x:c r="H634" s="22" t="str">
        <x:v>Google Scholar result</x:v>
      </x:c>
      <x:c r="I634" s="22" t="str">
        <x:v>NR</x:v>
      </x:c>
      <x:c r="J634" s="22" t="str">
        <x:v>NR</x:v>
      </x:c>
      <x:c r="K634" s="22" t="str">
        <x:v>NR — URL not captured in the available source record</x:v>
      </x:c>
      <x:c r="L634" s="22" t="str">
        <x:v>Not available in the captured evidence; the screening decision used the title and available source metadata.</x:v>
      </x:c>
      <x:c r="M634" s="22" t="str">
        <x:v>No duplicate</x:v>
      </x:c>
      <x:c r="N634" s="22" t="str">
        <x:v>Not applicable — no duplicate group</x:v>
      </x:c>
      <x:c r="O634" s="22" t="str">
        <x:v>Not applicable</x:v>
      </x:c>
      <x:c r="P634" s="22" t="str">
        <x:v>Yes</x:v>
      </x:c>
      <x:c r="Q634" s="22" t="str">
        <x:v>Exclude</x:v>
      </x:c>
      <x:c r="R634" s="22" t="str">
        <x:v>Review of glioma MRI AI; wrong clinical domain and non-original.</x:v>
      </x:c>
      <x:c r="S634" s="22" t="str">
        <x:v>Verification documented at process level</x:v>
      </x:c>
      <x:c r="T634" s="22" t="str">
        <x:v>Two additional authors performed random spot checks; individual spot-check assignments are not recorded in this register.</x:v>
      </x:c>
      <x:c r="U634" s="22" t="str">
        <x:v>Exclude</x:v>
      </x:c>
      <x:c r="V634" s="22" t="str">
        <x:v>Primary decision by the corresponding author; two additional authors performed random spot checks as a quality-control step.</x:v>
      </x:c>
      <x:c r="W634" s="22" t="str">
        <x:v>No</x:v>
      </x:c>
      <x:c r="X634" s="22" t="str">
        <x:v>Not applicable</x:v>
      </x:c>
      <x:c r="Y634" s="22" t="str">
        <x:v>Not assessed</x:v>
      </x:c>
      <x:c r="Z634" s="22" t="str">
        <x:v>Not advanced to full-text assessment after the title/abstract decision.</x:v>
      </x:c>
      <x:c r="AA634" s="22" t="str">
        <x:v>Not applicable</x:v>
      </x:c>
      <x:c r="AB634" s="22" t="str">
        <x:v>Record was not advanced to full-text assessment.</x:v>
      </x:c>
      <x:c r="AC634" s="22" t="str">
        <x:v>Not assessed</x:v>
      </x:c>
      <x:c r="AD634" s="22" t="str">
        <x:v>Not applicable — no full-text assessment was required.</x:v>
      </x:c>
      <x:c r="AE634" s="22" t="str">
        <x:v>Not included — title/abstract exclusion</x:v>
      </x:c>
      <x:c r="AF634" s="22" t="str">
        <x:v>Not applicable — not included</x:v>
      </x:c>
      <x:c r="AG634" s="22" t="str">
        <x:v>Evidence: a1089ac6-ed7a-4291-a029-0ce5ce57cc95.png; page 4, result 9. Metadata transcribed from captured Google Scholar page; OCR-normalised, verify against publication before citation.</x:v>
      </x:c>
      <x:c r="AH634" s="20" t="str">
        <x:v>No duplicate identified under the documented matching rules.</x:v>
      </x:c>
    </x:row>
    <x:row r="635" ht="42" customHeight="1">
      <x:c r="A635" s="22" t="str">
        <x:v>GS-08-040</x:v>
      </x:c>
      <x:c r="B635" s="22" t="str">
        <x:v>Google Scholar</x:v>
      </x:c>
      <x:c r="C635" s="22" t="str">
        <x:v>GS-08</x:v>
      </x:c>
      <x:c r="D635" s="22" t="str">
        <x:v>Multimodal large language models in health care’ applicatians, challenges, and future outlook</x:v>
      </x:c>
      <x:c r="E635" s="22" t="str">
        <x:v>RASsad AAbd-Alrazag $Bo.gharbel -Joumslcfmedical 2024</x:v>
      </x:c>
      <x:c r="F635" s="22" t="n">
        <x:v>2024</x:v>
      </x:c>
      <x:c r="G635" s="22" t="str">
        <x:v>jmir og</x:v>
      </x:c>
      <x:c r="H635" s="22" t="str">
        <x:v>Google Scholar result</x:v>
      </x:c>
      <x:c r="I635" s="22" t="str">
        <x:v>NR</x:v>
      </x:c>
      <x:c r="J635" s="22" t="str">
        <x:v>NR</x:v>
      </x:c>
      <x:c r="K635" s="22" t="str">
        <x:v>NR — URL not captured in the available source record</x:v>
      </x:c>
      <x:c r="L635" s="22" t="str">
        <x:v>Not available in the captured evidence; the screening decision used the title and available source metadata.</x:v>
      </x:c>
      <x:c r="M635" s="22" t="str">
        <x:v>No duplicate</x:v>
      </x:c>
      <x:c r="N635" s="22" t="str">
        <x:v>Not applicable — no duplicate group</x:v>
      </x:c>
      <x:c r="O635" s="22" t="str">
        <x:v>Not applicable</x:v>
      </x:c>
      <x:c r="P635" s="22" t="str">
        <x:v>Yes</x:v>
      </x:c>
      <x:c r="Q635" s="22" t="str">
        <x:v>Exclude</x:v>
      </x:c>
      <x:c r="R635" s="22" t="str">
        <x:v>Review of multimodal large language models in healthcare.</x:v>
      </x:c>
      <x:c r="S635" s="22" t="str">
        <x:v>Verification documented at process level</x:v>
      </x:c>
      <x:c r="T635" s="22" t="str">
        <x:v>Two additional authors performed random spot checks; individual spot-check assignments are not recorded in this register.</x:v>
      </x:c>
      <x:c r="U635" s="22" t="str">
        <x:v>Exclude</x:v>
      </x:c>
      <x:c r="V635" s="22" t="str">
        <x:v>Primary decision by the corresponding author; two additional authors performed random spot checks as a quality-control step.</x:v>
      </x:c>
      <x:c r="W635" s="22" t="str">
        <x:v>No</x:v>
      </x:c>
      <x:c r="X635" s="22" t="str">
        <x:v>Not applicable</x:v>
      </x:c>
      <x:c r="Y635" s="22" t="str">
        <x:v>Not assessed</x:v>
      </x:c>
      <x:c r="Z635" s="22" t="str">
        <x:v>Not advanced to full-text assessment after the title/abstract decision.</x:v>
      </x:c>
      <x:c r="AA635" s="22" t="str">
        <x:v>Not applicable</x:v>
      </x:c>
      <x:c r="AB635" s="22" t="str">
        <x:v>Record was not advanced to full-text assessment.</x:v>
      </x:c>
      <x:c r="AC635" s="22" t="str">
        <x:v>Not assessed</x:v>
      </x:c>
      <x:c r="AD635" s="22" t="str">
        <x:v>Not applicable — no full-text assessment was required.</x:v>
      </x:c>
      <x:c r="AE635" s="22" t="str">
        <x:v>Not included — title/abstract exclusion</x:v>
      </x:c>
      <x:c r="AF635" s="22" t="str">
        <x:v>Not applicable — not included</x:v>
      </x:c>
      <x:c r="AG635" s="22" t="str">
        <x:v>Evidence: a1089ac6-ed7a-4291-a029-0ce5ce57cc95.png; page 4, result 10. Metadata transcribed from captured Google Scholar page; OCR-normalised, verify against publication before citation.</x:v>
      </x:c>
      <x:c r="AH635" s="20" t="str">
        <x:v>No duplicate identified under the documented matching rules.</x:v>
      </x:c>
    </x:row>
    <x:row r="636" ht="42" customHeight="1">
      <x:c r="A636" s="22" t="str">
        <x:v>GS-08-041</x:v>
      </x:c>
      <x:c r="B636" s="22" t="str">
        <x:v>Google Scholar</x:v>
      </x:c>
      <x:c r="C636" s="22" t="str">
        <x:v>GS-08</x:v>
      </x:c>
      <x:c r="D636" s="22" t="str">
        <x:v>Deep learning for medical imaging</x:v>
      </x:c>
      <x:c r="E636" s="22" t="str">
        <x:v>S Singla</x:v>
      </x:c>
      <x:c r="F636" s="22" t="n">
        <x:v>2022</x:v>
      </x:c>
      <x:c r="G636" s="22" t="str">
        <x:v>2022 - search praques! com</x:v>
      </x:c>
      <x:c r="H636" s="22" t="str">
        <x:v>Google Scholar result</x:v>
      </x:c>
      <x:c r="I636" s="22" t="str">
        <x:v>NR</x:v>
      </x:c>
      <x:c r="J636" s="22" t="str">
        <x:v>NR</x:v>
      </x:c>
      <x:c r="K636" s="22" t="str">
        <x:v>NR — URL not captured in the available source record</x:v>
      </x:c>
      <x:c r="L636" s="22" t="str">
        <x:v>Not available in the captured evidence; the screening decision used the title and available source metadata.</x:v>
      </x:c>
      <x:c r="M636" s="22" t="str">
        <x:v>No duplicate</x:v>
      </x:c>
      <x:c r="N636" s="22" t="str">
        <x:v>Not applicable — no duplicate group</x:v>
      </x:c>
      <x:c r="O636" s="22" t="str">
        <x:v>Not applicable</x:v>
      </x:c>
      <x:c r="P636" s="22" t="str">
        <x:v>Yes</x:v>
      </x:c>
      <x:c r="Q636" s="22" t="str">
        <x:v>Exclude</x:v>
      </x:c>
      <x:c r="R636" s="22" t="str">
        <x:v>General deep-learning medical-imaging review/book.</x:v>
      </x:c>
      <x:c r="S636" s="22" t="str">
        <x:v>Verification documented at process level</x:v>
      </x:c>
      <x:c r="T636" s="22" t="str">
        <x:v>Two additional authors performed random spot checks; individual spot-check assignments are not recorded in this register.</x:v>
      </x:c>
      <x:c r="U636" s="22" t="str">
        <x:v>Exclude</x:v>
      </x:c>
      <x:c r="V636" s="22" t="str">
        <x:v>Primary decision by the corresponding author; two additional authors performed random spot checks as a quality-control step.</x:v>
      </x:c>
      <x:c r="W636" s="22" t="str">
        <x:v>No</x:v>
      </x:c>
      <x:c r="X636" s="22" t="str">
        <x:v>Not applicable</x:v>
      </x:c>
      <x:c r="Y636" s="22" t="str">
        <x:v>Not assessed</x:v>
      </x:c>
      <x:c r="Z636" s="22" t="str">
        <x:v>Not advanced to full-text assessment after the title/abstract decision.</x:v>
      </x:c>
      <x:c r="AA636" s="22" t="str">
        <x:v>Not applicable</x:v>
      </x:c>
      <x:c r="AB636" s="22" t="str">
        <x:v>Record was not advanced to full-text assessment.</x:v>
      </x:c>
      <x:c r="AC636" s="22" t="str">
        <x:v>Not assessed</x:v>
      </x:c>
      <x:c r="AD636" s="22" t="str">
        <x:v>Not applicable — no full-text assessment was required.</x:v>
      </x:c>
      <x:c r="AE636" s="22" t="str">
        <x:v>Not included — title/abstract exclusion</x:v>
      </x:c>
      <x:c r="AF636" s="22" t="str">
        <x:v>Not applicable — not included</x:v>
      </x:c>
      <x:c r="AG636" s="22" t="str">
        <x:v>Evidence: 4aa95b14-b734-4628-a015-c8f2d5f2eb49.png; page 5, result 1. Metadata transcribed from captured Google Scholar page; OCR-normalised, verify against publication before citation.</x:v>
      </x:c>
      <x:c r="AH636" s="20" t="str">
        <x:v>No duplicate identified under the documented matching rules.</x:v>
      </x:c>
    </x:row>
    <x:row r="637" ht="42" customHeight="1">
      <x:c r="A637" s="22" t="str">
        <x:v>GS-08-042</x:v>
      </x:c>
      <x:c r="B637" s="22" t="str">
        <x:v>Google Scholar</x:v>
      </x:c>
      <x:c r="C637" s="22" t="str">
        <x:v>GS-08</x:v>
      </x:c>
      <x:c r="D637" s="22" t="str">
        <x:v>A comprehensive survey on segment anything model for vision and beyond</x:v>
      </x:c>
      <x:c r="E637" s="22" t="str">
        <x:v>C Zhang Llu, ¥ Cu Guang. “Lin ¥ Yang arXiv preprictarXiv =. 2023</x:v>
      </x:c>
      <x:c r="F637" s="22" t="n">
        <x:v>2023</x:v>
      </x:c>
      <x:c r="G637" s="22" t="str">
        <x:v>arxivarg</x:v>
      </x:c>
      <x:c r="H637" s="22" t="str">
        <x:v>Google Scholar result</x:v>
      </x:c>
      <x:c r="I637" s="22" t="str">
        <x:v>NR</x:v>
      </x:c>
      <x:c r="J637" s="22" t="str">
        <x:v>NR</x:v>
      </x:c>
      <x:c r="K637" s="22" t="str">
        <x:v>NR — URL not captured in the available source record</x:v>
      </x:c>
      <x:c r="L637" s="22" t="str">
        <x:v>Not available in the captured evidence; the screening decision used the title and available source metadata.</x:v>
      </x:c>
      <x:c r="M637" s="22" t="str">
        <x:v>No duplicate</x:v>
      </x:c>
      <x:c r="N637" s="22" t="str">
        <x:v>Not applicable — no duplicate group</x:v>
      </x:c>
      <x:c r="O637" s="22" t="str">
        <x:v>Not applicable</x:v>
      </x:c>
      <x:c r="P637" s="22" t="str">
        <x:v>Yes</x:v>
      </x:c>
      <x:c r="Q637" s="22" t="str">
        <x:v>Exclude</x:v>
      </x:c>
      <x:c r="R637" s="22" t="str">
        <x:v>Survey of Segment Anything; not concept-based XAI.</x:v>
      </x:c>
      <x:c r="S637" s="22" t="str">
        <x:v>Verification documented at process level</x:v>
      </x:c>
      <x:c r="T637" s="22" t="str">
        <x:v>Two additional authors performed random spot checks; individual spot-check assignments are not recorded in this register.</x:v>
      </x:c>
      <x:c r="U637" s="22" t="str">
        <x:v>Exclude</x:v>
      </x:c>
      <x:c r="V637" s="22" t="str">
        <x:v>Primary decision by the corresponding author; two additional authors performed random spot checks as a quality-control step.</x:v>
      </x:c>
      <x:c r="W637" s="22" t="str">
        <x:v>No</x:v>
      </x:c>
      <x:c r="X637" s="22" t="str">
        <x:v>Not applicable</x:v>
      </x:c>
      <x:c r="Y637" s="22" t="str">
        <x:v>Not assessed</x:v>
      </x:c>
      <x:c r="Z637" s="22" t="str">
        <x:v>Not advanced to full-text assessment after the title/abstract decision.</x:v>
      </x:c>
      <x:c r="AA637" s="22" t="str">
        <x:v>Not applicable</x:v>
      </x:c>
      <x:c r="AB637" s="22" t="str">
        <x:v>Record was not advanced to full-text assessment.</x:v>
      </x:c>
      <x:c r="AC637" s="22" t="str">
        <x:v>Not assessed</x:v>
      </x:c>
      <x:c r="AD637" s="22" t="str">
        <x:v>Not applicable — no full-text assessment was required.</x:v>
      </x:c>
      <x:c r="AE637" s="22" t="str">
        <x:v>Not included — title/abstract exclusion</x:v>
      </x:c>
      <x:c r="AF637" s="22" t="str">
        <x:v>Not applicable — not included</x:v>
      </x:c>
      <x:c r="AG637" s="22" t="str">
        <x:v>Evidence: 4aa95b14-b734-4628-a015-c8f2d5f2eb49.png; page 5, result 2. Metadata transcribed from captured Google Scholar page; OCR-normalised, verify against publication before citation.</x:v>
      </x:c>
      <x:c r="AH637" s="20" t="str">
        <x:v>No duplicate identified under the documented matching rules.</x:v>
      </x:c>
    </x:row>
    <x:row r="638" ht="42" customHeight="1">
      <x:c r="A638" s="22" t="str">
        <x:v>GS-08-043</x:v>
      </x:c>
      <x:c r="B638" s="22" t="str">
        <x:v>Google Scholar</x:v>
      </x:c>
      <x:c r="C638" s="22" t="str">
        <x:v>GS-08</x:v>
      </x:c>
      <x:c r="D638" s="22" t="str">
        <x:v>A review of deep learning approaches based on segment anything model for medical imags segmentation</x:v>
      </x:c>
      <x:c r="E638" s="22" t="str">
        <x:v>D Koishiyeva D Mukhammejanova JY Kang + = 2025. pre ncbi nlm nih gov</x:v>
      </x:c>
      <x:c r="F638" s="22" t="n">
        <x:v>2025</x:v>
      </x:c>
      <x:c r="G638" s="22" t="str">
        <x:v>D Koishiyeva D Mukhammejanova JY Kang + = 2025. pre ncbi nlm nih gov</x:v>
      </x:c>
      <x:c r="H638" s="22" t="str">
        <x:v>Google Scholar result</x:v>
      </x:c>
      <x:c r="I638" s="22" t="str">
        <x:v>NR</x:v>
      </x:c>
      <x:c r="J638" s="22" t="str">
        <x:v>NR</x:v>
      </x:c>
      <x:c r="K638" s="22" t="str">
        <x:v>NR — URL not captured in the available source record</x:v>
      </x:c>
      <x:c r="L638" s="22" t="str">
        <x:v>Not available in the captured evidence; the screening decision used the title and available source metadata.</x:v>
      </x:c>
      <x:c r="M638" s="22" t="str">
        <x:v>No duplicate</x:v>
      </x:c>
      <x:c r="N638" s="22" t="str">
        <x:v>Not applicable — no duplicate group</x:v>
      </x:c>
      <x:c r="O638" s="22" t="str">
        <x:v>Not applicable</x:v>
      </x:c>
      <x:c r="P638" s="22" t="str">
        <x:v>Yes</x:v>
      </x:c>
      <x:c r="Q638" s="22" t="str">
        <x:v>Exclude</x:v>
      </x:c>
      <x:c r="R638" s="22" t="str">
        <x:v>Review of SAM-based medical-image segmentation; wrong XAI type.</x:v>
      </x:c>
      <x:c r="S638" s="22" t="str">
        <x:v>Verification documented at process level</x:v>
      </x:c>
      <x:c r="T638" s="22" t="str">
        <x:v>Two additional authors performed random spot checks; individual spot-check assignments are not recorded in this register.</x:v>
      </x:c>
      <x:c r="U638" s="22" t="str">
        <x:v>Exclude</x:v>
      </x:c>
      <x:c r="V638" s="22" t="str">
        <x:v>Primary decision by the corresponding author; two additional authors performed random spot checks as a quality-control step.</x:v>
      </x:c>
      <x:c r="W638" s="22" t="str">
        <x:v>No</x:v>
      </x:c>
      <x:c r="X638" s="22" t="str">
        <x:v>Not applicable</x:v>
      </x:c>
      <x:c r="Y638" s="22" t="str">
        <x:v>Not assessed</x:v>
      </x:c>
      <x:c r="Z638" s="22" t="str">
        <x:v>Not advanced to full-text assessment after the title/abstract decision.</x:v>
      </x:c>
      <x:c r="AA638" s="22" t="str">
        <x:v>Not applicable</x:v>
      </x:c>
      <x:c r="AB638" s="22" t="str">
        <x:v>Record was not advanced to full-text assessment.</x:v>
      </x:c>
      <x:c r="AC638" s="22" t="str">
        <x:v>Not assessed</x:v>
      </x:c>
      <x:c r="AD638" s="22" t="str">
        <x:v>Not applicable — no full-text assessment was required.</x:v>
      </x:c>
      <x:c r="AE638" s="22" t="str">
        <x:v>Not included — title/abstract exclusion</x:v>
      </x:c>
      <x:c r="AF638" s="22" t="str">
        <x:v>Not applicable — not included</x:v>
      </x:c>
      <x:c r="AG638" s="22" t="str">
        <x:v>Evidence: 4aa95b14-b734-4628-a015-c8f2d5f2eb49.png; page 5, result 3. Metadata transcribed from captured Google Scholar page; OCR-normalised, verify against publication before citation.</x:v>
      </x:c>
      <x:c r="AH638" s="20" t="str">
        <x:v>No duplicate identified under the documented matching rules.</x:v>
      </x:c>
    </x:row>
    <x:row r="639" ht="42" customHeight="1">
      <x:c r="A639" s="22" t="str">
        <x:v>GS-08-044</x:v>
      </x:c>
      <x:c r="B639" s="22" t="str">
        <x:v>Google Scholar</x:v>
      </x:c>
      <x:c r="C639" s="22" t="str">
        <x:v>GS-08</x:v>
      </x:c>
      <x:c r="D639" s="22" t="str">
        <x:v>interpretable machine tearning applied to fusion plasmas</x:v>
      </x:c>
      <x:c r="E639" s="22" t="str">
        <x:v>AGillgren</x:v>
      </x:c>
      <x:c r="F639" s="22" t="n">
        <x:v>2026</x:v>
      </x:c>
      <x:c r="G639" s="22" t="str">
        <x:v>2026 - searc&gt; psaquesi com</x:v>
      </x:c>
      <x:c r="H639" s="22" t="str">
        <x:v>Google Scholar result</x:v>
      </x:c>
      <x:c r="I639" s="22" t="str">
        <x:v>NR</x:v>
      </x:c>
      <x:c r="J639" s="22" t="str">
        <x:v>NR</x:v>
      </x:c>
      <x:c r="K639" s="22" t="str">
        <x:v>NR — URL not captured in the available source record</x:v>
      </x:c>
      <x:c r="L639" s="22" t="str">
        <x:v>Not available in the captured evidence; the screening decision used the title and available source metadata.</x:v>
      </x:c>
      <x:c r="M639" s="22" t="str">
        <x:v>Confirmed duplicate</x:v>
      </x:c>
      <x:c r="N639" s="22" t="str">
        <x:v>DG-104</x:v>
      </x:c>
      <x:c r="O639" s="22" t="str">
        <x:v>GS-06-032</x:v>
      </x:c>
      <x:c r="P639" s="22" t="str">
        <x:v>No</x:v>
      </x:c>
      <x:c r="Q639" s="22" t="str">
        <x:v>Not screened</x:v>
      </x:c>
      <x:c r="R639" s="22" t="str">
        <x:v>Removed before title/abstract screening as a confirmed duplicate.</x:v>
      </x:c>
      <x:c r="S639" s="22" t="str">
        <x:v>Not applicable — removed before screening</x:v>
      </x:c>
      <x:c r="T639" s="22" t="str">
        <x:v>Record was outside the active screening set.</x:v>
      </x:c>
      <x:c r="U639" s="22" t="str">
        <x:v>Removed before screening</x:v>
      </x:c>
      <x:c r="V639" s="22" t="str">
        <x:v>Confirmed duplicate removed during deduplication.</x:v>
      </x:c>
      <x:c r="W639" s="22" t="str">
        <x:v>No</x:v>
      </x:c>
      <x:c r="X639" s="22" t="str">
        <x:v>Not applicable</x:v>
      </x:c>
      <x:c r="Y639" s="22" t="str">
        <x:v>Not assessed</x:v>
      </x:c>
      <x:c r="Z639" s="22" t="str">
        <x:v>Not applicable — record removed before screening.</x:v>
      </x:c>
      <x:c r="AA639" s="22" t="str">
        <x:v>Not applicable</x:v>
      </x:c>
      <x:c r="AB639" s="22" t="str">
        <x:v>Record was not advanced to full-text assessment.</x:v>
      </x:c>
      <x:c r="AC639" s="22" t="str">
        <x:v>Not assessed</x:v>
      </x:c>
      <x:c r="AD639" s="22" t="str">
        <x:v>Not applicable — no full-text assessment was required.</x:v>
      </x:c>
      <x:c r="AE639" s="22" t="str">
        <x:v>Removed before screening</x:v>
      </x:c>
      <x:c r="AF639" s="22" t="str">
        <x:v>Not applicable — not included</x:v>
      </x:c>
      <x:c r="AG639" s="22" t="str">
        <x:v>Evidence: 4aa95b14-b734-4628-a015-c8f2d5f2eb49.png; page 5, result 4. Metadata transcribed from captured Google Scholar page; OCR-normalised, verify against publication before citation.</x:v>
      </x:c>
      <x:c r="AH639" s="20" t="str">
        <x:v>No duplicate identified under the documented matching rules.</x:v>
      </x:c>
    </x:row>
    <x:row r="640" ht="42" customHeight="1">
      <x:c r="A640" s="22" t="str">
        <x:v>GS-08-045</x:v>
      </x:c>
      <x:c r="B640" s="22" t="str">
        <x:v>Google Scholar</x:v>
      </x:c>
      <x:c r="C640" s="22" t="str">
        <x:v>GS-08</x:v>
      </x:c>
      <x:c r="D640" s="22" t="str">
        <x:v>TSGB: Target-selective gradient backprop for probing CNN visual saliency</x:v>
      </x:c>
      <x:c r="E640" s="22" t="str">
        <x:v>L Cheng, P Fang YLiang L Zhang</x:v>
      </x:c>
      <x:c r="F640" s="22" t="str">
        <x:v>NR</x:v>
      </x:c>
      <x:c r="G640" s="22" t="str">
        <x:v>onimage Processing 2°22 - leeexpiora ieee org</x:v>
      </x:c>
      <x:c r="H640" s="22" t="str">
        <x:v>Google Scholar result</x:v>
      </x:c>
      <x:c r="I640" s="22" t="str">
        <x:v>NR</x:v>
      </x:c>
      <x:c r="J640" s="22" t="str">
        <x:v>NR</x:v>
      </x:c>
      <x:c r="K640" s="22" t="str">
        <x:v>NR — URL not captured in the available source record</x:v>
      </x:c>
      <x:c r="L640" s="22" t="str">
        <x:v>Not available in the captured evidence; the screening decision used the title and available source metadata.</x:v>
      </x:c>
      <x:c r="M640" s="22" t="str">
        <x:v>No duplicate</x:v>
      </x:c>
      <x:c r="N640" s="22" t="str">
        <x:v>Not applicable — no duplicate group</x:v>
      </x:c>
      <x:c r="O640" s="22" t="str">
        <x:v>Not applicable</x:v>
      </x:c>
      <x:c r="P640" s="22" t="str">
        <x:v>Yes</x:v>
      </x:c>
      <x:c r="Q640" s="22" t="str">
        <x:v>Exclude</x:v>
      </x:c>
      <x:c r="R640" s="22" t="str">
        <x:v>Saliency-only method; excluded under E3.</x:v>
      </x:c>
      <x:c r="S640" s="22" t="str">
        <x:v>Verification documented at process level</x:v>
      </x:c>
      <x:c r="T640" s="22" t="str">
        <x:v>Two additional authors performed random spot checks; individual spot-check assignments are not recorded in this register.</x:v>
      </x:c>
      <x:c r="U640" s="22" t="str">
        <x:v>Exclude</x:v>
      </x:c>
      <x:c r="V640" s="22" t="str">
        <x:v>Primary decision by the corresponding author; two additional authors performed random spot checks as a quality-control step.</x:v>
      </x:c>
      <x:c r="W640" s="22" t="str">
        <x:v>No</x:v>
      </x:c>
      <x:c r="X640" s="22" t="str">
        <x:v>Not applicable</x:v>
      </x:c>
      <x:c r="Y640" s="22" t="str">
        <x:v>Not assessed</x:v>
      </x:c>
      <x:c r="Z640" s="22" t="str">
        <x:v>Not advanced to full-text assessment after the title/abstract decision.</x:v>
      </x:c>
      <x:c r="AA640" s="22" t="str">
        <x:v>Not applicable</x:v>
      </x:c>
      <x:c r="AB640" s="22" t="str">
        <x:v>Record was not advanced to full-text assessment.</x:v>
      </x:c>
      <x:c r="AC640" s="22" t="str">
        <x:v>Not assessed</x:v>
      </x:c>
      <x:c r="AD640" s="22" t="str">
        <x:v>Not applicable — no full-text assessment was required.</x:v>
      </x:c>
      <x:c r="AE640" s="22" t="str">
        <x:v>Not included — title/abstract exclusion</x:v>
      </x:c>
      <x:c r="AF640" s="22" t="str">
        <x:v>Not applicable — not included</x:v>
      </x:c>
      <x:c r="AG640" s="22" t="str">
        <x:v>Evidence: 4aa95b14-b734-4628-a015-c8f2d5f2eb49.png; page 5, result 5. Metadata transcribed from captured Google Scholar page; OCR-normalised, verify against publication before citation.</x:v>
      </x:c>
      <x:c r="AH640" s="20" t="str">
        <x:v>No duplicate identified under the documented matching rules.</x:v>
      </x:c>
    </x:row>
    <x:row r="641" ht="42" customHeight="1">
      <x:c r="A641" s="22" t="str">
        <x:v>GS-08-046</x:v>
      </x:c>
      <x:c r="B641" s="22" t="str">
        <x:v>Google Scholar</x:v>
      </x:c>
      <x:c r="C641" s="22" t="str">
        <x:v>GS-08</x:v>
      </x:c>
      <x:c r="D641" s="22" t="str">
        <x:v>(nterpretabilidade de redes neurais convolucionais com estudo de casc em diagnastico por imagem</x:v>
      </x:c>
      <x:c r="E641" s="22" t="str">
        <x:v>MG Maia</x:v>
      </x:c>
      <x:c r="F641" s="22" t="n">
        <x:v>2022</x:v>
      </x:c>
      <x:c r="G641" s="22" t="str">
        <x:v>2022 - dspace st ulcg edu or</x:v>
      </x:c>
      <x:c r="H641" s="22" t="str">
        <x:v>Google Scholar result</x:v>
      </x:c>
      <x:c r="I641" s="22" t="str">
        <x:v>NR</x:v>
      </x:c>
      <x:c r="J641" s="22" t="str">
        <x:v>NR</x:v>
      </x:c>
      <x:c r="K641" s="22" t="str">
        <x:v>NR — URL not captured in the available source record</x:v>
      </x:c>
      <x:c r="L641" s="22" t="str">
        <x:v>Not available in the captured evidence; the screening decision used the title and available source metadata.</x:v>
      </x:c>
      <x:c r="M641" s="22" t="str">
        <x:v>Confirmed duplicate</x:v>
      </x:c>
      <x:c r="N641" s="22" t="str">
        <x:v>DG-117</x:v>
      </x:c>
      <x:c r="O641" s="22" t="str">
        <x:v>GS-06-037</x:v>
      </x:c>
      <x:c r="P641" s="22" t="str">
        <x:v>No</x:v>
      </x:c>
      <x:c r="Q641" s="22" t="str">
        <x:v>Not screened</x:v>
      </x:c>
      <x:c r="R641" s="22" t="str">
        <x:v>Removed before title/abstract screening as a confirmed duplicate.</x:v>
      </x:c>
      <x:c r="S641" s="22" t="str">
        <x:v>Not applicable — removed before screening</x:v>
      </x:c>
      <x:c r="T641" s="22" t="str">
        <x:v>Record was outside the active screening set.</x:v>
      </x:c>
      <x:c r="U641" s="22" t="str">
        <x:v>Removed before screening</x:v>
      </x:c>
      <x:c r="V641" s="22" t="str">
        <x:v>Confirmed duplicate removed during deduplication.</x:v>
      </x:c>
      <x:c r="W641" s="22" t="str">
        <x:v>No</x:v>
      </x:c>
      <x:c r="X641" s="22" t="str">
        <x:v>Not applicable</x:v>
      </x:c>
      <x:c r="Y641" s="22" t="str">
        <x:v>Not assessed</x:v>
      </x:c>
      <x:c r="Z641" s="22" t="str">
        <x:v>Not applicable — record removed before screening.</x:v>
      </x:c>
      <x:c r="AA641" s="22" t="str">
        <x:v>Not applicable</x:v>
      </x:c>
      <x:c r="AB641" s="22" t="str">
        <x:v>Record was not advanced to full-text assessment.</x:v>
      </x:c>
      <x:c r="AC641" s="22" t="str">
        <x:v>Not assessed</x:v>
      </x:c>
      <x:c r="AD641" s="22" t="str">
        <x:v>Not applicable — no full-text assessment was required.</x:v>
      </x:c>
      <x:c r="AE641" s="22" t="str">
        <x:v>Removed before screening</x:v>
      </x:c>
      <x:c r="AF641" s="22" t="str">
        <x:v>Not applicable — not included</x:v>
      </x:c>
      <x:c r="AG641" s="22" t="str">
        <x:v>Evidence: 4aa95b14-b734-4628-a015-c8f2d5f2eb49.png; page 5, result 6. Metadata transcribed from captured Google Scholar page; OCR-normalised, verify against publication before citation.</x:v>
      </x:c>
      <x:c r="AH641" s="20" t="str">
        <x:v>No duplicate identified under the documented matching rules.</x:v>
      </x:c>
    </x:row>
    <x:row r="642" ht="42" customHeight="1">
      <x:c r="A642" s="22" t="str">
        <x:v>GS-08-047</x:v>
      </x:c>
      <x:c r="B642" s="22" t="str">
        <x:v>Google Scholar</x:v>
      </x:c>
      <x:c r="C642" s="22" t="str">
        <x:v>GS-08</x:v>
      </x:c>
      <x:c r="D642" s="22" t="str">
        <x:v>Book] Sensona: Thinkers for the twentieth-first century</x:v>
      </x:c>
      <x:c r="E642" s="22" t="str">
        <x:v>MK Wark</x:v>
      </x:c>
      <x:c r="F642" s="22" t="n">
        <x:v>2029</x:v>
      </x:c>
      <x:c r="G642" s="22" t="str">
        <x:v>2029 - boaks google com</x:v>
      </x:c>
      <x:c r="H642" s="22" t="str">
        <x:v>Google Scholar result</x:v>
      </x:c>
      <x:c r="I642" s="22" t="str">
        <x:v>NR</x:v>
      </x:c>
      <x:c r="J642" s="22" t="str">
        <x:v>NR</x:v>
      </x:c>
      <x:c r="K642" s="22" t="str">
        <x:v>NR — URL not captured in the available source record</x:v>
      </x:c>
      <x:c r="L642" s="22" t="str">
        <x:v>Not available in the captured evidence; the screening decision used the title and available source metadata.</x:v>
      </x:c>
      <x:c r="M642" s="22" t="str">
        <x:v>No duplicate</x:v>
      </x:c>
      <x:c r="N642" s="22" t="str">
        <x:v>Not applicable — no duplicate group</x:v>
      </x:c>
      <x:c r="O642" s="22" t="str">
        <x:v>Not applicable</x:v>
      </x:c>
      <x:c r="P642" s="22" t="str">
        <x:v>Yes</x:v>
      </x:c>
      <x:c r="Q642" s="22" t="str">
        <x:v>Exclude</x:v>
      </x:c>
      <x:c r="R642" s="22" t="str">
        <x:v>Dated 2029 and irrelevant; outside date and subject scope (E7/E1).</x:v>
      </x:c>
      <x:c r="S642" s="22" t="str">
        <x:v>Verification documented at process level</x:v>
      </x:c>
      <x:c r="T642" s="22" t="str">
        <x:v>Two additional authors performed random spot checks; individual spot-check assignments are not recorded in this register.</x:v>
      </x:c>
      <x:c r="U642" s="22" t="str">
        <x:v>Exclude</x:v>
      </x:c>
      <x:c r="V642" s="22" t="str">
        <x:v>Primary decision by the corresponding author; two additional authors performed random spot checks as a quality-control step.</x:v>
      </x:c>
      <x:c r="W642" s="22" t="str">
        <x:v>No</x:v>
      </x:c>
      <x:c r="X642" s="22" t="str">
        <x:v>Not applicable</x:v>
      </x:c>
      <x:c r="Y642" s="22" t="str">
        <x:v>Not assessed</x:v>
      </x:c>
      <x:c r="Z642" s="22" t="str">
        <x:v>Not advanced to full-text assessment after the title/abstract decision.</x:v>
      </x:c>
      <x:c r="AA642" s="22" t="str">
        <x:v>Not applicable</x:v>
      </x:c>
      <x:c r="AB642" s="22" t="str">
        <x:v>Record was not advanced to full-text assessment.</x:v>
      </x:c>
      <x:c r="AC642" s="22" t="str">
        <x:v>Not assessed</x:v>
      </x:c>
      <x:c r="AD642" s="22" t="str">
        <x:v>Not applicable — no full-text assessment was required.</x:v>
      </x:c>
      <x:c r="AE642" s="22" t="str">
        <x:v>Not included — title/abstract exclusion</x:v>
      </x:c>
      <x:c r="AF642" s="22" t="str">
        <x:v>Not applicable — not included</x:v>
      </x:c>
      <x:c r="AG642" s="22" t="str">
        <x:v>Evidence: 4aa95b14-b734-4628-a015-c8f2d5f2eb49.png; page 5, result 7. Metadata transcribed from captured Google Scholar page; OCR-normalised, verify against publication before citation.</x:v>
      </x:c>
      <x:c r="AH642" s="20" t="str">
        <x:v>No duplicate identified under the documented matching rules.</x:v>
      </x:c>
    </x:row>
    <x:row r="643" ht="42" customHeight="1">
      <x:c r="A643" s="22" t="str">
        <x:v>ARXIV-01-001</x:v>
      </x:c>
      <x:c r="B643" s="22" t="str">
        <x:v>arXiv</x:v>
      </x:c>
      <x:c r="C643" s="22" t="str">
        <x:v>ARXIV-01</x:v>
      </x:c>
      <x:c r="D643" s="22" t="str">
        <x:v>Looking into Concept Explanation Methods for Diabetic Retinopathy Classification</x:v>
      </x:c>
      <x:c r="E643" s="22" t="str">
        <x:v>NR — authors not captured in the available source record</x:v>
      </x:c>
      <x:c r="F643" s="22" t="n">
        <x:v>2024</x:v>
      </x:c>
      <x:c r="G643" s="22" t="str">
        <x:v>NR — source not captured in the available record</x:v>
      </x:c>
      <x:c r="H643" s="22" t="str">
        <x:v>Preprint / arXiv search result</x:v>
      </x:c>
      <x:c r="I643" s="22" t="str">
        <x:v>10.59275/j.melba.2024-e7fd</x:v>
      </x:c>
      <x:c r="J643" s="22" t="str">
        <x:v>2410.03188</x:v>
      </x:c>
      <x:c r="K643" s="22" t="str">
        <x:v>https://arxiv.org/pdf/2410.03188</x:v>
      </x:c>
      <x:c r="L643" s="22" t="str">
        <x:v>Diabetic retinopathy is a common complication of diabetes, and monitoring the progression of retinal abnormalities using fundus imaging is crucial. Because the images must be interpreted by a medical expert, it is infeasible to screen all individuals with diabetes for diabetic retinopathy. Deep learning has shown impressive results for automatic analysis and grading of fundus images. One drawback is, however, the lack of interpretability, which hampers the implementation of such systems in the clinic. Explainable artificial intelligence methods can be applied to explain the deep neural networks. Explanations based on concepts have shown to be intuitive for humans to understand, but have not yet been explored in detail for diabetic retinopathy grading. This work investigates and compares two concept-based explanation techniques for explaining deep neural networks developed for automatic diagnosis of diabetic retinopathy: Quantitative Testing with Concept Activation Vectors and Concept Bottleneck Models. We found that both methods have strengths and weaknesses, and choice of method should take the available data and the end user’s preferences into account. Our code is available at &amp;lt;a href='https://github.com/AndreaStoraas/ConceptExplanations_DR_grading'&amp;gt;https://github.com/AndreaStoraas/ConceptExplanations_DR_grading&amp;lt;/a&amp;gt;</x:v>
      </x:c>
      <x:c r="M643" s="22" t="str">
        <x:v>No duplicate</x:v>
      </x:c>
      <x:c r="N643" s="22" t="str">
        <x:v>DG-011</x:v>
      </x:c>
      <x:c r="O643" s="22" t="str">
        <x:v>Not applicable</x:v>
      </x:c>
      <x:c r="P643" s="22" t="str">
        <x:v>Yes</x:v>
      </x:c>
      <x:c r="Q643" s="22" t="str">
        <x:v>Include</x:v>
      </x:c>
      <x:c r="R643" s="22" t="str">
        <x:v>Direct fundus study comparing TCAV and concept bottleneck models for DR classification.</x:v>
      </x:c>
      <x:c r="S643" s="22" t="str">
        <x:v>Verification documented at process level</x:v>
      </x:c>
      <x:c r="T643" s="22" t="str">
        <x:v>Two additional authors performed random spot checks; individual spot-check assignments are not recorded in this register.</x:v>
      </x:c>
      <x:c r="U643" s="22" t="str">
        <x:v>Include</x:v>
      </x:c>
      <x:c r="V643" s="22" t="str">
        <x:v>Primary decision by the corresponding author; two additional authors performed random spot checks as a quality-control step.</x:v>
      </x:c>
      <x:c r="W643" s="22" t="str">
        <x:v>Yes</x:v>
      </x:c>
      <x:c r="X643" s="22" t="str">
        <x:v>Yes</x:v>
      </x:c>
      <x:c r="Y643" s="22" t="str">
        <x:v>Include</x:v>
      </x:c>
      <x:c r="Z643" s="22" t="str">
        <x:v>The corresponding author assessed the complete report and judged it eligible for inclusion in the review.</x:v>
      </x:c>
      <x:c r="AA643" s="22" t="str">
        <x:v>Verification documented at process level</x:v>
      </x:c>
      <x:c r="AB643" s="22" t="str">
        <x:v>Two additional authors performed random spot checks; individual spot-check assignments are not recorded in this register.</x:v>
      </x:c>
      <x:c r="AC643" s="22" t="str">
        <x:v>Include</x:v>
      </x:c>
      <x:c r="AD643" s="22" t="str">
        <x:v>Primary decision by the corresponding author; two additional authors performed random spot checks as a quality-control step.</x:v>
      </x:c>
      <x:c r="AE643" s="22" t="str">
        <x:v>Include</x:v>
      </x:c>
      <x:c r="AF643" s="22" t="str">
        <x:v>Direct retinal/ophthalmic evidence</x:v>
      </x:c>
      <x:c r="AG643" s="22" t="str">
        <x:v>Visible in the supplied arXiv result screenshot for ARXIV-01; current rerun on 7 August 2026. Authors/abstract may require metadata completion before title/abstract screening.</x:v>
      </x:c>
      <x:c r="AH643" s="20" t="str">
        <x:v>Confirmed using identifier/title evidence; normalized title across captured searches.</x:v>
      </x:c>
    </x:row>
    <x:row r="644" ht="42" customHeight="1">
      <x:c r="A644" s="22" t="str">
        <x:v>ARXIV-02-001</x:v>
      </x:c>
      <x:c r="B644" s="22" t="str">
        <x:v>arXiv</x:v>
      </x:c>
      <x:c r="C644" s="22" t="str">
        <x:v>ARXIV-02</x:v>
      </x:c>
      <x:c r="D644" s="22" t="str">
        <x:v>ESRVS: Extreme Semi-Supervised Retinal Vessel Segmentation with a Single Annotated Image</x:v>
      </x:c>
      <x:c r="E644" s="22" t="str">
        <x:v>Mingzhi ns, Yishe Zhang</x:v>
      </x:c>
      <x:c r="F644" s="22" t="str">
        <x:v>NR</x:v>
      </x:c>
      <x:c r="G644" s="22" t="str">
        <x:v>arXiv</x:v>
      </x:c>
      <x:c r="H644" s="22" t="str">
        <x:v>arXiv search result</x:v>
      </x:c>
      <x:c r="I644" s="22" t="str">
        <x:v>NR</x:v>
      </x:c>
      <x:c r="J644" s="22" t="str">
        <x:v>NR</x:v>
      </x:c>
      <x:c r="K644" s="22" t="str">
        <x:v>NR — URL not captured in the available source record</x:v>
      </x:c>
      <x:c r="L644" s="22" t="str">
        <x:v>Not available in the captured evidence; the screening decision used the title and available source metadata.</x:v>
      </x:c>
      <x:c r="M644" s="22" t="str">
        <x:v>No duplicate</x:v>
      </x:c>
      <x:c r="N644" s="22" t="str">
        <x:v>Not applicable — no duplicate group</x:v>
      </x:c>
      <x:c r="O644" s="22" t="str">
        <x:v>Not applicable</x:v>
      </x:c>
      <x:c r="P644" s="22" t="str">
        <x:v>Yes</x:v>
      </x:c>
      <x:c r="Q644" s="22" t="str">
        <x:v>Exclude</x:v>
      </x:c>
      <x:c r="R644" s="22" t="str">
        <x:v>Retinal vessel segmentation without concept-based XAI.</x:v>
      </x:c>
      <x:c r="S644" s="22" t="str">
        <x:v>Verification documented at process level</x:v>
      </x:c>
      <x:c r="T644" s="22" t="str">
        <x:v>Two additional authors performed random spot checks; individual spot-check assignments are not recorded in this register.</x:v>
      </x:c>
      <x:c r="U644" s="22" t="str">
        <x:v>Exclude</x:v>
      </x:c>
      <x:c r="V644" s="22" t="str">
        <x:v>Primary decision by the corresponding author; two additional authors performed random spot checks as a quality-control step.</x:v>
      </x:c>
      <x:c r="W644" s="22" t="str">
        <x:v>No</x:v>
      </x:c>
      <x:c r="X644" s="22" t="str">
        <x:v>Not applicable</x:v>
      </x:c>
      <x:c r="Y644" s="22" t="str">
        <x:v>Not assessed</x:v>
      </x:c>
      <x:c r="Z644" s="22" t="str">
        <x:v>Not advanced to full-text assessment after the title/abstract decision.</x:v>
      </x:c>
      <x:c r="AA644" s="22" t="str">
        <x:v>Not applicable</x:v>
      </x:c>
      <x:c r="AB644" s="22" t="str">
        <x:v>Record was not advanced to full-text assessment.</x:v>
      </x:c>
      <x:c r="AC644" s="22" t="str">
        <x:v>Not assessed</x:v>
      </x:c>
      <x:c r="AD644" s="22" t="str">
        <x:v>Not applicable — no full-text assessment was required.</x:v>
      </x:c>
      <x:c r="AE644" s="22" t="str">
        <x:v>Not included — title/abstract exclusion</x:v>
      </x:c>
      <x:c r="AF644" s="22" t="str">
        <x:v>Not applicable — not included</x:v>
      </x:c>
      <x:c r="AG644" s="22" t="str">
        <x:v>Evidence: a5198cc7-2451-44e0-850b-b9eecef396c6.png; result 1. Metadata transcribed from captured arXiv results page; OCR-normalised where visually clear.</x:v>
      </x:c>
      <x:c r="AH644" s="20" t="str">
        <x:v>No duplicate identified under the documented matching rules.</x:v>
      </x:c>
    </x:row>
    <x:row r="645" ht="42" customHeight="1">
      <x:c r="A645" s="22" t="str">
        <x:v>ARXIV-02-002</x:v>
      </x:c>
      <x:c r="B645" s="22" t="str">
        <x:v>arXiv</x:v>
      </x:c>
      <x:c r="C645" s="22" t="str">
        <x:v>ARXIV-02</x:v>
      </x:c>
      <x:c r="D645" s="22" t="str">
        <x:v>A Machine-Learned Symbolic Committor for a Chemical Reaction: Retinal Isomerization</x:v>
      </x:c>
      <x:c r="E645" s="22" t="str">
        <x:v>Kat Topfer, Glanmarco Lazzeri. Vittoris Ossanna. Florian Resner, Gianluca Lattanei, Roberto Covina, Betina G. Keller</x:v>
      </x:c>
      <x:c r="F645" s="22" t="str">
        <x:v>NR</x:v>
      </x:c>
      <x:c r="G645" s="22" t="str">
        <x:v>arXiv</x:v>
      </x:c>
      <x:c r="H645" s="22" t="str">
        <x:v>arXiv search result</x:v>
      </x:c>
      <x:c r="I645" s="22" t="str">
        <x:v>NR</x:v>
      </x:c>
      <x:c r="J645" s="22" t="str">
        <x:v>NR</x:v>
      </x:c>
      <x:c r="K645" s="22" t="str">
        <x:v>NR — URL not captured in the available source record</x:v>
      </x:c>
      <x:c r="L645" s="22" t="str">
        <x:v>Not available in the captured evidence; the screening decision used the title and available source metadata.</x:v>
      </x:c>
      <x:c r="M645" s="22" t="str">
        <x:v>No duplicate</x:v>
      </x:c>
      <x:c r="N645" s="22" t="str">
        <x:v>Not applicable — no duplicate group</x:v>
      </x:c>
      <x:c r="O645" s="22" t="str">
        <x:v>Not applicable</x:v>
      </x:c>
      <x:c r="P645" s="22" t="str">
        <x:v>Yes</x:v>
      </x:c>
      <x:c r="Q645" s="22" t="str">
        <x:v>Exclude</x:v>
      </x:c>
      <x:c r="R645" s="22" t="str">
        <x:v>Retinal refers to a molecule in chemical isomerisation; wrong domain.</x:v>
      </x:c>
      <x:c r="S645" s="22" t="str">
        <x:v>Verification documented at process level</x:v>
      </x:c>
      <x:c r="T645" s="22" t="str">
        <x:v>Two additional authors performed random spot checks; individual spot-check assignments are not recorded in this register.</x:v>
      </x:c>
      <x:c r="U645" s="22" t="str">
        <x:v>Exclude</x:v>
      </x:c>
      <x:c r="V645" s="22" t="str">
        <x:v>Primary decision by the corresponding author; two additional authors performed random spot checks as a quality-control step.</x:v>
      </x:c>
      <x:c r="W645" s="22" t="str">
        <x:v>No</x:v>
      </x:c>
      <x:c r="X645" s="22" t="str">
        <x:v>Not applicable</x:v>
      </x:c>
      <x:c r="Y645" s="22" t="str">
        <x:v>Not assessed</x:v>
      </x:c>
      <x:c r="Z645" s="22" t="str">
        <x:v>Not advanced to full-text assessment after the title/abstract decision.</x:v>
      </x:c>
      <x:c r="AA645" s="22" t="str">
        <x:v>Not applicable</x:v>
      </x:c>
      <x:c r="AB645" s="22" t="str">
        <x:v>Record was not advanced to full-text assessment.</x:v>
      </x:c>
      <x:c r="AC645" s="22" t="str">
        <x:v>Not assessed</x:v>
      </x:c>
      <x:c r="AD645" s="22" t="str">
        <x:v>Not applicable — no full-text assessment was required.</x:v>
      </x:c>
      <x:c r="AE645" s="22" t="str">
        <x:v>Not included — title/abstract exclusion</x:v>
      </x:c>
      <x:c r="AF645" s="22" t="str">
        <x:v>Not applicable — not included</x:v>
      </x:c>
      <x:c r="AG645" s="22" t="str">
        <x:v>Evidence: a5198cc7-2451-44e0-850b-b9eecef396c6.png; result 2. Metadata transcribed from captured arXiv results page; OCR-normalised where visually clear.</x:v>
      </x:c>
      <x:c r="AH645" s="20" t="str">
        <x:v>No duplicate identified under the documented matching rules.</x:v>
      </x:c>
    </x:row>
    <x:row r="646" ht="42" customHeight="1">
      <x:c r="A646" s="22" t="str">
        <x:v>ARXIV-02-003</x:v>
      </x:c>
      <x:c r="B646" s="22" t="str">
        <x:v>arXiv</x:v>
      </x:c>
      <x:c r="C646" s="22" t="str">
        <x:v>ARXIV-02</x:v>
      </x:c>
      <x:c r="D646" s="22" t="str">
        <x:v>Prototype Learning-Based Few-Shot Segmentation for Low-Light Crack on Concrete Structures</x:v>
      </x:c>
      <x:c r="E646" s="22" t="str">
        <x:v>Yelun Geo</x:v>
      </x:c>
      <x:c r="F646" s="22" t="n">
        <x:v>2026</x:v>
      </x:c>
      <x:c r="G646" s="22" t="str">
        <x:v>arXiv</x:v>
      </x:c>
      <x:c r="H646" s="22" t="str">
        <x:v>arXiv search result</x:v>
      </x:c>
      <x:c r="I646" s="22" t="str">
        <x:v>NR</x:v>
      </x:c>
      <x:c r="J646" s="22" t="str">
        <x:v>2601.13089</x:v>
      </x:c>
      <x:c r="K646" s="22" t="str">
        <x:v>https://arxiv.org/abs/2601.13089</x:v>
      </x:c>
      <x:c r="L646" s="22" t="str">
        <x:v>Not available in the captured evidence; the screening decision used the title and available source metadata.</x:v>
      </x:c>
      <x:c r="M646" s="22" t="str">
        <x:v>No duplicate</x:v>
      </x:c>
      <x:c r="N646" s="22" t="str">
        <x:v>Not applicable — no duplicate group</x:v>
      </x:c>
      <x:c r="O646" s="22" t="str">
        <x:v>Not applicable</x:v>
      </x:c>
      <x:c r="P646" s="22" t="str">
        <x:v>Yes</x:v>
      </x:c>
      <x:c r="Q646" s="22" t="str">
        <x:v>Exclude</x:v>
      </x:c>
      <x:c r="R646" s="22" t="str">
        <x:v>Wrong domain: concrete-crack segmentation.</x:v>
      </x:c>
      <x:c r="S646" s="22" t="str">
        <x:v>Verification documented at process level</x:v>
      </x:c>
      <x:c r="T646" s="22" t="str">
        <x:v>Two additional authors performed random spot checks; individual spot-check assignments are not recorded in this register.</x:v>
      </x:c>
      <x:c r="U646" s="22" t="str">
        <x:v>Exclude</x:v>
      </x:c>
      <x:c r="V646" s="22" t="str">
        <x:v>Primary decision by the corresponding author; two additional authors performed random spot checks as a quality-control step.</x:v>
      </x:c>
      <x:c r="W646" s="22" t="str">
        <x:v>No</x:v>
      </x:c>
      <x:c r="X646" s="22" t="str">
        <x:v>Not applicable</x:v>
      </x:c>
      <x:c r="Y646" s="22" t="str">
        <x:v>Not assessed</x:v>
      </x:c>
      <x:c r="Z646" s="22" t="str">
        <x:v>Not advanced to full-text assessment after the title/abstract decision.</x:v>
      </x:c>
      <x:c r="AA646" s="22" t="str">
        <x:v>Not applicable</x:v>
      </x:c>
      <x:c r="AB646" s="22" t="str">
        <x:v>Record was not advanced to full-text assessment.</x:v>
      </x:c>
      <x:c r="AC646" s="22" t="str">
        <x:v>Not assessed</x:v>
      </x:c>
      <x:c r="AD646" s="22" t="str">
        <x:v>Not applicable — no full-text assessment was required.</x:v>
      </x:c>
      <x:c r="AE646" s="22" t="str">
        <x:v>Not included — title/abstract exclusion</x:v>
      </x:c>
      <x:c r="AF646" s="22" t="str">
        <x:v>Not applicable — not included</x:v>
      </x:c>
      <x:c r="AG646" s="22" t="str">
        <x:v>Evidence: a5198cc7-2451-44e0-850b-b9eecef396c6.png; result 3. Metadata transcribed from captured arXiv results page; OCR-normalised where visually clear.</x:v>
      </x:c>
      <x:c r="AH646" s="20" t="str">
        <x:v>No duplicate identified under the documented matching rules.</x:v>
      </x:c>
    </x:row>
    <x:row r="647" ht="42" customHeight="1">
      <x:c r="A647" s="22" t="str">
        <x:v>ARXIV-02-004</x:v>
      </x:c>
      <x:c r="B647" s="22" t="str">
        <x:v>arXiv</x:v>
      </x:c>
      <x:c r="C647" s="22" t="str">
        <x:v>ARXIV-02</x:v>
      </x:c>
      <x:c r="D647" s="22" t="str">
        <x:v>Balanced Few-Shot Episodic Learning for Accurate Retinal Disease Diagnosis</x:v>
      </x:c>
      <x:c r="E647" s="22" t="str">
        <x:v>jasmaine Khall. Ravi Prakash Srivastanes</x:v>
      </x:c>
      <x:c r="F647" s="22" t="n">
        <x:v>2025</x:v>
      </x:c>
      <x:c r="G647" s="22" t="str">
        <x:v>arXiv</x:v>
      </x:c>
      <x:c r="H647" s="22" t="str">
        <x:v>arXiv search result</x:v>
      </x:c>
      <x:c r="I647" s="22" t="str">
        <x:v>NR</x:v>
      </x:c>
      <x:c r="J647" s="22" t="str">
        <x:v>2512.04967</x:v>
      </x:c>
      <x:c r="K647" s="22" t="str">
        <x:v>https://arxiv.org/abs/2512.04967</x:v>
      </x:c>
      <x:c r="L647" s="22" t="str">
        <x:v>Not available in the captured evidence; the screening decision used the title and available source metadata.</x:v>
      </x:c>
      <x:c r="M647" s="22" t="str">
        <x:v>No duplicate</x:v>
      </x:c>
      <x:c r="N647" s="22" t="str">
        <x:v>Not applicable — no duplicate group</x:v>
      </x:c>
      <x:c r="O647" s="22" t="str">
        <x:v>Not applicable</x:v>
      </x:c>
      <x:c r="P647" s="22" t="str">
        <x:v>Yes</x:v>
      </x:c>
      <x:c r="Q647" s="22" t="str">
        <x:v>Exclude</x:v>
      </x:c>
      <x:c r="R647" s="22" t="str">
        <x:v>Computational few-shot class prototypes, not human-interpretable explanations.</x:v>
      </x:c>
      <x:c r="S647" s="22" t="str">
        <x:v>Verification documented at process level</x:v>
      </x:c>
      <x:c r="T647" s="22" t="str">
        <x:v>Two additional authors performed random spot checks; individual spot-check assignments are not recorded in this register.</x:v>
      </x:c>
      <x:c r="U647" s="22" t="str">
        <x:v>Exclude</x:v>
      </x:c>
      <x:c r="V647" s="22" t="str">
        <x:v>Primary decision by the corresponding author; two additional authors performed random spot checks as a quality-control step.</x:v>
      </x:c>
      <x:c r="W647" s="22" t="str">
        <x:v>No</x:v>
      </x:c>
      <x:c r="X647" s="22" t="str">
        <x:v>Not applicable</x:v>
      </x:c>
      <x:c r="Y647" s="22" t="str">
        <x:v>Not assessed</x:v>
      </x:c>
      <x:c r="Z647" s="22" t="str">
        <x:v>Not advanced to full-text assessment after the title/abstract decision.</x:v>
      </x:c>
      <x:c r="AA647" s="22" t="str">
        <x:v>Not applicable</x:v>
      </x:c>
      <x:c r="AB647" s="22" t="str">
        <x:v>Record was not advanced to full-text assessment.</x:v>
      </x:c>
      <x:c r="AC647" s="22" t="str">
        <x:v>Not assessed</x:v>
      </x:c>
      <x:c r="AD647" s="22" t="str">
        <x:v>Not applicable — no full-text assessment was required.</x:v>
      </x:c>
      <x:c r="AE647" s="22" t="str">
        <x:v>Not included — title/abstract exclusion</x:v>
      </x:c>
      <x:c r="AF647" s="22" t="str">
        <x:v>Not applicable — not included</x:v>
      </x:c>
      <x:c r="AG647" s="22" t="str">
        <x:v>Evidence: a5198cc7-2451-44e0-850b-b9eecef396c6.png; result 4. Metadata transcribed from captured arXiv results page; OCR-normalised where visually clear.</x:v>
      </x:c>
      <x:c r="AH647" s="20" t="str">
        <x:v>No duplicate identified under the documented matching rules.</x:v>
      </x:c>
    </x:row>
    <x:row r="648" ht="42" customHeight="1">
      <x:c r="A648" s="22" t="str">
        <x:v>ARXIV-02-005</x:v>
      </x:c>
      <x:c r="B648" s="22" t="str">
        <x:v>arXiv</x:v>
      </x:c>
      <x:c r="C648" s="22" t="str">
        <x:v>ARXIV-02</x:v>
      </x:c>
      <x:c r="D648" s="22" t="str">
        <x:v>UP2D: Uncertainty-aware Progressive Pseudo-label Denoising for Source-Free Domain Adaptive Medical Image Segmentation</x:v>
      </x:c>
      <x:c r="E648" s="22" t="str">
        <x:v>Quire thal But Tran Thanh Muy Nauyen. Mash D. Mo. Thinh B. Lam. ¥iVu. Hoang: Thien Nguyen Phat Muy Ules Banc</x:v>
      </x:c>
      <x:c r="F648" s="22" t="str">
        <x:v>NR</x:v>
      </x:c>
      <x:c r="G648" s="22" t="str">
        <x:v>arXiv</x:v>
      </x:c>
      <x:c r="H648" s="22" t="str">
        <x:v>arXiv search result</x:v>
      </x:c>
      <x:c r="I648" s="22" t="str">
        <x:v>NR</x:v>
      </x:c>
      <x:c r="J648" s="22" t="str">
        <x:v>NR</x:v>
      </x:c>
      <x:c r="K648" s="22" t="str">
        <x:v>NR — URL not captured in the available source record</x:v>
      </x:c>
      <x:c r="L648" s="22" t="str">
        <x:v>Not available in the captured evidence; the screening decision used the title and available source metadata.</x:v>
      </x:c>
      <x:c r="M648" s="22" t="str">
        <x:v>No duplicate</x:v>
      </x:c>
      <x:c r="N648" s="22" t="str">
        <x:v>Not applicable — no duplicate group</x:v>
      </x:c>
      <x:c r="O648" s="22" t="str">
        <x:v>Not applicable</x:v>
      </x:c>
      <x:c r="P648" s="22" t="str">
        <x:v>Yes</x:v>
      </x:c>
      <x:c r="Q648" s="22" t="str">
        <x:v>Exclude</x:v>
      </x:c>
      <x:c r="R648" s="22" t="str">
        <x:v>Domain-adaptive medical-image segmentation without concept explanation.</x:v>
      </x:c>
      <x:c r="S648" s="22" t="str">
        <x:v>Verification documented at process level</x:v>
      </x:c>
      <x:c r="T648" s="22" t="str">
        <x:v>Two additional authors performed random spot checks; individual spot-check assignments are not recorded in this register.</x:v>
      </x:c>
      <x:c r="U648" s="22" t="str">
        <x:v>Exclude</x:v>
      </x:c>
      <x:c r="V648" s="22" t="str">
        <x:v>Primary decision by the corresponding author; two additional authors performed random spot checks as a quality-control step.</x:v>
      </x:c>
      <x:c r="W648" s="22" t="str">
        <x:v>No</x:v>
      </x:c>
      <x:c r="X648" s="22" t="str">
        <x:v>Not applicable</x:v>
      </x:c>
      <x:c r="Y648" s="22" t="str">
        <x:v>Not assessed</x:v>
      </x:c>
      <x:c r="Z648" s="22" t="str">
        <x:v>Not advanced to full-text assessment after the title/abstract decision.</x:v>
      </x:c>
      <x:c r="AA648" s="22" t="str">
        <x:v>Not applicable</x:v>
      </x:c>
      <x:c r="AB648" s="22" t="str">
        <x:v>Record was not advanced to full-text assessment.</x:v>
      </x:c>
      <x:c r="AC648" s="22" t="str">
        <x:v>Not assessed</x:v>
      </x:c>
      <x:c r="AD648" s="22" t="str">
        <x:v>Not applicable — no full-text assessment was required.</x:v>
      </x:c>
      <x:c r="AE648" s="22" t="str">
        <x:v>Not included — title/abstract exclusion</x:v>
      </x:c>
      <x:c r="AF648" s="22" t="str">
        <x:v>Not applicable — not included</x:v>
      </x:c>
      <x:c r="AG648" s="22" t="str">
        <x:v>Evidence: a5198cc7-2451-44e0-850b-b9eecef396c6.png; result 5. Metadata transcribed from captured arXiv results page; OCR-normalised where visually clear.</x:v>
      </x:c>
      <x:c r="AH648" s="20" t="str">
        <x:v>No duplicate identified under the documented matching rules.</x:v>
      </x:c>
    </x:row>
    <x:row r="649" ht="42" customHeight="1">
      <x:c r="A649" s="22" t="str">
        <x:v>ARXIV-02-006</x:v>
      </x:c>
      <x:c r="B649" s="22" t="str">
        <x:v>arXiv</x:v>
      </x:c>
      <x:c r="C649" s="22" t="str">
        <x:v>ARXIV-02</x:v>
      </x:c>
      <x:c r="D649" s="22" t="str">
        <x:v>Prototype-Guided and Lightweight Adapters for Inherent Interpretation and Generalisation in Federated Learning</x:v>
      </x:c>
      <x:c r="E649" s="22" t="str">
        <x:v>Samuel Ofosu mensah, Kerol Djoumessi Philgp Berens Abstract fextorsted learning 1) provides a promicing paradigm fhe colluber ately traning machine... © ave ‘astemseenl iy, 2 eeggety mercury 2S Caenomante: pages 4 Npseee, materoed'ne MKCAL ALP and ten ders nee 7. e0hte2906. 10609 (pel ps, other GB at PIPVIT: Patch-based Visual Interpretable Prototypes for Retinal Image Analysis</x:v>
      </x:c>
      <x:c r="F649" s="22" t="str">
        <x:v>NR</x:v>
      </x:c>
      <x:c r="G649" s="22" t="str">
        <x:v>arXiv</x:v>
      </x:c>
      <x:c r="H649" s="22" t="str">
        <x:v>arXiv search result</x:v>
      </x:c>
      <x:c r="I649" s="22" t="str">
        <x:v>10.1007/978-3-032-04981-0_44</x:v>
      </x:c>
      <x:c r="J649" s="22" t="str">
        <x:v>2507.05852</x:v>
      </x:c>
      <x:c r="K649" s="22" t="str">
        <x:v>https://arxiv.org/pdf/2507.05852</x:v>
      </x:c>
      <x:c r="L649" s="22" t="str">
        <x:v>Federated learning (FL) provides a promising paradigm for collaboratively training machine learning models across distributed data sources while maintaining privacy. Nevertheless, real-world FL often faces major challenges including communication overhead during the transfer of large model parameters and statistical heterogeneity, arising from non-identical independent data distributions across clients. In this work, we propose an FL framework that 1) provides inherent interpretations using prototypes, and 2) tackles statistical heterogeneity by utilising lightweight adapter modules to act as compressed surrogates of local models and guide clients to achieve generalisation despite varying client distribution. Each client locally refines its model by aligning class embeddings toward prototype representations and simultaneously adjust the lightweight adapter. Our approach replaces the need to communicate entire model weights with prototypes and lightweight adapters. This design ensures that each client's model aligns with a globally shared structure while minimising communication load and providing inherent interpretations. Moreover, we conducted our experiments on a real-world retinal fundus image dataset, which provides clinical-site information. We demonstrate inherent interpretable capabilities and perform a classification task, which shows improvements in accuracy over baseline algorithms.</x:v>
      </x:c>
      <x:c r="M649" s="22" t="str">
        <x:v>No duplicate</x:v>
      </x:c>
      <x:c r="N649" s="22" t="str">
        <x:v>DG-021</x:v>
      </x:c>
      <x:c r="O649" s="22" t="str">
        <x:v>Not applicable</x:v>
      </x:c>
      <x:c r="P649" s="22" t="str">
        <x:v>Yes</x:v>
      </x:c>
      <x:c r="Q649" s="22" t="str">
        <x:v>Include</x:v>
      </x:c>
      <x:c r="R649" s="22" t="str">
        <x:v>Direct fundus study explicitly providing inherent prototype-based interpretations.</x:v>
      </x:c>
      <x:c r="S649" s="22" t="str">
        <x:v>Verification documented at process level</x:v>
      </x:c>
      <x:c r="T649" s="22" t="str">
        <x:v>Two additional authors performed random spot checks; individual spot-check assignments are not recorded in this register.</x:v>
      </x:c>
      <x:c r="U649" s="22" t="str">
        <x:v>Include</x:v>
      </x:c>
      <x:c r="V649" s="22" t="str">
        <x:v>Primary decision by the corresponding author; two additional authors performed random spot checks as a quality-control step.</x:v>
      </x:c>
      <x:c r="W649" s="22" t="str">
        <x:v>Yes</x:v>
      </x:c>
      <x:c r="X649" s="22" t="str">
        <x:v>Yes</x:v>
      </x:c>
      <x:c r="Y649" s="22" t="str">
        <x:v>Include</x:v>
      </x:c>
      <x:c r="Z649" s="22" t="str">
        <x:v>The corresponding author assessed the complete report and judged it eligible for inclusion in the review.</x:v>
      </x:c>
      <x:c r="AA649" s="22" t="str">
        <x:v>Verification documented at process level</x:v>
      </x:c>
      <x:c r="AB649" s="22" t="str">
        <x:v>Two additional authors performed random spot checks; individual spot-check assignments are not recorded in this register.</x:v>
      </x:c>
      <x:c r="AC649" s="22" t="str">
        <x:v>Include</x:v>
      </x:c>
      <x:c r="AD649" s="22" t="str">
        <x:v>Primary decision by the corresponding author; two additional authors performed random spot checks as a quality-control step.</x:v>
      </x:c>
      <x:c r="AE649" s="22" t="str">
        <x:v>Include</x:v>
      </x:c>
      <x:c r="AF649" s="22" t="str">
        <x:v>Contextual medical concept-XAI evidence</x:v>
      </x:c>
      <x:c r="AG649" s="22" t="str">
        <x:v>Evidence: a5198cc7-2451-44e0-850b-b9eecef396c6.png; result 6. Metadata transcribed from captured arXiv results page; OCR-normalised where visually clear.</x:v>
      </x:c>
      <x:c r="AH649" s="20" t="str">
        <x:v>Confirmed using normalized title across captured searches.</x:v>
      </x:c>
    </x:row>
    <x:row r="650" ht="42" customHeight="1">
      <x:c r="A650" s="22" t="str">
        <x:v>ARXIV-02-007</x:v>
      </x:c>
      <x:c r="B650" s="22" t="str">
        <x:v>arXiv</x:v>
      </x:c>
      <x:c r="C650" s="22" t="str">
        <x:v>ARXIV-02</x:v>
      </x:c>
      <x:c r="D650" s="22" t="str">
        <x:v>PIPVIT: Patch-based Visual Interpretable Prototypes for Retinal Image Analysis</x:v>
      </x:c>
      <x:c r="E650" s="22" t="str">
        <x:v>Marzich Oghbsie, Tesesa Araujo, Hrvoje Bagunowt Abstract Backgrcund and Otyective Protetype Saute methecs Imerave weerpeetabilty by ~ how Subested 13 June, U5, v1 subsised 12 June, 22S, ortimally announced jane 2025 8 arkie2AOE 5168 [pet other] CEEB This actually looks like that: Proto-BagNets for local and global interpretability-by-design</x:v>
      </x:c>
      <x:c r="F650" s="22" t="str">
        <x:v>NR</x:v>
      </x:c>
      <x:c r="G650" s="22" t="str">
        <x:v>arXiv</x:v>
      </x:c>
      <x:c r="H650" s="22" t="str">
        <x:v>arXiv search result</x:v>
      </x:c>
      <x:c r="I650" s="22" t="str">
        <x:v>10.1016/j.bspc.2026.109545</x:v>
      </x:c>
      <x:c r="J650" s="22" t="str">
        <x:v>2506.10669</x:v>
      </x:c>
      <x:c r="K650" s="22" t="str">
        <x:v>https://arxiv.org/pdf/2506.10669</x:v>
      </x:c>
      <x:c r="L650" s="22" t="str">
        <x:v>Background and Objective: Prototype-based methods improve interpretability by learning fine-grained part-prototypes; however, their visualization in the input pixel space is not always consistent with human-understandable biomarkers. In addition, well-known prototype-based approaches typically learn extremely granular prototypes that are less interpretable in medical imaging, where both the presence and extent of biomarkers and lesions are critical. Methods: To address these challenges, we propose PiPViT (Patch-based Visual Interpretable Prototypes), an inherently interpretable prototypical model for image recognition. Leveraging a vision transformer (ViT), PiPViT captures long-range dependencies among patches to learn robust, human-interpretable prototypes that approximate lesion extent only using image-level labels. Additionally, PiPViT benefits from contrastive learning and multi-resolution input processing, which enables effective localization of biomarkers across scales. Results: We evaluated PiPViT on retinal OCT image classification across four datasets, where it achieved competitive quantitative performance compared to state-of-the-art methods while delivering more meaningful explanations. Moreover, quantitative evaluation on a hold-out test set confirms that the learned prototypes are semantically and clinically relevant. We believe PiPViT can transparently explain its decisions and assist clinicians in understanding diagnostic outcomes. Github page .</x:v>
      </x:c>
      <x:c r="M650" s="22" t="str">
        <x:v>No duplicate</x:v>
      </x:c>
      <x:c r="N650" s="22" t="str">
        <x:v>DG-020</x:v>
      </x:c>
      <x:c r="O650" s="22" t="str">
        <x:v>Not applicable</x:v>
      </x:c>
      <x:c r="P650" s="22" t="str">
        <x:v>Yes</x:v>
      </x:c>
      <x:c r="Q650" s="22" t="str">
        <x:v>Include</x:v>
      </x:c>
      <x:c r="R650" s="22" t="str">
        <x:v>Direct retinal OCT model with clinically meaningful interpretable patch prototypes.</x:v>
      </x:c>
      <x:c r="S650" s="22" t="str">
        <x:v>Verification documented at process level</x:v>
      </x:c>
      <x:c r="T650" s="22" t="str">
        <x:v>Two additional authors performed random spot checks; individual spot-check assignments are not recorded in this register.</x:v>
      </x:c>
      <x:c r="U650" s="22" t="str">
        <x:v>Include</x:v>
      </x:c>
      <x:c r="V650" s="22" t="str">
        <x:v>Primary decision by the corresponding author; two additional authors performed random spot checks as a quality-control step.</x:v>
      </x:c>
      <x:c r="W650" s="22" t="str">
        <x:v>Yes</x:v>
      </x:c>
      <x:c r="X650" s="22" t="str">
        <x:v>Yes</x:v>
      </x:c>
      <x:c r="Y650" s="22" t="str">
        <x:v>Include</x:v>
      </x:c>
      <x:c r="Z650" s="22" t="str">
        <x:v>The corresponding author assessed the complete report and judged it eligible for inclusion in the review.</x:v>
      </x:c>
      <x:c r="AA650" s="22" t="str">
        <x:v>Verification documented at process level</x:v>
      </x:c>
      <x:c r="AB650" s="22" t="str">
        <x:v>Two additional authors performed random spot checks; individual spot-check assignments are not recorded in this register.</x:v>
      </x:c>
      <x:c r="AC650" s="22" t="str">
        <x:v>Include</x:v>
      </x:c>
      <x:c r="AD650" s="22" t="str">
        <x:v>Primary decision by the corresponding author; two additional authors performed random spot checks as a quality-control step.</x:v>
      </x:c>
      <x:c r="AE650" s="22" t="str">
        <x:v>Include</x:v>
      </x:c>
      <x:c r="AF650" s="22" t="str">
        <x:v>Direct retinal/ophthalmic evidence</x:v>
      </x:c>
      <x:c r="AG650" s="22" t="str">
        <x:v>Evidence: a5198cc7-2451-44e0-850b-b9eecef396c6.png; result 7. Metadata transcribed from captured arXiv results page; OCR-normalised where visually clear.</x:v>
      </x:c>
      <x:c r="AH650" s="20" t="str">
        <x:v>Confirmed using normalized title across captured searches.</x:v>
      </x:c>
    </x:row>
    <x:row r="651" ht="42" customHeight="1">
      <x:c r="A651" s="22" t="str">
        <x:v>ARXIV-02-008</x:v>
      </x:c>
      <x:c r="B651" s="22" t="str">
        <x:v>arXiv</x:v>
      </x:c>
      <x:c r="C651" s="22" t="str">
        <x:v>ARXIV-02</x:v>
      </x:c>
      <x:c r="D651" s="22" t="str">
        <x:v>This actually looks like that: Proto-BagNets for local and global interpretability-by-design</x:v>
      </x:c>
      <x:c r="E651" s="22" t="str">
        <x:v>Kero! Djounests, Rutacarr Bah, Laura Kihlewein, Philip Berns Lisa Kaach</x:v>
      </x:c>
      <x:c r="F651" s="22" t="str">
        <x:v>NR</x:v>
      </x:c>
      <x:c r="G651" s="22" t="str">
        <x:v>arXiv</x:v>
      </x:c>
      <x:c r="H651" s="22" t="str">
        <x:v>arXiv search result</x:v>
      </x:c>
      <x:c r="I651" s="22" t="str">
        <x:v>NR</x:v>
      </x:c>
      <x:c r="J651" s="22" t="str">
        <x:v>NR</x:v>
      </x:c>
      <x:c r="K651" s="22" t="str">
        <x:v>NR — URL not captured in the available source record</x:v>
      </x:c>
      <x:c r="L651" s="22" t="str">
        <x:v>Not available in the captured evidence; the screening decision used the title and available source metadata.</x:v>
      </x:c>
      <x:c r="M651" s="22" t="str">
        <x:v>No duplicate</x:v>
      </x:c>
      <x:c r="N651" s="22" t="str">
        <x:v>DG-022</x:v>
      </x:c>
      <x:c r="O651" s="22" t="str">
        <x:v>Not applicable</x:v>
      </x:c>
      <x:c r="P651" s="22" t="str">
        <x:v>Yes</x:v>
      </x:c>
      <x:c r="Q651" s="22" t="str">
        <x:v>Exclude</x:v>
      </x:c>
      <x:c r="R651" s="22" t="str">
        <x:v>General computer-vision prototype method without medical-imaging application.</x:v>
      </x:c>
      <x:c r="S651" s="22" t="str">
        <x:v>Verification documented at process level</x:v>
      </x:c>
      <x:c r="T651" s="22" t="str">
        <x:v>Two additional authors performed random spot checks; individual spot-check assignments are not recorded in this register.</x:v>
      </x:c>
      <x:c r="U651" s="22" t="str">
        <x:v>Exclude</x:v>
      </x:c>
      <x:c r="V651" s="22" t="str">
        <x:v>Primary decision by the corresponding author; two additional authors performed random spot checks as a quality-control step.</x:v>
      </x:c>
      <x:c r="W651" s="22" t="str">
        <x:v>No</x:v>
      </x:c>
      <x:c r="X651" s="22" t="str">
        <x:v>Not applicable</x:v>
      </x:c>
      <x:c r="Y651" s="22" t="str">
        <x:v>Not assessed</x:v>
      </x:c>
      <x:c r="Z651" s="22" t="str">
        <x:v>Not advanced to full-text assessment after the title/abstract decision.</x:v>
      </x:c>
      <x:c r="AA651" s="22" t="str">
        <x:v>Not applicable</x:v>
      </x:c>
      <x:c r="AB651" s="22" t="str">
        <x:v>Record was not advanced to full-text assessment.</x:v>
      </x:c>
      <x:c r="AC651" s="22" t="str">
        <x:v>Not assessed</x:v>
      </x:c>
      <x:c r="AD651" s="22" t="str">
        <x:v>Not applicable — no full-text assessment was required.</x:v>
      </x:c>
      <x:c r="AE651" s="22" t="str">
        <x:v>Not included — title/abstract exclusion</x:v>
      </x:c>
      <x:c r="AF651" s="22" t="str">
        <x:v>Not applicable — not included</x:v>
      </x:c>
      <x:c r="AG651" s="22" t="str">
        <x:v>Evidence: a5198cc7-2451-44e0-850b-b9eecef396c6.png; result 8. Metadata transcribed from captured arXiv results page; OCR-normalised where visually clear.</x:v>
      </x:c>
      <x:c r="AH651" s="20" t="str">
        <x:v>Confirmed using identifier/title evidence; normalized title across captured searches.</x:v>
      </x:c>
    </x:row>
    <x:row r="652" ht="42" customHeight="1">
      <x:c r="A652" s="22" t="str">
        <x:v>ARXIV-02-009</x:v>
      </x:c>
      <x:c r="B652" s="22" t="str">
        <x:v>arXiv</x:v>
      </x:c>
      <x:c r="C652" s="22" t="str">
        <x:v>ARXIV-02</x:v>
      </x:c>
      <x:c r="D652" s="22" t="str">
        <x:v>Generalizing to Unseen Domains in Diabetic Retinopathy with Disentangled Representations</x:v>
      </x:c>
      <x:c r="E652" s="22" t="str">
        <x:v>Peng Ma. Ming Hu, Fetong Tang, Wernue LL. Wenhas Zheng. Lie ha Pesbo Duan. Hua Yao, Zongyuan Ge</x:v>
      </x:c>
      <x:c r="F652" s="22" t="n">
        <x:v>2024</x:v>
      </x:c>
      <x:c r="G652" s="22" t="str">
        <x:v>arXiv</x:v>
      </x:c>
      <x:c r="H652" s="22" t="str">
        <x:v>arXiv search result</x:v>
      </x:c>
      <x:c r="I652" s="22" t="str">
        <x:v>NR</x:v>
      </x:c>
      <x:c r="J652" s="22" t="str">
        <x:v>2406.06384</x:v>
      </x:c>
      <x:c r="K652" s="22" t="str">
        <x:v>https://arxiv.org/abs/2406.06384</x:v>
      </x:c>
      <x:c r="L652" s="22" t="str">
        <x:v>Not available in the captured evidence; the screening decision used the title and available source metadata.</x:v>
      </x:c>
      <x:c r="M652" s="22" t="str">
        <x:v>No duplicate</x:v>
      </x:c>
      <x:c r="N652" s="22" t="str">
        <x:v>Not applicable — no duplicate group</x:v>
      </x:c>
      <x:c r="O652" s="22" t="str">
        <x:v>Not applicable</x:v>
      </x:c>
      <x:c r="P652" s="22" t="str">
        <x:v>Yes</x:v>
      </x:c>
      <x:c r="Q652" s="22" t="str">
        <x:v>Exclude</x:v>
      </x:c>
      <x:c r="R652" s="22" t="str">
        <x:v>Prototypes support domain generalisation rather than human-interpretable explanations.</x:v>
      </x:c>
      <x:c r="S652" s="22" t="str">
        <x:v>Verification documented at process level</x:v>
      </x:c>
      <x:c r="T652" s="22" t="str">
        <x:v>Two additional authors performed random spot checks; individual spot-check assignments are not recorded in this register.</x:v>
      </x:c>
      <x:c r="U652" s="22" t="str">
        <x:v>Exclude</x:v>
      </x:c>
      <x:c r="V652" s="22" t="str">
        <x:v>Primary decision by the corresponding author; two additional authors performed random spot checks as a quality-control step.</x:v>
      </x:c>
      <x:c r="W652" s="22" t="str">
        <x:v>No</x:v>
      </x:c>
      <x:c r="X652" s="22" t="str">
        <x:v>Not applicable</x:v>
      </x:c>
      <x:c r="Y652" s="22" t="str">
        <x:v>Not assessed</x:v>
      </x:c>
      <x:c r="Z652" s="22" t="str">
        <x:v>Not advanced to full-text assessment after the title/abstract decision.</x:v>
      </x:c>
      <x:c r="AA652" s="22" t="str">
        <x:v>Not applicable</x:v>
      </x:c>
      <x:c r="AB652" s="22" t="str">
        <x:v>Record was not advanced to full-text assessment.</x:v>
      </x:c>
      <x:c r="AC652" s="22" t="str">
        <x:v>Not assessed</x:v>
      </x:c>
      <x:c r="AD652" s="22" t="str">
        <x:v>Not applicable — no full-text assessment was required.</x:v>
      </x:c>
      <x:c r="AE652" s="22" t="str">
        <x:v>Not included — title/abstract exclusion</x:v>
      </x:c>
      <x:c r="AF652" s="22" t="str">
        <x:v>Not applicable — not included</x:v>
      </x:c>
      <x:c r="AG652" s="22" t="str">
        <x:v>Evidence: a5198cc7-2451-44e0-850b-b9eecef396c6.png; result 9. Metadata transcribed from captured arXiv results page; OCR-normalised where visually clear.</x:v>
      </x:c>
      <x:c r="AH652" s="20" t="str">
        <x:v>No duplicate identified under the documented matching rules.</x:v>
      </x:c>
    </x:row>
    <x:row r="653" ht="42" customHeight="1">
      <x:c r="A653" s="22" t="str">
        <x:v>ARXIV-02-010</x:v>
      </x:c>
      <x:c r="B653" s="22" t="str">
        <x:v>arXiv</x:v>
      </x:c>
      <x:c r="C653" s="22" t="str">
        <x:v>ARXIV-02</x:v>
      </x:c>
      <x:c r="D653" s="22" t="str">
        <x:v>CrackNex: a Few-shot Low-light Crack Segmentation Model Based on Retinex Theory for UAV Inspections</x:v>
      </x:c>
      <x:c r="E653" s="22" t="str">
        <x:v>Zen Vio, Jermes Xu. Shulaeng How Moor Choo Chua</x:v>
      </x:c>
      <x:c r="F653" s="22" t="str">
        <x:v>NR</x:v>
      </x:c>
      <x:c r="G653" s="22" t="str">
        <x:v>arXiv</x:v>
      </x:c>
      <x:c r="H653" s="22" t="str">
        <x:v>arXiv search result</x:v>
      </x:c>
      <x:c r="I653" s="22" t="str">
        <x:v>NR</x:v>
      </x:c>
      <x:c r="J653" s="22" t="str">
        <x:v>NR</x:v>
      </x:c>
      <x:c r="K653" s="22" t="str">
        <x:v>NR — URL not captured in the available source record</x:v>
      </x:c>
      <x:c r="L653" s="22" t="str">
        <x:v>Not available in the captured evidence; the screening decision used the title and available source metadata.</x:v>
      </x:c>
      <x:c r="M653" s="22" t="str">
        <x:v>No duplicate</x:v>
      </x:c>
      <x:c r="N653" s="22" t="str">
        <x:v>Not applicable — no duplicate group</x:v>
      </x:c>
      <x:c r="O653" s="22" t="str">
        <x:v>Not applicable</x:v>
      </x:c>
      <x:c r="P653" s="22" t="str">
        <x:v>Yes</x:v>
      </x:c>
      <x:c r="Q653" s="22" t="str">
        <x:v>Exclude</x:v>
      </x:c>
      <x:c r="R653" s="22" t="str">
        <x:v>Wrong domain: low-light crack segmentation.</x:v>
      </x:c>
      <x:c r="S653" s="22" t="str">
        <x:v>Verification documented at process level</x:v>
      </x:c>
      <x:c r="T653" s="22" t="str">
        <x:v>Two additional authors performed random spot checks; individual spot-check assignments are not recorded in this register.</x:v>
      </x:c>
      <x:c r="U653" s="22" t="str">
        <x:v>Exclude</x:v>
      </x:c>
      <x:c r="V653" s="22" t="str">
        <x:v>Primary decision by the corresponding author; two additional authors performed random spot checks as a quality-control step.</x:v>
      </x:c>
      <x:c r="W653" s="22" t="str">
        <x:v>No</x:v>
      </x:c>
      <x:c r="X653" s="22" t="str">
        <x:v>Not applicable</x:v>
      </x:c>
      <x:c r="Y653" s="22" t="str">
        <x:v>Not assessed</x:v>
      </x:c>
      <x:c r="Z653" s="22" t="str">
        <x:v>Not advanced to full-text assessment after the title/abstract decision.</x:v>
      </x:c>
      <x:c r="AA653" s="22" t="str">
        <x:v>Not applicable</x:v>
      </x:c>
      <x:c r="AB653" s="22" t="str">
        <x:v>Record was not advanced to full-text assessment.</x:v>
      </x:c>
      <x:c r="AC653" s="22" t="str">
        <x:v>Not assessed</x:v>
      </x:c>
      <x:c r="AD653" s="22" t="str">
        <x:v>Not applicable — no full-text assessment was required.</x:v>
      </x:c>
      <x:c r="AE653" s="22" t="str">
        <x:v>Not included — title/abstract exclusion</x:v>
      </x:c>
      <x:c r="AF653" s="22" t="str">
        <x:v>Not applicable — not included</x:v>
      </x:c>
      <x:c r="AG653" s="22" t="str">
        <x:v>Evidence: a5198cc7-2451-44e0-850b-b9eecef396c6.png; result 10. Metadata transcribed from captured arXiv results page; OCR-normalised where visually clear.</x:v>
      </x:c>
      <x:c r="AH653" s="20" t="str">
        <x:v>No duplicate identified under the documented matching rules.</x:v>
      </x:c>
    </x:row>
    <x:row r="654" ht="42" customHeight="1">
      <x:c r="A654" s="22" t="str">
        <x:v>ARXIV-02-011</x:v>
      </x:c>
      <x:c r="B654" s="22" t="str">
        <x:v>arXiv</x:v>
      </x:c>
      <x:c r="C654" s="22" t="str">
        <x:v>ARXIV-02</x:v>
      </x:c>
      <x:c r="D654" s="22" t="str">
        <x:v>Fundus-Enhanced Disease-Aware Distillation Model for Retinal Disease Classification from OCT Images</x:v>
      </x:c>
      <x:c r="E654" s="22" t="str">
        <x:v>Lehan Wang. Welhang Dal. Me! Jin. Crasbin Ou. Naomeng U</x:v>
      </x:c>
      <x:c r="F654" s="22" t="str">
        <x:v>NR</x:v>
      </x:c>
      <x:c r="G654" s="22" t="str">
        <x:v>arXiv</x:v>
      </x:c>
      <x:c r="H654" s="22" t="str">
        <x:v>arXiv search result</x:v>
      </x:c>
      <x:c r="I654" s="22" t="str">
        <x:v>NR</x:v>
      </x:c>
      <x:c r="J654" s="22" t="str">
        <x:v>NR</x:v>
      </x:c>
      <x:c r="K654" s="22" t="str">
        <x:v>NR — URL not captured in the available source record</x:v>
      </x:c>
      <x:c r="L654" s="22" t="str">
        <x:v>Not available in the captured evidence; the screening decision used the title and available source metadata.</x:v>
      </x:c>
      <x:c r="M654" s="22" t="str">
        <x:v>No duplicate</x:v>
      </x:c>
      <x:c r="N654" s="22" t="str">
        <x:v>Not applicable — no duplicate group</x:v>
      </x:c>
      <x:c r="O654" s="22" t="str">
        <x:v>Not applicable</x:v>
      </x:c>
      <x:c r="P654" s="22" t="str">
        <x:v>Yes</x:v>
      </x:c>
      <x:c r="Q654" s="22" t="str">
        <x:v>Exclude</x:v>
      </x:c>
      <x:c r="R654" s="22" t="str">
        <x:v>Retinal OCT classification and distillation without concept XAI.</x:v>
      </x:c>
      <x:c r="S654" s="22" t="str">
        <x:v>Verification documented at process level</x:v>
      </x:c>
      <x:c r="T654" s="22" t="str">
        <x:v>Two additional authors performed random spot checks; individual spot-check assignments are not recorded in this register.</x:v>
      </x:c>
      <x:c r="U654" s="22" t="str">
        <x:v>Exclude</x:v>
      </x:c>
      <x:c r="V654" s="22" t="str">
        <x:v>Primary decision by the corresponding author; two additional authors performed random spot checks as a quality-control step.</x:v>
      </x:c>
      <x:c r="W654" s="22" t="str">
        <x:v>No</x:v>
      </x:c>
      <x:c r="X654" s="22" t="str">
        <x:v>Not applicable</x:v>
      </x:c>
      <x:c r="Y654" s="22" t="str">
        <x:v>Not assessed</x:v>
      </x:c>
      <x:c r="Z654" s="22" t="str">
        <x:v>Not advanced to full-text assessment after the title/abstract decision.</x:v>
      </x:c>
      <x:c r="AA654" s="22" t="str">
        <x:v>Not applicable</x:v>
      </x:c>
      <x:c r="AB654" s="22" t="str">
        <x:v>Record was not advanced to full-text assessment.</x:v>
      </x:c>
      <x:c r="AC654" s="22" t="str">
        <x:v>Not assessed</x:v>
      </x:c>
      <x:c r="AD654" s="22" t="str">
        <x:v>Not applicable — no full-text assessment was required.</x:v>
      </x:c>
      <x:c r="AE654" s="22" t="str">
        <x:v>Not included — title/abstract exclusion</x:v>
      </x:c>
      <x:c r="AF654" s="22" t="str">
        <x:v>Not applicable — not included</x:v>
      </x:c>
      <x:c r="AG654" s="22" t="str">
        <x:v>Evidence: a5198cc7-2451-44e0-850b-b9eecef396c6.png; result 11. Metadata transcribed from captured arXiv results page; OCR-normalised where visually clear.</x:v>
      </x:c>
      <x:c r="AH654" s="20" t="str">
        <x:v>No duplicate identified under the documented matching rules.</x:v>
      </x:c>
    </x:row>
    <x:row r="655" ht="42" customHeight="1">
      <x:c r="A655" s="22" t="str">
        <x:v>ARXIV-02-012</x:v>
      </x:c>
      <x:c r="B655" s="22" t="str">
        <x:v>arXiv</x:v>
      </x:c>
      <x:c r="C655" s="22" t="str">
        <x:v>ARXIV-02</x:v>
      </x:c>
      <x:c r="D655" s="22" t="str">
        <x:v>LAVA: Granular Neuron-Level Explainable AI for Alzheimer's Disease Assessment from Fundus Images</x:v>
      </x:c>
      <x:c r="E655" s="22" t="str">
        <x:v>Noostin Yuusetcadets Chetie Ine Adolfo Reeniree Cerriora. jingu ben, Rocgu berg. My 1. Uhr</x:v>
      </x:c>
      <x:c r="F655" s="22" t="str">
        <x:v>NR</x:v>
      </x:c>
      <x:c r="G655" s="22" t="str">
        <x:v>arXiv</x:v>
      </x:c>
      <x:c r="H655" s="22" t="str">
        <x:v>arXiv search result</x:v>
      </x:c>
      <x:c r="I655" s="22" t="str">
        <x:v>10.48550/arxiv.2302.03008</x:v>
      </x:c>
      <x:c r="J655" s="22" t="str">
        <x:v>2302.03008</x:v>
      </x:c>
      <x:c r="K655" s="22" t="str">
        <x:v>https://arxiv.org/pdf/2302.03008</x:v>
      </x:c>
      <x:c r="L655" s="22" t="str">
        <x:v>Alzheimer's Disease (AD) is a progressive neurodegenerative disease and the leading cause of dementia. Early diagnosis is critical for patients to benefit from potential intervention and treatment. The retina has been hypothesized as a diagnostic site for AD detection owing to its anatomical connection with the brain. Developed AI models for this purpose have yet to provide a rational explanation about the decision and neither infer the stage of disease's progression. Along this direction, we propose a novel model-agnostic explainable-AI framework, called Granular Neuron-level Explainer (LAVA), an interpretation prototype that probes into intermediate layers of the Convolutional Neural Network (CNN) models to assess the AD continuum directly from the retinal imaging without longitudinal or clinical evaluation. This method is applied to validate the retinal vasculature as a biomarker and diagnostic modality for Alzheimer's Disease (AD) evaluation. UK Biobank cognitive tests and vascular morphological features suggest LAVA shows strong promise and effectiveness in identifying AD stages across the progression continuum.</x:v>
      </x:c>
      <x:c r="M655" s="22" t="str">
        <x:v>No duplicate</x:v>
      </x:c>
      <x:c r="N655" s="22" t="str">
        <x:v>Not applicable — no duplicate group</x:v>
      </x:c>
      <x:c r="O655" s="22" t="str">
        <x:v>Not applicable</x:v>
      </x:c>
      <x:c r="P655" s="22" t="str">
        <x:v>Yes</x:v>
      </x:c>
      <x:c r="Q655" s="22" t="str">
        <x:v>Include</x:v>
      </x:c>
      <x:c r="R655" s="22" t="str">
        <x:v>Direct fundus XAI study connecting neuron-level evidence with retinal vascular biomarkers.</x:v>
      </x:c>
      <x:c r="S655" s="22" t="str">
        <x:v>Verification documented at process level</x:v>
      </x:c>
      <x:c r="T655" s="22" t="str">
        <x:v>Two additional authors performed random spot checks; individual spot-check assignments are not recorded in this register.</x:v>
      </x:c>
      <x:c r="U655" s="22" t="str">
        <x:v>Include</x:v>
      </x:c>
      <x:c r="V655" s="22" t="str">
        <x:v>Primary decision by the corresponding author; two additional authors performed random spot checks as a quality-control step.</x:v>
      </x:c>
      <x:c r="W655" s="22" t="str">
        <x:v>Yes</x:v>
      </x:c>
      <x:c r="X655" s="22" t="str">
        <x:v>Yes</x:v>
      </x:c>
      <x:c r="Y655" s="22" t="str">
        <x:v>Include</x:v>
      </x:c>
      <x:c r="Z655" s="22" t="str">
        <x:v>The corresponding author assessed the complete report and judged it eligible for inclusion in the review.</x:v>
      </x:c>
      <x:c r="AA655" s="22" t="str">
        <x:v>Verification documented at process level</x:v>
      </x:c>
      <x:c r="AB655" s="22" t="str">
        <x:v>Two additional authors performed random spot checks; individual spot-check assignments are not recorded in this register.</x:v>
      </x:c>
      <x:c r="AC655" s="22" t="str">
        <x:v>Include</x:v>
      </x:c>
      <x:c r="AD655" s="22" t="str">
        <x:v>Primary decision by the corresponding author; two additional authors performed random spot checks as a quality-control step.</x:v>
      </x:c>
      <x:c r="AE655" s="22" t="str">
        <x:v>Include</x:v>
      </x:c>
      <x:c r="AF655" s="22" t="str">
        <x:v>Direct retinal/ophthalmic evidence</x:v>
      </x:c>
      <x:c r="AG655" s="22" t="str">
        <x:v>Evidence: a5198cc7-2451-44e0-850b-b9eecef396c6.png; result 12. Metadata transcribed from captured arXiv results page; OCR-normalised where visually clear.</x:v>
      </x:c>
      <x:c r="AH655" s="20" t="str">
        <x:v>No duplicate identified under the documented matching rules.</x:v>
      </x:c>
    </x:row>
    <x:row r="656" ht="42" customHeight="1">
      <x:c r="A656" s="22" t="str">
        <x:v>ARXIV-02-013</x:v>
      </x:c>
      <x:c r="B656" s="22" t="str">
        <x:v>arXiv</x:v>
      </x:c>
      <x:c r="C656" s="22" t="str">
        <x:v>ARXIV-02</x:v>
      </x:c>
      <x:c r="D656" s="22" t="str">
        <x:v>Distilling Object Detectors With Global Knowledge</x:v>
      </x:c>
      <x:c r="E656" s="22" t="str">
        <x:v>Sani Tang. Zheegyu Zhang. Thanmhan Cheng, fing Lax Yunis Xu VINIU. Fan He</x:v>
      </x:c>
      <x:c r="F656" s="22" t="str">
        <x:v>NR</x:v>
      </x:c>
      <x:c r="G656" s="22" t="str">
        <x:v>arXiv</x:v>
      </x:c>
      <x:c r="H656" s="22" t="str">
        <x:v>arXiv search result</x:v>
      </x:c>
      <x:c r="I656" s="22" t="str">
        <x:v>NR</x:v>
      </x:c>
      <x:c r="J656" s="22" t="str">
        <x:v>NR</x:v>
      </x:c>
      <x:c r="K656" s="22" t="str">
        <x:v>NR — URL not captured in the available source record</x:v>
      </x:c>
      <x:c r="L656" s="22" t="str">
        <x:v>Not available in the captured evidence; the screening decision used the title and available source metadata.</x:v>
      </x:c>
      <x:c r="M656" s="22" t="str">
        <x:v>No duplicate</x:v>
      </x:c>
      <x:c r="N656" s="22" t="str">
        <x:v>Not applicable — no duplicate group</x:v>
      </x:c>
      <x:c r="O656" s="22" t="str">
        <x:v>Not applicable</x:v>
      </x:c>
      <x:c r="P656" s="22" t="str">
        <x:v>Yes</x:v>
      </x:c>
      <x:c r="Q656" s="22" t="str">
        <x:v>Exclude</x:v>
      </x:c>
      <x:c r="R656" s="22" t="str">
        <x:v>General object-detector distillation; wrong application domain.</x:v>
      </x:c>
      <x:c r="S656" s="22" t="str">
        <x:v>Verification documented at process level</x:v>
      </x:c>
      <x:c r="T656" s="22" t="str">
        <x:v>Two additional authors performed random spot checks; individual spot-check assignments are not recorded in this register.</x:v>
      </x:c>
      <x:c r="U656" s="22" t="str">
        <x:v>Exclude</x:v>
      </x:c>
      <x:c r="V656" s="22" t="str">
        <x:v>Primary decision by the corresponding author; two additional authors performed random spot checks as a quality-control step.</x:v>
      </x:c>
      <x:c r="W656" s="22" t="str">
        <x:v>No</x:v>
      </x:c>
      <x:c r="X656" s="22" t="str">
        <x:v>Not applicable</x:v>
      </x:c>
      <x:c r="Y656" s="22" t="str">
        <x:v>Not assessed</x:v>
      </x:c>
      <x:c r="Z656" s="22" t="str">
        <x:v>Not advanced to full-text assessment after the title/abstract decision.</x:v>
      </x:c>
      <x:c r="AA656" s="22" t="str">
        <x:v>Not applicable</x:v>
      </x:c>
      <x:c r="AB656" s="22" t="str">
        <x:v>Record was not advanced to full-text assessment.</x:v>
      </x:c>
      <x:c r="AC656" s="22" t="str">
        <x:v>Not assessed</x:v>
      </x:c>
      <x:c r="AD656" s="22" t="str">
        <x:v>Not applicable — no full-text assessment was required.</x:v>
      </x:c>
      <x:c r="AE656" s="22" t="str">
        <x:v>Not included — title/abstract exclusion</x:v>
      </x:c>
      <x:c r="AF656" s="22" t="str">
        <x:v>Not applicable — not included</x:v>
      </x:c>
      <x:c r="AG656" s="22" t="str">
        <x:v>Evidence: a5198cc7-2451-44e0-850b-b9eecef396c6.png; result 13. Metadata transcribed from captured arXiv results page; OCR-normalised where visually clear.</x:v>
      </x:c>
      <x:c r="AH656" s="20" t="str">
        <x:v>No duplicate identified under the documented matching rules.</x:v>
      </x:c>
    </x:row>
    <x:row r="657" ht="42" customHeight="1">
      <x:c r="A657" s="22" t="str">
        <x:v>ARXIV-02-014</x:v>
      </x:c>
      <x:c r="B657" s="22" t="str">
        <x:v>arXiv</x:v>
      </x:c>
      <x:c r="C657" s="22" t="str">
        <x:v>ARXIV-02</x:v>
      </x:c>
      <x:c r="D657" s="22" t="str">
        <x:v>Coarse Retinal Lesion Annotations Refinement via Prototypical Learning</x:v>
      </x:c>
      <x:c r="E657" s="22" t="str">
        <x:v>Ory Yu. Kare Dang. Znyu Chou. Yorupwes Chen. Xiecwwes org Abstract Oeepiearning-basedt approactes for. © Mowe ‘Semiened 3 Apes. 2177: eriginly aneeunc Ad ve 7177 Ceemument es MiCTALY? wenetomay WA AM 7? 15 arkine2208.00457 (pel other] CEE Lo INSightR-Net: Interpretable Neural Network for Regression using Similarity-based Comparisons to Prototypical Examples</x:v>
      </x:c>
      <x:c r="F657" s="22" t="n">
        <x:v>2022</x:v>
      </x:c>
      <x:c r="G657" s="22" t="str">
        <x:v>arXiv</x:v>
      </x:c>
      <x:c r="H657" s="22" t="str">
        <x:v>arXiv search result</x:v>
      </x:c>
      <x:c r="I657" s="22" t="str">
        <x:v>10.1007/978-3-031-21014-3_25</x:v>
      </x:c>
      <x:c r="J657" s="22" t="str">
        <x:v>2208.14294</x:v>
      </x:c>
      <x:c r="K657" s="22" t="str">
        <x:v>https://arxiv.org/pdf/2208.14294</x:v>
      </x:c>
      <x:c r="L657" s="22" t="str">
        <x:v>Deep-learning-based approaches for retinal lesion segmentation often require an abundant amount of precise pixel-wise annotated data. However, coarse annotations such as circles or ellipses for outlining the lesion area can be six times more efficient than pixel-level annotation. Therefore, this paper proposes an annotation refinement network to convert a coarse annotation into a pixel-level segmentation mask. Our main novelty is the application of the prototype learning paradigm to enhance the generalization ability across different datasets or types of lesions. We also introduce a prototype weighing module to handle challenging cases where the lesion is overly small. The proposed method was trained on the publicly available IDRiD dataset and then generalized to the public DDR and our real-world private datasets. Experiments show that our approach substantially improved the initial coarse mask and outperformed the non-prototypical baseline by a large margin. Moreover, we demonstrate the usefulness of the prototype weighing module in both cross-dataset and cross-class settings.</x:v>
      </x:c>
      <x:c r="M657" s="22" t="str">
        <x:v>No duplicate</x:v>
      </x:c>
      <x:c r="N657" s="22" t="str">
        <x:v>DG-084</x:v>
      </x:c>
      <x:c r="O657" s="22" t="str">
        <x:v>Not applicable</x:v>
      </x:c>
      <x:c r="P657" s="22" t="str">
        <x:v>Yes</x:v>
      </x:c>
      <x:c r="Q657" s="22" t="str">
        <x:v>Include</x:v>
      </x:c>
      <x:c r="R657" s="22" t="str">
        <x:v>Direct retinal lesion application using prototypical learning.</x:v>
      </x:c>
      <x:c r="S657" s="22" t="str">
        <x:v>Verification documented at process level</x:v>
      </x:c>
      <x:c r="T657" s="22" t="str">
        <x:v>Two additional authors performed random spot checks; individual spot-check assignments are not recorded in this register.</x:v>
      </x:c>
      <x:c r="U657" s="22" t="str">
        <x:v>Include</x:v>
      </x:c>
      <x:c r="V657" s="22" t="str">
        <x:v>Primary decision by the corresponding author; two additional authors performed random spot checks as a quality-control step.</x:v>
      </x:c>
      <x:c r="W657" s="22" t="str">
        <x:v>Yes</x:v>
      </x:c>
      <x:c r="X657" s="22" t="str">
        <x:v>Yes</x:v>
      </x:c>
      <x:c r="Y657" s="22" t="str">
        <x:v>Include</x:v>
      </x:c>
      <x:c r="Z657" s="22" t="str">
        <x:v>The corresponding author assessed the complete report and judged it eligible for inclusion in the review.</x:v>
      </x:c>
      <x:c r="AA657" s="22" t="str">
        <x:v>Verification documented at process level</x:v>
      </x:c>
      <x:c r="AB657" s="22" t="str">
        <x:v>Two additional authors performed random spot checks; individual spot-check assignments are not recorded in this register.</x:v>
      </x:c>
      <x:c r="AC657" s="22" t="str">
        <x:v>Include</x:v>
      </x:c>
      <x:c r="AD657" s="22" t="str">
        <x:v>Primary decision by the corresponding author; two additional authors performed random spot checks as a quality-control step.</x:v>
      </x:c>
      <x:c r="AE657" s="22" t="str">
        <x:v>Include</x:v>
      </x:c>
      <x:c r="AF657" s="22" t="str">
        <x:v>Direct retinal/ophthalmic evidence</x:v>
      </x:c>
      <x:c r="AG657" s="22" t="str">
        <x:v>Evidence: a5198cc7-2451-44e0-850b-b9eecef396c6.png; result 14. Metadata transcribed from captured arXiv results page; OCR-normalised where visually clear.</x:v>
      </x:c>
      <x:c r="AH657" s="20" t="str">
        <x:v>No duplicate identified under the documented matching rules.</x:v>
      </x:c>
    </x:row>
    <x:row r="658" ht="42" customHeight="1">
      <x:c r="A658" s="22" t="str">
        <x:v>ARXIV-02-015</x:v>
      </x:c>
      <x:c r="B658" s="22" t="str">
        <x:v>arXiv</x:v>
      </x:c>
      <x:c r="C658" s="22" t="str">
        <x:v>ARXIV-02</x:v>
      </x:c>
      <x:c r="D658" s="22" t="str">
        <x:v>INSightR-Net: Interpretable Neural Network for Regression using Similarity-based Comparisons to Prototypical Examples</x:v>
      </x:c>
      <x:c r="E658" s="22" t="str">
        <x:v>Lnds S. Hesse Ang LL Nemburete Abstract In thet work we propate an Innereny Interpretatie CAN for regreescn utang simmarey Dates comparitons (INDENIN.Net) and demonstrate cur methods on the tark of ciabes retinopathy grading. A. 7 Mere ‘Seemed 3% bly, 2822: erigrty arneumend Ages 2022 Comment: Scxepoes at NICH 2012, code anatase at Sasaslieub som nsehene Sienst Net 16 aXe 2203.02493 (pet, other] QED Greedy Optimization of Electrode Arrangement for Epiretinal Prostheses</x:v>
      </x:c>
      <x:c r="F658" s="22" t="n">
        <x:v>2022</x:v>
      </x:c>
      <x:c r="G658" s="22" t="str">
        <x:v>arXiv</x:v>
      </x:c>
      <x:c r="H658" s="22" t="str">
        <x:v>arXiv search result</x:v>
      </x:c>
      <x:c r="I658" s="22" t="str">
        <x:v>10.1007/978-3-031-16437-8_48</x:v>
      </x:c>
      <x:c r="J658" s="22" t="str">
        <x:v>2208.00457</x:v>
      </x:c>
      <x:c r="K658" s="22" t="str">
        <x:v>https://arxiv.org/pdf/2208.00457</x:v>
      </x:c>
      <x:c r="L658" s="22" t="str">
        <x:v>Convolutional neural networks (CNNs) have shown exceptional performance for a range of medical imaging tasks. However, conventional CNNs are not able to explain their reasoning process, therefore limiting their adoption in clinical practice. In this work, we propose an inherently interpretable CNN for regression using similarity-based comparisons (INSightR-Net) and demonstrate our methods on the task of diabetic retinopathy grading. A prototype layer incorporated into the architecture enables visualization of the areas in the image that are most similar to learned prototypes. The final prediction is then intuitively modeled as a mean of prototype labels, weighted by the similarities. We achieved competitive prediction performance with our INSightR-Net compared to a ResNet baseline, showing that it is not necessary to compromise performance for interpretability. Furthermore, we quantified the quality of our explanations using sparsity and diversity, two concepts considered important for a good explanation, and demonstrated the effect of several parameters on the latent space embeddings.</x:v>
      </x:c>
      <x:c r="M658" s="22" t="str">
        <x:v>No duplicate</x:v>
      </x:c>
      <x:c r="N658" s="22" t="str">
        <x:v>Not applicable — no duplicate group</x:v>
      </x:c>
      <x:c r="O658" s="22" t="str">
        <x:v>Not applicable</x:v>
      </x:c>
      <x:c r="P658" s="22" t="str">
        <x:v>Yes</x:v>
      </x:c>
      <x:c r="Q658" s="22" t="str">
        <x:v>Include</x:v>
      </x:c>
      <x:c r="R658" s="22" t="str">
        <x:v>Direct DR grading study using interpretable similarity comparisons with learned prototypes.</x:v>
      </x:c>
      <x:c r="S658" s="22" t="str">
        <x:v>Verification documented at process level</x:v>
      </x:c>
      <x:c r="T658" s="22" t="str">
        <x:v>Two additional authors performed random spot checks; individual spot-check assignments are not recorded in this register.</x:v>
      </x:c>
      <x:c r="U658" s="22" t="str">
        <x:v>Include</x:v>
      </x:c>
      <x:c r="V658" s="22" t="str">
        <x:v>Primary decision by the corresponding author; two additional authors performed random spot checks as a quality-control step.</x:v>
      </x:c>
      <x:c r="W658" s="22" t="str">
        <x:v>Yes</x:v>
      </x:c>
      <x:c r="X658" s="22" t="str">
        <x:v>Yes</x:v>
      </x:c>
      <x:c r="Y658" s="22" t="str">
        <x:v>Include</x:v>
      </x:c>
      <x:c r="Z658" s="22" t="str">
        <x:v>The corresponding author assessed the complete report and judged it eligible for inclusion in the review.</x:v>
      </x:c>
      <x:c r="AA658" s="22" t="str">
        <x:v>Verification documented at process level</x:v>
      </x:c>
      <x:c r="AB658" s="22" t="str">
        <x:v>Two additional authors performed random spot checks; individual spot-check assignments are not recorded in this register.</x:v>
      </x:c>
      <x:c r="AC658" s="22" t="str">
        <x:v>Include</x:v>
      </x:c>
      <x:c r="AD658" s="22" t="str">
        <x:v>Primary decision by the corresponding author; two additional authors performed random spot checks as a quality-control step.</x:v>
      </x:c>
      <x:c r="AE658" s="22" t="str">
        <x:v>Include</x:v>
      </x:c>
      <x:c r="AF658" s="22" t="str">
        <x:v>Contextual medical concept-XAI evidence</x:v>
      </x:c>
      <x:c r="AG658" s="22" t="str">
        <x:v>Evidence: a5198cc7-2451-44e0-850b-b9eecef396c6.png; result 15. Metadata transcribed from captured arXiv results page; OCR-normalised where visually clear.</x:v>
      </x:c>
      <x:c r="AH658" s="20" t="str">
        <x:v>No duplicate identified under the documented matching rules.</x:v>
      </x:c>
    </x:row>
    <x:row r="659" ht="42" customHeight="1">
      <x:c r="A659" s="22" t="str">
        <x:v>ARXIV-02-016</x:v>
      </x:c>
      <x:c r="B659" s="22" t="str">
        <x:v>arXiv</x:v>
      </x:c>
      <x:c r="C659" s="22" t="str">
        <x:v>ARXIV-02</x:v>
      </x:c>
      <x:c r="D659" s="22" t="str">
        <x:v>Greedy Optimization of Electrode Arrangement for Epiretinal Prostheses</x:v>
      </x:c>
      <x:c r="E659" s="22" t="str">
        <x:v>Ashley Bruce, Michael Beyeter</x:v>
      </x:c>
      <x:c r="F659" s="22" t="str">
        <x:v>NR</x:v>
      </x:c>
      <x:c r="G659" s="22" t="str">
        <x:v>arXiv</x:v>
      </x:c>
      <x:c r="H659" s="22" t="str">
        <x:v>arXiv search result</x:v>
      </x:c>
      <x:c r="I659" s="22" t="str">
        <x:v>NR</x:v>
      </x:c>
      <x:c r="J659" s="22" t="str">
        <x:v>NR</x:v>
      </x:c>
      <x:c r="K659" s="22" t="str">
        <x:v>NR — URL not captured in the available source record</x:v>
      </x:c>
      <x:c r="L659" s="22" t="str">
        <x:v>Not available in the captured evidence; the screening decision used the title and available source metadata.</x:v>
      </x:c>
      <x:c r="M659" s="22" t="str">
        <x:v>No duplicate</x:v>
      </x:c>
      <x:c r="N659" s="22" t="str">
        <x:v>Not applicable — no duplicate group</x:v>
      </x:c>
      <x:c r="O659" s="22" t="str">
        <x:v>Not applicable</x:v>
      </x:c>
      <x:c r="P659" s="22" t="str">
        <x:v>Yes</x:v>
      </x:c>
      <x:c r="Q659" s="22" t="str">
        <x:v>Exclude</x:v>
      </x:c>
      <x:c r="R659" s="22" t="str">
        <x:v>Epiretinal prosthesis engineering optimisation without concept XAI.</x:v>
      </x:c>
      <x:c r="S659" s="22" t="str">
        <x:v>Verification documented at process level</x:v>
      </x:c>
      <x:c r="T659" s="22" t="str">
        <x:v>Two additional authors performed random spot checks; individual spot-check assignments are not recorded in this register.</x:v>
      </x:c>
      <x:c r="U659" s="22" t="str">
        <x:v>Exclude</x:v>
      </x:c>
      <x:c r="V659" s="22" t="str">
        <x:v>Primary decision by the corresponding author; two additional authors performed random spot checks as a quality-control step.</x:v>
      </x:c>
      <x:c r="W659" s="22" t="str">
        <x:v>No</x:v>
      </x:c>
      <x:c r="X659" s="22" t="str">
        <x:v>Not applicable</x:v>
      </x:c>
      <x:c r="Y659" s="22" t="str">
        <x:v>Not assessed</x:v>
      </x:c>
      <x:c r="Z659" s="22" t="str">
        <x:v>Not advanced to full-text assessment after the title/abstract decision.</x:v>
      </x:c>
      <x:c r="AA659" s="22" t="str">
        <x:v>Not applicable</x:v>
      </x:c>
      <x:c r="AB659" s="22" t="str">
        <x:v>Record was not advanced to full-text assessment.</x:v>
      </x:c>
      <x:c r="AC659" s="22" t="str">
        <x:v>Not assessed</x:v>
      </x:c>
      <x:c r="AD659" s="22" t="str">
        <x:v>Not applicable — no full-text assessment was required.</x:v>
      </x:c>
      <x:c r="AE659" s="22" t="str">
        <x:v>Not included — title/abstract exclusion</x:v>
      </x:c>
      <x:c r="AF659" s="22" t="str">
        <x:v>Not applicable — not included</x:v>
      </x:c>
      <x:c r="AG659" s="22" t="str">
        <x:v>Evidence: a5198cc7-2451-44e0-850b-b9eecef396c6.png; result 16. Metadata transcribed from captured arXiv results page; OCR-normalised where visually clear.</x:v>
      </x:c>
      <x:c r="AH659" s="20" t="str">
        <x:v>No duplicate identified under the documented matching rules.</x:v>
      </x:c>
    </x:row>
    <x:row r="660" ht="42" customHeight="1">
      <x:c r="A660" s="22" t="str">
        <x:v>ARXIV-02-017</x:v>
      </x:c>
      <x:c r="B660" s="22" t="str">
        <x:v>arXiv</x:v>
      </x:c>
      <x:c r="C660" s="22" t="str">
        <x:v>ARXIV-02</x:v>
      </x:c>
      <x:c r="D660" s="22" t="str">
        <x:v>Circumpapillary OCT-Focused Hybrid Learning for Glaucoma Grading Using Tailored Prototypical Neural Networks</x:v>
      </x:c>
      <x:c r="E660" s="22" t="str">
        <x:v>Gabriel Garcia. Rocio del Amor, Adrign Colomer, Ratee! Verdi-Monedero. juan Morales. Ssnchez. Valery Naranjo</x:v>
      </x:c>
      <x:c r="F660" s="22" t="str">
        <x:v>NR</x:v>
      </x:c>
      <x:c r="G660" s="22" t="str">
        <x:v>arXiv</x:v>
      </x:c>
      <x:c r="H660" s="22" t="str">
        <x:v>arXiv search result</x:v>
      </x:c>
      <x:c r="I660" s="22" t="str">
        <x:v>NR</x:v>
      </x:c>
      <x:c r="J660" s="22" t="str">
        <x:v>NR</x:v>
      </x:c>
      <x:c r="K660" s="22" t="str">
        <x:v>NR — URL not captured in the available source record</x:v>
      </x:c>
      <x:c r="L660" s="22" t="str">
        <x:v>Not available in the captured evidence; the screening decision used the title and available source metadata.</x:v>
      </x:c>
      <x:c r="M660" s="22" t="str">
        <x:v>No duplicate</x:v>
      </x:c>
      <x:c r="N660" s="22" t="str">
        <x:v>Not applicable — no duplicate group</x:v>
      </x:c>
      <x:c r="O660" s="22" t="str">
        <x:v>Not applicable</x:v>
      </x:c>
      <x:c r="P660" s="22" t="str">
        <x:v>Yes</x:v>
      </x:c>
      <x:c r="Q660" s="22" t="str">
        <x:v>Exclude</x:v>
      </x:c>
      <x:c r="R660" s="22" t="str">
        <x:v>Few-shot prototypes are computational; explanation relies mainly on activation maps.</x:v>
      </x:c>
      <x:c r="S660" s="22" t="str">
        <x:v>Verification documented at process level</x:v>
      </x:c>
      <x:c r="T660" s="22" t="str">
        <x:v>Two additional authors performed random spot checks; individual spot-check assignments are not recorded in this register.</x:v>
      </x:c>
      <x:c r="U660" s="22" t="str">
        <x:v>Exclude</x:v>
      </x:c>
      <x:c r="V660" s="22" t="str">
        <x:v>Primary decision by the corresponding author; two additional authors performed random spot checks as a quality-control step.</x:v>
      </x:c>
      <x:c r="W660" s="22" t="str">
        <x:v>No</x:v>
      </x:c>
      <x:c r="X660" s="22" t="str">
        <x:v>Not applicable</x:v>
      </x:c>
      <x:c r="Y660" s="22" t="str">
        <x:v>Not assessed</x:v>
      </x:c>
      <x:c r="Z660" s="22" t="str">
        <x:v>Not advanced to full-text assessment after the title/abstract decision.</x:v>
      </x:c>
      <x:c r="AA660" s="22" t="str">
        <x:v>Not applicable</x:v>
      </x:c>
      <x:c r="AB660" s="22" t="str">
        <x:v>Record was not advanced to full-text assessment.</x:v>
      </x:c>
      <x:c r="AC660" s="22" t="str">
        <x:v>Not assessed</x:v>
      </x:c>
      <x:c r="AD660" s="22" t="str">
        <x:v>Not applicable — no full-text assessment was required.</x:v>
      </x:c>
      <x:c r="AE660" s="22" t="str">
        <x:v>Not included — title/abstract exclusion</x:v>
      </x:c>
      <x:c r="AF660" s="22" t="str">
        <x:v>Not applicable — not included</x:v>
      </x:c>
      <x:c r="AG660" s="22" t="str">
        <x:v>Evidence: a5198cc7-2451-44e0-850b-b9eecef396c6.png; result 17. Metadata transcribed from captured arXiv results page; OCR-normalised where visually clear.</x:v>
      </x:c>
      <x:c r="AH660" s="20" t="str">
        <x:v>No duplicate identified under the documented matching rules.</x:v>
      </x:c>
    </x:row>
    <x:row r="661" ht="42" customHeight="1">
      <x:c r="A661" s="22" t="str">
        <x:v>ARXIV-02-018</x:v>
      </x:c>
      <x:c r="B661" s="22" t="str">
        <x:v>arXiv</x:v>
      </x:c>
      <x:c r="C661" s="22" t="str">
        <x:v>ARXIV-02</x:v>
      </x:c>
      <x:c r="D661" s="22" t="str">
        <x:v>Resolution enhancement and realistic speckle recovery with generative adversarial modeling of micro-optical coherence tomography</x:v>
      </x:c>
      <x:c r="E661" s="22" t="str">
        <x:v>Kaichong Liang. Xiewe Lu, Si Chen jun ie, Wei Qing Lee, Unbo Uns. Hwee Kuan Lee</x:v>
      </x:c>
      <x:c r="F661" s="22" t="str">
        <x:v>NR</x:v>
      </x:c>
      <x:c r="G661" s="22" t="str">
        <x:v>arXiv</x:v>
      </x:c>
      <x:c r="H661" s="22" t="str">
        <x:v>arXiv search result</x:v>
      </x:c>
      <x:c r="I661" s="22" t="str">
        <x:v>NR</x:v>
      </x:c>
      <x:c r="J661" s="22" t="str">
        <x:v>NR</x:v>
      </x:c>
      <x:c r="K661" s="22" t="str">
        <x:v>NR — URL not captured in the available source record</x:v>
      </x:c>
      <x:c r="L661" s="22" t="str">
        <x:v>Not available in the captured evidence; the screening decision used the title and available source metadata.</x:v>
      </x:c>
      <x:c r="M661" s="22" t="str">
        <x:v>No duplicate</x:v>
      </x:c>
      <x:c r="N661" s="22" t="str">
        <x:v>Not applicable — no duplicate group</x:v>
      </x:c>
      <x:c r="O661" s="22" t="str">
        <x:v>Not applicable</x:v>
      </x:c>
      <x:c r="P661" s="22" t="str">
        <x:v>Yes</x:v>
      </x:c>
      <x:c r="Q661" s="22" t="str">
        <x:v>Exclude</x:v>
      </x:c>
      <x:c r="R661" s="22" t="str">
        <x:v>OCT image generation/enhancement without explanation.</x:v>
      </x:c>
      <x:c r="S661" s="22" t="str">
        <x:v>Verification documented at process level</x:v>
      </x:c>
      <x:c r="T661" s="22" t="str">
        <x:v>Two additional authors performed random spot checks; individual spot-check assignments are not recorded in this register.</x:v>
      </x:c>
      <x:c r="U661" s="22" t="str">
        <x:v>Exclude</x:v>
      </x:c>
      <x:c r="V661" s="22" t="str">
        <x:v>Primary decision by the corresponding author; two additional authors performed random spot checks as a quality-control step.</x:v>
      </x:c>
      <x:c r="W661" s="22" t="str">
        <x:v>No</x:v>
      </x:c>
      <x:c r="X661" s="22" t="str">
        <x:v>Not applicable</x:v>
      </x:c>
      <x:c r="Y661" s="22" t="str">
        <x:v>Not assessed</x:v>
      </x:c>
      <x:c r="Z661" s="22" t="str">
        <x:v>Not advanced to full-text assessment after the title/abstract decision.</x:v>
      </x:c>
      <x:c r="AA661" s="22" t="str">
        <x:v>Not applicable</x:v>
      </x:c>
      <x:c r="AB661" s="22" t="str">
        <x:v>Record was not advanced to full-text assessment.</x:v>
      </x:c>
      <x:c r="AC661" s="22" t="str">
        <x:v>Not assessed</x:v>
      </x:c>
      <x:c r="AD661" s="22" t="str">
        <x:v>Not applicable — no full-text assessment was required.</x:v>
      </x:c>
      <x:c r="AE661" s="22" t="str">
        <x:v>Not included — title/abstract exclusion</x:v>
      </x:c>
      <x:c r="AF661" s="22" t="str">
        <x:v>Not applicable — not included</x:v>
      </x:c>
      <x:c r="AG661" s="22" t="str">
        <x:v>Evidence: a5198cc7-2451-44e0-850b-b9eecef396c6.png; result 18. Metadata transcribed from captured arXiv results page; OCR-normalised where visually clear.</x:v>
      </x:c>
      <x:c r="AH661" s="20" t="str">
        <x:v>No duplicate identified under the documented matching rules.</x:v>
      </x:c>
    </x:row>
    <x:row r="662" ht="42" customHeight="1">
      <x:c r="A662" s="22" t="str">
        <x:v>ARXIV-02-019</x:v>
      </x:c>
      <x:c r="B662" s="22" t="str">
        <x:v>arXiv</x:v>
      </x:c>
      <x:c r="C662" s="22" t="str">
        <x:v>ARXIV-02</x:v>
      </x:c>
      <x:c r="D662" s="22" t="str">
        <x:v>Deep learning vessel segmentation and quantification of the foveal avascular zone using commercial and prototype OCT-A platforms</x:v>
      </x:c>
      <x:c r="E662" s="22" t="str">
        <x:v>Moran Heber. Forion Chum, Zaid Mammo, Chandiskums Baler atiavrgain Pate Premiait, Gavin Docherty, Myecryjin ju, Sareevs Rajapakse Shean Lee, Andrew Merkur, Andrew Kirker. Oavid Aibiart Oaved Mabertey, K. Galley Freund, Mirza Fateal Beg. Sven Lorcark, Marinks V. Sarunkc, Eduardo V Neves</x:v>
      </x:c>
      <x:c r="F662" s="22" t="n">
        <x:v>2019</x:v>
      </x:c>
      <x:c r="G662" s="22" t="str">
        <x:v>arXiv</x:v>
      </x:c>
      <x:c r="H662" s="22" t="str">
        <x:v>arXiv search result</x:v>
      </x:c>
      <x:c r="I662" s="22" t="str">
        <x:v>NR</x:v>
      </x:c>
      <x:c r="J662" s="22" t="str">
        <x:v>1908.11289</x:v>
      </x:c>
      <x:c r="K662" s="22" t="str">
        <x:v>https://arxiv.org/abs/1908.11289</x:v>
      </x:c>
      <x:c r="L662" s="22" t="str">
        <x:v>Not available in the captured evidence; the screening decision used the title and available source metadata.</x:v>
      </x:c>
      <x:c r="M662" s="22" t="str">
        <x:v>No duplicate</x:v>
      </x:c>
      <x:c r="N662" s="22" t="str">
        <x:v>Not applicable — no duplicate group</x:v>
      </x:c>
      <x:c r="O662" s="22" t="str">
        <x:v>Not applicable</x:v>
      </x:c>
      <x:c r="P662" s="22" t="str">
        <x:v>Yes</x:v>
      </x:c>
      <x:c r="Q662" s="22" t="str">
        <x:v>Exclude</x:v>
      </x:c>
      <x:c r="R662" s="22" t="str">
        <x:v>OCT-A vessel segmentation and quantification only.</x:v>
      </x:c>
      <x:c r="S662" s="22" t="str">
        <x:v>Verification documented at process level</x:v>
      </x:c>
      <x:c r="T662" s="22" t="str">
        <x:v>Two additional authors performed random spot checks; individual spot-check assignments are not recorded in this register.</x:v>
      </x:c>
      <x:c r="U662" s="22" t="str">
        <x:v>Exclude</x:v>
      </x:c>
      <x:c r="V662" s="22" t="str">
        <x:v>Primary decision by the corresponding author; two additional authors performed random spot checks as a quality-control step.</x:v>
      </x:c>
      <x:c r="W662" s="22" t="str">
        <x:v>No</x:v>
      </x:c>
      <x:c r="X662" s="22" t="str">
        <x:v>Not applicable</x:v>
      </x:c>
      <x:c r="Y662" s="22" t="str">
        <x:v>Not assessed</x:v>
      </x:c>
      <x:c r="Z662" s="22" t="str">
        <x:v>Not advanced to full-text assessment after the title/abstract decision.</x:v>
      </x:c>
      <x:c r="AA662" s="22" t="str">
        <x:v>Not applicable</x:v>
      </x:c>
      <x:c r="AB662" s="22" t="str">
        <x:v>Record was not advanced to full-text assessment.</x:v>
      </x:c>
      <x:c r="AC662" s="22" t="str">
        <x:v>Not assessed</x:v>
      </x:c>
      <x:c r="AD662" s="22" t="str">
        <x:v>Not applicable — no full-text assessment was required.</x:v>
      </x:c>
      <x:c r="AE662" s="22" t="str">
        <x:v>Not included — title/abstract exclusion</x:v>
      </x:c>
      <x:c r="AF662" s="22" t="str">
        <x:v>Not applicable — not included</x:v>
      </x:c>
      <x:c r="AG662" s="22" t="str">
        <x:v>Evidence: a5198cc7-2451-44e0-850b-b9eecef396c6.png; result 19. Metadata transcribed from captured arXiv results page; OCR-normalised where visually clear.</x:v>
      </x:c>
      <x:c r="AH662" s="20" t="str">
        <x:v>No duplicate identified under the documented matching rules.</x:v>
      </x:c>
    </x:row>
    <x:row r="663" ht="42" customHeight="1">
      <x:c r="A663" s="22" t="str">
        <x:v>ARXIV-02-020</x:v>
      </x:c>
      <x:c r="B663" s="22" t="str">
        <x:v>arXiv</x:v>
      </x:c>
      <x:c r="C663" s="22" t="str">
        <x:v>ARXIV-02</x:v>
      </x:c>
      <x:c r="D663" s="22" t="str">
        <x:v>Segmentation of blood vessels in retinal fundus images</x:v>
      </x:c>
      <x:c r="E663" s="22" t="str">
        <x:v>Michiel Straat jorrit Oostermot</x:v>
      </x:c>
      <x:c r="F663" s="22" t="str">
        <x:v>NR</x:v>
      </x:c>
      <x:c r="G663" s="22" t="str">
        <x:v>arXiv</x:v>
      </x:c>
      <x:c r="H663" s="22" t="str">
        <x:v>arXiv search result</x:v>
      </x:c>
      <x:c r="I663" s="22" t="str">
        <x:v>NR</x:v>
      </x:c>
      <x:c r="J663" s="22" t="str">
        <x:v>NR</x:v>
      </x:c>
      <x:c r="K663" s="22" t="str">
        <x:v>NR — URL not captured in the available source record</x:v>
      </x:c>
      <x:c r="L663" s="22" t="str">
        <x:v>Not available in the captured evidence; the screening decision used the title and available source metadata.</x:v>
      </x:c>
      <x:c r="M663" s="22" t="str">
        <x:v>No duplicate</x:v>
      </x:c>
      <x:c r="N663" s="22" t="str">
        <x:v>Not applicable — no duplicate group</x:v>
      </x:c>
      <x:c r="O663" s="22" t="str">
        <x:v>Not applicable</x:v>
      </x:c>
      <x:c r="P663" s="22" t="str">
        <x:v>Yes</x:v>
      </x:c>
      <x:c r="Q663" s="22" t="str">
        <x:v>Exclude</x:v>
      </x:c>
      <x:c r="R663" s="22" t="str">
        <x:v>Retinal fundus vessel segmentation only; no concept-based XAI.</x:v>
      </x:c>
      <x:c r="S663" s="22" t="str">
        <x:v>Verification documented at process level</x:v>
      </x:c>
      <x:c r="T663" s="22" t="str">
        <x:v>Two additional authors performed random spot checks; individual spot-check assignments are not recorded in this register.</x:v>
      </x:c>
      <x:c r="U663" s="22" t="str">
        <x:v>Exclude</x:v>
      </x:c>
      <x:c r="V663" s="22" t="str">
        <x:v>Primary decision by the corresponding author; two additional authors performed random spot checks as a quality-control step.</x:v>
      </x:c>
      <x:c r="W663" s="22" t="str">
        <x:v>No</x:v>
      </x:c>
      <x:c r="X663" s="22" t="str">
        <x:v>Not applicable</x:v>
      </x:c>
      <x:c r="Y663" s="22" t="str">
        <x:v>Not assessed</x:v>
      </x:c>
      <x:c r="Z663" s="22" t="str">
        <x:v>Not advanced to full-text assessment after the title/abstract decision.</x:v>
      </x:c>
      <x:c r="AA663" s="22" t="str">
        <x:v>Not applicable</x:v>
      </x:c>
      <x:c r="AB663" s="22" t="str">
        <x:v>Record was not advanced to full-text assessment.</x:v>
      </x:c>
      <x:c r="AC663" s="22" t="str">
        <x:v>Not assessed</x:v>
      </x:c>
      <x:c r="AD663" s="22" t="str">
        <x:v>Not applicable — no full-text assessment was required.</x:v>
      </x:c>
      <x:c r="AE663" s="22" t="str">
        <x:v>Not included — title/abstract exclusion</x:v>
      </x:c>
      <x:c r="AF663" s="22" t="str">
        <x:v>Not applicable — not included</x:v>
      </x:c>
      <x:c r="AG663" s="22" t="str">
        <x:v>Evidence: a5198cc7-2451-44e0-850b-b9eecef396c6.png; result 20. Metadata transcribed from captured arXiv results page; OCR-normalised where visually clear.</x:v>
      </x:c>
      <x:c r="AH663" s="20" t="str">
        <x:v>No duplicate identified under the documented matching rules.</x:v>
      </x:c>
    </x:row>
    <x:row r="664" ht="42" customHeight="1">
      <x:c r="A664" s="22" t="str">
        <x:v>ARXIV-02-021</x:v>
      </x:c>
      <x:c r="B664" s="22" t="str">
        <x:v>arXiv</x:v>
      </x:c>
      <x:c r="C664" s="22" t="str">
        <x:v>ARXIV-02</x:v>
      </x:c>
      <x:c r="D664" s="22" t="str">
        <x:v>Dynamic Vision Sensor integration on FPGA-based CNN accelerators for high-speed visual classification</x:v>
      </x:c>
      <x:c r="E664" s="22" t="str">
        <x:v>Alejandro Unares Sarranca, Antonio Ries- Navarro, Ricardo Taplador Morales. Tobt Delbruck</x:v>
      </x:c>
      <x:c r="F664" s="22" t="str">
        <x:v>NR</x:v>
      </x:c>
      <x:c r="G664" s="22" t="str">
        <x:v>arXiv</x:v>
      </x:c>
      <x:c r="H664" s="22" t="str">
        <x:v>arXiv search result</x:v>
      </x:c>
      <x:c r="I664" s="22" t="str">
        <x:v>NR</x:v>
      </x:c>
      <x:c r="J664" s="22" t="str">
        <x:v>NR</x:v>
      </x:c>
      <x:c r="K664" s="22" t="str">
        <x:v>NR — URL not captured in the available source record</x:v>
      </x:c>
      <x:c r="L664" s="22" t="str">
        <x:v>Not available in the captured evidence; the screening decision used the title and available source metadata.</x:v>
      </x:c>
      <x:c r="M664" s="22" t="str">
        <x:v>No duplicate</x:v>
      </x:c>
      <x:c r="N664" s="22" t="str">
        <x:v>Not applicable — no duplicate group</x:v>
      </x:c>
      <x:c r="O664" s="22" t="str">
        <x:v>Not applicable</x:v>
      </x:c>
      <x:c r="P664" s="22" t="str">
        <x:v>Yes</x:v>
      </x:c>
      <x:c r="Q664" s="22" t="str">
        <x:v>Exclude</x:v>
      </x:c>
      <x:c r="R664" s="22" t="str">
        <x:v>FPGA/event-camera visual classification; wrong clinical domain (E1).</x:v>
      </x:c>
      <x:c r="S664" s="22" t="str">
        <x:v>Verification documented at process level</x:v>
      </x:c>
      <x:c r="T664" s="22" t="str">
        <x:v>Two additional authors performed random spot checks; individual spot-check assignments are not recorded in this register.</x:v>
      </x:c>
      <x:c r="U664" s="22" t="str">
        <x:v>Exclude</x:v>
      </x:c>
      <x:c r="V664" s="22" t="str">
        <x:v>Primary decision by the corresponding author; two additional authors performed random spot checks as a quality-control step.</x:v>
      </x:c>
      <x:c r="W664" s="22" t="str">
        <x:v>No</x:v>
      </x:c>
      <x:c r="X664" s="22" t="str">
        <x:v>Not applicable</x:v>
      </x:c>
      <x:c r="Y664" s="22" t="str">
        <x:v>Not assessed</x:v>
      </x:c>
      <x:c r="Z664" s="22" t="str">
        <x:v>Not advanced to full-text assessment after the title/abstract decision.</x:v>
      </x:c>
      <x:c r="AA664" s="22" t="str">
        <x:v>Not applicable</x:v>
      </x:c>
      <x:c r="AB664" s="22" t="str">
        <x:v>Record was not advanced to full-text assessment.</x:v>
      </x:c>
      <x:c r="AC664" s="22" t="str">
        <x:v>Not assessed</x:v>
      </x:c>
      <x:c r="AD664" s="22" t="str">
        <x:v>Not applicable — no full-text assessment was required.</x:v>
      </x:c>
      <x:c r="AE664" s="22" t="str">
        <x:v>Not included — title/abstract exclusion</x:v>
      </x:c>
      <x:c r="AF664" s="22" t="str">
        <x:v>Not applicable — not included</x:v>
      </x:c>
      <x:c r="AG664" s="22" t="str">
        <x:v>Evidence: a5198cc7-2451-44e0-850b-b9eecef396c6.png; result 21. Metadata transcribed from captured arXiv results page; OCR-normalised where visually clear.</x:v>
      </x:c>
      <x:c r="AH664" s="20" t="str">
        <x:v>No duplicate identified under the documented matching rules.</x:v>
      </x:c>
    </x:row>
    <x:row r="665" ht="42" customHeight="1">
      <x:c r="A665" s="22" t="str">
        <x:v>ARXIV-02-022</x:v>
      </x:c>
      <x:c r="B665" s="22" t="str">
        <x:v>arXiv</x:v>
      </x:c>
      <x:c r="C665" s="22" t="str">
        <x:v>ARXIV-02</x:v>
      </x:c>
      <x:c r="D665" s="22" t="str">
        <x:v>Delineation of line patterns in images using B-COSFIRE filters</x:v>
      </x:c>
      <x:c r="E665" s="22" t="str">
        <x:v>Nola Sttschagia, Neola Peekow</x:v>
      </x:c>
      <x:c r="F665" s="22" t="n">
        <x:v>2017</x:v>
      </x:c>
      <x:c r="G665" s="22" t="str">
        <x:v>arXiv</x:v>
      </x:c>
      <x:c r="H665" s="22" t="str">
        <x:v>arXiv search result</x:v>
      </x:c>
      <x:c r="I665" s="22" t="str">
        <x:v>NR</x:v>
      </x:c>
      <x:c r="J665" s="22" t="str">
        <x:v>1707.07438</x:v>
      </x:c>
      <x:c r="K665" s="22" t="str">
        <x:v>https://arxiv.org/abs/1707.07438</x:v>
      </x:c>
      <x:c r="L665" s="22" t="str">
        <x:v>Not available in the captured evidence; the screening decision used the title and available source metadata.</x:v>
      </x:c>
      <x:c r="M665" s="22" t="str">
        <x:v>No duplicate</x:v>
      </x:c>
      <x:c r="N665" s="22" t="str">
        <x:v>Not applicable — no duplicate group</x:v>
      </x:c>
      <x:c r="O665" s="22" t="str">
        <x:v>Not applicable</x:v>
      </x:c>
      <x:c r="P665" s="22" t="str">
        <x:v>Yes</x:v>
      </x:c>
      <x:c r="Q665" s="22" t="str">
        <x:v>Exclude</x:v>
      </x:c>
      <x:c r="R665" s="22" t="str">
        <x:v>General line-pattern filtering without retinal concept-based XAI (E1/E2).</x:v>
      </x:c>
      <x:c r="S665" s="22" t="str">
        <x:v>Verification documented at process level</x:v>
      </x:c>
      <x:c r="T665" s="22" t="str">
        <x:v>Two additional authors performed random spot checks; individual spot-check assignments are not recorded in this register.</x:v>
      </x:c>
      <x:c r="U665" s="22" t="str">
        <x:v>Exclude</x:v>
      </x:c>
      <x:c r="V665" s="22" t="str">
        <x:v>Primary decision by the corresponding author; two additional authors performed random spot checks as a quality-control step.</x:v>
      </x:c>
      <x:c r="W665" s="22" t="str">
        <x:v>No</x:v>
      </x:c>
      <x:c r="X665" s="22" t="str">
        <x:v>Not applicable</x:v>
      </x:c>
      <x:c r="Y665" s="22" t="str">
        <x:v>Not assessed</x:v>
      </x:c>
      <x:c r="Z665" s="22" t="str">
        <x:v>Not advanced to full-text assessment after the title/abstract decision.</x:v>
      </x:c>
      <x:c r="AA665" s="22" t="str">
        <x:v>Not applicable</x:v>
      </x:c>
      <x:c r="AB665" s="22" t="str">
        <x:v>Record was not advanced to full-text assessment.</x:v>
      </x:c>
      <x:c r="AC665" s="22" t="str">
        <x:v>Not assessed</x:v>
      </x:c>
      <x:c r="AD665" s="22" t="str">
        <x:v>Not applicable — no full-text assessment was required.</x:v>
      </x:c>
      <x:c r="AE665" s="22" t="str">
        <x:v>Not included — title/abstract exclusion</x:v>
      </x:c>
      <x:c r="AF665" s="22" t="str">
        <x:v>Not applicable — not included</x:v>
      </x:c>
      <x:c r="AG665" s="22" t="str">
        <x:v>Evidence: a5198cc7-2451-44e0-850b-b9eecef396c6.png; result 22. Metadata transcribed from captured arXiv results page; OCR-normalised where visually clear.</x:v>
      </x:c>
      <x:c r="AH665" s="20" t="str">
        <x:v>No duplicate identified under the documented matching rules.</x:v>
      </x:c>
    </x:row>
    <x:row r="666" ht="42" customHeight="1">
      <x:c r="A666" s="22" t="str">
        <x:v>ARXIV-03-001</x:v>
      </x:c>
      <x:c r="B666" s="22" t="str">
        <x:v>arXiv</x:v>
      </x:c>
      <x:c r="C666" s="22" t="str">
        <x:v>ARXIV-03</x:v>
      </x:c>
      <x:c r="D666" s="22" t="str">
        <x:v>Time“2: A framework for the neural dynamics of visual perception</x:v>
      </x:c>
      <x:c r="E666" s="22" t="str">
        <x:v>Laurent Caplette, Frédéric Gosselin</x:v>
      </x:c>
      <x:c r="F666" s="22" t="n">
        <x:v>2026</x:v>
      </x:c>
      <x:c r="G666" s="22" t="str">
        <x:v>arXiv</x:v>
      </x:c>
      <x:c r="H666" s="22" t="str">
        <x:v>arXiv search result</x:v>
      </x:c>
      <x:c r="I666" s="22" t="str">
        <x:v>NR</x:v>
      </x:c>
      <x:c r="J666" s="22" t="str">
        <x:v>2608.04218</x:v>
      </x:c>
      <x:c r="K666" s="22" t="str">
        <x:v>https://arxiv.org/abs/2608.04218</x:v>
      </x:c>
      <x:c r="L666" s="22" t="str">
        <x:v>Not available in the captured evidence; the screening decision used the title and available source metadata.</x:v>
      </x:c>
      <x:c r="M666" s="22" t="str">
        <x:v>No duplicate</x:v>
      </x:c>
      <x:c r="N666" s="22" t="str">
        <x:v>Not applicable — no duplicate group</x:v>
      </x:c>
      <x:c r="O666" s="22" t="str">
        <x:v>Not applicable</x:v>
      </x:c>
      <x:c r="P666" s="22" t="str">
        <x:v>Yes</x:v>
      </x:c>
      <x:c r="Q666" s="22" t="str">
        <x:v>Exclude</x:v>
      </x:c>
      <x:c r="R666" s="22" t="str">
        <x:v>General theory of visual perception; wrong application focus (E1).</x:v>
      </x:c>
      <x:c r="S666" s="22" t="str">
        <x:v>Verification documented at process level</x:v>
      </x:c>
      <x:c r="T666" s="22" t="str">
        <x:v>Two additional authors performed random spot checks; individual spot-check assignments are not recorded in this register.</x:v>
      </x:c>
      <x:c r="U666" s="22" t="str">
        <x:v>Exclude</x:v>
      </x:c>
      <x:c r="V666" s="22" t="str">
        <x:v>Primary decision by the corresponding author; two additional authors performed random spot checks as a quality-control step.</x:v>
      </x:c>
      <x:c r="W666" s="22" t="str">
        <x:v>No</x:v>
      </x:c>
      <x:c r="X666" s="22" t="str">
        <x:v>Not applicable</x:v>
      </x:c>
      <x:c r="Y666" s="22" t="str">
        <x:v>Not assessed</x:v>
      </x:c>
      <x:c r="Z666" s="22" t="str">
        <x:v>Not advanced to full-text assessment after the title/abstract decision.</x:v>
      </x:c>
      <x:c r="AA666" s="22" t="str">
        <x:v>Not applicable</x:v>
      </x:c>
      <x:c r="AB666" s="22" t="str">
        <x:v>Record was not advanced to full-text assessment.</x:v>
      </x:c>
      <x:c r="AC666" s="22" t="str">
        <x:v>Not assessed</x:v>
      </x:c>
      <x:c r="AD666" s="22" t="str">
        <x:v>Not applicable — no full-text assessment was required.</x:v>
      </x:c>
      <x:c r="AE666" s="22" t="str">
        <x:v>Not included — title/abstract exclusion</x:v>
      </x:c>
      <x:c r="AF666" s="22" t="str">
        <x:v>Not applicable — not included</x:v>
      </x:c>
      <x:c r="AG666" s="22" t="str">
        <x:v>Evidence: f9e26ed4-7bf8-41fc-9836-d181c2934bd6.png; result 1. Metadata transcribed from captured arXiv results page; OCR-normalised where visually clear.</x:v>
      </x:c>
      <x:c r="AH666" s="20" t="str">
        <x:v>No duplicate identified under the documented matching rules.</x:v>
      </x:c>
    </x:row>
    <x:row r="667" ht="42" customHeight="1">
      <x:c r="A667" s="22" t="str">
        <x:v>ARXIV-03-002</x:v>
      </x:c>
      <x:c r="B667" s="22" t="str">
        <x:v>arXiv</x:v>
      </x:c>
      <x:c r="C667" s="22" t="str">
        <x:v>ARXIV-03</x:v>
      </x:c>
      <x:c r="D667" s="22" t="str">
        <x:v>Evaluating Large Language Models for Multimodal Simulated Ophthalmic Decision-Making in Diabetic Retinopathy and Glaucoma Screening</x:v>
      </x:c>
      <x:c r="E667" s="22" t="str">
        <x:v>Cindy Lie Tabuse, David Restepo, Carolina Gracitelli, Fernando Korn Malerbi, Caio Regatieri, Luis Filipe Nakayama</x:v>
      </x:c>
      <x:c r="F667" s="22" t="n">
        <x:v>2025</x:v>
      </x:c>
      <x:c r="G667" s="22" t="str">
        <x:v>arXiv</x:v>
      </x:c>
      <x:c r="H667" s="22" t="str">
        <x:v>arXiv search result</x:v>
      </x:c>
      <x:c r="I667" s="22" t="str">
        <x:v>NR</x:v>
      </x:c>
      <x:c r="J667" s="22" t="str">
        <x:v>2507.01278</x:v>
      </x:c>
      <x:c r="K667" s="22" t="str">
        <x:v>https://arxiv.org/abs/2507.01278</x:v>
      </x:c>
      <x:c r="L667" s="22" t="str">
        <x:v>Not available in the captured evidence; the screening decision used the title and available source metadata.</x:v>
      </x:c>
      <x:c r="M667" s="22" t="str">
        <x:v>No duplicate</x:v>
      </x:c>
      <x:c r="N667" s="22" t="str">
        <x:v>Not applicable — no duplicate group</x:v>
      </x:c>
      <x:c r="O667" s="22" t="str">
        <x:v>Not applicable</x:v>
      </x:c>
      <x:c r="P667" s="22" t="str">
        <x:v>Yes</x:v>
      </x:c>
      <x:c r="Q667" s="22" t="str">
        <x:v>Exclude</x:v>
      </x:c>
      <x:c r="R667" s="22" t="str">
        <x:v>LLM decision-making evaluation without concept-based retinal image explanations (E2).</x:v>
      </x:c>
      <x:c r="S667" s="22" t="str">
        <x:v>Verification documented at process level</x:v>
      </x:c>
      <x:c r="T667" s="22" t="str">
        <x:v>Two additional authors performed random spot checks; individual spot-check assignments are not recorded in this register.</x:v>
      </x:c>
      <x:c r="U667" s="22" t="str">
        <x:v>Exclude</x:v>
      </x:c>
      <x:c r="V667" s="22" t="str">
        <x:v>Primary decision by the corresponding author; two additional authors performed random spot checks as a quality-control step.</x:v>
      </x:c>
      <x:c r="W667" s="22" t="str">
        <x:v>No</x:v>
      </x:c>
      <x:c r="X667" s="22" t="str">
        <x:v>Not applicable</x:v>
      </x:c>
      <x:c r="Y667" s="22" t="str">
        <x:v>Not assessed</x:v>
      </x:c>
      <x:c r="Z667" s="22" t="str">
        <x:v>Not advanced to full-text assessment after the title/abstract decision.</x:v>
      </x:c>
      <x:c r="AA667" s="22" t="str">
        <x:v>Not applicable</x:v>
      </x:c>
      <x:c r="AB667" s="22" t="str">
        <x:v>Record was not advanced to full-text assessment.</x:v>
      </x:c>
      <x:c r="AC667" s="22" t="str">
        <x:v>Not assessed</x:v>
      </x:c>
      <x:c r="AD667" s="22" t="str">
        <x:v>Not applicable — no full-text assessment was required.</x:v>
      </x:c>
      <x:c r="AE667" s="22" t="str">
        <x:v>Not included — title/abstract exclusion</x:v>
      </x:c>
      <x:c r="AF667" s="22" t="str">
        <x:v>Not applicable — not included</x:v>
      </x:c>
      <x:c r="AG667" s="22" t="str">
        <x:v>Evidence: f9e26ed4-7bf8-41fc-9836-d181c2934bd6.png; result 2. Metadata transcribed from captured arXiv results page; OCR-normalised where visually clear.</x:v>
      </x:c>
      <x:c r="AH667" s="20" t="str">
        <x:v>No duplicate identified under the documented matching rules.</x:v>
      </x:c>
    </x:row>
    <x:row r="668" ht="42" customHeight="1">
      <x:c r="A668" s="22" t="str">
        <x:v>ARXIV-03-003</x:v>
      </x:c>
      <x:c r="B668" s="22" t="str">
        <x:v>arXiv</x:v>
      </x:c>
      <x:c r="C668" s="22" t="str">
        <x:v>ARXIV-03</x:v>
      </x:c>
      <x:c r="D668" s="22" t="str">
        <x:v>LEME: Open Large Language Models for Ophthalmology with Advanced Reasoning and Clinical Validation</x:v>
      </x:c>
      <x:c r="E668" s="22" t="str">
        <x:v>Hyunjae Kim, Xuguang Ai, Sahana Srinivasan, Aidan Gilson, Maxwell B. Singer, Krithi Pushpanathan, Qianqian Xie, Jungwoo Park, Serina Applebaum, Gabriel Dawei Yang, Minjie Zou, David Ziyou Chen, Ke Zou, Soshian Sarrafpour, Ji Liu, Yu Yin, Jimin Huang, Quang Ngoc Nguyen, Erping Long, Peixing Wan, Dianbo Liu, Richard Hintz, W. Jim Zheng, Sophia Y, Wang, Lucila Ohno-Machado , et al. (5 additional authors not shown)</x:v>
      </x:c>
      <x:c r="F668" s="22" t="n">
        <x:v>2024</x:v>
      </x:c>
      <x:c r="G668" s="22" t="str">
        <x:v>arXiv</x:v>
      </x:c>
      <x:c r="H668" s="22" t="str">
        <x:v>arXiv search result</x:v>
      </x:c>
      <x:c r="I668" s="22" t="str">
        <x:v>NR</x:v>
      </x:c>
      <x:c r="J668" s="22" t="str">
        <x:v>2410.03740</x:v>
      </x:c>
      <x:c r="K668" s="22" t="str">
        <x:v>https://arxiv.org/abs/2410.03740</x:v>
      </x:c>
      <x:c r="L668" s="22" t="str">
        <x:v>Not available in the captured evidence; the screening decision used the title and available source metadata.</x:v>
      </x:c>
      <x:c r="M668" s="22" t="str">
        <x:v>No duplicate</x:v>
      </x:c>
      <x:c r="N668" s="22" t="str">
        <x:v>Not applicable — no duplicate group</x:v>
      </x:c>
      <x:c r="O668" s="22" t="str">
        <x:v>Not applicable</x:v>
      </x:c>
      <x:c r="P668" s="22" t="str">
        <x:v>Yes</x:v>
      </x:c>
      <x:c r="Q668" s="22" t="str">
        <x:v>Exclude</x:v>
      </x:c>
      <x:c r="R668" s="22" t="str">
        <x:v>Ophthalmology language model without a retinal imaging concept-explanation method (E2).</x:v>
      </x:c>
      <x:c r="S668" s="22" t="str">
        <x:v>Verification documented at process level</x:v>
      </x:c>
      <x:c r="T668" s="22" t="str">
        <x:v>Two additional authors performed random spot checks; individual spot-check assignments are not recorded in this register.</x:v>
      </x:c>
      <x:c r="U668" s="22" t="str">
        <x:v>Exclude</x:v>
      </x:c>
      <x:c r="V668" s="22" t="str">
        <x:v>Primary decision by the corresponding author; two additional authors performed random spot checks as a quality-control step.</x:v>
      </x:c>
      <x:c r="W668" s="22" t="str">
        <x:v>No</x:v>
      </x:c>
      <x:c r="X668" s="22" t="str">
        <x:v>Not applicable</x:v>
      </x:c>
      <x:c r="Y668" s="22" t="str">
        <x:v>Not assessed</x:v>
      </x:c>
      <x:c r="Z668" s="22" t="str">
        <x:v>Not advanced to full-text assessment after the title/abstract decision.</x:v>
      </x:c>
      <x:c r="AA668" s="22" t="str">
        <x:v>Not applicable</x:v>
      </x:c>
      <x:c r="AB668" s="22" t="str">
        <x:v>Record was not advanced to full-text assessment.</x:v>
      </x:c>
      <x:c r="AC668" s="22" t="str">
        <x:v>Not assessed</x:v>
      </x:c>
      <x:c r="AD668" s="22" t="str">
        <x:v>Not applicable — no full-text assessment was required.</x:v>
      </x:c>
      <x:c r="AE668" s="22" t="str">
        <x:v>Not included — title/abstract exclusion</x:v>
      </x:c>
      <x:c r="AF668" s="22" t="str">
        <x:v>Not applicable — not included</x:v>
      </x:c>
      <x:c r="AG668" s="22" t="str">
        <x:v>Evidence: f9e26ed4-7bf8-41fc-9836-d181c2934bd6.png; result 3. Metadata transcribed from captured arXiv results page; OCR-normalised where visually clear.</x:v>
      </x:c>
      <x:c r="AH668" s="20" t="str">
        <x:v>No duplicate identified under the documented matching rules.</x:v>
      </x:c>
    </x:row>
    <x:row r="669" ht="42" customHeight="1">
      <x:c r="A669" s="22" t="str">
        <x:v>ARXIV-03-004</x:v>
      </x:c>
      <x:c r="B669" s="22" t="str">
        <x:v>arXiv</x:v>
      </x:c>
      <x:c r="C669" s="22" t="str">
        <x:v>ARXIV-03</x:v>
      </x:c>
      <x:c r="D669" s="22" t="str">
        <x:v>Unsupervised out-of-distribution detection for safer robotically guided retinal microsurgery</x:v>
      </x:c>
      <x:c r="E669" s="22" t="str">
        <x:v>Alain Jungo, Lars Doorenbos, Tommaso Da Col, Maarten Beelen, Martin Zinkernagel, Pablo Marquez-Neila, Raphael Sznitman</x:v>
      </x:c>
      <x:c r="F669" s="22" t="n">
        <x:v>2023</x:v>
      </x:c>
      <x:c r="G669" s="22" t="str">
        <x:v>arXiv</x:v>
      </x:c>
      <x:c r="H669" s="22" t="str">
        <x:v>arXiv search result</x:v>
      </x:c>
      <x:c r="I669" s="22" t="str">
        <x:v>NR</x:v>
      </x:c>
      <x:c r="J669" s="22" t="str">
        <x:v>2304.05040</x:v>
      </x:c>
      <x:c r="K669" s="22" t="str">
        <x:v>https://arxiv.org/abs/2304.05040</x:v>
      </x:c>
      <x:c r="L669" s="22" t="str">
        <x:v>Not available in the captured evidence; the screening decision used the title and available source metadata.</x:v>
      </x:c>
      <x:c r="M669" s="22" t="str">
        <x:v>No duplicate</x:v>
      </x:c>
      <x:c r="N669" s="22" t="str">
        <x:v>Not applicable — no duplicate group</x:v>
      </x:c>
      <x:c r="O669" s="22" t="str">
        <x:v>Not applicable</x:v>
      </x:c>
      <x:c r="P669" s="22" t="str">
        <x:v>Yes</x:v>
      </x:c>
      <x:c r="Q669" s="22" t="str">
        <x:v>Exclude</x:v>
      </x:c>
      <x:c r="R669" s="22" t="str">
        <x:v>Out-of-distribution safety detection rather than concept-oriented explanation (E2).</x:v>
      </x:c>
      <x:c r="S669" s="22" t="str">
        <x:v>Verification documented at process level</x:v>
      </x:c>
      <x:c r="T669" s="22" t="str">
        <x:v>Two additional authors performed random spot checks; individual spot-check assignments are not recorded in this register.</x:v>
      </x:c>
      <x:c r="U669" s="22" t="str">
        <x:v>Exclude</x:v>
      </x:c>
      <x:c r="V669" s="22" t="str">
        <x:v>Primary decision by the corresponding author; two additional authors performed random spot checks as a quality-control step.</x:v>
      </x:c>
      <x:c r="W669" s="22" t="str">
        <x:v>No</x:v>
      </x:c>
      <x:c r="X669" s="22" t="str">
        <x:v>Not applicable</x:v>
      </x:c>
      <x:c r="Y669" s="22" t="str">
        <x:v>Not assessed</x:v>
      </x:c>
      <x:c r="Z669" s="22" t="str">
        <x:v>Not advanced to full-text assessment after the title/abstract decision.</x:v>
      </x:c>
      <x:c r="AA669" s="22" t="str">
        <x:v>Not applicable</x:v>
      </x:c>
      <x:c r="AB669" s="22" t="str">
        <x:v>Record was not advanced to full-text assessment.</x:v>
      </x:c>
      <x:c r="AC669" s="22" t="str">
        <x:v>Not assessed</x:v>
      </x:c>
      <x:c r="AD669" s="22" t="str">
        <x:v>Not applicable — no full-text assessment was required.</x:v>
      </x:c>
      <x:c r="AE669" s="22" t="str">
        <x:v>Not included — title/abstract exclusion</x:v>
      </x:c>
      <x:c r="AF669" s="22" t="str">
        <x:v>Not applicable — not included</x:v>
      </x:c>
      <x:c r="AG669" s="22" t="str">
        <x:v>Evidence: f9e26ed4-7bf8-41fc-9836-d181c2934bd6.png; result 4. Metadata transcribed from captured arXiv results page; OCR-normalised where visually clear.</x:v>
      </x:c>
      <x:c r="AH669" s="20" t="str">
        <x:v>No duplicate identified under the documented matching rules.</x:v>
      </x:c>
    </x:row>
    <x:row r="670" ht="42" customHeight="1">
      <x:c r="A670" s="22" t="str">
        <x:v>ARXIV-03-005</x:v>
      </x:c>
      <x:c r="B670" s="22" t="str">
        <x:v>arXiv</x:v>
      </x:c>
      <x:c r="C670" s="22" t="str">
        <x:v>ARXIV-03</x:v>
      </x:c>
      <x:c r="D670" s="22" t="str">
        <x:v>SRPN: similarity-based region proposal networks for nuclei and cells detection in histology images</x:v>
      </x:c>
      <x:c r="E670" s="22" t="str">
        <x:v>Yibao Sun, Xingru Huang, Hulyu Zhou, Qianni Zhang</x:v>
      </x:c>
      <x:c r="F670" s="22" t="n">
        <x:v>2021</x:v>
      </x:c>
      <x:c r="G670" s="22" t="str">
        <x:v>arXiv</x:v>
      </x:c>
      <x:c r="H670" s="22" t="str">
        <x:v>arXiv search result</x:v>
      </x:c>
      <x:c r="I670" s="22" t="str">
        <x:v>NR</x:v>
      </x:c>
      <x:c r="J670" s="22" t="str">
        <x:v>2106.13556</x:v>
      </x:c>
      <x:c r="K670" s="22" t="str">
        <x:v>https://arxiv.org/abs/2106.13556</x:v>
      </x:c>
      <x:c r="L670" s="22" t="str">
        <x:v>Not available in the captured evidence; the screening decision used the title and available source metadata.</x:v>
      </x:c>
      <x:c r="M670" s="22" t="str">
        <x:v>No duplicate</x:v>
      </x:c>
      <x:c r="N670" s="22" t="str">
        <x:v>Not applicable — no duplicate group</x:v>
      </x:c>
      <x:c r="O670" s="22" t="str">
        <x:v>Not applicable</x:v>
      </x:c>
      <x:c r="P670" s="22" t="str">
        <x:v>Yes</x:v>
      </x:c>
      <x:c r="Q670" s="22" t="str">
        <x:v>Exclude</x:v>
      </x:c>
      <x:c r="R670" s="22" t="str">
        <x:v>Histology object detection; wrong imaging domain (E1).</x:v>
      </x:c>
      <x:c r="S670" s="22" t="str">
        <x:v>Verification documented at process level</x:v>
      </x:c>
      <x:c r="T670" s="22" t="str">
        <x:v>Two additional authors performed random spot checks; individual spot-check assignments are not recorded in this register.</x:v>
      </x:c>
      <x:c r="U670" s="22" t="str">
        <x:v>Exclude</x:v>
      </x:c>
      <x:c r="V670" s="22" t="str">
        <x:v>Primary decision by the corresponding author; two additional authors performed random spot checks as a quality-control step.</x:v>
      </x:c>
      <x:c r="W670" s="22" t="str">
        <x:v>No</x:v>
      </x:c>
      <x:c r="X670" s="22" t="str">
        <x:v>Not applicable</x:v>
      </x:c>
      <x:c r="Y670" s="22" t="str">
        <x:v>Not assessed</x:v>
      </x:c>
      <x:c r="Z670" s="22" t="str">
        <x:v>Not advanced to full-text assessment after the title/abstract decision.</x:v>
      </x:c>
      <x:c r="AA670" s="22" t="str">
        <x:v>Not applicable</x:v>
      </x:c>
      <x:c r="AB670" s="22" t="str">
        <x:v>Record was not advanced to full-text assessment.</x:v>
      </x:c>
      <x:c r="AC670" s="22" t="str">
        <x:v>Not assessed</x:v>
      </x:c>
      <x:c r="AD670" s="22" t="str">
        <x:v>Not applicable — no full-text assessment was required.</x:v>
      </x:c>
      <x:c r="AE670" s="22" t="str">
        <x:v>Not included — title/abstract exclusion</x:v>
      </x:c>
      <x:c r="AF670" s="22" t="str">
        <x:v>Not applicable — not included</x:v>
      </x:c>
      <x:c r="AG670" s="22" t="str">
        <x:v>Evidence: f9e26ed4-7bf8-41fc-9836-d181c2934bd6.png; result 5. Metadata transcribed from captured arXiv results page; OCR-normalised where visually clear.</x:v>
      </x:c>
      <x:c r="AH670" s="20" t="str">
        <x:v>No duplicate identified under the documented matching rules.</x:v>
      </x:c>
    </x:row>
    <x:row r="671" ht="42" customHeight="1">
      <x:c r="A671" s="22" t="str">
        <x:v>ARXIV-03-006</x:v>
      </x:c>
      <x:c r="B671" s="22" t="str">
        <x:v>arXiv</x:v>
      </x:c>
      <x:c r="C671" s="22" t="str">
        <x:v>ARXIV-03</x:v>
      </x:c>
      <x:c r="D671" s="22" t="str">
        <x:v>A systematic review of transfer learning based approaches for diabetic retinopathy detection</x:v>
      </x:c>
      <x:c r="E671" s="22" t="str">
        <x:v>Burcu Oltu, Biisra Kibra Karaca, Hamit Erdem, Atilla Ozgur</x:v>
      </x:c>
      <x:c r="F671" s="22" t="n">
        <x:v>2021</x:v>
      </x:c>
      <x:c r="G671" s="22" t="str">
        <x:v>arXiv</x:v>
      </x:c>
      <x:c r="H671" s="22" t="str">
        <x:v>arXiv search result</x:v>
      </x:c>
      <x:c r="I671" s="22" t="str">
        <x:v>NR</x:v>
      </x:c>
      <x:c r="J671" s="22" t="str">
        <x:v>2105.13793</x:v>
      </x:c>
      <x:c r="K671" s="22" t="str">
        <x:v>https://arxiv.org/abs/2105.13793</x:v>
      </x:c>
      <x:c r="L671" s="22" t="str">
        <x:v>Not available in the captured evidence; the screening decision used the title and available source metadata.</x:v>
      </x:c>
      <x:c r="M671" s="22" t="str">
        <x:v>No duplicate</x:v>
      </x:c>
      <x:c r="N671" s="22" t="str">
        <x:v>Not applicable — no duplicate group</x:v>
      </x:c>
      <x:c r="O671" s="22" t="str">
        <x:v>Not applicable</x:v>
      </x:c>
      <x:c r="P671" s="22" t="str">
        <x:v>Yes</x:v>
      </x:c>
      <x:c r="Q671" s="22" t="str">
        <x:v>Exclude</x:v>
      </x:c>
      <x:c r="R671" s="22" t="str">
        <x:v>Systematic review; not original empirical research (E4).</x:v>
      </x:c>
      <x:c r="S671" s="22" t="str">
        <x:v>Verification documented at process level</x:v>
      </x:c>
      <x:c r="T671" s="22" t="str">
        <x:v>Two additional authors performed random spot checks; individual spot-check assignments are not recorded in this register.</x:v>
      </x:c>
      <x:c r="U671" s="22" t="str">
        <x:v>Exclude</x:v>
      </x:c>
      <x:c r="V671" s="22" t="str">
        <x:v>Primary decision by the corresponding author; two additional authors performed random spot checks as a quality-control step.</x:v>
      </x:c>
      <x:c r="W671" s="22" t="str">
        <x:v>No</x:v>
      </x:c>
      <x:c r="X671" s="22" t="str">
        <x:v>Not applicable</x:v>
      </x:c>
      <x:c r="Y671" s="22" t="str">
        <x:v>Not assessed</x:v>
      </x:c>
      <x:c r="Z671" s="22" t="str">
        <x:v>Not advanced to full-text assessment after the title/abstract decision.</x:v>
      </x:c>
      <x:c r="AA671" s="22" t="str">
        <x:v>Not applicable</x:v>
      </x:c>
      <x:c r="AB671" s="22" t="str">
        <x:v>Record was not advanced to full-text assessment.</x:v>
      </x:c>
      <x:c r="AC671" s="22" t="str">
        <x:v>Not assessed</x:v>
      </x:c>
      <x:c r="AD671" s="22" t="str">
        <x:v>Not applicable — no full-text assessment was required.</x:v>
      </x:c>
      <x:c r="AE671" s="22" t="str">
        <x:v>Not included — title/abstract exclusion</x:v>
      </x:c>
      <x:c r="AF671" s="22" t="str">
        <x:v>Not applicable — not included</x:v>
      </x:c>
      <x:c r="AG671" s="22" t="str">
        <x:v>Evidence: f9e26ed4-7bf8-41fc-9836-d181c2934bd6.png; result 6. Metadata transcribed from captured arXiv results page; OCR-normalised where visually clear.</x:v>
      </x:c>
      <x:c r="AH671" s="20" t="str">
        <x:v>No duplicate identified under the documented matching rules.</x:v>
      </x:c>
    </x:row>
    <x:row r="672" ht="42" customHeight="1">
      <x:c r="A672" s="22" t="str">
        <x:v>ARXIV-03-007</x:v>
      </x:c>
      <x:c r="B672" s="22" t="str">
        <x:v>arXiv</x:v>
      </x:c>
      <x:c r="C672" s="22" t="str">
        <x:v>ARXIV-03</x:v>
      </x:c>
      <x:c r="D672" s="22" t="str">
        <x:v>Efficient Screening of Diseased Eyes based on Fundus Autofluorescence Images using Support Vector Machine</x:v>
      </x:c>
      <x:c r="E672" s="22" t="str">
        <x:v>Shanmukh Reddy Manne, Kiran Kumar Vupparaboina, Gowtham Chowdary Gudapati, Ram Anudeep Peddoju, Chandra Prakash Konkimalla, Abhilash Goud, Sarforaz Bin Bashar, Jay Chhablani, Soumya Jana</x:v>
      </x:c>
      <x:c r="F672" s="22" t="n">
        <x:v>2021</x:v>
      </x:c>
      <x:c r="G672" s="22" t="str">
        <x:v>arXiv</x:v>
      </x:c>
      <x:c r="H672" s="22" t="str">
        <x:v>arXiv search result</x:v>
      </x:c>
      <x:c r="I672" s="22" t="str">
        <x:v>NR</x:v>
      </x:c>
      <x:c r="J672" s="22" t="str">
        <x:v>2104.08519</x:v>
      </x:c>
      <x:c r="K672" s="22" t="str">
        <x:v>https://arxiv.org/abs/2104.08519</x:v>
      </x:c>
      <x:c r="L672" s="22" t="str">
        <x:v>Not available in the captured evidence; the screening decision used the title and available source metadata.</x:v>
      </x:c>
      <x:c r="M672" s="22" t="str">
        <x:v>No duplicate</x:v>
      </x:c>
      <x:c r="N672" s="22" t="str">
        <x:v>Not applicable — no duplicate group</x:v>
      </x:c>
      <x:c r="O672" s="22" t="str">
        <x:v>Not applicable</x:v>
      </x:c>
      <x:c r="P672" s="22" t="str">
        <x:v>Yes</x:v>
      </x:c>
      <x:c r="Q672" s="22" t="str">
        <x:v>Exclude</x:v>
      </x:c>
      <x:c r="R672" s="22" t="str">
        <x:v>Conventional SVM screening without concept-oriented explanations (E2).</x:v>
      </x:c>
      <x:c r="S672" s="22" t="str">
        <x:v>Verification documented at process level</x:v>
      </x:c>
      <x:c r="T672" s="22" t="str">
        <x:v>Two additional authors performed random spot checks; individual spot-check assignments are not recorded in this register.</x:v>
      </x:c>
      <x:c r="U672" s="22" t="str">
        <x:v>Exclude</x:v>
      </x:c>
      <x:c r="V672" s="22" t="str">
        <x:v>Primary decision by the corresponding author; two additional authors performed random spot checks as a quality-control step.</x:v>
      </x:c>
      <x:c r="W672" s="22" t="str">
        <x:v>No</x:v>
      </x:c>
      <x:c r="X672" s="22" t="str">
        <x:v>Not applicable</x:v>
      </x:c>
      <x:c r="Y672" s="22" t="str">
        <x:v>Not assessed</x:v>
      </x:c>
      <x:c r="Z672" s="22" t="str">
        <x:v>Not advanced to full-text assessment after the title/abstract decision.</x:v>
      </x:c>
      <x:c r="AA672" s="22" t="str">
        <x:v>Not applicable</x:v>
      </x:c>
      <x:c r="AB672" s="22" t="str">
        <x:v>Record was not advanced to full-text assessment.</x:v>
      </x:c>
      <x:c r="AC672" s="22" t="str">
        <x:v>Not assessed</x:v>
      </x:c>
      <x:c r="AD672" s="22" t="str">
        <x:v>Not applicable — no full-text assessment was required.</x:v>
      </x:c>
      <x:c r="AE672" s="22" t="str">
        <x:v>Not included — title/abstract exclusion</x:v>
      </x:c>
      <x:c r="AF672" s="22" t="str">
        <x:v>Not applicable — not included</x:v>
      </x:c>
      <x:c r="AG672" s="22" t="str">
        <x:v>Evidence: f9e26ed4-7bf8-41fc-9836-d181c2934bd6.png; result 7. Metadata transcribed from captured arXiv results page; OCR-normalised where visually clear.</x:v>
      </x:c>
      <x:c r="AH672" s="20" t="str">
        <x:v>No duplicate identified under the documented matching rules.</x:v>
      </x:c>
    </x:row>
    <x:row r="673" ht="42" customHeight="1">
      <x:c r="A673" s="22" t="str">
        <x:v>ARXIV-04-001</x:v>
      </x:c>
      <x:c r="B673" s="22" t="str">
        <x:v>arXiv</x:v>
      </x:c>
      <x:c r="C673" s="22" t="str">
        <x:v>ARXIV-04</x:v>
      </x:c>
      <x:c r="D673" s="22" t="str">
        <x:v>Single Domain Generalization in Diabetic Retinopathy: A Neuro-Symbolic Learning Approach</x:v>
      </x:c>
      <x:c r="E673" s="22" t="str">
        <x:v>NR — authors not captured in the available source record</x:v>
      </x:c>
      <x:c r="F673" s="22" t="n">
        <x:v>2025</x:v>
      </x:c>
      <x:c r="G673" s="22" t="str">
        <x:v>NR — source not captured in the available record</x:v>
      </x:c>
      <x:c r="H673" s="22" t="str">
        <x:v>Preprint / arXiv search result</x:v>
      </x:c>
      <x:c r="I673" s="22" t="str">
        <x:v>10.48550/arxiv.2509.02918</x:v>
      </x:c>
      <x:c r="J673" s="22" t="str">
        <x:v>2509.02918</x:v>
      </x:c>
      <x:c r="K673" s="22" t="str">
        <x:v>https://arxiv.org/pdf/2509.02918</x:v>
      </x:c>
      <x:c r="L673" s="22" t="str">
        <x:v>Domain generalization remains a critical challenge in medical imaging, where models trained on single sources often fail under real-world distribution shifts. We propose KG-DG, a neuro-symbolic framework for diabetic retinopathy (DR) classification that integrates vision transformers with expert-guided symbolic reasoning to enable robust generalization across unseen domains. Our approach leverages clinical lesion ontologies through structured, rule-based features and retinal vessel segmentation, fusing them with deep visual representations via a confidence-weighted integration strategy. The framework addresses both single-domain generalization (SDG) and multi-domain generalization (MDG) by minimizing the KL divergence between domain embeddings, thereby enforcing alignment of high-level clinical semantics. Extensive experiments across four public datasets (APTOS, EyePACS, Messidor-1, Messidor-2) demonstrate significant improvements: up to a 5.2% accuracy gain in cross-domain settings and a 6% improvement over baseline ViT models. Notably, our symbolic-only model achieves a 63.67% average accuracy in MDG, while the complete neuro-symbolic integration achieves the highest accuracy compared to existing published baselines and benchmarks in challenging SDG scenarios. Ablation studies reveal that lesion-based features (84.65% accuracy) substantially outperform purely neural approaches, confirming that symbolic components act as effective regularizers beyond merely enhancing interpretability. Our findings establish neuro-symbolic integration as a promising paradigm for building clinically robust, and domain-invariant medical AI systems.</x:v>
      </x:c>
      <x:c r="M673" s="22" t="str">
        <x:v>No duplicate</x:v>
      </x:c>
      <x:c r="N673" s="22" t="str">
        <x:v>DG-018</x:v>
      </x:c>
      <x:c r="O673" s="22" t="str">
        <x:v>Not applicable</x:v>
      </x:c>
      <x:c r="P673" s="22" t="str">
        <x:v>Yes</x:v>
      </x:c>
      <x:c r="Q673" s="22" t="str">
        <x:v>Include</x:v>
      </x:c>
      <x:c r="R673" s="22" t="str">
        <x:v>Direct neuro-symbolic DR model using clinical lesion ontologies and symbolic rules.</x:v>
      </x:c>
      <x:c r="S673" s="22" t="str">
        <x:v>Verification documented at process level</x:v>
      </x:c>
      <x:c r="T673" s="22" t="str">
        <x:v>Two additional authors performed random spot checks; individual spot-check assignments are not recorded in this register.</x:v>
      </x:c>
      <x:c r="U673" s="22" t="str">
        <x:v>Include</x:v>
      </x:c>
      <x:c r="V673" s="22" t="str">
        <x:v>Primary decision by the corresponding author; two additional authors performed random spot checks as a quality-control step.</x:v>
      </x:c>
      <x:c r="W673" s="22" t="str">
        <x:v>Yes</x:v>
      </x:c>
      <x:c r="X673" s="22" t="str">
        <x:v>Yes</x:v>
      </x:c>
      <x:c r="Y673" s="22" t="str">
        <x:v>Include</x:v>
      </x:c>
      <x:c r="Z673" s="22" t="str">
        <x:v>The corresponding author assessed the complete report and judged it eligible for inclusion in the review.</x:v>
      </x:c>
      <x:c r="AA673" s="22" t="str">
        <x:v>Verification documented at process level</x:v>
      </x:c>
      <x:c r="AB673" s="22" t="str">
        <x:v>Two additional authors performed random spot checks; individual spot-check assignments are not recorded in this register.</x:v>
      </x:c>
      <x:c r="AC673" s="22" t="str">
        <x:v>Include</x:v>
      </x:c>
      <x:c r="AD673" s="22" t="str">
        <x:v>Primary decision by the corresponding author; two additional authors performed random spot checks as a quality-control step.</x:v>
      </x:c>
      <x:c r="AE673" s="22" t="str">
        <x:v>Include</x:v>
      </x:c>
      <x:c r="AF673" s="22" t="str">
        <x:v>Direct retinal/ophthalmic evidence</x:v>
      </x:c>
      <x:c r="AG673" s="22" t="str">
        <x:v>Visible in the supplied arXiv result screenshot for ARXIV-04; current rerun on 7 August 2026. Authors/abstract may require metadata completion before title/abstract screening.</x:v>
      </x:c>
      <x:c r="AH673" s="20" t="str">
        <x:v>Confirmed using identifier/title evidence; normalized title across captured searches.</x:v>
      </x:c>
    </x:row>
    <x:row r="674" ht="42" customHeight="1">
      <x:c r="A674" s="22" t="str">
        <x:v>ARXIV-05-001</x:v>
      </x:c>
      <x:c r="B674" s="22" t="str">
        <x:v>arXiv</x:v>
      </x:c>
      <x:c r="C674" s="22" t="str">
        <x:v>ARXIV-05</x:v>
      </x:c>
      <x:c r="D674" s="22" t="str">
        <x:v>XAI-MeD: Explainable Knowledge Guided Neuro-Symbolic Framework for Domain Generalization and Rare Class Detection in Medical Imaging</x:v>
      </x:c>
      <x:c r="E674" s="22" t="str">
        <x:v>NR — authors not captured in the available source record</x:v>
      </x:c>
      <x:c r="F674" s="22" t="n">
        <x:v>2026</x:v>
      </x:c>
      <x:c r="G674" s="22" t="str">
        <x:v>NR — source not captured in the available record</x:v>
      </x:c>
      <x:c r="H674" s="22" t="str">
        <x:v>Preprint / arXiv search result</x:v>
      </x:c>
      <x:c r="I674" s="22" t="str">
        <x:v>NR</x:v>
      </x:c>
      <x:c r="J674" s="22" t="str">
        <x:v>2601.02008</x:v>
      </x:c>
      <x:c r="K674" s="22" t="str">
        <x:v>https://arxiv.org/pdf/2601.02008</x:v>
      </x:c>
      <x:c r="L674" s="22" t="str">
        <x:v>Explainability domain generalization and rare class reliability are critical challenges in medical AI where deep models often fail under real world distribution shifts and exhibit bias against infrequent clinical conditions This paper introduces XAIMeD an explainable medical AI framework that integrates clinically accurate expert knowledge into deep learning through a unified neuro symbolic architecture XAIMeD is designed to improve robustness under distribution shift enhance rare class sensitivity and deliver transparent clinically aligned interpretations The framework encodes clinical expertise as logical connectives over atomic medical propositions transforming them into machine checkable class specific rules Their diagnostic utility is quantified through weighted feature satisfaction scores enabling a symbolic reasoning branch that complements neural predictions A confidence weighted fusion integrates symbolic and deep outputs while a Hunt inspired adaptive routing mechanism guided by Entropy Imbalance Gain EIG and Rare Class Gini mitigates class imbalance high intra class variability and uncertainty We evaluate XAIMeD across diverse modalities on four challenging tasks i Seizure Onset Zone SOZ localization from rs fMRI ii Diabetic Retinopathy grading across 6 multicenter datasets demonstrate substantial performance improvements including 6 percent gains in cross domain generalization and a 10 percent improved rare class F1 score far outperforming state of the art deep learning baselines Ablation studies confirm that the clinically grounded symbolic components act as effective regularizers ensuring robustness to distribution shifts XAIMeD thus provides a principled clinically faithful and interpretable approach to multimodal medical AI.</x:v>
      </x:c>
      <x:c r="M674" s="22" t="str">
        <x:v>No duplicate</x:v>
      </x:c>
      <x:c r="N674" s="22" t="str">
        <x:v>DG-034</x:v>
      </x:c>
      <x:c r="O674" s="22" t="str">
        <x:v>Not applicable</x:v>
      </x:c>
      <x:c r="P674" s="22" t="str">
        <x:v>Yes</x:v>
      </x:c>
      <x:c r="Q674" s="22" t="str">
        <x:v>Include</x:v>
      </x:c>
      <x:c r="R674" s="22" t="str">
        <x:v>Knowledge-guided neuro-symbolic framework with proposition- and rule-based DR explanations.</x:v>
      </x:c>
      <x:c r="S674" s="22" t="str">
        <x:v>Verification documented at process level</x:v>
      </x:c>
      <x:c r="T674" s="22" t="str">
        <x:v>Two additional authors performed random spot checks; individual spot-check assignments are not recorded in this register.</x:v>
      </x:c>
      <x:c r="U674" s="22" t="str">
        <x:v>Include</x:v>
      </x:c>
      <x:c r="V674" s="22" t="str">
        <x:v>Primary decision by the corresponding author; two additional authors performed random spot checks as a quality-control step.</x:v>
      </x:c>
      <x:c r="W674" s="22" t="str">
        <x:v>Yes</x:v>
      </x:c>
      <x:c r="X674" s="22" t="str">
        <x:v>Yes</x:v>
      </x:c>
      <x:c r="Y674" s="22" t="str">
        <x:v>Include</x:v>
      </x:c>
      <x:c r="Z674" s="22" t="str">
        <x:v>The corresponding author assessed the complete report and judged it eligible for inclusion in the review.</x:v>
      </x:c>
      <x:c r="AA674" s="22" t="str">
        <x:v>Verification documented at process level</x:v>
      </x:c>
      <x:c r="AB674" s="22" t="str">
        <x:v>Two additional authors performed random spot checks; individual spot-check assignments are not recorded in this register.</x:v>
      </x:c>
      <x:c r="AC674" s="22" t="str">
        <x:v>Include</x:v>
      </x:c>
      <x:c r="AD674" s="22" t="str">
        <x:v>Primary decision by the corresponding author; two additional authors performed random spot checks as a quality-control step.</x:v>
      </x:c>
      <x:c r="AE674" s="22" t="str">
        <x:v>Include</x:v>
      </x:c>
      <x:c r="AF674" s="22" t="str">
        <x:v>Contextual medical concept-XAI evidence</x:v>
      </x:c>
      <x:c r="AG674" s="22" t="str">
        <x:v>Visible in the supplied arXiv result screenshot for ARXIV-05; current rerun on 7 August 2026. Authors/abstract may require metadata completion before title/abstract screening.</x:v>
      </x:c>
      <x:c r="AH674" s="20" t="str">
        <x:v>Confirmed using identifier/title evidence; normalized title across captured searches.</x:v>
      </x:c>
    </x:row>
    <x:row r="675" ht="42" customHeight="1">
      <x:c r="A675" s="22" t="str">
        <x:v>ARXIV-05-002</x:v>
      </x:c>
      <x:c r="B675" s="22" t="str">
        <x:v>arXiv</x:v>
      </x:c>
      <x:c r="C675" s="22" t="str">
        <x:v>ARXIV-05</x:v>
      </x:c>
      <x:c r="D675" s="22" t="str">
        <x:v>NEURO-GUARD: Neuro-Symbolic Generalization and Unbiased Adaptive Routing for Diagnostics -- Explainable Medical AI</x:v>
      </x:c>
      <x:c r="E675" s="22" t="str">
        <x:v>NR — authors not captured in the available source record</x:v>
      </x:c>
      <x:c r="F675" s="22" t="n">
        <x:v>2025</x:v>
      </x:c>
      <x:c r="G675" s="22" t="str">
        <x:v>NR — source not captured in the available record</x:v>
      </x:c>
      <x:c r="H675" s="22" t="str">
        <x:v>Preprint / arXiv search result</x:v>
      </x:c>
      <x:c r="I675" s="22" t="str">
        <x:v>10.48550/arxiv.2512.18177</x:v>
      </x:c>
      <x:c r="J675" s="22" t="str">
        <x:v>2512.18177</x:v>
      </x:c>
      <x:c r="K675" s="22" t="str">
        <x:v>https://arxiv.org/pdf/2512.18177</x:v>
      </x:c>
      <x:c r="L675" s="22" t="str">
        <x:v>Accurate yet interpretable image-based diagnosis remains a central challenge in medical AI, particularly in settings characterized by limited data, subtle visual cues, and high-stakes clinical decision-making. Most existing vision models rely on purely data-driven learning and produce black-box predictions with limited interpretability and poor cross-domain generalization, hindering their real-world clinical adoption. We present NEURO-GUARD, a novel knowledge-guided vision framework that integrates Vision Transformers (ViTs) with language-driven reasoning to improve performance, transparency, and domain robustness. NEURO-GUARD employs a retrieval-augmented generation (RAG) mechanism for self-verification, in which a large language model (LLM) iteratively generates, evaluates, and refines feature-extraction code for medical images. By grounding this process in clinical guidelines and expert knowledge, the framework progressively enhances feature detection and classification beyond purely data-driven baselines. Extensive experiments on diabetic retinopathy classification across four benchmark datasets APTOS, EyePACS, Messidor-1, and Messidor-2 demonstrate that NEURO-GUARD improves accuracy by 6.2% over a ViT-only baseline (84.69% vs. 78.4%) and achieves a 5% gain in domain generalization. Additional evaluations on MRI-based seizure detection further confirm its cross-domain robustness, consistently outperforming existing methods. Overall, NEURO-GUARD bridges symbolic medical reasoning with subsymbolic visual learning, enabling interpretable, knowledge-aware, and generalizable medical image diagnosis while achieving state-of-the-art performance across multiple datasets.</x:v>
      </x:c>
      <x:c r="M675" s="22" t="str">
        <x:v>No duplicate</x:v>
      </x:c>
      <x:c r="N675" s="22" t="str">
        <x:v>DG-027</x:v>
      </x:c>
      <x:c r="O675" s="22" t="str">
        <x:v>Not applicable</x:v>
      </x:c>
      <x:c r="P675" s="22" t="str">
        <x:v>Yes</x:v>
      </x:c>
      <x:c r="Q675" s="22" t="str">
        <x:v>Include</x:v>
      </x:c>
      <x:c r="R675" s="22" t="str">
        <x:v>Combines retinal feature recognition with structured neuro-symbolic reasoning.</x:v>
      </x:c>
      <x:c r="S675" s="22" t="str">
        <x:v>Verification documented at process level</x:v>
      </x:c>
      <x:c r="T675" s="22" t="str">
        <x:v>Two additional authors performed random spot checks; individual spot-check assignments are not recorded in this register.</x:v>
      </x:c>
      <x:c r="U675" s="22" t="str">
        <x:v>Include</x:v>
      </x:c>
      <x:c r="V675" s="22" t="str">
        <x:v>Primary decision by the corresponding author; two additional authors performed random spot checks as a quality-control step.</x:v>
      </x:c>
      <x:c r="W675" s="22" t="str">
        <x:v>Yes</x:v>
      </x:c>
      <x:c r="X675" s="22" t="str">
        <x:v>Yes</x:v>
      </x:c>
      <x:c r="Y675" s="22" t="str">
        <x:v>Include</x:v>
      </x:c>
      <x:c r="Z675" s="22" t="str">
        <x:v>The corresponding author assessed the complete report and judged it eligible for inclusion in the review.</x:v>
      </x:c>
      <x:c r="AA675" s="22" t="str">
        <x:v>Verification documented at process level</x:v>
      </x:c>
      <x:c r="AB675" s="22" t="str">
        <x:v>Two additional authors performed random spot checks; individual spot-check assignments are not recorded in this register.</x:v>
      </x:c>
      <x:c r="AC675" s="22" t="str">
        <x:v>Include</x:v>
      </x:c>
      <x:c r="AD675" s="22" t="str">
        <x:v>Primary decision by the corresponding author; two additional authors performed random spot checks as a quality-control step.</x:v>
      </x:c>
      <x:c r="AE675" s="22" t="str">
        <x:v>Include</x:v>
      </x:c>
      <x:c r="AF675" s="22" t="str">
        <x:v>Contextual medical concept-XAI evidence</x:v>
      </x:c>
      <x:c r="AG675" s="22" t="str">
        <x:v>Visible in the supplied arXiv result screenshot for ARXIV-05; current rerun on 7 August 2026. Authors/abstract may require metadata completion before title/abstract screening.</x:v>
      </x:c>
      <x:c r="AH675" s="20" t="str">
        <x:v>Confirmed using identifier/title evidence; normalized title across captured searches.</x:v>
      </x:c>
    </x:row>
    <x:row r="676" ht="42" customHeight="1">
      <x:c r="A676" s="22" t="str">
        <x:v>ARXIV-05-003</x:v>
      </x:c>
      <x:c r="B676" s="22" t="str">
        <x:v>arXiv</x:v>
      </x:c>
      <x:c r="C676" s="22" t="str">
        <x:v>ARXIV-05</x:v>
      </x:c>
      <x:c r="D676" s="22" t="str">
        <x:v>From Retinal Pixels to Patients: Evolution of Deep Learning Research in Diabetic Retinopathy Screening</x:v>
      </x:c>
      <x:c r="E676" s="22" t="str">
        <x:v>NR — authors not captured in the available source record</x:v>
      </x:c>
      <x:c r="F676" s="22" t="n">
        <x:v>2025</x:v>
      </x:c>
      <x:c r="G676" s="22" t="str">
        <x:v>NR — source not captured in the available record</x:v>
      </x:c>
      <x:c r="H676" s="22" t="str">
        <x:v>Preprint / arXiv search result</x:v>
      </x:c>
      <x:c r="I676" s="22" t="str">
        <x:v>NR</x:v>
      </x:c>
      <x:c r="J676" s="22" t="str">
        <x:v>2511.11065</x:v>
      </x:c>
      <x:c r="K676" s="22" t="str">
        <x:v>https://arxiv.org/abs/2511.11065</x:v>
      </x:c>
      <x:c r="L676" s="22" t="str">
        <x:v>Not available in the captured evidence; the screening decision used the title and available source metadata.</x:v>
      </x:c>
      <x:c r="M676" s="22" t="str">
        <x:v>No duplicate</x:v>
      </x:c>
      <x:c r="N676" s="22" t="str">
        <x:v>DG-041</x:v>
      </x:c>
      <x:c r="O676" s="22" t="str">
        <x:v>Not applicable</x:v>
      </x:c>
      <x:c r="P676" s="22" t="str">
        <x:v>Yes</x:v>
      </x:c>
      <x:c r="Q676" s="22" t="str">
        <x:v>Exclude</x:v>
      </x:c>
      <x:c r="R676" s="22" t="str">
        <x:v>Review/evolution paper; not original empirical research (E4).</x:v>
      </x:c>
      <x:c r="S676" s="22" t="str">
        <x:v>Verification documented at process level</x:v>
      </x:c>
      <x:c r="T676" s="22" t="str">
        <x:v>Two additional authors performed random spot checks; individual spot-check assignments are not recorded in this register.</x:v>
      </x:c>
      <x:c r="U676" s="22" t="str">
        <x:v>Exclude</x:v>
      </x:c>
      <x:c r="V676" s="22" t="str">
        <x:v>Primary decision by the corresponding author; two additional authors performed random spot checks as a quality-control step.</x:v>
      </x:c>
      <x:c r="W676" s="22" t="str">
        <x:v>No</x:v>
      </x:c>
      <x:c r="X676" s="22" t="str">
        <x:v>Not applicable</x:v>
      </x:c>
      <x:c r="Y676" s="22" t="str">
        <x:v>Not assessed</x:v>
      </x:c>
      <x:c r="Z676" s="22" t="str">
        <x:v>Not advanced to full-text assessment after the title/abstract decision.</x:v>
      </x:c>
      <x:c r="AA676" s="22" t="str">
        <x:v>Not applicable</x:v>
      </x:c>
      <x:c r="AB676" s="22" t="str">
        <x:v>Record was not advanced to full-text assessment.</x:v>
      </x:c>
      <x:c r="AC676" s="22" t="str">
        <x:v>Not assessed</x:v>
      </x:c>
      <x:c r="AD676" s="22" t="str">
        <x:v>Not applicable — no full-text assessment was required.</x:v>
      </x:c>
      <x:c r="AE676" s="22" t="str">
        <x:v>Not included — title/abstract exclusion</x:v>
      </x:c>
      <x:c r="AF676" s="22" t="str">
        <x:v>Not applicable — not included</x:v>
      </x:c>
      <x:c r="AG676" s="22" t="str">
        <x:v>Visible in the supplied arXiv result screenshot for ARXIV-05; current rerun on 7 August 2026. Authors/abstract may require metadata completion before title/abstract screening.</x:v>
      </x:c>
      <x:c r="AH676" s="20" t="str">
        <x:v>Confirmed using identifier/title evidence; normalized title across captured searches.</x:v>
      </x:c>
    </x:row>
    <x:row r="677" ht="42" customHeight="1">
      <x:c r="A677" s="22" t="str">
        <x:v>ARXIV-05-004</x:v>
      </x:c>
      <x:c r="B677" s="22" t="str">
        <x:v>arXiv</x:v>
      </x:c>
      <x:c r="C677" s="22" t="str">
        <x:v>ARXIV-05</x:v>
      </x:c>
      <x:c r="D677" s="22" t="str">
        <x:v>Single Domain Generalization in Diabetic Retinopathy: A Neuro-Symbolic Learning Approach</x:v>
      </x:c>
      <x:c r="E677" s="22" t="str">
        <x:v>NR — authors not captured in the available source record</x:v>
      </x:c>
      <x:c r="F677" s="22" t="n">
        <x:v>2025</x:v>
      </x:c>
      <x:c r="G677" s="22" t="str">
        <x:v>NR — source not captured in the available record</x:v>
      </x:c>
      <x:c r="H677" s="22" t="str">
        <x:v>Preprint / arXiv search result</x:v>
      </x:c>
      <x:c r="I677" s="22" t="str">
        <x:v>NR</x:v>
      </x:c>
      <x:c r="J677" s="22" t="str">
        <x:v>2509.02918</x:v>
      </x:c>
      <x:c r="K677" s="22" t="str">
        <x:v>https://arxiv.org/abs/2509.02918</x:v>
      </x:c>
      <x:c r="L677" s="22" t="str">
        <x:v>Not available in the captured evidence; the screening decision used the title and available source metadata.</x:v>
      </x:c>
      <x:c r="M677" s="22" t="str">
        <x:v>Confirmed duplicate</x:v>
      </x:c>
      <x:c r="N677" s="22" t="str">
        <x:v>DG-018</x:v>
      </x:c>
      <x:c r="O677" s="22" t="str">
        <x:v>ARXIV-04-001</x:v>
      </x:c>
      <x:c r="P677" s="22" t="str">
        <x:v>No</x:v>
      </x:c>
      <x:c r="Q677" s="22" t="str">
        <x:v>Not screened</x:v>
      </x:c>
      <x:c r="R677" s="22" t="str">
        <x:v>Removed before title/abstract screening as a confirmed duplicate.</x:v>
      </x:c>
      <x:c r="S677" s="22" t="str">
        <x:v>Not applicable — removed before screening</x:v>
      </x:c>
      <x:c r="T677" s="22" t="str">
        <x:v>Record was outside the active screening set.</x:v>
      </x:c>
      <x:c r="U677" s="22" t="str">
        <x:v>Removed before screening</x:v>
      </x:c>
      <x:c r="V677" s="22" t="str">
        <x:v>Confirmed duplicate removed during deduplication.</x:v>
      </x:c>
      <x:c r="W677" s="22" t="str">
        <x:v>No</x:v>
      </x:c>
      <x:c r="X677" s="22" t="str">
        <x:v>Not applicable</x:v>
      </x:c>
      <x:c r="Y677" s="22" t="str">
        <x:v>Not assessed</x:v>
      </x:c>
      <x:c r="Z677" s="22" t="str">
        <x:v>Not applicable — record removed before screening.</x:v>
      </x:c>
      <x:c r="AA677" s="22" t="str">
        <x:v>Not applicable</x:v>
      </x:c>
      <x:c r="AB677" s="22" t="str">
        <x:v>Record was not advanced to full-text assessment.</x:v>
      </x:c>
      <x:c r="AC677" s="22" t="str">
        <x:v>Not assessed</x:v>
      </x:c>
      <x:c r="AD677" s="22" t="str">
        <x:v>Not applicable — no full-text assessment was required.</x:v>
      </x:c>
      <x:c r="AE677" s="22" t="str">
        <x:v>Removed before screening</x:v>
      </x:c>
      <x:c r="AF677" s="22" t="str">
        <x:v>Not applicable — not included</x:v>
      </x:c>
      <x:c r="AG677" s="22" t="str">
        <x:v>Visible in the supplied arXiv result screenshot for ARXIV-05; current rerun on 7 August 2026. Authors/abstract may require metadata completion before title/abstract screening.</x:v>
      </x:c>
      <x:c r="AH677" s="20" t="str">
        <x:v>Confirmed using identifier/title evidence; normalized title across captured searches.</x:v>
      </x:c>
    </x:row>
    <x:row r="678" ht="42" customHeight="1">
      <x:c r="A678" s="22" t="str">
        <x:v>ARXIV-06-001</x:v>
      </x:c>
      <x:c r="B678" s="22" t="str">
        <x:v>arXiv</x:v>
      </x:c>
      <x:c r="C678" s="22" t="str">
        <x:v>ARXIV-06</x:v>
      </x:c>
      <x:c r="D678" s="22" t="str">
        <x:v>In-hoc Concept Representations to Regularise Deep Learning in Medical Imaging</x:v>
      </x:c>
      <x:c r="E678" s="22" t="str">
        <x:v>NR — authors not captured in the available source record</x:v>
      </x:c>
      <x:c r="F678" s="22" t="n">
        <x:v>2025</x:v>
      </x:c>
      <x:c r="G678" s="22" t="str">
        <x:v>NR — source not captured in the available record</x:v>
      </x:c>
      <x:c r="H678" s="22" t="str">
        <x:v>Preprint / arXiv search result</x:v>
      </x:c>
      <x:c r="I678" s="22" t="str">
        <x:v>NR</x:v>
      </x:c>
      <x:c r="J678" s="22" t="str">
        <x:v>2508.13880</x:v>
      </x:c>
      <x:c r="K678" s="22" t="str">
        <x:v>https://arxiv.org/pdf/2508.13880</x:v>
      </x:c>
      <x:c r="L678" s="22" t="str">
        <x:v>Deep learning models in medical imaging often achieve strong in-distribution performance but struggle to generalise under distribution shifts, frequently relying on spurious correlations instead of clinically meaningful features. We introduce LCRReg, a novel regularisation approach that leverages Latent Concept Representations (LCRs) (e.g., Concept Activation Vectors (CAVs)) to guide models toward semantically grounded representations. LCRReg requires no concept labels in the main training set and instead uses a small auxiliary dataset to synthesise high-quality, disentangled concept examples. We extract LCRs for predefined relevant features, and incorporate a regularisation term that guides a Convolutional Neural Network (CNN) to activate within latent subspaces associated with those concepts. We evaluate LCRReg across synthetic and real-world medical tasks. On a controlled toy dataset, it significantly improves robustness to injected spurious correlations and remains effective even in multi-concept and multiclass settings. On the diabetic retinopathy binary classification task, LCRReg enhances performance under both synthetic spurious perturbations and out-of-distribution (OOD) generalisation. Compared to baselines, including multitask learning, linear probing, and post-hoc concept-based models, LCRReg offers a lightweight, architecture-agnostic strategy for improving model robustness without requiring dense concept supervision. Code is available at the following link: https://github.com/Trustworthy-AI-UU-NKI/lcr\_regularization</x:v>
      </x:c>
      <x:c r="M678" s="22" t="str">
        <x:v>No duplicate</x:v>
      </x:c>
      <x:c r="N678" s="22" t="str">
        <x:v>DG-082</x:v>
      </x:c>
      <x:c r="O678" s="22" t="str">
        <x:v>Not applicable</x:v>
      </x:c>
      <x:c r="P678" s="22" t="str">
        <x:v>Yes</x:v>
      </x:c>
      <x:c r="Q678" s="22" t="str">
        <x:v>Include</x:v>
      </x:c>
      <x:c r="R678" s="22" t="str">
        <x:v>Concept-representation and CAV method evaluated on diabetic retinopathy and distribution shifts.</x:v>
      </x:c>
      <x:c r="S678" s="22" t="str">
        <x:v>Verification documented at process level</x:v>
      </x:c>
      <x:c r="T678" s="22" t="str">
        <x:v>Two additional authors performed random spot checks; individual spot-check assignments are not recorded in this register.</x:v>
      </x:c>
      <x:c r="U678" s="22" t="str">
        <x:v>Include</x:v>
      </x:c>
      <x:c r="V678" s="22" t="str">
        <x:v>Primary decision by the corresponding author; two additional authors performed random spot checks as a quality-control step.</x:v>
      </x:c>
      <x:c r="W678" s="22" t="str">
        <x:v>Yes</x:v>
      </x:c>
      <x:c r="X678" s="22" t="str">
        <x:v>Yes</x:v>
      </x:c>
      <x:c r="Y678" s="22" t="str">
        <x:v>Include</x:v>
      </x:c>
      <x:c r="Z678" s="22" t="str">
        <x:v>The corresponding author assessed the complete report and judged it eligible for inclusion in the review.</x:v>
      </x:c>
      <x:c r="AA678" s="22" t="str">
        <x:v>Verification documented at process level</x:v>
      </x:c>
      <x:c r="AB678" s="22" t="str">
        <x:v>Two additional authors performed random spot checks; individual spot-check assignments are not recorded in this register.</x:v>
      </x:c>
      <x:c r="AC678" s="22" t="str">
        <x:v>Include</x:v>
      </x:c>
      <x:c r="AD678" s="22" t="str">
        <x:v>Primary decision by the corresponding author; two additional authors performed random spot checks as a quality-control step.</x:v>
      </x:c>
      <x:c r="AE678" s="22" t="str">
        <x:v>Include</x:v>
      </x:c>
      <x:c r="AF678" s="22" t="str">
        <x:v>Contextual medical concept-XAI evidence</x:v>
      </x:c>
      <x:c r="AG678" s="22" t="str">
        <x:v>Visible in the supplied arXiv result screenshot for ARXIV-06; current rerun on 7 August 2026. Authors/abstract may require metadata completion before title/abstract screening.</x:v>
      </x:c>
      <x:c r="AH678" s="20" t="str">
        <x:v>No duplicate identified under the documented matching rules.</x:v>
      </x:c>
    </x:row>
    <x:row r="679" ht="42" customHeight="1">
      <x:c r="A679" s="22" t="str">
        <x:v>ARXIV-06-002</x:v>
      </x:c>
      <x:c r="B679" s="22" t="str">
        <x:v>arXiv</x:v>
      </x:c>
      <x:c r="C679" s="22" t="str">
        <x:v>ARXIV-06</x:v>
      </x:c>
      <x:c r="D679" s="22" t="str">
        <x:v>Looking into Concept Explanation Methods for Diabetic Retinopathy Classification</x:v>
      </x:c>
      <x:c r="E679" s="22" t="str">
        <x:v>NR — authors not captured in the available source record</x:v>
      </x:c>
      <x:c r="F679" s="22" t="n">
        <x:v>2024</x:v>
      </x:c>
      <x:c r="G679" s="22" t="str">
        <x:v>NR — source not captured in the available record</x:v>
      </x:c>
      <x:c r="H679" s="22" t="str">
        <x:v>Preprint / arXiv search result</x:v>
      </x:c>
      <x:c r="I679" s="22" t="str">
        <x:v>NR</x:v>
      </x:c>
      <x:c r="J679" s="22" t="str">
        <x:v>2410.03188</x:v>
      </x:c>
      <x:c r="K679" s="22" t="str">
        <x:v>https://arxiv.org/abs/2410.03188</x:v>
      </x:c>
      <x:c r="L679" s="22" t="str">
        <x:v>Not available in the captured evidence; the screening decision used the title and available source metadata.</x:v>
      </x:c>
      <x:c r="M679" s="22" t="str">
        <x:v>Confirmed duplicate</x:v>
      </x:c>
      <x:c r="N679" s="22" t="str">
        <x:v>DG-011</x:v>
      </x:c>
      <x:c r="O679" s="22" t="str">
        <x:v>ARXIV-01-001</x:v>
      </x:c>
      <x:c r="P679" s="22" t="str">
        <x:v>No</x:v>
      </x:c>
      <x:c r="Q679" s="22" t="str">
        <x:v>Not screened</x:v>
      </x:c>
      <x:c r="R679" s="22" t="str">
        <x:v>Removed before title/abstract screening as a confirmed duplicate.</x:v>
      </x:c>
      <x:c r="S679" s="22" t="str">
        <x:v>Not applicable — removed before screening</x:v>
      </x:c>
      <x:c r="T679" s="22" t="str">
        <x:v>Record was outside the active screening set.</x:v>
      </x:c>
      <x:c r="U679" s="22" t="str">
        <x:v>Removed before screening</x:v>
      </x:c>
      <x:c r="V679" s="22" t="str">
        <x:v>Confirmed duplicate removed during deduplication.</x:v>
      </x:c>
      <x:c r="W679" s="22" t="str">
        <x:v>No</x:v>
      </x:c>
      <x:c r="X679" s="22" t="str">
        <x:v>Not applicable</x:v>
      </x:c>
      <x:c r="Y679" s="22" t="str">
        <x:v>Not assessed</x:v>
      </x:c>
      <x:c r="Z679" s="22" t="str">
        <x:v>Not applicable — record removed before screening.</x:v>
      </x:c>
      <x:c r="AA679" s="22" t="str">
        <x:v>Not applicable</x:v>
      </x:c>
      <x:c r="AB679" s="22" t="str">
        <x:v>Record was not advanced to full-text assessment.</x:v>
      </x:c>
      <x:c r="AC679" s="22" t="str">
        <x:v>Not assessed</x:v>
      </x:c>
      <x:c r="AD679" s="22" t="str">
        <x:v>Not applicable — no full-text assessment was required.</x:v>
      </x:c>
      <x:c r="AE679" s="22" t="str">
        <x:v>Removed before screening</x:v>
      </x:c>
      <x:c r="AF679" s="22" t="str">
        <x:v>Not applicable — not included</x:v>
      </x:c>
      <x:c r="AG679" s="22" t="str">
        <x:v>Visible in the supplied arXiv result screenshot for ARXIV-06; current rerun on 7 August 2026. Authors/abstract may require metadata completion before title/abstract screening.</x:v>
      </x:c>
      <x:c r="AH679" s="20" t="str">
        <x:v>Confirmed using identifier/title evidence; normalized title across captured searches.</x:v>
      </x:c>
    </x:row>
    <x:row r="680" ht="42" customHeight="1">
      <x:c r="A680" s="22" t="str">
        <x:v>ARXIV-10-001</x:v>
      </x:c>
      <x:c r="B680" s="22" t="str">
        <x:v>arXiv</x:v>
      </x:c>
      <x:c r="C680" s="22" t="str">
        <x:v>ARXIV-10</x:v>
      </x:c>
      <x:c r="D680" s="22" t="str">
        <x:v>RetiSEM: Generalising Causal Models for Fragmented Biomedical Data</x:v>
      </x:c>
      <x:c r="E680" s="22" t="str">
        <x:v>NR — authors not captured in the available source record</x:v>
      </x:c>
      <x:c r="F680" s="22" t="str">
        <x:v>NR</x:v>
      </x:c>
      <x:c r="G680" s="22" t="str">
        <x:v>arXiv</x:v>
      </x:c>
      <x:c r="H680" s="22" t="str">
        <x:v>arXiv search result</x:v>
      </x:c>
      <x:c r="I680" s="22" t="str">
        <x:v>10.48550/arxiv.2606.24488</x:v>
      </x:c>
      <x:c r="J680" s="22" t="str">
        <x:v>2606.24488</x:v>
      </x:c>
      <x:c r="K680" s="22" t="str">
        <x:v>https://arxiv.org/pdf/2606.24488</x:v>
      </x:c>
      <x:c r="L680" s="22" t="str">
        <x:v>Learning causal models from fragmented biomedical data is challenging because clinical, molecular, and imaging variables are often incomplete or not jointly observed. We propose RetiSEM, a domain-constrained structural equation modelling (SEM) framework for causal graph recovery and mediation analysis under limited multimodal resources. This proposed work organises variables into biologically informed blocks, applies forbidden-edge constraints, and decomposes pathway-level effects into TE, NDE, and NIE components. We evaluate RetiSEM across ten synthetic benchmark scenarios that vary in dimensionality, nonlinearity, causal depth, and pathway structure, together with a fragmented real-world setting that combines NHANES clinical variables with externally derived retinal representations. This approach achieves lower structural error and higher causal accuracy than unconstrained baselines across the synthetic benchmarks. In the real-data analysis, retinal variables behave mainly as downstream biomarker-like indicators, with smaller but detectable indirect effects. These findings support our strategy as an interpretable framework for testing structured causal hypotheses in limited-resource biomedical AI. The code and resources for this work are publicly available at: https://github.com/Inamullah-Colab/ReitSEM.</x:v>
      </x:c>
      <x:c r="M680" s="22" t="str">
        <x:v>No duplicate</x:v>
      </x:c>
      <x:c r="N680" s="22" t="str">
        <x:v>Not applicable — no duplicate group</x:v>
      </x:c>
      <x:c r="O680" s="22" t="str">
        <x:v>Not applicable</x:v>
      </x:c>
      <x:c r="P680" s="22" t="str">
        <x:v>Yes</x:v>
      </x:c>
      <x:c r="Q680" s="22" t="str">
        <x:v>Include</x:v>
      </x:c>
      <x:c r="R680" s="22" t="str">
        <x:v>Structured causal modelling involving retinal representations; relevant contextual evidence.</x:v>
      </x:c>
      <x:c r="S680" s="22" t="str">
        <x:v>Verification documented at process level</x:v>
      </x:c>
      <x:c r="T680" s="22" t="str">
        <x:v>Two additional authors performed random spot checks; individual spot-check assignments are not recorded in this register.</x:v>
      </x:c>
      <x:c r="U680" s="22" t="str">
        <x:v>Include</x:v>
      </x:c>
      <x:c r="V680" s="22" t="str">
        <x:v>Primary decision by the corresponding author; two additional authors performed random spot checks as a quality-control step.</x:v>
      </x:c>
      <x:c r="W680" s="22" t="str">
        <x:v>Yes</x:v>
      </x:c>
      <x:c r="X680" s="22" t="str">
        <x:v>Yes</x:v>
      </x:c>
      <x:c r="Y680" s="22" t="str">
        <x:v>Include</x:v>
      </x:c>
      <x:c r="Z680" s="22" t="str">
        <x:v>The corresponding author assessed the complete report and judged it eligible for inclusion in the review.</x:v>
      </x:c>
      <x:c r="AA680" s="22" t="str">
        <x:v>Verification documented at process level</x:v>
      </x:c>
      <x:c r="AB680" s="22" t="str">
        <x:v>Two additional authors performed random spot checks; individual spot-check assignments are not recorded in this register.</x:v>
      </x:c>
      <x:c r="AC680" s="22" t="str">
        <x:v>Include</x:v>
      </x:c>
      <x:c r="AD680" s="22" t="str">
        <x:v>Primary decision by the corresponding author; two additional authors performed random spot checks as a quality-control step.</x:v>
      </x:c>
      <x:c r="AE680" s="22" t="str">
        <x:v>Include</x:v>
      </x:c>
      <x:c r="AF680" s="22" t="str">
        <x:v>Contextual medical concept-XAI evidence</x:v>
      </x:c>
      <x:c r="AG680" s="22" t="str">
        <x:v>Evidence: Screenshot_10-8-2026_181426_arxiv10.org.jpeg; result 1. Metadata transcribed from captured arXiv results page; OCR-normalised where visually clear.</x:v>
      </x:c>
      <x:c r="AH680" s="20" t="str">
        <x:v>No duplicate identified under the documented matching rules.</x:v>
      </x:c>
    </x:row>
    <x:row r="681" ht="42" customHeight="1">
      <x:c r="A681" s="22" t="str">
        <x:v>ARXIV-10-002</x:v>
      </x:c>
      <x:c r="B681" s="22" t="str">
        <x:v>arXiv</x:v>
      </x:c>
      <x:c r="C681" s="22" t="str">
        <x:v>ARXIV-10</x:v>
      </x:c>
      <x:c r="D681" s="22" t="str">
        <x:v>A Dual Edge Spatial Laplacian Image Graph for Interpretable Diabetic Retinopathy Grading</x:v>
      </x:c>
      <x:c r="E681" s="22" t="str">
        <x:v>NR — authors not captured in the available source record</x:v>
      </x:c>
      <x:c r="F681" s="22" t="str">
        <x:v>NR</x:v>
      </x:c>
      <x:c r="G681" s="22" t="str">
        <x:v>arXiv</x:v>
      </x:c>
      <x:c r="H681" s="22" t="str">
        <x:v>arXiv search result</x:v>
      </x:c>
      <x:c r="I681" s="22" t="str">
        <x:v>NR</x:v>
      </x:c>
      <x:c r="J681" s="22" t="str">
        <x:v>2606.24168</x:v>
      </x:c>
      <x:c r="K681" s="22" t="str">
        <x:v>https://arxiv.org/pdf/2606.24168</x:v>
      </x:c>
      <x:c r="L681" s="22" t="str">
        <x:v>Automated diabetic retinopathy (DR) grading from colour fundus photographs can achieve strong predictive performance, but clinical interpretation requires more than an image-level label. It requires understanding how lesion evidence is distributed around retinal vessels and how this evidence relates to quantitative vascular biomarkers. We present a dual-edge spatial-Jacobian image graph for interpretable DR grading. Each fundus image is represented as a graph node with four aligned evidence streams: AutoMorph vessel information ($X_1$), DR-XAI-style lesion evidence maps ($X_2$), a 128-dimensional lesion-based contrastive image embedding ($X_3$), and AutoMorph morphometric biomarkers ($X_4$). The spatial edge branch ($X_{12}$) encodes vessel-lesion geometry, while the Jacobian branch ($X_{34}$) models embedding-biomarker sensitivity. Lightweight two-token attention fuses both edge families into a final image graph. On 2,910 matched non-augmented APTOS images, the full graph achieves 0.8076 accuracy, 0.8312 quadratic weighted kappa, 0.5915 macro-F1, and 0.9330 adjacent-grade accuracy; referable DR reaches 0.9055 accuracy and 0.9711 AUROC. The framework is positioned as an explainable representation-learning tool for lesion-biomarker hypothesis generation, rather than as a deployment-ready clinical classifier. The code is available at https://github.com/Inamullah-Colab/dual-edge-dr-graph-xai.</x:v>
      </x:c>
      <x:c r="M681" s="22" t="str">
        <x:v>No duplicate</x:v>
      </x:c>
      <x:c r="N681" s="22" t="str">
        <x:v>Not applicable — no duplicate group</x:v>
      </x:c>
      <x:c r="O681" s="22" t="str">
        <x:v>Not applicable</x:v>
      </x:c>
      <x:c r="P681" s="22" t="str">
        <x:v>Yes</x:v>
      </x:c>
      <x:c r="Q681" s="22" t="str">
        <x:v>Include</x:v>
      </x:c>
      <x:c r="R681" s="22" t="str">
        <x:v>Interpretable DR graph connects lesion, vessel and morphometric evidence.</x:v>
      </x:c>
      <x:c r="S681" s="22" t="str">
        <x:v>Verification documented at process level</x:v>
      </x:c>
      <x:c r="T681" s="22" t="str">
        <x:v>Two additional authors performed random spot checks; individual spot-check assignments are not recorded in this register.</x:v>
      </x:c>
      <x:c r="U681" s="22" t="str">
        <x:v>Include</x:v>
      </x:c>
      <x:c r="V681" s="22" t="str">
        <x:v>Primary decision by the corresponding author; two additional authors performed random spot checks as a quality-control step.</x:v>
      </x:c>
      <x:c r="W681" s="22" t="str">
        <x:v>Yes</x:v>
      </x:c>
      <x:c r="X681" s="22" t="str">
        <x:v>Yes</x:v>
      </x:c>
      <x:c r="Y681" s="22" t="str">
        <x:v>Include</x:v>
      </x:c>
      <x:c r="Z681" s="22" t="str">
        <x:v>The corresponding author assessed the complete report and judged it eligible for inclusion in the review.</x:v>
      </x:c>
      <x:c r="AA681" s="22" t="str">
        <x:v>Verification documented at process level</x:v>
      </x:c>
      <x:c r="AB681" s="22" t="str">
        <x:v>Two additional authors performed random spot checks; individual spot-check assignments are not recorded in this register.</x:v>
      </x:c>
      <x:c r="AC681" s="22" t="str">
        <x:v>Include</x:v>
      </x:c>
      <x:c r="AD681" s="22" t="str">
        <x:v>Primary decision by the corresponding author; two additional authors performed random spot checks as a quality-control step.</x:v>
      </x:c>
      <x:c r="AE681" s="22" t="str">
        <x:v>Include</x:v>
      </x:c>
      <x:c r="AF681" s="22" t="str">
        <x:v>Direct retinal/ophthalmic evidence</x:v>
      </x:c>
      <x:c r="AG681" s="22" t="str">
        <x:v>Evidence: Screenshot_10-8-2026_181426_arxiv10.org.jpeg; result 2. Metadata transcribed from captured arXiv results page; OCR-normalised where visually clear.</x:v>
      </x:c>
      <x:c r="AH681" s="20" t="str">
        <x:v>No duplicate identified under the documented matching rules.</x:v>
      </x:c>
    </x:row>
    <x:row r="682" ht="42" customHeight="1">
      <x:c r="A682" s="22" t="str">
        <x:v>ARXIV-10-003</x:v>
      </x:c>
      <x:c r="B682" s="22" t="str">
        <x:v>arXiv</x:v>
      </x:c>
      <x:c r="C682" s="22" t="str">
        <x:v>ARXIV-10</x:v>
      </x:c>
      <x:c r="D682" s="22" t="str">
        <x:v>Discovering and Decoding Latent Manifold Structure with Variational Autoencoders</x:v>
      </x:c>
      <x:c r="E682" s="22" t="str">
        <x:v>NR — authors not captured in the available source record</x:v>
      </x:c>
      <x:c r="F682" s="22" t="str">
        <x:v>NR</x:v>
      </x:c>
      <x:c r="G682" s="22" t="str">
        <x:v>arXiv</x:v>
      </x:c>
      <x:c r="H682" s="22" t="str">
        <x:v>arXiv search result</x:v>
      </x:c>
      <x:c r="I682" s="22" t="str">
        <x:v>NR</x:v>
      </x:c>
      <x:c r="J682" s="22" t="str">
        <x:v>NR</x:v>
      </x:c>
      <x:c r="K682" s="22" t="str">
        <x:v>NR — URL not captured in the available source record</x:v>
      </x:c>
      <x:c r="L682" s="22" t="str">
        <x:v>Not available in the captured evidence; the screening decision used the title and available source metadata.</x:v>
      </x:c>
      <x:c r="M682" s="22" t="str">
        <x:v>No duplicate</x:v>
      </x:c>
      <x:c r="N682" s="22" t="str">
        <x:v>Not applicable — no duplicate group</x:v>
      </x:c>
      <x:c r="O682" s="22" t="str">
        <x:v>Not applicable</x:v>
      </x:c>
      <x:c r="P682" s="22" t="str">
        <x:v>Yes</x:v>
      </x:c>
      <x:c r="Q682" s="22" t="str">
        <x:v>Exclude</x:v>
      </x:c>
      <x:c r="R682" s="22" t="str">
        <x:v>Generic latent-manifold VAE research without retinal concept explanations (E1/E2).</x:v>
      </x:c>
      <x:c r="S682" s="22" t="str">
        <x:v>Verification documented at process level</x:v>
      </x:c>
      <x:c r="T682" s="22" t="str">
        <x:v>Two additional authors performed random spot checks; individual spot-check assignments are not recorded in this register.</x:v>
      </x:c>
      <x:c r="U682" s="22" t="str">
        <x:v>Exclude</x:v>
      </x:c>
      <x:c r="V682" s="22" t="str">
        <x:v>Primary decision by the corresponding author; two additional authors performed random spot checks as a quality-control step.</x:v>
      </x:c>
      <x:c r="W682" s="22" t="str">
        <x:v>No</x:v>
      </x:c>
      <x:c r="X682" s="22" t="str">
        <x:v>Not applicable</x:v>
      </x:c>
      <x:c r="Y682" s="22" t="str">
        <x:v>Not assessed</x:v>
      </x:c>
      <x:c r="Z682" s="22" t="str">
        <x:v>Not advanced to full-text assessment after the title/abstract decision.</x:v>
      </x:c>
      <x:c r="AA682" s="22" t="str">
        <x:v>Not applicable</x:v>
      </x:c>
      <x:c r="AB682" s="22" t="str">
        <x:v>Record was not advanced to full-text assessment.</x:v>
      </x:c>
      <x:c r="AC682" s="22" t="str">
        <x:v>Not assessed</x:v>
      </x:c>
      <x:c r="AD682" s="22" t="str">
        <x:v>Not applicable — no full-text assessment was required.</x:v>
      </x:c>
      <x:c r="AE682" s="22" t="str">
        <x:v>Not included — title/abstract exclusion</x:v>
      </x:c>
      <x:c r="AF682" s="22" t="str">
        <x:v>Not applicable — not included</x:v>
      </x:c>
      <x:c r="AG682" s="22" t="str">
        <x:v>Evidence: Screenshot_10-8-2026_181426_arxiv10.org.jpeg; result 3. Metadata transcribed from captured arXiv results page; OCR-normalised where visually clear.</x:v>
      </x:c>
      <x:c r="AH682" s="20" t="str">
        <x:v>No duplicate identified under the documented matching rules.</x:v>
      </x:c>
    </x:row>
    <x:row r="683" ht="42" customHeight="1">
      <x:c r="A683" s="22" t="str">
        <x:v>ARXIV-10-004</x:v>
      </x:c>
      <x:c r="B683" s="22" t="str">
        <x:v>arXiv</x:v>
      </x:c>
      <x:c r="C683" s="22" t="str">
        <x:v>ARXIV-10</x:v>
      </x:c>
      <x:c r="D683" s="22" t="str">
        <x:v>Explainable Multi-Task Retinal Imaging Reveals Microvascular Signals for Systemic Risk Stratification in Type 2 Diabetes: A Pilot Study</x:v>
      </x:c>
      <x:c r="E683" s="22" t="str">
        <x:v>NR — authors not captured in the available source record</x:v>
      </x:c>
      <x:c r="F683" s="22" t="str">
        <x:v>NR</x:v>
      </x:c>
      <x:c r="G683" s="22" t="str">
        <x:v>arXiv</x:v>
      </x:c>
      <x:c r="H683" s="22" t="str">
        <x:v>arXiv search result</x:v>
      </x:c>
      <x:c r="I683" s="22" t="str">
        <x:v>NR</x:v>
      </x:c>
      <x:c r="J683" s="22" t="str">
        <x:v>2605.24913</x:v>
      </x:c>
      <x:c r="K683" s="22" t="str">
        <x:v>https://arxiv.org/pdf/2605.24913</x:v>
      </x:c>
      <x:c r="L683" s="22" t="str">
        <x:v>Retinal imaging provides a non-invasive window into systemic microvascular health and has emerged as a potential biomarker for systemic diseases. However, whether retinal features encode biologically meaningful systemic signals that can be reliably interpreted using explainable artificial intelligence (XAI) remains unclear. An explainable multi-task deep learning framework was developed to investigate associations between retinal microvascular features and systemic abnormalities in Type 2 Diabetes Mellitus. A total of 11,011 fundus images from 2,719 individuals were analysed using a shared neural network with task-specific heads for glycaemic status, kidney abnormality, and multi-system involvement. Model interpretability was evaluated using Gradient-weighted Class Activation Mapping (Grad-CAM), anatomical masking, and vessel alignment analysis. The framework demonstrated task-dependent predictive performance, with the best discrimination observed for kidney abnormality (AUC up to 0.63), whereas glycaemic status prediction showed limited performance (AUC = 0.49-0.61). Explainability analyses consistently localized model attention to retinal vessels and peripapillary regions. Masking experiments showed that occlusion of vascular regions caused the greatest performance decline, indicating that retinal vessels were the primary predictive source. Different architectures exhibited heterogeneous attention patterns, suggesting multiple representational pathways for systemic signal encoding. This pilot study demonstrates that retinal microvascular features contain measurable signals associated with systemic abnormalities, particularly microvascular damage. By integrating multi-task learning with quantitative XAI validation, this framework advances retinal imaging toward interpretable digital biomarkers for systemic risk stratification in diabetes.</x:v>
      </x:c>
      <x:c r="M683" s="22" t="str">
        <x:v>No duplicate</x:v>
      </x:c>
      <x:c r="N683" s="22" t="str">
        <x:v>DG-050</x:v>
      </x:c>
      <x:c r="O683" s="22" t="str">
        <x:v>Not applicable</x:v>
      </x:c>
      <x:c r="P683" s="22" t="str">
        <x:v>Yes</x:v>
      </x:c>
      <x:c r="Q683" s="22" t="str">
        <x:v>Include</x:v>
      </x:c>
      <x:c r="R683" s="22" t="str">
        <x:v>Retinal XAI study using anatomical masking and vessel-alignment validation beyond unvalidated heatmaps.</x:v>
      </x:c>
      <x:c r="S683" s="22" t="str">
        <x:v>Verification documented at process level</x:v>
      </x:c>
      <x:c r="T683" s="22" t="str">
        <x:v>Two additional authors performed random spot checks; individual spot-check assignments are not recorded in this register.</x:v>
      </x:c>
      <x:c r="U683" s="22" t="str">
        <x:v>Include</x:v>
      </x:c>
      <x:c r="V683" s="22" t="str">
        <x:v>Primary decision by the corresponding author; two additional authors performed random spot checks as a quality-control step.</x:v>
      </x:c>
      <x:c r="W683" s="22" t="str">
        <x:v>Yes</x:v>
      </x:c>
      <x:c r="X683" s="22" t="str">
        <x:v>Yes</x:v>
      </x:c>
      <x:c r="Y683" s="22" t="str">
        <x:v>Include</x:v>
      </x:c>
      <x:c r="Z683" s="22" t="str">
        <x:v>The corresponding author assessed the complete report and judged it eligible for inclusion in the review.</x:v>
      </x:c>
      <x:c r="AA683" s="22" t="str">
        <x:v>Verification documented at process level</x:v>
      </x:c>
      <x:c r="AB683" s="22" t="str">
        <x:v>Two additional authors performed random spot checks; individual spot-check assignments are not recorded in this register.</x:v>
      </x:c>
      <x:c r="AC683" s="22" t="str">
        <x:v>Include</x:v>
      </x:c>
      <x:c r="AD683" s="22" t="str">
        <x:v>Primary decision by the corresponding author; two additional authors performed random spot checks as a quality-control step.</x:v>
      </x:c>
      <x:c r="AE683" s="22" t="str">
        <x:v>Include</x:v>
      </x:c>
      <x:c r="AF683" s="22" t="str">
        <x:v>Direct retinal/ophthalmic evidence</x:v>
      </x:c>
      <x:c r="AG683" s="22" t="str">
        <x:v>Evidence: Screenshot_10-8-2026_181426_arxiv10.org.jpeg; result 4. Metadata transcribed from captured arXiv results page; OCR-normalised where visually clear.</x:v>
      </x:c>
      <x:c r="AH683" s="20" t="str">
        <x:v>Confirmed using normalized title across captured searches.</x:v>
      </x:c>
    </x:row>
    <x:row r="684" ht="42" customHeight="1">
      <x:c r="A684" s="22" t="str">
        <x:v>ARXIV-10-005</x:v>
      </x:c>
      <x:c r="B684" s="22" t="str">
        <x:v>arXiv</x:v>
      </x:c>
      <x:c r="C684" s="22" t="str">
        <x:v>ARXIV-10</x:v>
      </x:c>
      <x:c r="D684" s="22" t="str">
        <x:v>SAIL: Structure-Aware Interpretable Learning for Anatomy-Aligned Post-hoc Explanations in OCT</x:v>
      </x:c>
      <x:c r="E684" s="22" t="str">
        <x:v>NR — authors not captured in the available source record</x:v>
      </x:c>
      <x:c r="F684" s="22" t="str">
        <x:v>NR</x:v>
      </x:c>
      <x:c r="G684" s="22" t="str">
        <x:v>arXiv</x:v>
      </x:c>
      <x:c r="H684" s="22" t="str">
        <x:v>arXiv search result</x:v>
      </x:c>
      <x:c r="I684" s="22" t="str">
        <x:v>NR</x:v>
      </x:c>
      <x:c r="J684" s="22" t="str">
        <x:v>2605.02707</x:v>
      </x:c>
      <x:c r="K684" s="22" t="str">
        <x:v>https://arxiv.org/pdf/2605.02707</x:v>
      </x:c>
      <x:c r="L684" s="22" t="str">
        <x:v>Optical coherence tomography (OCT), a commonly used retinal imaging modality, plays a central role in retinal disease diagnosis by providing high-resolution visualization of retinal layers. While deep learning (DL) has achieved expert-level accuracy in OCT-based retinal disease detection, its "black box" nature poses challenges for clinical adoption, where explainability is essential for clinical trust and regulatory approval. Existing post-hoc explainable AI (XAI) methods often struggle to delineate fine-grained lesion structures, respect anatomical boundaries, or suppress noise, limiting the trustworthiness of their explanations. To bridge these gaps, we propose a Structure-Aware Interpretable Learning (SAIL) framework that integrates retinal anatomical priors at the representation level and couples them with semantic features via a fusion design. Without modifying standard post-hoc explainability methods, this representation yields sharper and more anatomically aligned attribution maps. Comprehensive experiments on diverse OCT datasets demonstrate that our structure-aware method consistently enhances interpretability, producing clinically meaningful and anatomy-aware explanations. Ablation studies further show that strong interpretability requires both structural priors and semantic features, and that properly fusing the two is critical to achieve the best explanation quality. Together, these results highlight structure-aware representations as a key step toward reliable explainability in OCT.</x:v>
      </x:c>
      <x:c r="M684" s="22" t="str">
        <x:v>No duplicate</x:v>
      </x:c>
      <x:c r="N684" s="22" t="str">
        <x:v>Not applicable — no duplicate group</x:v>
      </x:c>
      <x:c r="O684" s="22" t="str">
        <x:v>Not applicable</x:v>
      </x:c>
      <x:c r="P684" s="22" t="str">
        <x:v>Yes</x:v>
      </x:c>
      <x:c r="Q684" s="22" t="str">
        <x:v>Include</x:v>
      </x:c>
      <x:c r="R684" s="22" t="str">
        <x:v>Anatomy- and retinal-layer-aligned OCT explanation framework.</x:v>
      </x:c>
      <x:c r="S684" s="22" t="str">
        <x:v>Verification documented at process level</x:v>
      </x:c>
      <x:c r="T684" s="22" t="str">
        <x:v>Two additional authors performed random spot checks; individual spot-check assignments are not recorded in this register.</x:v>
      </x:c>
      <x:c r="U684" s="22" t="str">
        <x:v>Include</x:v>
      </x:c>
      <x:c r="V684" s="22" t="str">
        <x:v>Primary decision by the corresponding author; two additional authors performed random spot checks as a quality-control step.</x:v>
      </x:c>
      <x:c r="W684" s="22" t="str">
        <x:v>Yes</x:v>
      </x:c>
      <x:c r="X684" s="22" t="str">
        <x:v>Yes</x:v>
      </x:c>
      <x:c r="Y684" s="22" t="str">
        <x:v>Include</x:v>
      </x:c>
      <x:c r="Z684" s="22" t="str">
        <x:v>The corresponding author assessed the complete report and judged it eligible for inclusion in the review.</x:v>
      </x:c>
      <x:c r="AA684" s="22" t="str">
        <x:v>Verification documented at process level</x:v>
      </x:c>
      <x:c r="AB684" s="22" t="str">
        <x:v>Two additional authors performed random spot checks; individual spot-check assignments are not recorded in this register.</x:v>
      </x:c>
      <x:c r="AC684" s="22" t="str">
        <x:v>Include</x:v>
      </x:c>
      <x:c r="AD684" s="22" t="str">
        <x:v>Primary decision by the corresponding author; two additional authors performed random spot checks as a quality-control step.</x:v>
      </x:c>
      <x:c r="AE684" s="22" t="str">
        <x:v>Include</x:v>
      </x:c>
      <x:c r="AF684" s="22" t="str">
        <x:v>Direct retinal/ophthalmic evidence</x:v>
      </x:c>
      <x:c r="AG684" s="22" t="str">
        <x:v>Evidence: Screenshot_10-8-2026_181426_arxiv10.org.jpeg; result 5. Metadata transcribed from captured arXiv results page; OCR-normalised where visually clear.</x:v>
      </x:c>
      <x:c r="AH684" s="20" t="str">
        <x:v>No duplicate identified under the documented matching rules.</x:v>
      </x:c>
    </x:row>
    <x:row r="685" ht="42" customHeight="1">
      <x:c r="A685" s="22" t="str">
        <x:v>ARXIV-10-006</x:v>
      </x:c>
      <x:c r="B685" s="22" t="str">
        <x:v>arXiv</x:v>
      </x:c>
      <x:c r="C685" s="22" t="str">
        <x:v>ARXIV-10</x:v>
      </x:c>
      <x:c r="D685" s="22" t="str">
        <x:v>Representation Learning from OCT Images</x:v>
      </x:c>
      <x:c r="E685" s="22" t="str">
        <x:v>NR — authors not captured in the available source record</x:v>
      </x:c>
      <x:c r="F685" s="22" t="str">
        <x:v>NR</x:v>
      </x:c>
      <x:c r="G685" s="22" t="str">
        <x:v>arXiv</x:v>
      </x:c>
      <x:c r="H685" s="22" t="str">
        <x:v>arXiv search result</x:v>
      </x:c>
      <x:c r="I685" s="22" t="str">
        <x:v>NR</x:v>
      </x:c>
      <x:c r="J685" s="22" t="str">
        <x:v>NR</x:v>
      </x:c>
      <x:c r="K685" s="22" t="str">
        <x:v>NR — URL not captured in the available source record</x:v>
      </x:c>
      <x:c r="L685" s="22" t="str">
        <x:v>Not available in the captured evidence; the screening decision used the title and available source metadata.</x:v>
      </x:c>
      <x:c r="M685" s="22" t="str">
        <x:v>No duplicate</x:v>
      </x:c>
      <x:c r="N685" s="22" t="str">
        <x:v>Not applicable — no duplicate group</x:v>
      </x:c>
      <x:c r="O685" s="22" t="str">
        <x:v>Not applicable</x:v>
      </x:c>
      <x:c r="P685" s="22" t="str">
        <x:v>Yes</x:v>
      </x:c>
      <x:c r="Q685" s="22" t="str">
        <x:v>Exclude</x:v>
      </x:c>
      <x:c r="R685" s="22" t="str">
        <x:v>Review of OCT representation learning; not original empirical research (E4).</x:v>
      </x:c>
      <x:c r="S685" s="22" t="str">
        <x:v>Verification documented at process level</x:v>
      </x:c>
      <x:c r="T685" s="22" t="str">
        <x:v>Two additional authors performed random spot checks; individual spot-check assignments are not recorded in this register.</x:v>
      </x:c>
      <x:c r="U685" s="22" t="str">
        <x:v>Exclude</x:v>
      </x:c>
      <x:c r="V685" s="22" t="str">
        <x:v>Primary decision by the corresponding author; two additional authors performed random spot checks as a quality-control step.</x:v>
      </x:c>
      <x:c r="W685" s="22" t="str">
        <x:v>No</x:v>
      </x:c>
      <x:c r="X685" s="22" t="str">
        <x:v>Not applicable</x:v>
      </x:c>
      <x:c r="Y685" s="22" t="str">
        <x:v>Not assessed</x:v>
      </x:c>
      <x:c r="Z685" s="22" t="str">
        <x:v>Not advanced to full-text assessment after the title/abstract decision.</x:v>
      </x:c>
      <x:c r="AA685" s="22" t="str">
        <x:v>Not applicable</x:v>
      </x:c>
      <x:c r="AB685" s="22" t="str">
        <x:v>Record was not advanced to full-text assessment.</x:v>
      </x:c>
      <x:c r="AC685" s="22" t="str">
        <x:v>Not assessed</x:v>
      </x:c>
      <x:c r="AD685" s="22" t="str">
        <x:v>Not applicable — no full-text assessment was required.</x:v>
      </x:c>
      <x:c r="AE685" s="22" t="str">
        <x:v>Not included — title/abstract exclusion</x:v>
      </x:c>
      <x:c r="AF685" s="22" t="str">
        <x:v>Not applicable — not included</x:v>
      </x:c>
      <x:c r="AG685" s="22" t="str">
        <x:v>Evidence: Screenshot_10-8-2026_181426_arxiv10.org.jpeg; result 6. Metadata transcribed from captured arXiv results page; OCR-normalised where visually clear.</x:v>
      </x:c>
      <x:c r="AH685" s="20" t="str">
        <x:v>No duplicate identified under the documented matching rules.</x:v>
      </x:c>
    </x:row>
    <x:row r="686" ht="42" customHeight="1">
      <x:c r="A686" s="22" t="str">
        <x:v>ARXIV-10-007</x:v>
      </x:c>
      <x:c r="B686" s="22" t="str">
        <x:v>arXiv</x:v>
      </x:c>
      <x:c r="C686" s="22" t="str">
        <x:v>ARXIV-10</x:v>
      </x:c>
      <x:c r="D686" s="22" t="str">
        <x:v>REVEAL: Multimodal Vision-Language Alignment of Retinal Morphometry and Clinical Risk for Incident AD and Dementia Prediction</x:v>
      </x:c>
      <x:c r="E686" s="22" t="str">
        <x:v>NR — authors not captured in the available source record</x:v>
      </x:c>
      <x:c r="F686" s="22" t="str">
        <x:v>NR</x:v>
      </x:c>
      <x:c r="G686" s="22" t="str">
        <x:v>arXiv</x:v>
      </x:c>
      <x:c r="H686" s="22" t="str">
        <x:v>arXiv search result</x:v>
      </x:c>
      <x:c r="I686" s="22" t="str">
        <x:v>NR</x:v>
      </x:c>
      <x:c r="J686" s="22" t="str">
        <x:v>NR</x:v>
      </x:c>
      <x:c r="K686" s="22" t="str">
        <x:v>NR — URL not captured in the available source record</x:v>
      </x:c>
      <x:c r="L686" s="22" t="str">
        <x:v>Not available in the captured evidence; the screening decision used the title and available source metadata.</x:v>
      </x:c>
      <x:c r="M686" s="22" t="str">
        <x:v>No duplicate</x:v>
      </x:c>
      <x:c r="N686" s="22" t="str">
        <x:v>Not applicable — no duplicate group</x:v>
      </x:c>
      <x:c r="O686" s="22" t="str">
        <x:v>Not applicable</x:v>
      </x:c>
      <x:c r="P686" s="22" t="str">
        <x:v>Yes</x:v>
      </x:c>
      <x:c r="Q686" s="22" t="str">
        <x:v>Exclude</x:v>
      </x:c>
      <x:c r="R686" s="22" t="str">
        <x:v>Retinal-clinical representation alignment for prediction without a decision-explanation mechanism (E2).</x:v>
      </x:c>
      <x:c r="S686" s="22" t="str">
        <x:v>Verification documented at process level</x:v>
      </x:c>
      <x:c r="T686" s="22" t="str">
        <x:v>Two additional authors performed random spot checks; individual spot-check assignments are not recorded in this register.</x:v>
      </x:c>
      <x:c r="U686" s="22" t="str">
        <x:v>Exclude</x:v>
      </x:c>
      <x:c r="V686" s="22" t="str">
        <x:v>Primary decision by the corresponding author; two additional authors performed random spot checks as a quality-control step.</x:v>
      </x:c>
      <x:c r="W686" s="22" t="str">
        <x:v>No</x:v>
      </x:c>
      <x:c r="X686" s="22" t="str">
        <x:v>Not applicable</x:v>
      </x:c>
      <x:c r="Y686" s="22" t="str">
        <x:v>Not assessed</x:v>
      </x:c>
      <x:c r="Z686" s="22" t="str">
        <x:v>Not advanced to full-text assessment after the title/abstract decision.</x:v>
      </x:c>
      <x:c r="AA686" s="22" t="str">
        <x:v>Not applicable</x:v>
      </x:c>
      <x:c r="AB686" s="22" t="str">
        <x:v>Record was not advanced to full-text assessment.</x:v>
      </x:c>
      <x:c r="AC686" s="22" t="str">
        <x:v>Not assessed</x:v>
      </x:c>
      <x:c r="AD686" s="22" t="str">
        <x:v>Not applicable — no full-text assessment was required.</x:v>
      </x:c>
      <x:c r="AE686" s="22" t="str">
        <x:v>Not included — title/abstract exclusion</x:v>
      </x:c>
      <x:c r="AF686" s="22" t="str">
        <x:v>Not applicable — not included</x:v>
      </x:c>
      <x:c r="AG686" s="22" t="str">
        <x:v>Evidence: Screenshot_10-8-2026_181426_arxiv10.org.jpeg; result 7. Metadata transcribed from captured arXiv results page; OCR-normalised where visually clear.</x:v>
      </x:c>
      <x:c r="AH686" s="20" t="str">
        <x:v>No duplicate identified under the documented matching rules.</x:v>
      </x:c>
    </x:row>
    <x:row r="687" ht="42" customHeight="1">
      <x:c r="A687" s="22" t="str">
        <x:v>ARXIV-10-008</x:v>
      </x:c>
      <x:c r="B687" s="22" t="str">
        <x:v>arXiv</x:v>
      </x:c>
      <x:c r="C687" s="22" t="str">
        <x:v>ARXIV-10</x:v>
      </x:c>
      <x:c r="D687" s="22" t="str">
        <x:v>From Retinal Evidence to Safe Decisions: RETINA-SAFE and ECRT for Hallucination Risk Triage in Medical LLMs</x:v>
      </x:c>
      <x:c r="E687" s="22" t="str">
        <x:v>NR — authors not captured in the available source record</x:v>
      </x:c>
      <x:c r="F687" s="22" t="str">
        <x:v>NR</x:v>
      </x:c>
      <x:c r="G687" s="22" t="str">
        <x:v>arXiv</x:v>
      </x:c>
      <x:c r="H687" s="22" t="str">
        <x:v>arXiv search result</x:v>
      </x:c>
      <x:c r="I687" s="22" t="str">
        <x:v>NR</x:v>
      </x:c>
      <x:c r="J687" s="22" t="str">
        <x:v>NR</x:v>
      </x:c>
      <x:c r="K687" s="22" t="str">
        <x:v>NR — URL not captured in the available source record</x:v>
      </x:c>
      <x:c r="L687" s="22" t="str">
        <x:v>Not available in the captured evidence; the screening decision used the title and available source metadata.</x:v>
      </x:c>
      <x:c r="M687" s="22" t="str">
        <x:v>No duplicate</x:v>
      </x:c>
      <x:c r="N687" s="22" t="str">
        <x:v>Not applicable — no duplicate group</x:v>
      </x:c>
      <x:c r="O687" s="22" t="str">
        <x:v>Not applicable</x:v>
      </x:c>
      <x:c r="P687" s="22" t="str">
        <x:v>Yes</x:v>
      </x:c>
      <x:c r="Q687" s="22" t="str">
        <x:v>Exclude</x:v>
      </x:c>
      <x:c r="R687" s="22" t="str">
        <x:v>Medical-LLM hallucination triage rather than retinal-image concept explanation (E2).</x:v>
      </x:c>
      <x:c r="S687" s="22" t="str">
        <x:v>Verification documented at process level</x:v>
      </x:c>
      <x:c r="T687" s="22" t="str">
        <x:v>Two additional authors performed random spot checks; individual spot-check assignments are not recorded in this register.</x:v>
      </x:c>
      <x:c r="U687" s="22" t="str">
        <x:v>Exclude</x:v>
      </x:c>
      <x:c r="V687" s="22" t="str">
        <x:v>Primary decision by the corresponding author; two additional authors performed random spot checks as a quality-control step.</x:v>
      </x:c>
      <x:c r="W687" s="22" t="str">
        <x:v>No</x:v>
      </x:c>
      <x:c r="X687" s="22" t="str">
        <x:v>Not applicable</x:v>
      </x:c>
      <x:c r="Y687" s="22" t="str">
        <x:v>Not assessed</x:v>
      </x:c>
      <x:c r="Z687" s="22" t="str">
        <x:v>Not advanced to full-text assessment after the title/abstract decision.</x:v>
      </x:c>
      <x:c r="AA687" s="22" t="str">
        <x:v>Not applicable</x:v>
      </x:c>
      <x:c r="AB687" s="22" t="str">
        <x:v>Record was not advanced to full-text assessment.</x:v>
      </x:c>
      <x:c r="AC687" s="22" t="str">
        <x:v>Not assessed</x:v>
      </x:c>
      <x:c r="AD687" s="22" t="str">
        <x:v>Not applicable — no full-text assessment was required.</x:v>
      </x:c>
      <x:c r="AE687" s="22" t="str">
        <x:v>Not included — title/abstract exclusion</x:v>
      </x:c>
      <x:c r="AF687" s="22" t="str">
        <x:v>Not applicable — not included</x:v>
      </x:c>
      <x:c r="AG687" s="22" t="str">
        <x:v>Evidence: Screenshot_10-8-2026_181426_arxiv10.org.jpeg; result 8. Metadata transcribed from captured arXiv results page; OCR-normalised where visually clear.</x:v>
      </x:c>
      <x:c r="AH687" s="20" t="str">
        <x:v>No duplicate identified under the documented matching rules.</x:v>
      </x:c>
    </x:row>
    <x:row r="688" ht="42" customHeight="1">
      <x:c r="A688" s="22" t="str">
        <x:v>ARXIV-10-009</x:v>
      </x:c>
      <x:c r="B688" s="22" t="str">
        <x:v>arXiv</x:v>
      </x:c>
      <x:c r="C688" s="22" t="str">
        <x:v>ARXIV-10</x:v>
      </x:c>
      <x:c r="D688" s="22" t="str">
        <x:v>Towards Interpretable Foundation Models for Retinal Fundus Images</x:v>
      </x:c>
      <x:c r="E688" s="22" t="str">
        <x:v>NR — authors not captured in the available source record</x:v>
      </x:c>
      <x:c r="F688" s="22" t="str">
        <x:v>NR</x:v>
      </x:c>
      <x:c r="G688" s="22" t="str">
        <x:v>arXiv</x:v>
      </x:c>
      <x:c r="H688" s="22" t="str">
        <x:v>arXiv search result</x:v>
      </x:c>
      <x:c r="I688" s="22" t="str">
        <x:v>NR</x:v>
      </x:c>
      <x:c r="J688" s="22" t="str">
        <x:v>NR</x:v>
      </x:c>
      <x:c r="K688" s="22" t="str">
        <x:v>NR — URL not captured in the available source record</x:v>
      </x:c>
      <x:c r="L688" s="22" t="str">
        <x:v>Not available in the captured evidence; the screening decision used the title and available source metadata.</x:v>
      </x:c>
      <x:c r="M688" s="22" t="str">
        <x:v>No duplicate</x:v>
      </x:c>
      <x:c r="N688" s="22" t="str">
        <x:v>Not applicable — no duplicate group</x:v>
      </x:c>
      <x:c r="O688" s="22" t="str">
        <x:v>Not applicable</x:v>
      </x:c>
      <x:c r="P688" s="22" t="str">
        <x:v>Yes</x:v>
      </x:c>
      <x:c r="Q688" s="22" t="str">
        <x:v>Exclude</x:v>
      </x:c>
      <x:c r="R688" s="22" t="str">
        <x:v>Evidence maps and representation projection without semantic or clinical concept explanations (E2/E3).</x:v>
      </x:c>
      <x:c r="S688" s="22" t="str">
        <x:v>Verification documented at process level</x:v>
      </x:c>
      <x:c r="T688" s="22" t="str">
        <x:v>Two additional authors performed random spot checks; individual spot-check assignments are not recorded in this register.</x:v>
      </x:c>
      <x:c r="U688" s="22" t="str">
        <x:v>Exclude</x:v>
      </x:c>
      <x:c r="V688" s="22" t="str">
        <x:v>Primary decision by the corresponding author; two additional authors performed random spot checks as a quality-control step.</x:v>
      </x:c>
      <x:c r="W688" s="22" t="str">
        <x:v>No</x:v>
      </x:c>
      <x:c r="X688" s="22" t="str">
        <x:v>Not applicable</x:v>
      </x:c>
      <x:c r="Y688" s="22" t="str">
        <x:v>Not assessed</x:v>
      </x:c>
      <x:c r="Z688" s="22" t="str">
        <x:v>Not advanced to full-text assessment after the title/abstract decision.</x:v>
      </x:c>
      <x:c r="AA688" s="22" t="str">
        <x:v>Not applicable</x:v>
      </x:c>
      <x:c r="AB688" s="22" t="str">
        <x:v>Record was not advanced to full-text assessment.</x:v>
      </x:c>
      <x:c r="AC688" s="22" t="str">
        <x:v>Not assessed</x:v>
      </x:c>
      <x:c r="AD688" s="22" t="str">
        <x:v>Not applicable — no full-text assessment was required.</x:v>
      </x:c>
      <x:c r="AE688" s="22" t="str">
        <x:v>Not included — title/abstract exclusion</x:v>
      </x:c>
      <x:c r="AF688" s="22" t="str">
        <x:v>Not applicable — not included</x:v>
      </x:c>
      <x:c r="AG688" s="22" t="str">
        <x:v>Evidence: Screenshot_10-8-2026_181426_arxiv10.org.jpeg; result 9. Metadata transcribed from captured arXiv results page; OCR-normalised where visually clear.</x:v>
      </x:c>
      <x:c r="AH688" s="20" t="str">
        <x:v>No duplicate identified under the documented matching rules.</x:v>
      </x:c>
    </x:row>
    <x:row r="689" ht="42" customHeight="1">
      <x:c r="A689" s="22" t="str">
        <x:v>ARXIV-10-010</x:v>
      </x:c>
      <x:c r="B689" s="22" t="str">
        <x:v>arXiv</x:v>
      </x:c>
      <x:c r="C689" s="22" t="str">
        <x:v>ARXIV-10</x:v>
      </x:c>
      <x:c r="D689" s="22" t="str">
        <x:v>Quant-multimodal-based pathophysiological feature learning for retinal disease diagnosis</x:v>
      </x:c>
      <x:c r="E689" s="22" t="str">
        <x:v>NR — authors not captured in the available source record</x:v>
      </x:c>
      <x:c r="F689" s="22" t="str">
        <x:v>NR</x:v>
      </x:c>
      <x:c r="G689" s="22" t="str">
        <x:v>arXiv</x:v>
      </x:c>
      <x:c r="H689" s="22" t="str">
        <x:v>arXiv search result</x:v>
      </x:c>
      <x:c r="I689" s="22" t="str">
        <x:v>NR</x:v>
      </x:c>
      <x:c r="J689" s="22" t="str">
        <x:v>NR</x:v>
      </x:c>
      <x:c r="K689" s="22" t="str">
        <x:v>NR — URL not captured in the available source record</x:v>
      </x:c>
      <x:c r="L689" s="22" t="str">
        <x:v>Not available in the captured evidence; the screening decision used the title and available source metadata.</x:v>
      </x:c>
      <x:c r="M689" s="22" t="str">
        <x:v>No duplicate</x:v>
      </x:c>
      <x:c r="N689" s="22" t="str">
        <x:v>Not applicable — no duplicate group</x:v>
      </x:c>
      <x:c r="O689" s="22" t="str">
        <x:v>Not applicable</x:v>
      </x:c>
      <x:c r="P689" s="22" t="str">
        <x:v>Yes</x:v>
      </x:c>
      <x:c r="Q689" s="22" t="str">
        <x:v>Exclude</x:v>
      </x:c>
      <x:c r="R689" s="22" t="str">
        <x:v>Multimodal classification using saliency and feature-space visualisation only (E3).</x:v>
      </x:c>
      <x:c r="S689" s="22" t="str">
        <x:v>Verification documented at process level</x:v>
      </x:c>
      <x:c r="T689" s="22" t="str">
        <x:v>Two additional authors performed random spot checks; individual spot-check assignments are not recorded in this register.</x:v>
      </x:c>
      <x:c r="U689" s="22" t="str">
        <x:v>Exclude</x:v>
      </x:c>
      <x:c r="V689" s="22" t="str">
        <x:v>Primary decision by the corresponding author; two additional authors performed random spot checks as a quality-control step.</x:v>
      </x:c>
      <x:c r="W689" s="22" t="str">
        <x:v>No</x:v>
      </x:c>
      <x:c r="X689" s="22" t="str">
        <x:v>Not applicable</x:v>
      </x:c>
      <x:c r="Y689" s="22" t="str">
        <x:v>Not assessed</x:v>
      </x:c>
      <x:c r="Z689" s="22" t="str">
        <x:v>Not advanced to full-text assessment after the title/abstract decision.</x:v>
      </x:c>
      <x:c r="AA689" s="22" t="str">
        <x:v>Not applicable</x:v>
      </x:c>
      <x:c r="AB689" s="22" t="str">
        <x:v>Record was not advanced to full-text assessment.</x:v>
      </x:c>
      <x:c r="AC689" s="22" t="str">
        <x:v>Not assessed</x:v>
      </x:c>
      <x:c r="AD689" s="22" t="str">
        <x:v>Not applicable — no full-text assessment was required.</x:v>
      </x:c>
      <x:c r="AE689" s="22" t="str">
        <x:v>Not included — title/abstract exclusion</x:v>
      </x:c>
      <x:c r="AF689" s="22" t="str">
        <x:v>Not applicable — not included</x:v>
      </x:c>
      <x:c r="AG689" s="22" t="str">
        <x:v>Evidence: Screenshot_10-8-2026_181426_arxiv10.org.jpeg; result 10. Metadata transcribed from captured arXiv results page; OCR-normalised where visually clear.</x:v>
      </x:c>
      <x:c r="AH689" s="20" t="str">
        <x:v>No duplicate identified under the documented matching rules.</x:v>
      </x:c>
    </x:row>
    <x:row r="690" ht="42" customHeight="1">
      <x:c r="A690" s="22" t="str">
        <x:v>ARXIV-10-011</x:v>
      </x:c>
      <x:c r="B690" s="22" t="str">
        <x:v>arXiv</x:v>
      </x:c>
      <x:c r="C690" s="22" t="str">
        <x:v>ARXIV-10</x:v>
      </x:c>
      <x:c r="D690" s="22" t="str">
        <x:v>Native Intelligence Emerges from Large-Scale Clinical Practice: A Retinal Foundation Model with Deployment Efficiency</x:v>
      </x:c>
      <x:c r="E690" s="22" t="str">
        <x:v>NR — authors not captured in the available source record</x:v>
      </x:c>
      <x:c r="F690" s="22" t="str">
        <x:v>NR</x:v>
      </x:c>
      <x:c r="G690" s="22" t="str">
        <x:v>arXiv</x:v>
      </x:c>
      <x:c r="H690" s="22" t="str">
        <x:v>arXiv search result</x:v>
      </x:c>
      <x:c r="I690" s="22" t="str">
        <x:v>NR</x:v>
      </x:c>
      <x:c r="J690" s="22" t="str">
        <x:v>NR</x:v>
      </x:c>
      <x:c r="K690" s="22" t="str">
        <x:v>NR — URL not captured in the available source record</x:v>
      </x:c>
      <x:c r="L690" s="22" t="str">
        <x:v>Not available in the captured evidence; the screening decision used the title and available source metadata.</x:v>
      </x:c>
      <x:c r="M690" s="22" t="str">
        <x:v>No duplicate</x:v>
      </x:c>
      <x:c r="N690" s="22" t="str">
        <x:v>Not applicable — no duplicate group</x:v>
      </x:c>
      <x:c r="O690" s="22" t="str">
        <x:v>Not applicable</x:v>
      </x:c>
      <x:c r="P690" s="22" t="str">
        <x:v>Yes</x:v>
      </x:c>
      <x:c r="Q690" s="22" t="str">
        <x:v>Exclude</x:v>
      </x:c>
      <x:c r="R690" s="22" t="str">
        <x:v>Retinal foundation-model efficiency without a relevant explanation method (E2).</x:v>
      </x:c>
      <x:c r="S690" s="22" t="str">
        <x:v>Verification documented at process level</x:v>
      </x:c>
      <x:c r="T690" s="22" t="str">
        <x:v>Two additional authors performed random spot checks; individual spot-check assignments are not recorded in this register.</x:v>
      </x:c>
      <x:c r="U690" s="22" t="str">
        <x:v>Exclude</x:v>
      </x:c>
      <x:c r="V690" s="22" t="str">
        <x:v>Primary decision by the corresponding author; two additional authors performed random spot checks as a quality-control step.</x:v>
      </x:c>
      <x:c r="W690" s="22" t="str">
        <x:v>No</x:v>
      </x:c>
      <x:c r="X690" s="22" t="str">
        <x:v>Not applicable</x:v>
      </x:c>
      <x:c r="Y690" s="22" t="str">
        <x:v>Not assessed</x:v>
      </x:c>
      <x:c r="Z690" s="22" t="str">
        <x:v>Not advanced to full-text assessment after the title/abstract decision.</x:v>
      </x:c>
      <x:c r="AA690" s="22" t="str">
        <x:v>Not applicable</x:v>
      </x:c>
      <x:c r="AB690" s="22" t="str">
        <x:v>Record was not advanced to full-text assessment.</x:v>
      </x:c>
      <x:c r="AC690" s="22" t="str">
        <x:v>Not assessed</x:v>
      </x:c>
      <x:c r="AD690" s="22" t="str">
        <x:v>Not applicable — no full-text assessment was required.</x:v>
      </x:c>
      <x:c r="AE690" s="22" t="str">
        <x:v>Not included — title/abstract exclusion</x:v>
      </x:c>
      <x:c r="AF690" s="22" t="str">
        <x:v>Not applicable — not included</x:v>
      </x:c>
      <x:c r="AG690" s="22" t="str">
        <x:v>Evidence: Screenshot_10-8-2026_181426_arxiv10.org.jpeg; result 11. Metadata transcribed from captured arXiv results page; OCR-normalised where visually clear.</x:v>
      </x:c>
      <x:c r="AH690" s="20" t="str">
        <x:v>No duplicate identified under the documented matching rules.</x:v>
      </x:c>
    </x:row>
    <x:row r="691" ht="42" customHeight="1">
      <x:c r="A691" s="22" t="str">
        <x:v>ARXIV-10-012</x:v>
      </x:c>
      <x:c r="B691" s="22" t="str">
        <x:v>arXiv</x:v>
      </x:c>
      <x:c r="C691" s="22" t="str">
        <x:v>ARXIV-10</x:v>
      </x:c>
      <x:c r="D691" s="22" t="str">
        <x:v>Improving Vision for Object Recognition</x:v>
      </x:c>
      <x:c r="E691" s="22" t="str">
        <x:v>NR — authors not captured in the available source record</x:v>
      </x:c>
      <x:c r="F691" s="22" t="str">
        <x:v>NR</x:v>
      </x:c>
      <x:c r="G691" s="22" t="str">
        <x:v>arXiv</x:v>
      </x:c>
      <x:c r="H691" s="22" t="str">
        <x:v>arXiv search result</x:v>
      </x:c>
      <x:c r="I691" s="22" t="str">
        <x:v>NR</x:v>
      </x:c>
      <x:c r="J691" s="22" t="str">
        <x:v>NR</x:v>
      </x:c>
      <x:c r="K691" s="22" t="str">
        <x:v>NR — URL not captured in the available source record</x:v>
      </x:c>
      <x:c r="L691" s="22" t="str">
        <x:v>Not available in the captured evidence; the screening decision used the title and available source metadata.</x:v>
      </x:c>
      <x:c r="M691" s="22" t="str">
        <x:v>No duplicate</x:v>
      </x:c>
      <x:c r="N691" s="22" t="str">
        <x:v>Not applicable — no duplicate group</x:v>
      </x:c>
      <x:c r="O691" s="22" t="str">
        <x:v>Not applicable</x:v>
      </x:c>
      <x:c r="P691" s="22" t="str">
        <x:v>Yes</x:v>
      </x:c>
      <x:c r="Q691" s="22" t="str">
        <x:v>Exclude</x:v>
      </x:c>
      <x:c r="R691" s="22" t="str">
        <x:v>General object-recognition research; wrong domain (E1).</x:v>
      </x:c>
      <x:c r="S691" s="22" t="str">
        <x:v>Verification documented at process level</x:v>
      </x:c>
      <x:c r="T691" s="22" t="str">
        <x:v>Two additional authors performed random spot checks; individual spot-check assignments are not recorded in this register.</x:v>
      </x:c>
      <x:c r="U691" s="22" t="str">
        <x:v>Exclude</x:v>
      </x:c>
      <x:c r="V691" s="22" t="str">
        <x:v>Primary decision by the corresponding author; two additional authors performed random spot checks as a quality-control step.</x:v>
      </x:c>
      <x:c r="W691" s="22" t="str">
        <x:v>No</x:v>
      </x:c>
      <x:c r="X691" s="22" t="str">
        <x:v>Not applicable</x:v>
      </x:c>
      <x:c r="Y691" s="22" t="str">
        <x:v>Not assessed</x:v>
      </x:c>
      <x:c r="Z691" s="22" t="str">
        <x:v>Not advanced to full-text assessment after the title/abstract decision.</x:v>
      </x:c>
      <x:c r="AA691" s="22" t="str">
        <x:v>Not applicable</x:v>
      </x:c>
      <x:c r="AB691" s="22" t="str">
        <x:v>Record was not advanced to full-text assessment.</x:v>
      </x:c>
      <x:c r="AC691" s="22" t="str">
        <x:v>Not assessed</x:v>
      </x:c>
      <x:c r="AD691" s="22" t="str">
        <x:v>Not applicable — no full-text assessment was required.</x:v>
      </x:c>
      <x:c r="AE691" s="22" t="str">
        <x:v>Not included — title/abstract exclusion</x:v>
      </x:c>
      <x:c r="AF691" s="22" t="str">
        <x:v>Not applicable — not included</x:v>
      </x:c>
      <x:c r="AG691" s="22" t="str">
        <x:v>Evidence: Screenshot_10-8-2026_181426_arxiv10.org.jpeg; result 12. Metadata transcribed from captured arXiv results page; OCR-normalised where visually clear.</x:v>
      </x:c>
      <x:c r="AH691" s="20" t="str">
        <x:v>No duplicate identified under the documented matching rules.</x:v>
      </x:c>
    </x:row>
    <x:row r="692" ht="42" customHeight="1">
      <x:c r="A692" s="22" t="str">
        <x:v>ARXIV-10-013</x:v>
      </x:c>
      <x:c r="B692" s="22" t="str">
        <x:v>arXiv</x:v>
      </x:c>
      <x:c r="C692" s="22" t="str">
        <x:v>ARXIV-10</x:v>
      </x:c>
      <x:c r="D692" s="22" t="str">
        <x:v>AIC-Net: An Anatomically-Informed Cross-Attention Network with Multi-Task Consistency Fine-tuning for 3D Glaucoma Classification</x:v>
      </x:c>
      <x:c r="E692" s="22" t="str">
        <x:v>NR — authors not captured in the available source record</x:v>
      </x:c>
      <x:c r="F692" s="22" t="str">
        <x:v>NR</x:v>
      </x:c>
      <x:c r="G692" s="22" t="str">
        <x:v>arXiv</x:v>
      </x:c>
      <x:c r="H692" s="22" t="str">
        <x:v>arXiv search result</x:v>
      </x:c>
      <x:c r="I692" s="22" t="str">
        <x:v>NR</x:v>
      </x:c>
      <x:c r="J692" s="22" t="str">
        <x:v>NR</x:v>
      </x:c>
      <x:c r="K692" s="22" t="str">
        <x:v>NR — URL not captured in the available source record</x:v>
      </x:c>
      <x:c r="L692" s="22" t="str">
        <x:v>Not available in the captured evidence; the screening decision used the title and available source metadata.</x:v>
      </x:c>
      <x:c r="M692" s="22" t="str">
        <x:v>No duplicate</x:v>
      </x:c>
      <x:c r="N692" s="22" t="str">
        <x:v>Not applicable — no duplicate group</x:v>
      </x:c>
      <x:c r="O692" s="22" t="str">
        <x:v>Not applicable</x:v>
      </x:c>
      <x:c r="P692" s="22" t="str">
        <x:v>Yes</x:v>
      </x:c>
      <x:c r="Q692" s="22" t="str">
        <x:v>Exclude</x:v>
      </x:c>
      <x:c r="R692" s="22" t="str">
        <x:v>Anatomical cross-attention for classification; attention alone is insufficient (E3).</x:v>
      </x:c>
      <x:c r="S692" s="22" t="str">
        <x:v>Verification documented at process level</x:v>
      </x:c>
      <x:c r="T692" s="22" t="str">
        <x:v>Two additional authors performed random spot checks; individual spot-check assignments are not recorded in this register.</x:v>
      </x:c>
      <x:c r="U692" s="22" t="str">
        <x:v>Exclude</x:v>
      </x:c>
      <x:c r="V692" s="22" t="str">
        <x:v>Primary decision by the corresponding author; two additional authors performed random spot checks as a quality-control step.</x:v>
      </x:c>
      <x:c r="W692" s="22" t="str">
        <x:v>No</x:v>
      </x:c>
      <x:c r="X692" s="22" t="str">
        <x:v>Not applicable</x:v>
      </x:c>
      <x:c r="Y692" s="22" t="str">
        <x:v>Not assessed</x:v>
      </x:c>
      <x:c r="Z692" s="22" t="str">
        <x:v>Not advanced to full-text assessment after the title/abstract decision.</x:v>
      </x:c>
      <x:c r="AA692" s="22" t="str">
        <x:v>Not applicable</x:v>
      </x:c>
      <x:c r="AB692" s="22" t="str">
        <x:v>Record was not advanced to full-text assessment.</x:v>
      </x:c>
      <x:c r="AC692" s="22" t="str">
        <x:v>Not assessed</x:v>
      </x:c>
      <x:c r="AD692" s="22" t="str">
        <x:v>Not applicable — no full-text assessment was required.</x:v>
      </x:c>
      <x:c r="AE692" s="22" t="str">
        <x:v>Not included — title/abstract exclusion</x:v>
      </x:c>
      <x:c r="AF692" s="22" t="str">
        <x:v>Not applicable — not included</x:v>
      </x:c>
      <x:c r="AG692" s="22" t="str">
        <x:v>Evidence: Screenshot_10-8-2026_181426_arxiv10.org.jpeg; result 13. Metadata transcribed from captured arXiv results page; OCR-normalised where visually clear.</x:v>
      </x:c>
      <x:c r="AH692" s="20" t="str">
        <x:v>No duplicate identified under the documented matching rules.</x:v>
      </x:c>
    </x:row>
    <x:row r="693" ht="42" customHeight="1">
      <x:c r="A693" s="22" t="str">
        <x:v>ARXIV-10-014</x:v>
      </x:c>
      <x:c r="B693" s="22" t="str">
        <x:v>arXiv</x:v>
      </x:c>
      <x:c r="C693" s="22" t="str">
        <x:v>ARXIV-10</x:v>
      </x:c>
      <x:c r="D693" s="22" t="str">
        <x:v>Meta-Learning Theory-Informed Inductive Biases Using Deep Kernel Gaussian Processes</x:v>
      </x:c>
      <x:c r="E693" s="22" t="str">
        <x:v>NR — authors not captured in the available source record</x:v>
      </x:c>
      <x:c r="F693" s="22" t="str">
        <x:v>NR</x:v>
      </x:c>
      <x:c r="G693" s="22" t="str">
        <x:v>arXiv</x:v>
      </x:c>
      <x:c r="H693" s="22" t="str">
        <x:v>arXiv search result</x:v>
      </x:c>
      <x:c r="I693" s="22" t="str">
        <x:v>NR</x:v>
      </x:c>
      <x:c r="J693" s="22" t="str">
        <x:v>NR</x:v>
      </x:c>
      <x:c r="K693" s="22" t="str">
        <x:v>NR — URL not captured in the available source record</x:v>
      </x:c>
      <x:c r="L693" s="22" t="str">
        <x:v>Not available in the captured evidence; the screening decision used the title and available source metadata.</x:v>
      </x:c>
      <x:c r="M693" s="22" t="str">
        <x:v>No duplicate</x:v>
      </x:c>
      <x:c r="N693" s="22" t="str">
        <x:v>Not applicable — no duplicate group</x:v>
      </x:c>
      <x:c r="O693" s="22" t="str">
        <x:v>Not applicable</x:v>
      </x:c>
      <x:c r="P693" s="22" t="str">
        <x:v>Yes</x:v>
      </x:c>
      <x:c r="Q693" s="22" t="str">
        <x:v>Exclude</x:v>
      </x:c>
      <x:c r="R693" s="22" t="str">
        <x:v>Generic meta-learning/deep-kernel method without relevant retinal XAI (E1/E2).</x:v>
      </x:c>
      <x:c r="S693" s="22" t="str">
        <x:v>Verification documented at process level</x:v>
      </x:c>
      <x:c r="T693" s="22" t="str">
        <x:v>Two additional authors performed random spot checks; individual spot-check assignments are not recorded in this register.</x:v>
      </x:c>
      <x:c r="U693" s="22" t="str">
        <x:v>Exclude</x:v>
      </x:c>
      <x:c r="V693" s="22" t="str">
        <x:v>Primary decision by the corresponding author; two additional authors performed random spot checks as a quality-control step.</x:v>
      </x:c>
      <x:c r="W693" s="22" t="str">
        <x:v>No</x:v>
      </x:c>
      <x:c r="X693" s="22" t="str">
        <x:v>Not applicable</x:v>
      </x:c>
      <x:c r="Y693" s="22" t="str">
        <x:v>Not assessed</x:v>
      </x:c>
      <x:c r="Z693" s="22" t="str">
        <x:v>Not advanced to full-text assessment after the title/abstract decision.</x:v>
      </x:c>
      <x:c r="AA693" s="22" t="str">
        <x:v>Not applicable</x:v>
      </x:c>
      <x:c r="AB693" s="22" t="str">
        <x:v>Record was not advanced to full-text assessment.</x:v>
      </x:c>
      <x:c r="AC693" s="22" t="str">
        <x:v>Not assessed</x:v>
      </x:c>
      <x:c r="AD693" s="22" t="str">
        <x:v>Not applicable — no full-text assessment was required.</x:v>
      </x:c>
      <x:c r="AE693" s="22" t="str">
        <x:v>Not included — title/abstract exclusion</x:v>
      </x:c>
      <x:c r="AF693" s="22" t="str">
        <x:v>Not applicable — not included</x:v>
      </x:c>
      <x:c r="AG693" s="22" t="str">
        <x:v>Evidence: Screenshot_10-8-2026_181426_arxiv10.org.jpeg; result 14. Metadata transcribed from captured arXiv results page; OCR-normalised where visually clear.</x:v>
      </x:c>
      <x:c r="AH693" s="20" t="str">
        <x:v>No duplicate identified under the documented matching rules.</x:v>
      </x:c>
    </x:row>
    <x:row r="694" ht="42" customHeight="1">
      <x:c r="A694" s="22" t="str">
        <x:v>ARXIV-10-015</x:v>
      </x:c>
      <x:c r="B694" s="22" t="str">
        <x:v>arXiv</x:v>
      </x:c>
      <x:c r="C694" s="22" t="str">
        <x:v>ARXIV-10</x:v>
      </x:c>
      <x:c r="D694" s="22" t="str">
        <x:v>DeepEyeNet: Generating Medical Report for Retinal Images</x:v>
      </x:c>
      <x:c r="E694" s="22" t="str">
        <x:v>NR — authors not captured in the available source record</x:v>
      </x:c>
      <x:c r="F694" s="22" t="str">
        <x:v>NR</x:v>
      </x:c>
      <x:c r="G694" s="22" t="str">
        <x:v>arXiv</x:v>
      </x:c>
      <x:c r="H694" s="22" t="str">
        <x:v>arXiv search result</x:v>
      </x:c>
      <x:c r="I694" s="22" t="str">
        <x:v>NR</x:v>
      </x:c>
      <x:c r="J694" s="22" t="str">
        <x:v>NR</x:v>
      </x:c>
      <x:c r="K694" s="22" t="str">
        <x:v>NR — URL not captured in the available source record</x:v>
      </x:c>
      <x:c r="L694" s="22" t="str">
        <x:v>Not available in the captured evidence; the screening decision used the title and available source metadata.</x:v>
      </x:c>
      <x:c r="M694" s="22" t="str">
        <x:v>No duplicate</x:v>
      </x:c>
      <x:c r="N694" s="22" t="str">
        <x:v>Not applicable — no duplicate group</x:v>
      </x:c>
      <x:c r="O694" s="22" t="str">
        <x:v>Not applicable</x:v>
      </x:c>
      <x:c r="P694" s="22" t="str">
        <x:v>Yes</x:v>
      </x:c>
      <x:c r="Q694" s="22" t="str">
        <x:v>Exclude</x:v>
      </x:c>
      <x:c r="R694" s="22" t="str">
        <x:v>Retinal report generation without concept-based decision explanations (E2).</x:v>
      </x:c>
      <x:c r="S694" s="22" t="str">
        <x:v>Verification documented at process level</x:v>
      </x:c>
      <x:c r="T694" s="22" t="str">
        <x:v>Two additional authors performed random spot checks; individual spot-check assignments are not recorded in this register.</x:v>
      </x:c>
      <x:c r="U694" s="22" t="str">
        <x:v>Exclude</x:v>
      </x:c>
      <x:c r="V694" s="22" t="str">
        <x:v>Primary decision by the corresponding author; two additional authors performed random spot checks as a quality-control step.</x:v>
      </x:c>
      <x:c r="W694" s="22" t="str">
        <x:v>No</x:v>
      </x:c>
      <x:c r="X694" s="22" t="str">
        <x:v>Not applicable</x:v>
      </x:c>
      <x:c r="Y694" s="22" t="str">
        <x:v>Not assessed</x:v>
      </x:c>
      <x:c r="Z694" s="22" t="str">
        <x:v>Not advanced to full-text assessment after the title/abstract decision.</x:v>
      </x:c>
      <x:c r="AA694" s="22" t="str">
        <x:v>Not applicable</x:v>
      </x:c>
      <x:c r="AB694" s="22" t="str">
        <x:v>Record was not advanced to full-text assessment.</x:v>
      </x:c>
      <x:c r="AC694" s="22" t="str">
        <x:v>Not assessed</x:v>
      </x:c>
      <x:c r="AD694" s="22" t="str">
        <x:v>Not applicable — no full-text assessment was required.</x:v>
      </x:c>
      <x:c r="AE694" s="22" t="str">
        <x:v>Not included — title/abstract exclusion</x:v>
      </x:c>
      <x:c r="AF694" s="22" t="str">
        <x:v>Not applicable — not included</x:v>
      </x:c>
      <x:c r="AG694" s="22" t="str">
        <x:v>Evidence: Screenshot_10-8-2026_181426_arxiv10.org.jpeg; result 15. Metadata transcribed from captured arXiv results page; OCR-normalised where visually clear.</x:v>
      </x:c>
      <x:c r="AH694" s="20" t="str">
        <x:v>No duplicate identified under the documented matching rules.</x:v>
      </x:c>
    </x:row>
    <x:row r="695" ht="42" customHeight="1">
      <x:c r="A695" s="22" t="str">
        <x:v>ARXIV-10-016</x:v>
      </x:c>
      <x:c r="B695" s="22" t="str">
        <x:v>arXiv</x:v>
      </x:c>
      <x:c r="C695" s="22" t="str">
        <x:v>ARXIV-10</x:v>
      </x:c>
      <x:c r="D695" s="22" t="str">
        <x:v>DRethNet: A Novel Deep Learning Framework for Diabetic Retinopathy Diagnosis</x:v>
      </x:c>
      <x:c r="E695" s="22" t="str">
        <x:v>NR — authors not captured in the available source record</x:v>
      </x:c>
      <x:c r="F695" s="22" t="str">
        <x:v>NR</x:v>
      </x:c>
      <x:c r="G695" s="22" t="str">
        <x:v>arXiv</x:v>
      </x:c>
      <x:c r="H695" s="22" t="str">
        <x:v>arXiv search result</x:v>
      </x:c>
      <x:c r="I695" s="22" t="str">
        <x:v>NR</x:v>
      </x:c>
      <x:c r="J695" s="22" t="str">
        <x:v>NR</x:v>
      </x:c>
      <x:c r="K695" s="22" t="str">
        <x:v>NR — URL not captured in the available source record</x:v>
      </x:c>
      <x:c r="L695" s="22" t="str">
        <x:v>Not available in the captured evidence; the screening decision used the title and available source metadata.</x:v>
      </x:c>
      <x:c r="M695" s="22" t="str">
        <x:v>No duplicate</x:v>
      </x:c>
      <x:c r="N695" s="22" t="str">
        <x:v>Not applicable — no duplicate group</x:v>
      </x:c>
      <x:c r="O695" s="22" t="str">
        <x:v>Not applicable</x:v>
      </x:c>
      <x:c r="P695" s="22" t="str">
        <x:v>Yes</x:v>
      </x:c>
      <x:c r="Q695" s="22" t="str">
        <x:v>Exclude</x:v>
      </x:c>
      <x:c r="R695" s="22" t="str">
        <x:v>Standard deep-learning DR diagnosis without concept-oriented XAI (E2).</x:v>
      </x:c>
      <x:c r="S695" s="22" t="str">
        <x:v>Verification documented at process level</x:v>
      </x:c>
      <x:c r="T695" s="22" t="str">
        <x:v>Two additional authors performed random spot checks; individual spot-check assignments are not recorded in this register.</x:v>
      </x:c>
      <x:c r="U695" s="22" t="str">
        <x:v>Exclude</x:v>
      </x:c>
      <x:c r="V695" s="22" t="str">
        <x:v>Primary decision by the corresponding author; two additional authors performed random spot checks as a quality-control step.</x:v>
      </x:c>
      <x:c r="W695" s="22" t="str">
        <x:v>No</x:v>
      </x:c>
      <x:c r="X695" s="22" t="str">
        <x:v>Not applicable</x:v>
      </x:c>
      <x:c r="Y695" s="22" t="str">
        <x:v>Not assessed</x:v>
      </x:c>
      <x:c r="Z695" s="22" t="str">
        <x:v>Not advanced to full-text assessment after the title/abstract decision.</x:v>
      </x:c>
      <x:c r="AA695" s="22" t="str">
        <x:v>Not applicable</x:v>
      </x:c>
      <x:c r="AB695" s="22" t="str">
        <x:v>Record was not advanced to full-text assessment.</x:v>
      </x:c>
      <x:c r="AC695" s="22" t="str">
        <x:v>Not assessed</x:v>
      </x:c>
      <x:c r="AD695" s="22" t="str">
        <x:v>Not applicable — no full-text assessment was required.</x:v>
      </x:c>
      <x:c r="AE695" s="22" t="str">
        <x:v>Not included — title/abstract exclusion</x:v>
      </x:c>
      <x:c r="AF695" s="22" t="str">
        <x:v>Not applicable — not included</x:v>
      </x:c>
      <x:c r="AG695" s="22" t="str">
        <x:v>Evidence: Screenshot_10-8-2026_181426_arxiv10.org.jpeg; result 16. Metadata transcribed from captured arXiv results page; OCR-normalised where visually clear.</x:v>
      </x:c>
      <x:c r="AH695" s="20" t="str">
        <x:v>No duplicate identified under the documented matching rules.</x:v>
      </x:c>
    </x:row>
    <x:row r="696" ht="42" customHeight="1">
      <x:c r="A696" s="22" t="str">
        <x:v>ARXIV-10-017</x:v>
      </x:c>
      <x:c r="B696" s="22" t="str">
        <x:v>arXiv</x:v>
      </x:c>
      <x:c r="C696" s="22" t="str">
        <x:v>ARXIV-10</x:v>
      </x:c>
      <x:c r="D696" s="22" t="str">
        <x:v>Prototype-Guided and Lightweight Adapters for Inherent Interpretation and Generalisation in Federated Learning</x:v>
      </x:c>
      <x:c r="E696" s="22" t="str">
        <x:v>NR — authors not captured in the available source record</x:v>
      </x:c>
      <x:c r="F696" s="22" t="str">
        <x:v>NR</x:v>
      </x:c>
      <x:c r="G696" s="22" t="str">
        <x:v>arXiv</x:v>
      </x:c>
      <x:c r="H696" s="22" t="str">
        <x:v>arXiv search result</x:v>
      </x:c>
      <x:c r="I696" s="22" t="str">
        <x:v>NR</x:v>
      </x:c>
      <x:c r="J696" s="22" t="str">
        <x:v>NR</x:v>
      </x:c>
      <x:c r="K696" s="22" t="str">
        <x:v>NR — URL not captured in the available source record</x:v>
      </x:c>
      <x:c r="L696" s="22" t="str">
        <x:v>Not available in the captured evidence; the screening decision used the title and available source metadata.</x:v>
      </x:c>
      <x:c r="M696" s="22" t="str">
        <x:v>Confirmed duplicate</x:v>
      </x:c>
      <x:c r="N696" s="22" t="str">
        <x:v>DG-021</x:v>
      </x:c>
      <x:c r="O696" s="22" t="str">
        <x:v>ARXIV-02-006</x:v>
      </x:c>
      <x:c r="P696" s="22" t="str">
        <x:v>No</x:v>
      </x:c>
      <x:c r="Q696" s="22" t="str">
        <x:v>Not screened</x:v>
      </x:c>
      <x:c r="R696" s="22" t="str">
        <x:v>Removed before title/abstract screening as a confirmed duplicate.</x:v>
      </x:c>
      <x:c r="S696" s="22" t="str">
        <x:v>Not applicable — removed before screening</x:v>
      </x:c>
      <x:c r="T696" s="22" t="str">
        <x:v>Record was outside the active screening set.</x:v>
      </x:c>
      <x:c r="U696" s="22" t="str">
        <x:v>Removed before screening</x:v>
      </x:c>
      <x:c r="V696" s="22" t="str">
        <x:v>Confirmed duplicate removed during deduplication.</x:v>
      </x:c>
      <x:c r="W696" s="22" t="str">
        <x:v>No</x:v>
      </x:c>
      <x:c r="X696" s="22" t="str">
        <x:v>Not applicable</x:v>
      </x:c>
      <x:c r="Y696" s="22" t="str">
        <x:v>Not assessed</x:v>
      </x:c>
      <x:c r="Z696" s="22" t="str">
        <x:v>Not applicable — record removed before screening.</x:v>
      </x:c>
      <x:c r="AA696" s="22" t="str">
        <x:v>Not applicable</x:v>
      </x:c>
      <x:c r="AB696" s="22" t="str">
        <x:v>Record was not advanced to full-text assessment.</x:v>
      </x:c>
      <x:c r="AC696" s="22" t="str">
        <x:v>Not assessed</x:v>
      </x:c>
      <x:c r="AD696" s="22" t="str">
        <x:v>Not applicable — no full-text assessment was required.</x:v>
      </x:c>
      <x:c r="AE696" s="22" t="str">
        <x:v>Removed before screening</x:v>
      </x:c>
      <x:c r="AF696" s="22" t="str">
        <x:v>Not applicable — not included</x:v>
      </x:c>
      <x:c r="AG696" s="22" t="str">
        <x:v>Evidence: Screenshot_10-8-2026_181426_arxiv10.org.jpeg; result 17. Metadata transcribed from captured arXiv results page; OCR-normalised where visually clear.</x:v>
      </x:c>
      <x:c r="AH696" s="20" t="str">
        <x:v>Confirmed using normalized title across captured searches.</x:v>
      </x:c>
    </x:row>
    <x:row r="697" ht="42" customHeight="1">
      <x:c r="A697" s="22" t="str">
        <x:v>ARXIV-10-018</x:v>
      </x:c>
      <x:c r="B697" s="22" t="str">
        <x:v>arXiv</x:v>
      </x:c>
      <x:c r="C697" s="22" t="str">
        <x:v>ARXIV-10</x:v>
      </x:c>
      <x:c r="D697" s="22" t="str">
        <x:v>Topological Signatures vs. Gradient Histograms: A Comparative Study for Medical Image Classification</x:v>
      </x:c>
      <x:c r="E697" s="22" t="str">
        <x:v>NR — authors not captured in the available source record</x:v>
      </x:c>
      <x:c r="F697" s="22" t="str">
        <x:v>NR</x:v>
      </x:c>
      <x:c r="G697" s="22" t="str">
        <x:v>arXiv</x:v>
      </x:c>
      <x:c r="H697" s="22" t="str">
        <x:v>arXiv search result</x:v>
      </x:c>
      <x:c r="I697" s="22" t="str">
        <x:v>NR</x:v>
      </x:c>
      <x:c r="J697" s="22" t="str">
        <x:v>NR</x:v>
      </x:c>
      <x:c r="K697" s="22" t="str">
        <x:v>NR — URL not captured in the available source record</x:v>
      </x:c>
      <x:c r="L697" s="22" t="str">
        <x:v>Not available in the captured evidence; the screening decision used the title and available source metadata.</x:v>
      </x:c>
      <x:c r="M697" s="22" t="str">
        <x:v>No duplicate</x:v>
      </x:c>
      <x:c r="N697" s="22" t="str">
        <x:v>Not applicable — no duplicate group</x:v>
      </x:c>
      <x:c r="O697" s="22" t="str">
        <x:v>Not applicable</x:v>
      </x:c>
      <x:c r="P697" s="22" t="str">
        <x:v>Yes</x:v>
      </x:c>
      <x:c r="Q697" s="22" t="str">
        <x:v>Exclude</x:v>
      </x:c>
      <x:c r="R697" s="22" t="str">
        <x:v>Compares topological and gradient features but does not explain decisions through concepts (E2).</x:v>
      </x:c>
      <x:c r="S697" s="22" t="str">
        <x:v>Verification documented at process level</x:v>
      </x:c>
      <x:c r="T697" s="22" t="str">
        <x:v>Two additional authors performed random spot checks; individual spot-check assignments are not recorded in this register.</x:v>
      </x:c>
      <x:c r="U697" s="22" t="str">
        <x:v>Exclude</x:v>
      </x:c>
      <x:c r="V697" s="22" t="str">
        <x:v>Primary decision by the corresponding author; two additional authors performed random spot checks as a quality-control step.</x:v>
      </x:c>
      <x:c r="W697" s="22" t="str">
        <x:v>No</x:v>
      </x:c>
      <x:c r="X697" s="22" t="str">
        <x:v>Not applicable</x:v>
      </x:c>
      <x:c r="Y697" s="22" t="str">
        <x:v>Not assessed</x:v>
      </x:c>
      <x:c r="Z697" s="22" t="str">
        <x:v>Not advanced to full-text assessment after the title/abstract decision.</x:v>
      </x:c>
      <x:c r="AA697" s="22" t="str">
        <x:v>Not applicable</x:v>
      </x:c>
      <x:c r="AB697" s="22" t="str">
        <x:v>Record was not advanced to full-text assessment.</x:v>
      </x:c>
      <x:c r="AC697" s="22" t="str">
        <x:v>Not assessed</x:v>
      </x:c>
      <x:c r="AD697" s="22" t="str">
        <x:v>Not applicable — no full-text assessment was required.</x:v>
      </x:c>
      <x:c r="AE697" s="22" t="str">
        <x:v>Not included — title/abstract exclusion</x:v>
      </x:c>
      <x:c r="AF697" s="22" t="str">
        <x:v>Not applicable — not included</x:v>
      </x:c>
      <x:c r="AG697" s="22" t="str">
        <x:v>Evidence: Screenshot_10-8-2026_181426_arxiv10.org.jpeg; result 18. Metadata transcribed from captured arXiv results page; OCR-normalised where visually clear.</x:v>
      </x:c>
      <x:c r="AH697" s="20" t="str">
        <x:v>No duplicate identified under the documented matching rules.</x:v>
      </x:c>
    </x:row>
    <x:row r="698" ht="42" customHeight="1">
      <x:c r="A698" s="22" t="str">
        <x:v>ARXIV-10-019</x:v>
      </x:c>
      <x:c r="B698" s="22" t="str">
        <x:v>arXiv</x:v>
      </x:c>
      <x:c r="C698" s="22" t="str">
        <x:v>ARXIV-10</x:v>
      </x:c>
      <x:c r="D698" s="22" t="str">
        <x:v>The Latent Space Hypothesis: Toward Universal Medical Representation Learning</x:v>
      </x:c>
      <x:c r="E698" s="22" t="str">
        <x:v>NR — authors not captured in the available source record</x:v>
      </x:c>
      <x:c r="F698" s="22" t="str">
        <x:v>NR</x:v>
      </x:c>
      <x:c r="G698" s="22" t="str">
        <x:v>arXiv</x:v>
      </x:c>
      <x:c r="H698" s="22" t="str">
        <x:v>arXiv search result</x:v>
      </x:c>
      <x:c r="I698" s="22" t="str">
        <x:v>NR</x:v>
      </x:c>
      <x:c r="J698" s="22" t="str">
        <x:v>NR</x:v>
      </x:c>
      <x:c r="K698" s="22" t="str">
        <x:v>NR — URL not captured in the available source record</x:v>
      </x:c>
      <x:c r="L698" s="22" t="str">
        <x:v>Not available in the captured evidence; the screening decision used the title and available source metadata.</x:v>
      </x:c>
      <x:c r="M698" s="22" t="str">
        <x:v>No duplicate</x:v>
      </x:c>
      <x:c r="N698" s="22" t="str">
        <x:v>Not applicable — no duplicate group</x:v>
      </x:c>
      <x:c r="O698" s="22" t="str">
        <x:v>Not applicable</x:v>
      </x:c>
      <x:c r="P698" s="22" t="str">
        <x:v>Yes</x:v>
      </x:c>
      <x:c r="Q698" s="22" t="str">
        <x:v>Exclude</x:v>
      </x:c>
      <x:c r="R698" s="22" t="str">
        <x:v>General medical representation-learning hypothesis without concept explanations (E1/E2).</x:v>
      </x:c>
      <x:c r="S698" s="22" t="str">
        <x:v>Verification documented at process level</x:v>
      </x:c>
      <x:c r="T698" s="22" t="str">
        <x:v>Two additional authors performed random spot checks; individual spot-check assignments are not recorded in this register.</x:v>
      </x:c>
      <x:c r="U698" s="22" t="str">
        <x:v>Exclude</x:v>
      </x:c>
      <x:c r="V698" s="22" t="str">
        <x:v>Primary decision by the corresponding author; two additional authors performed random spot checks as a quality-control step.</x:v>
      </x:c>
      <x:c r="W698" s="22" t="str">
        <x:v>No</x:v>
      </x:c>
      <x:c r="X698" s="22" t="str">
        <x:v>Not applicable</x:v>
      </x:c>
      <x:c r="Y698" s="22" t="str">
        <x:v>Not assessed</x:v>
      </x:c>
      <x:c r="Z698" s="22" t="str">
        <x:v>Not advanced to full-text assessment after the title/abstract decision.</x:v>
      </x:c>
      <x:c r="AA698" s="22" t="str">
        <x:v>Not applicable</x:v>
      </x:c>
      <x:c r="AB698" s="22" t="str">
        <x:v>Record was not advanced to full-text assessment.</x:v>
      </x:c>
      <x:c r="AC698" s="22" t="str">
        <x:v>Not assessed</x:v>
      </x:c>
      <x:c r="AD698" s="22" t="str">
        <x:v>Not applicable — no full-text assessment was required.</x:v>
      </x:c>
      <x:c r="AE698" s="22" t="str">
        <x:v>Not included — title/abstract exclusion</x:v>
      </x:c>
      <x:c r="AF698" s="22" t="str">
        <x:v>Not applicable — not included</x:v>
      </x:c>
      <x:c r="AG698" s="22" t="str">
        <x:v>Evidence: Screenshot_10-8-2026_181426_arxiv10.org.jpeg; result 19. Metadata transcribed from captured arXiv results page; OCR-normalised where visually clear.</x:v>
      </x:c>
      <x:c r="AH698" s="20" t="str">
        <x:v>No duplicate identified under the documented matching rules.</x:v>
      </x:c>
    </x:row>
    <x:row r="699" ht="42" customHeight="1">
      <x:c r="A699" s="22" t="str">
        <x:v>ARXIV-10-020</x:v>
      </x:c>
      <x:c r="B699" s="22" t="str">
        <x:v>arXiv</x:v>
      </x:c>
      <x:c r="C699" s="22" t="str">
        <x:v>ARXIV-10</x:v>
      </x:c>
      <x:c r="D699" s="22" t="str">
        <x:v>Decentralized LoRA-Augmented Transformer with Multi-Scale Feature Learning for Secured Eye Diagnosis</x:v>
      </x:c>
      <x:c r="E699" s="22" t="str">
        <x:v>NR — authors not captured in the available source record</x:v>
      </x:c>
      <x:c r="F699" s="22" t="str">
        <x:v>NR</x:v>
      </x:c>
      <x:c r="G699" s="22" t="str">
        <x:v>arXiv</x:v>
      </x:c>
      <x:c r="H699" s="22" t="str">
        <x:v>arXiv search result</x:v>
      </x:c>
      <x:c r="I699" s="22" t="str">
        <x:v>NR</x:v>
      </x:c>
      <x:c r="J699" s="22" t="str">
        <x:v>NR</x:v>
      </x:c>
      <x:c r="K699" s="22" t="str">
        <x:v>NR — URL not captured in the available source record</x:v>
      </x:c>
      <x:c r="L699" s="22" t="str">
        <x:v>Not available in the captured evidence; the screening decision used the title and available source metadata.</x:v>
      </x:c>
      <x:c r="M699" s="22" t="str">
        <x:v>No duplicate</x:v>
      </x:c>
      <x:c r="N699" s="22" t="str">
        <x:v>Not applicable — no duplicate group</x:v>
      </x:c>
      <x:c r="O699" s="22" t="str">
        <x:v>Not applicable</x:v>
      </x:c>
      <x:c r="P699" s="22" t="str">
        <x:v>Yes</x:v>
      </x:c>
      <x:c r="Q699" s="22" t="str">
        <x:v>Exclude</x:v>
      </x:c>
      <x:c r="R699" s="22" t="str">
        <x:v>Decentralised secure eye diagnosis without relevant explainability (E2).</x:v>
      </x:c>
      <x:c r="S699" s="22" t="str">
        <x:v>Verification documented at process level</x:v>
      </x:c>
      <x:c r="T699" s="22" t="str">
        <x:v>Two additional authors performed random spot checks; individual spot-check assignments are not recorded in this register.</x:v>
      </x:c>
      <x:c r="U699" s="22" t="str">
        <x:v>Exclude</x:v>
      </x:c>
      <x:c r="V699" s="22" t="str">
        <x:v>Primary decision by the corresponding author; two additional authors performed random spot checks as a quality-control step.</x:v>
      </x:c>
      <x:c r="W699" s="22" t="str">
        <x:v>No</x:v>
      </x:c>
      <x:c r="X699" s="22" t="str">
        <x:v>Not applicable</x:v>
      </x:c>
      <x:c r="Y699" s="22" t="str">
        <x:v>Not assessed</x:v>
      </x:c>
      <x:c r="Z699" s="22" t="str">
        <x:v>Not advanced to full-text assessment after the title/abstract decision.</x:v>
      </x:c>
      <x:c r="AA699" s="22" t="str">
        <x:v>Not applicable</x:v>
      </x:c>
      <x:c r="AB699" s="22" t="str">
        <x:v>Record was not advanced to full-text assessment.</x:v>
      </x:c>
      <x:c r="AC699" s="22" t="str">
        <x:v>Not assessed</x:v>
      </x:c>
      <x:c r="AD699" s="22" t="str">
        <x:v>Not applicable — no full-text assessment was required.</x:v>
      </x:c>
      <x:c r="AE699" s="22" t="str">
        <x:v>Not included — title/abstract exclusion</x:v>
      </x:c>
      <x:c r="AF699" s="22" t="str">
        <x:v>Not applicable — not included</x:v>
      </x:c>
      <x:c r="AG699" s="22" t="str">
        <x:v>Evidence: Screenshot_10-8-2026_181426_arxiv10.org.jpeg; result 20. Metadata transcribed from captured arXiv results page; OCR-normalised where visually clear.</x:v>
      </x:c>
      <x:c r="AH699" s="20" t="str">
        <x:v>No duplicate identified under the documented matching rules.</x:v>
      </x:c>
    </x:row>
    <x:row r="700" ht="42" customHeight="1">
      <x:c r="A700" s="22" t="str">
        <x:v>ARXIV-10-021</x:v>
      </x:c>
      <x:c r="B700" s="22" t="str">
        <x:v>arXiv</x:v>
      </x:c>
      <x:c r="C700" s="22" t="str">
        <x:v>ARXIV-10</x:v>
      </x:c>
      <x:c r="D700" s="22" t="str">
        <x:v>LoRA-Multi Adaptive Structural Priors for Generalizable Diabetic Retinopathy Grading</x:v>
      </x:c>
      <x:c r="E700" s="22" t="str">
        <x:v>NR — authors not captured in the available source record</x:v>
      </x:c>
      <x:c r="F700" s="22" t="str">
        <x:v>NR</x:v>
      </x:c>
      <x:c r="G700" s="22" t="str">
        <x:v>arXiv</x:v>
      </x:c>
      <x:c r="H700" s="22" t="str">
        <x:v>arXiv search result</x:v>
      </x:c>
      <x:c r="I700" s="22" t="str">
        <x:v>NR</x:v>
      </x:c>
      <x:c r="J700" s="22" t="str">
        <x:v>NR</x:v>
      </x:c>
      <x:c r="K700" s="22" t="str">
        <x:v>NR — URL not captured in the available source record</x:v>
      </x:c>
      <x:c r="L700" s="22" t="str">
        <x:v>Not available in the captured evidence; the screening decision used the title and available source metadata.</x:v>
      </x:c>
      <x:c r="M700" s="22" t="str">
        <x:v>No duplicate</x:v>
      </x:c>
      <x:c r="N700" s="22" t="str">
        <x:v>Not applicable — no duplicate group</x:v>
      </x:c>
      <x:c r="O700" s="22" t="str">
        <x:v>Not applicable</x:v>
      </x:c>
      <x:c r="P700" s="22" t="str">
        <x:v>Yes</x:v>
      </x:c>
      <x:c r="Q700" s="22" t="str">
        <x:v>Exclude</x:v>
      </x:c>
      <x:c r="R700" s="22" t="str">
        <x:v>Structural priors improve generalisation but do not provide concept explanations (E2).</x:v>
      </x:c>
      <x:c r="S700" s="22" t="str">
        <x:v>Verification documented at process level</x:v>
      </x:c>
      <x:c r="T700" s="22" t="str">
        <x:v>Two additional authors performed random spot checks; individual spot-check assignments are not recorded in this register.</x:v>
      </x:c>
      <x:c r="U700" s="22" t="str">
        <x:v>Exclude</x:v>
      </x:c>
      <x:c r="V700" s="22" t="str">
        <x:v>Primary decision by the corresponding author; two additional authors performed random spot checks as a quality-control step.</x:v>
      </x:c>
      <x:c r="W700" s="22" t="str">
        <x:v>No</x:v>
      </x:c>
      <x:c r="X700" s="22" t="str">
        <x:v>Not applicable</x:v>
      </x:c>
      <x:c r="Y700" s="22" t="str">
        <x:v>Not assessed</x:v>
      </x:c>
      <x:c r="Z700" s="22" t="str">
        <x:v>Not advanced to full-text assessment after the title/abstract decision.</x:v>
      </x:c>
      <x:c r="AA700" s="22" t="str">
        <x:v>Not applicable</x:v>
      </x:c>
      <x:c r="AB700" s="22" t="str">
        <x:v>Record was not advanced to full-text assessment.</x:v>
      </x:c>
      <x:c r="AC700" s="22" t="str">
        <x:v>Not assessed</x:v>
      </x:c>
      <x:c r="AD700" s="22" t="str">
        <x:v>Not applicable — no full-text assessment was required.</x:v>
      </x:c>
      <x:c r="AE700" s="22" t="str">
        <x:v>Not included — title/abstract exclusion</x:v>
      </x:c>
      <x:c r="AF700" s="22" t="str">
        <x:v>Not applicable — not included</x:v>
      </x:c>
      <x:c r="AG700" s="22" t="str">
        <x:v>Evidence: Screenshot_10-8-2026_181426_arxiv10.org.jpeg; result 21. Metadata transcribed from captured arXiv results page; OCR-normalised where visually clear.</x:v>
      </x:c>
      <x:c r="AH700" s="20" t="str">
        <x:v>No duplicate identified under the documented matching rules.</x:v>
      </x:c>
    </x:row>
    <x:row r="701" ht="42" customHeight="1">
      <x:c r="A701" s="22" t="str">
        <x:v>ARXIV-10-022</x:v>
      </x:c>
      <x:c r="B701" s="22" t="str">
        <x:v>arXiv</x:v>
      </x:c>
      <x:c r="C701" s="22" t="str">
        <x:v>ARXIV-10</x:v>
      </x:c>
      <x:c r="D701" s="22" t="str">
        <x:v>CLOC: Contrastive Learning for Ordinal Classification with Multi-Margin N-pair Loss</x:v>
      </x:c>
      <x:c r="E701" s="22" t="str">
        <x:v>NR — authors not captured in the available source record</x:v>
      </x:c>
      <x:c r="F701" s="22" t="str">
        <x:v>NR</x:v>
      </x:c>
      <x:c r="G701" s="22" t="str">
        <x:v>arXiv</x:v>
      </x:c>
      <x:c r="H701" s="22" t="str">
        <x:v>arXiv search result</x:v>
      </x:c>
      <x:c r="I701" s="22" t="str">
        <x:v>NR</x:v>
      </x:c>
      <x:c r="J701" s="22" t="str">
        <x:v>NR</x:v>
      </x:c>
      <x:c r="K701" s="22" t="str">
        <x:v>NR — URL not captured in the available source record</x:v>
      </x:c>
      <x:c r="L701" s="22" t="str">
        <x:v>Not available in the captured evidence; the screening decision used the title and available source metadata.</x:v>
      </x:c>
      <x:c r="M701" s="22" t="str">
        <x:v>No duplicate</x:v>
      </x:c>
      <x:c r="N701" s="22" t="str">
        <x:v>Not applicable — no duplicate group</x:v>
      </x:c>
      <x:c r="O701" s="22" t="str">
        <x:v>Not applicable</x:v>
      </x:c>
      <x:c r="P701" s="22" t="str">
        <x:v>Yes</x:v>
      </x:c>
      <x:c r="Q701" s="22" t="str">
        <x:v>Exclude</x:v>
      </x:c>
      <x:c r="R701" s="22" t="str">
        <x:v>General ordinal-classification method without relevant retinal XAI (E1/E2).</x:v>
      </x:c>
      <x:c r="S701" s="22" t="str">
        <x:v>Verification documented at process level</x:v>
      </x:c>
      <x:c r="T701" s="22" t="str">
        <x:v>Two additional authors performed random spot checks; individual spot-check assignments are not recorded in this register.</x:v>
      </x:c>
      <x:c r="U701" s="22" t="str">
        <x:v>Exclude</x:v>
      </x:c>
      <x:c r="V701" s="22" t="str">
        <x:v>Primary decision by the corresponding author; two additional authors performed random spot checks as a quality-control step.</x:v>
      </x:c>
      <x:c r="W701" s="22" t="str">
        <x:v>No</x:v>
      </x:c>
      <x:c r="X701" s="22" t="str">
        <x:v>Not applicable</x:v>
      </x:c>
      <x:c r="Y701" s="22" t="str">
        <x:v>Not assessed</x:v>
      </x:c>
      <x:c r="Z701" s="22" t="str">
        <x:v>Not advanced to full-text assessment after the title/abstract decision.</x:v>
      </x:c>
      <x:c r="AA701" s="22" t="str">
        <x:v>Not applicable</x:v>
      </x:c>
      <x:c r="AB701" s="22" t="str">
        <x:v>Record was not advanced to full-text assessment.</x:v>
      </x:c>
      <x:c r="AC701" s="22" t="str">
        <x:v>Not assessed</x:v>
      </x:c>
      <x:c r="AD701" s="22" t="str">
        <x:v>Not applicable — no full-text assessment was required.</x:v>
      </x:c>
      <x:c r="AE701" s="22" t="str">
        <x:v>Not included — title/abstract exclusion</x:v>
      </x:c>
      <x:c r="AF701" s="22" t="str">
        <x:v>Not applicable — not included</x:v>
      </x:c>
      <x:c r="AG701" s="22" t="str">
        <x:v>Evidence: Screenshot_10-8-2026_181426_arxiv10.org.jpeg; result 22. Metadata transcribed from captured arXiv results page; OCR-normalised where visually clear.</x:v>
      </x:c>
      <x:c r="AH701" s="20" t="str">
        <x:v>No duplicate identified under the documented matching rules.</x:v>
      </x:c>
    </x:row>
    <x:row r="702" ht="42" customHeight="1">
      <x:c r="A702" s="22" t="str">
        <x:v>ARXIV-10-023</x:v>
      </x:c>
      <x:c r="B702" s="22" t="str">
        <x:v>arXiv</x:v>
      </x:c>
      <x:c r="C702" s="22" t="str">
        <x:v>ARXIV-10</x:v>
      </x:c>
      <x:c r="D702" s="22" t="str">
        <x:v>Embedding Radiomics into Vision Transformers for Multimodal Medical Image Classification</x:v>
      </x:c>
      <x:c r="E702" s="22" t="str">
        <x:v>NR — authors not captured in the available source record</x:v>
      </x:c>
      <x:c r="F702" s="22" t="str">
        <x:v>NR</x:v>
      </x:c>
      <x:c r="G702" s="22" t="str">
        <x:v>arXiv</x:v>
      </x:c>
      <x:c r="H702" s="22" t="str">
        <x:v>arXiv search result</x:v>
      </x:c>
      <x:c r="I702" s="22" t="str">
        <x:v>NR</x:v>
      </x:c>
      <x:c r="J702" s="22" t="str">
        <x:v>NR</x:v>
      </x:c>
      <x:c r="K702" s="22" t="str">
        <x:v>NR — URL not captured in the available source record</x:v>
      </x:c>
      <x:c r="L702" s="22" t="str">
        <x:v>Not available in the captured evidence; the screening decision used the title and available source metadata.</x:v>
      </x:c>
      <x:c r="M702" s="22" t="str">
        <x:v>No duplicate</x:v>
      </x:c>
      <x:c r="N702" s="22" t="str">
        <x:v>Not applicable — no duplicate group</x:v>
      </x:c>
      <x:c r="O702" s="22" t="str">
        <x:v>Not applicable</x:v>
      </x:c>
      <x:c r="P702" s="22" t="str">
        <x:v>Yes</x:v>
      </x:c>
      <x:c r="Q702" s="22" t="str">
        <x:v>Exclude</x:v>
      </x:c>
      <x:c r="R702" s="22" t="str">
        <x:v>Radiomic features support classification but are not used to explain individual decisions (E2).</x:v>
      </x:c>
      <x:c r="S702" s="22" t="str">
        <x:v>Verification documented at process level</x:v>
      </x:c>
      <x:c r="T702" s="22" t="str">
        <x:v>Two additional authors performed random spot checks; individual spot-check assignments are not recorded in this register.</x:v>
      </x:c>
      <x:c r="U702" s="22" t="str">
        <x:v>Exclude</x:v>
      </x:c>
      <x:c r="V702" s="22" t="str">
        <x:v>Primary decision by the corresponding author; two additional authors performed random spot checks as a quality-control step.</x:v>
      </x:c>
      <x:c r="W702" s="22" t="str">
        <x:v>No</x:v>
      </x:c>
      <x:c r="X702" s="22" t="str">
        <x:v>Not applicable</x:v>
      </x:c>
      <x:c r="Y702" s="22" t="str">
        <x:v>Not assessed</x:v>
      </x:c>
      <x:c r="Z702" s="22" t="str">
        <x:v>Not advanced to full-text assessment after the title/abstract decision.</x:v>
      </x:c>
      <x:c r="AA702" s="22" t="str">
        <x:v>Not applicable</x:v>
      </x:c>
      <x:c r="AB702" s="22" t="str">
        <x:v>Record was not advanced to full-text assessment.</x:v>
      </x:c>
      <x:c r="AC702" s="22" t="str">
        <x:v>Not assessed</x:v>
      </x:c>
      <x:c r="AD702" s="22" t="str">
        <x:v>Not applicable — no full-text assessment was required.</x:v>
      </x:c>
      <x:c r="AE702" s="22" t="str">
        <x:v>Not included — title/abstract exclusion</x:v>
      </x:c>
      <x:c r="AF702" s="22" t="str">
        <x:v>Not applicable — not included</x:v>
      </x:c>
      <x:c r="AG702" s="22" t="str">
        <x:v>Evidence: Screenshot_10-8-2026_181426_arxiv10.org.jpeg; result 23. Metadata transcribed from captured arXiv results page; OCR-normalised where visually clear.</x:v>
      </x:c>
      <x:c r="AH702" s="20" t="str">
        <x:v>No duplicate identified under the documented matching rules.</x:v>
      </x:c>
    </x:row>
    <x:row r="703" ht="42" customHeight="1">
      <x:c r="A703" s="22" t="str">
        <x:v>ARXIV-10-024</x:v>
      </x:c>
      <x:c r="B703" s="22" t="str">
        <x:v>arXiv</x:v>
      </x:c>
      <x:c r="C703" s="22" t="str">
        <x:v>ARXIV-10</x:v>
      </x:c>
      <x:c r="D703" s="22" t="str">
        <x:v>Interpretable Deep Learning Framework for Improved Disease Classification in Medical Imaging</x:v>
      </x:c>
      <x:c r="E703" s="22" t="str">
        <x:v>NR — authors not captured in the available source record</x:v>
      </x:c>
      <x:c r="F703" s="22" t="str">
        <x:v>NR</x:v>
      </x:c>
      <x:c r="G703" s="22" t="str">
        <x:v>arXiv</x:v>
      </x:c>
      <x:c r="H703" s="22" t="str">
        <x:v>arXiv search result</x:v>
      </x:c>
      <x:c r="I703" s="22" t="str">
        <x:v>NR</x:v>
      </x:c>
      <x:c r="J703" s="22" t="str">
        <x:v>NR</x:v>
      </x:c>
      <x:c r="K703" s="22" t="str">
        <x:v>NR — URL not captured in the available source record</x:v>
      </x:c>
      <x:c r="L703" s="22" t="str">
        <x:v>Not available in the captured evidence; the screening decision used the title and available source metadata.</x:v>
      </x:c>
      <x:c r="M703" s="22" t="str">
        <x:v>No duplicate</x:v>
      </x:c>
      <x:c r="N703" s="22" t="str">
        <x:v>Not applicable — no duplicate group</x:v>
      </x:c>
      <x:c r="O703" s="22" t="str">
        <x:v>Not applicable</x:v>
      </x:c>
      <x:c r="P703" s="22" t="str">
        <x:v>Yes</x:v>
      </x:c>
      <x:c r="Q703" s="22" t="str">
        <x:v>Exclude</x:v>
      </x:c>
      <x:c r="R703" s="22" t="str">
        <x:v>Generic cross-attention and uncertainty framework without retinal concept explanations (E1/E2).</x:v>
      </x:c>
      <x:c r="S703" s="22" t="str">
        <x:v>Verification documented at process level</x:v>
      </x:c>
      <x:c r="T703" s="22" t="str">
        <x:v>Two additional authors performed random spot checks; individual spot-check assignments are not recorded in this register.</x:v>
      </x:c>
      <x:c r="U703" s="22" t="str">
        <x:v>Exclude</x:v>
      </x:c>
      <x:c r="V703" s="22" t="str">
        <x:v>Primary decision by the corresponding author; two additional authors performed random spot checks as a quality-control step.</x:v>
      </x:c>
      <x:c r="W703" s="22" t="str">
        <x:v>No</x:v>
      </x:c>
      <x:c r="X703" s="22" t="str">
        <x:v>Not applicable</x:v>
      </x:c>
      <x:c r="Y703" s="22" t="str">
        <x:v>Not assessed</x:v>
      </x:c>
      <x:c r="Z703" s="22" t="str">
        <x:v>Not advanced to full-text assessment after the title/abstract decision.</x:v>
      </x:c>
      <x:c r="AA703" s="22" t="str">
        <x:v>Not applicable</x:v>
      </x:c>
      <x:c r="AB703" s="22" t="str">
        <x:v>Record was not advanced to full-text assessment.</x:v>
      </x:c>
      <x:c r="AC703" s="22" t="str">
        <x:v>Not assessed</x:v>
      </x:c>
      <x:c r="AD703" s="22" t="str">
        <x:v>Not applicable — no full-text assessment was required.</x:v>
      </x:c>
      <x:c r="AE703" s="22" t="str">
        <x:v>Not included — title/abstract exclusion</x:v>
      </x:c>
      <x:c r="AF703" s="22" t="str">
        <x:v>Not applicable — not included</x:v>
      </x:c>
      <x:c r="AG703" s="22" t="str">
        <x:v>Evidence: Screenshot_10-8-2026_181426_arxiv10.org.jpeg; result 24. Metadata transcribed from captured arXiv results page; OCR-normalised where visually clear.</x:v>
      </x:c>
      <x:c r="AH703" s="20" t="str">
        <x:v>No duplicate identified under the documented matching rules.</x:v>
      </x:c>
    </x:row>
    <x:row r="704" ht="42" customHeight="1">
      <x:c r="A704" s="22" t="str">
        <x:v>ARXIV-10-025</x:v>
      </x:c>
      <x:c r="B704" s="22" t="str">
        <x:v>arXiv</x:v>
      </x:c>
      <x:c r="C704" s="22" t="str">
        <x:v>ARXIV-10</x:v>
      </x:c>
      <x:c r="D704" s="22" t="str">
        <x:v>Fine-Tuning Vision Language Models with Graph-based Knowledge for Explainable Medical Image Analysis</x:v>
      </x:c>
      <x:c r="E704" s="22" t="str">
        <x:v>NR — authors not captured in the available source record</x:v>
      </x:c>
      <x:c r="F704" s="22" t="str">
        <x:v>NR</x:v>
      </x:c>
      <x:c r="G704" s="22" t="str">
        <x:v>arXiv</x:v>
      </x:c>
      <x:c r="H704" s="22" t="str">
        <x:v>arXiv search result</x:v>
      </x:c>
      <x:c r="I704" s="22" t="str">
        <x:v>NR</x:v>
      </x:c>
      <x:c r="J704" s="22" t="str">
        <x:v>2503.09808</x:v>
      </x:c>
      <x:c r="K704" s="22" t="str">
        <x:v>https://arxiv.org/pdf/2503.09808</x:v>
      </x:c>
      <x:c r="L704" s="22" t="str">
        <x:v>Accurate staging of Diabetic Retinopathy (DR) is essential for guiding timely interventions and preventing vision loss. However, current staging models are hardly interpretable, and most public datasets contain no clinical reasoning or interpretation beyond image-level labels. In this paper, we present a novel method that integrates graph representation learning with vision-language models (VLMs) to deliver explainable DR diagnosis. Our approach leverages optical coherence tomography angiography (OCTA) images by constructing biologically informed graphs that encode key retinal vascular features such as vessel morphology and spatial connectivity. A graph neural network (GNN) then performs DR staging while integrated gradients highlight critical nodes and edges and their individual features that drive the classification decisions. We collect this graph-based knowledge which attributes the model's prediction to physiological structures and their characteristics. We then transform it into textual descriptions for VLMs. We perform instruction-tuning with these textual descriptions and the corresponding image to train a student VLM. This final agent can classify the disease and explain its decision in a human interpretable way solely based on a single image input. Experimental evaluations on both proprietary and public datasets demonstrate that our method not only improves classification accuracy but also offers more clinically interpretable results. An expert study further demonstrates that our method provides more accurate diagnostic explanations and paves the way for precise localization of pathologies in OCTA images.</x:v>
      </x:c>
      <x:c r="M704" s="22" t="str">
        <x:v>No duplicate</x:v>
      </x:c>
      <x:c r="N704" s="22" t="str">
        <x:v>Not applicable — no duplicate group</x:v>
      </x:c>
      <x:c r="O704" s="22" t="str">
        <x:v>Not applicable</x:v>
      </x:c>
      <x:c r="P704" s="22" t="str">
        <x:v>Yes</x:v>
      </x:c>
      <x:c r="Q704" s="22" t="str">
        <x:v>Include</x:v>
      </x:c>
      <x:c r="R704" s="22" t="str">
        <x:v>Transforms biology-informed retinal graph knowledge into human-interpretable VLM explanations.</x:v>
      </x:c>
      <x:c r="S704" s="22" t="str">
        <x:v>Verification documented at process level</x:v>
      </x:c>
      <x:c r="T704" s="22" t="str">
        <x:v>Two additional authors performed random spot checks; individual spot-check assignments are not recorded in this register.</x:v>
      </x:c>
      <x:c r="U704" s="22" t="str">
        <x:v>Include</x:v>
      </x:c>
      <x:c r="V704" s="22" t="str">
        <x:v>Primary decision by the corresponding author; two additional authors performed random spot checks as a quality-control step.</x:v>
      </x:c>
      <x:c r="W704" s="22" t="str">
        <x:v>Yes</x:v>
      </x:c>
      <x:c r="X704" s="22" t="str">
        <x:v>Yes</x:v>
      </x:c>
      <x:c r="Y704" s="22" t="str">
        <x:v>Include</x:v>
      </x:c>
      <x:c r="Z704" s="22" t="str">
        <x:v>The corresponding author assessed the complete report and judged it eligible for inclusion in the review.</x:v>
      </x:c>
      <x:c r="AA704" s="22" t="str">
        <x:v>Verification documented at process level</x:v>
      </x:c>
      <x:c r="AB704" s="22" t="str">
        <x:v>Two additional authors performed random spot checks; individual spot-check assignments are not recorded in this register.</x:v>
      </x:c>
      <x:c r="AC704" s="22" t="str">
        <x:v>Include</x:v>
      </x:c>
      <x:c r="AD704" s="22" t="str">
        <x:v>Primary decision by the corresponding author; two additional authors performed random spot checks as a quality-control step.</x:v>
      </x:c>
      <x:c r="AE704" s="22" t="str">
        <x:v>Include</x:v>
      </x:c>
      <x:c r="AF704" s="22" t="str">
        <x:v>Contextual medical concept-XAI evidence</x:v>
      </x:c>
      <x:c r="AG704" s="22" t="str">
        <x:v>Evidence: Screenshot_10-8-2026_181426_arxiv10.org.jpeg; result 25. Metadata transcribed from captured arXiv results page; OCR-normalised where visually clear.</x:v>
      </x:c>
      <x:c r="AH704" s="20" t="str">
        <x:v>No duplicate identified under the documented matching rules.</x:v>
      </x:c>
    </x:row>
    <x:row r="705" ht="42" customHeight="1">
      <x:c r="A705" s="22" t="str">
        <x:v>ARXIV-10-026</x:v>
      </x:c>
      <x:c r="B705" s="22" t="str">
        <x:v>arXiv</x:v>
      </x:c>
      <x:c r="C705" s="22" t="str">
        <x:v>ARXIV-10</x:v>
      </x:c>
      <x:c r="D705" s="22" t="str">
        <x:v>Interpretable Retinal Disease Prediction Using Biology-Informed Heterogeneous Graph Representations</x:v>
      </x:c>
      <x:c r="E705" s="22" t="str">
        <x:v>NR — authors not captured in the available source record</x:v>
      </x:c>
      <x:c r="F705" s="22" t="str">
        <x:v>NR</x:v>
      </x:c>
      <x:c r="G705" s="22" t="str">
        <x:v>arXiv</x:v>
      </x:c>
      <x:c r="H705" s="22" t="str">
        <x:v>arXiv search result</x:v>
      </x:c>
      <x:c r="I705" s="22" t="str">
        <x:v>10.48550/arxiv.2502.16697</x:v>
      </x:c>
      <x:c r="J705" s="22" t="str">
        <x:v>2502.16697</x:v>
      </x:c>
      <x:c r="K705" s="22" t="str">
        <x:v>https://arxiv.org/pdf/2502.16697</x:v>
      </x:c>
      <x:c r="L705" s="22" t="str">
        <x:v>Interpretability is crucial to enhance trust in machine learning models for medical diagnostics. However, most state-of-the-art image classifiers based on neural networks are not interpretable. As a result, clinicians often resort to known biomarkers for diagnosis, although biomarker-based classification typically performs worse than large neural networks. This work proposes a method that surpasses the performance of established machine learning models while simultaneously improving prediction interpretability for diabetic retinopathy staging from optical coherence tomography angiography (OCTA) images. Our method is based on a novel biology-informed heterogeneous graph representation that models retinal vessel segments, intercapillary areas, and the foveal avascular zone (FAZ) in a human-interpretable way. This graph representation allows us to frame diabetic retinopathy staging as a graph-level classification task, which we solve using an efficient graph neural network. We benchmark our method against well-established baselines, including classical biomarker-based classifiers, convolutional neural networks (CNNs), and vision transformers. Our model outperforms all baselines on two datasets. Crucially, we use our biology-informed graph to provide explanations of unprecedented detail. Our approach surpasses existing methods in precisely localizing and identifying critical vessels or intercapillary areas. In addition, we give informative and human-interpretable attributions to critical characteristics. Our work contributes to the development of clinical decision-support tools in ophthalmology.</x:v>
      </x:c>
      <x:c r="M705" s="22" t="str">
        <x:v>No duplicate</x:v>
      </x:c>
      <x:c r="N705" s="22" t="str">
        <x:v>Not applicable — no duplicate group</x:v>
      </x:c>
      <x:c r="O705" s="22" t="str">
        <x:v>Not applicable</x:v>
      </x:c>
      <x:c r="P705" s="22" t="str">
        <x:v>Yes</x:v>
      </x:c>
      <x:c r="Q705" s="22" t="str">
        <x:v>Include</x:v>
      </x:c>
      <x:c r="R705" s="22" t="str">
        <x:v>Biology-informed OCTA graph represents vessels, intercapillary areas and FAZ interpretably.</x:v>
      </x:c>
      <x:c r="S705" s="22" t="str">
        <x:v>Verification documented at process level</x:v>
      </x:c>
      <x:c r="T705" s="22" t="str">
        <x:v>Two additional authors performed random spot checks; individual spot-check assignments are not recorded in this register.</x:v>
      </x:c>
      <x:c r="U705" s="22" t="str">
        <x:v>Include</x:v>
      </x:c>
      <x:c r="V705" s="22" t="str">
        <x:v>Primary decision by the corresponding author; two additional authors performed random spot checks as a quality-control step.</x:v>
      </x:c>
      <x:c r="W705" s="22" t="str">
        <x:v>Yes</x:v>
      </x:c>
      <x:c r="X705" s="22" t="str">
        <x:v>Yes</x:v>
      </x:c>
      <x:c r="Y705" s="22" t="str">
        <x:v>Include</x:v>
      </x:c>
      <x:c r="Z705" s="22" t="str">
        <x:v>The corresponding author assessed the complete report and judged it eligible for inclusion in the review.</x:v>
      </x:c>
      <x:c r="AA705" s="22" t="str">
        <x:v>Verification documented at process level</x:v>
      </x:c>
      <x:c r="AB705" s="22" t="str">
        <x:v>Two additional authors performed random spot checks; individual spot-check assignments are not recorded in this register.</x:v>
      </x:c>
      <x:c r="AC705" s="22" t="str">
        <x:v>Include</x:v>
      </x:c>
      <x:c r="AD705" s="22" t="str">
        <x:v>Primary decision by the corresponding author; two additional authors performed random spot checks as a quality-control step.</x:v>
      </x:c>
      <x:c r="AE705" s="22" t="str">
        <x:v>Include</x:v>
      </x:c>
      <x:c r="AF705" s="22" t="str">
        <x:v>Direct retinal/ophthalmic evidence</x:v>
      </x:c>
      <x:c r="AG705" s="22" t="str">
        <x:v>Evidence: Screenshot_10-8-2026_181426_arxiv10.org.jpeg; result 26. Metadata transcribed from captured arXiv results page; OCR-normalised where visually clear.</x:v>
      </x:c>
      <x:c r="AH705" s="20" t="str">
        <x:v>No duplicate identified under the documented matching rules.</x:v>
      </x:c>
    </x:row>
    <x:row r="706" ht="42" customHeight="1">
      <x:c r="A706" s="22" t="str">
        <x:v>ARXIV-10-027</x:v>
      </x:c>
      <x:c r="B706" s="22" t="str">
        <x:v>arXiv</x:v>
      </x:c>
      <x:c r="C706" s="22" t="str">
        <x:v>ARXIV-10</x:v>
      </x:c>
      <x:c r="D706" s="22" t="str">
        <x:v>Automated Retinal Image Analysis and Medical Report Generation through Deep Learning</x:v>
      </x:c>
      <x:c r="E706" s="22" t="str">
        <x:v>NR — authors not captured in the available source record</x:v>
      </x:c>
      <x:c r="F706" s="22" t="str">
        <x:v>NR</x:v>
      </x:c>
      <x:c r="G706" s="22" t="str">
        <x:v>arXiv</x:v>
      </x:c>
      <x:c r="H706" s="22" t="str">
        <x:v>arXiv search result</x:v>
      </x:c>
      <x:c r="I706" s="22" t="str">
        <x:v>NR</x:v>
      </x:c>
      <x:c r="J706" s="22" t="str">
        <x:v>NR</x:v>
      </x:c>
      <x:c r="K706" s="22" t="str">
        <x:v>NR — URL not captured in the available source record</x:v>
      </x:c>
      <x:c r="L706" s="22" t="str">
        <x:v>Not available in the captured evidence; the screening decision used the title and available source metadata.</x:v>
      </x:c>
      <x:c r="M706" s="22" t="str">
        <x:v>No duplicate</x:v>
      </x:c>
      <x:c r="N706" s="22" t="str">
        <x:v>Not applicable — no duplicate group</x:v>
      </x:c>
      <x:c r="O706" s="22" t="str">
        <x:v>Not applicable</x:v>
      </x:c>
      <x:c r="P706" s="22" t="str">
        <x:v>Yes</x:v>
      </x:c>
      <x:c r="Q706" s="22" t="str">
        <x:v>Exclude</x:v>
      </x:c>
      <x:c r="R706" s="22" t="str">
        <x:v>Retinal analysis and report generation without structured concept explanation (E2).</x:v>
      </x:c>
      <x:c r="S706" s="22" t="str">
        <x:v>Verification documented at process level</x:v>
      </x:c>
      <x:c r="T706" s="22" t="str">
        <x:v>Two additional authors performed random spot checks; individual spot-check assignments are not recorded in this register.</x:v>
      </x:c>
      <x:c r="U706" s="22" t="str">
        <x:v>Exclude</x:v>
      </x:c>
      <x:c r="V706" s="22" t="str">
        <x:v>Primary decision by the corresponding author; two additional authors performed random spot checks as a quality-control step.</x:v>
      </x:c>
      <x:c r="W706" s="22" t="str">
        <x:v>No</x:v>
      </x:c>
      <x:c r="X706" s="22" t="str">
        <x:v>Not applicable</x:v>
      </x:c>
      <x:c r="Y706" s="22" t="str">
        <x:v>Not assessed</x:v>
      </x:c>
      <x:c r="Z706" s="22" t="str">
        <x:v>Not advanced to full-text assessment after the title/abstract decision.</x:v>
      </x:c>
      <x:c r="AA706" s="22" t="str">
        <x:v>Not applicable</x:v>
      </x:c>
      <x:c r="AB706" s="22" t="str">
        <x:v>Record was not advanced to full-text assessment.</x:v>
      </x:c>
      <x:c r="AC706" s="22" t="str">
        <x:v>Not assessed</x:v>
      </x:c>
      <x:c r="AD706" s="22" t="str">
        <x:v>Not applicable — no full-text assessment was required.</x:v>
      </x:c>
      <x:c r="AE706" s="22" t="str">
        <x:v>Not included — title/abstract exclusion</x:v>
      </x:c>
      <x:c r="AF706" s="22" t="str">
        <x:v>Not applicable — not included</x:v>
      </x:c>
      <x:c r="AG706" s="22" t="str">
        <x:v>Evidence: Screenshot_10-8-2026_181426_arxiv10.org.jpeg; result 27. Metadata transcribed from captured arXiv results page; OCR-normalised where visually clear.</x:v>
      </x:c>
      <x:c r="AH706" s="20" t="str">
        <x:v>No duplicate identified under the documented matching rules.</x:v>
      </x:c>
    </x:row>
    <x:row r="707" ht="42" customHeight="1">
      <x:c r="A707" s="22" t="str">
        <x:v>ARXIV-10-028</x:v>
      </x:c>
      <x:c r="B707" s="22" t="str">
        <x:v>arXiv</x:v>
      </x:c>
      <x:c r="C707" s="22" t="str">
        <x:v>ARXIV-10</x:v>
      </x:c>
      <x:c r="D707" s="22" t="str">
        <x:v>Counterfactual Explanations for Medical Image Classification and Regression using Diffusion Autoencoder</x:v>
      </x:c>
      <x:c r="E707" s="22" t="str">
        <x:v>NR — authors not captured in the available source record</x:v>
      </x:c>
      <x:c r="F707" s="22" t="str">
        <x:v>NR</x:v>
      </x:c>
      <x:c r="G707" s="22" t="str">
        <x:v>arXiv</x:v>
      </x:c>
      <x:c r="H707" s="22" t="str">
        <x:v>arXiv search result</x:v>
      </x:c>
      <x:c r="I707" s="22" t="str">
        <x:v>NR</x:v>
      </x:c>
      <x:c r="J707" s="22" t="str">
        <x:v>NR</x:v>
      </x:c>
      <x:c r="K707" s="22" t="str">
        <x:v>NR — URL not captured in the available source record</x:v>
      </x:c>
      <x:c r="L707" s="22" t="str">
        <x:v>Not available in the captured evidence; the screening decision used the title and available source metadata.</x:v>
      </x:c>
      <x:c r="M707" s="22" t="str">
        <x:v>No duplicate</x:v>
      </x:c>
      <x:c r="N707" s="22" t="str">
        <x:v>Not applicable — no duplicate group</x:v>
      </x:c>
      <x:c r="O707" s="22" t="str">
        <x:v>Not applicable</x:v>
      </x:c>
      <x:c r="P707" s="22" t="str">
        <x:v>Yes</x:v>
      </x:c>
      <x:c r="Q707" s="22" t="str">
        <x:v>Exclude</x:v>
      </x:c>
      <x:c r="R707" s="22" t="str">
        <x:v>Counterfactual explanation method is outside the agreed concept-oriented scope (E2).</x:v>
      </x:c>
      <x:c r="S707" s="22" t="str">
        <x:v>Verification documented at process level</x:v>
      </x:c>
      <x:c r="T707" s="22" t="str">
        <x:v>Two additional authors performed random spot checks; individual spot-check assignments are not recorded in this register.</x:v>
      </x:c>
      <x:c r="U707" s="22" t="str">
        <x:v>Exclude</x:v>
      </x:c>
      <x:c r="V707" s="22" t="str">
        <x:v>Primary decision by the corresponding author; two additional authors performed random spot checks as a quality-control step.</x:v>
      </x:c>
      <x:c r="W707" s="22" t="str">
        <x:v>No</x:v>
      </x:c>
      <x:c r="X707" s="22" t="str">
        <x:v>Not applicable</x:v>
      </x:c>
      <x:c r="Y707" s="22" t="str">
        <x:v>Not assessed</x:v>
      </x:c>
      <x:c r="Z707" s="22" t="str">
        <x:v>Not advanced to full-text assessment after the title/abstract decision.</x:v>
      </x:c>
      <x:c r="AA707" s="22" t="str">
        <x:v>Not applicable</x:v>
      </x:c>
      <x:c r="AB707" s="22" t="str">
        <x:v>Record was not advanced to full-text assessment.</x:v>
      </x:c>
      <x:c r="AC707" s="22" t="str">
        <x:v>Not assessed</x:v>
      </x:c>
      <x:c r="AD707" s="22" t="str">
        <x:v>Not applicable — no full-text assessment was required.</x:v>
      </x:c>
      <x:c r="AE707" s="22" t="str">
        <x:v>Not included — title/abstract exclusion</x:v>
      </x:c>
      <x:c r="AF707" s="22" t="str">
        <x:v>Not applicable — not included</x:v>
      </x:c>
      <x:c r="AG707" s="22" t="str">
        <x:v>Evidence: Screenshot_10-8-2026_181426_arxiv10.org.jpeg; result 28. Metadata transcribed from captured arXiv results page; OCR-normalised where visually clear.</x:v>
      </x:c>
      <x:c r="AH707" s="20" t="str">
        <x:v>No duplicate identified under the documented matching rules.</x:v>
      </x:c>
    </x:row>
    <x:row r="708" ht="42" customHeight="1">
      <x:c r="A708" s="22" t="str">
        <x:v>ARXIV-10-029</x:v>
      </x:c>
      <x:c r="B708" s="22" t="str">
        <x:v>arXiv</x:v>
      </x:c>
      <x:c r="C708" s="22" t="str">
        <x:v>ARXIV-10</x:v>
      </x:c>
      <x:c r="D708" s="22" t="str">
        <x:v>Feature Representation Learning for Robust Retinal Disease Detection from Optical Coherence Tomography Images</x:v>
      </x:c>
      <x:c r="E708" s="22" t="str">
        <x:v>NR — authors not captured in the available source record</x:v>
      </x:c>
      <x:c r="F708" s="22" t="str">
        <x:v>NR</x:v>
      </x:c>
      <x:c r="G708" s="22" t="str">
        <x:v>arXiv</x:v>
      </x:c>
      <x:c r="H708" s="22" t="str">
        <x:v>arXiv search result</x:v>
      </x:c>
      <x:c r="I708" s="22" t="str">
        <x:v>NR</x:v>
      </x:c>
      <x:c r="J708" s="22" t="str">
        <x:v>NR</x:v>
      </x:c>
      <x:c r="K708" s="22" t="str">
        <x:v>NR — URL not captured in the available source record</x:v>
      </x:c>
      <x:c r="L708" s="22" t="str">
        <x:v>Not available in the captured evidence; the screening decision used the title and available source metadata.</x:v>
      </x:c>
      <x:c r="M708" s="22" t="str">
        <x:v>No duplicate</x:v>
      </x:c>
      <x:c r="N708" s="22" t="str">
        <x:v>Not applicable — no duplicate group</x:v>
      </x:c>
      <x:c r="O708" s="22" t="str">
        <x:v>Not applicable</x:v>
      </x:c>
      <x:c r="P708" s="22" t="str">
        <x:v>Yes</x:v>
      </x:c>
      <x:c r="Q708" s="22" t="str">
        <x:v>Exclude</x:v>
      </x:c>
      <x:c r="R708" s="22" t="str">
        <x:v>OCT representation learning without concept-oriented explanations (E2).</x:v>
      </x:c>
      <x:c r="S708" s="22" t="str">
        <x:v>Verification documented at process level</x:v>
      </x:c>
      <x:c r="T708" s="22" t="str">
        <x:v>Two additional authors performed random spot checks; individual spot-check assignments are not recorded in this register.</x:v>
      </x:c>
      <x:c r="U708" s="22" t="str">
        <x:v>Exclude</x:v>
      </x:c>
      <x:c r="V708" s="22" t="str">
        <x:v>Primary decision by the corresponding author; two additional authors performed random spot checks as a quality-control step.</x:v>
      </x:c>
      <x:c r="W708" s="22" t="str">
        <x:v>No</x:v>
      </x:c>
      <x:c r="X708" s="22" t="str">
        <x:v>Not applicable</x:v>
      </x:c>
      <x:c r="Y708" s="22" t="str">
        <x:v>Not assessed</x:v>
      </x:c>
      <x:c r="Z708" s="22" t="str">
        <x:v>Not advanced to full-text assessment after the title/abstract decision.</x:v>
      </x:c>
      <x:c r="AA708" s="22" t="str">
        <x:v>Not applicable</x:v>
      </x:c>
      <x:c r="AB708" s="22" t="str">
        <x:v>Record was not advanced to full-text assessment.</x:v>
      </x:c>
      <x:c r="AC708" s="22" t="str">
        <x:v>Not assessed</x:v>
      </x:c>
      <x:c r="AD708" s="22" t="str">
        <x:v>Not applicable — no full-text assessment was required.</x:v>
      </x:c>
      <x:c r="AE708" s="22" t="str">
        <x:v>Not included — title/abstract exclusion</x:v>
      </x:c>
      <x:c r="AF708" s="22" t="str">
        <x:v>Not applicable — not included</x:v>
      </x:c>
      <x:c r="AG708" s="22" t="str">
        <x:v>Evidence: Screenshot_10-8-2026_181426_arxiv10.org.jpeg; result 29. Metadata transcribed from captured arXiv results page; OCR-normalised where visually clear.</x:v>
      </x:c>
      <x:c r="AH708" s="20" t="str">
        <x:v>No duplicate identified under the documented matching rules.</x:v>
      </x:c>
    </x:row>
    <x:row r="709" ht="42" customHeight="1">
      <x:c r="A709" s="22" t="str">
        <x:v>ARXIV-10-030</x:v>
      </x:c>
      <x:c r="B709" s="22" t="str">
        <x:v>arXiv</x:v>
      </x:c>
      <x:c r="C709" s="22" t="str">
        <x:v>ARXIV-10</x:v>
      </x:c>
      <x:c r="D709" s="22" t="str">
        <x:v>Explainable and Interpretable Diabetic Retinopathy Classification Based on Neural-Symbolic Learning</x:v>
      </x:c>
      <x:c r="E709" s="22" t="str">
        <x:v>NR — authors not captured in the available source record</x:v>
      </x:c>
      <x:c r="F709" s="22" t="str">
        <x:v>NR</x:v>
      </x:c>
      <x:c r="G709" s="22" t="str">
        <x:v>arXiv</x:v>
      </x:c>
      <x:c r="H709" s="22" t="str">
        <x:v>arXiv search result</x:v>
      </x:c>
      <x:c r="I709" s="22" t="str">
        <x:v>10.48550/arxiv.2204.00624</x:v>
      </x:c>
      <x:c r="J709" s="22" t="str">
        <x:v>2204.00624</x:v>
      </x:c>
      <x:c r="K709" s="22" t="str">
        <x:v>https://arxiv.org/pdf/2204.00624</x:v>
      </x:c>
      <x:c r="L709" s="22" t="str">
        <x:v>In this paper, we propose an explainable and interpretable diabetic retinopathy (ExplainDR) classification model based on neural-symbolic learning. To gain explainability, a highlevel symbolic representation should be considered in decision making. Specifically, we introduce a human-readable symbolic representation, which follows a taxonomy style of diabetic retinopathy characteristics related to eye health conditions to achieve explainability. We then include humanreadable features obtained from the symbolic representation in the disease prediction. Experimental results on a diabetic retinopathy classification dataset show that our proposed ExplainDR method exhibits promising performance when compared to that from state-of-the-art methods applied to the IDRiD dataset, while also providing interpretability and explainability.</x:v>
      </x:c>
      <x:c r="M709" s="22" t="str">
        <x:v>No duplicate</x:v>
      </x:c>
      <x:c r="N709" s="22" t="str">
        <x:v>DG-101</x:v>
      </x:c>
      <x:c r="O709" s="22" t="str">
        <x:v>Not applicable</x:v>
      </x:c>
      <x:c r="P709" s="22" t="str">
        <x:v>Yes</x:v>
      </x:c>
      <x:c r="Q709" s="22" t="str">
        <x:v>Include</x:v>
      </x:c>
      <x:c r="R709" s="22" t="str">
        <x:v>Neural-symbolic DR model generates human-readable symbolic representations.</x:v>
      </x:c>
      <x:c r="S709" s="22" t="str">
        <x:v>Verification documented at process level</x:v>
      </x:c>
      <x:c r="T709" s="22" t="str">
        <x:v>Two additional authors performed random spot checks; individual spot-check assignments are not recorded in this register.</x:v>
      </x:c>
      <x:c r="U709" s="22" t="str">
        <x:v>Include</x:v>
      </x:c>
      <x:c r="V709" s="22" t="str">
        <x:v>Primary decision by the corresponding author; two additional authors performed random spot checks as a quality-control step.</x:v>
      </x:c>
      <x:c r="W709" s="22" t="str">
        <x:v>Yes</x:v>
      </x:c>
      <x:c r="X709" s="22" t="str">
        <x:v>Yes</x:v>
      </x:c>
      <x:c r="Y709" s="22" t="str">
        <x:v>Include</x:v>
      </x:c>
      <x:c r="Z709" s="22" t="str">
        <x:v>The corresponding author assessed the complete report and judged it eligible for inclusion in the review.</x:v>
      </x:c>
      <x:c r="AA709" s="22" t="str">
        <x:v>Verification documented at process level</x:v>
      </x:c>
      <x:c r="AB709" s="22" t="str">
        <x:v>Two additional authors performed random spot checks; individual spot-check assignments are not recorded in this register.</x:v>
      </x:c>
      <x:c r="AC709" s="22" t="str">
        <x:v>Include</x:v>
      </x:c>
      <x:c r="AD709" s="22" t="str">
        <x:v>Primary decision by the corresponding author; two additional authors performed random spot checks as a quality-control step.</x:v>
      </x:c>
      <x:c r="AE709" s="22" t="str">
        <x:v>Include</x:v>
      </x:c>
      <x:c r="AF709" s="22" t="str">
        <x:v>Direct retinal/ophthalmic evidence</x:v>
      </x:c>
      <x:c r="AG709" s="22" t="str">
        <x:v>Evidence: Screenshot_10-8-2026_181426_arxiv10.org.jpeg; result 30. Metadata transcribed from captured arXiv results page; OCR-normalised where visually clear.</x:v>
      </x:c>
      <x:c r="AH709" s="20" t="str">
        <x:v>Confirmed using normalized title across captured searches.</x:v>
      </x:c>
    </x:row>
    <x:row r="710" ht="42" customHeight="1">
      <x:c r="A710" s="22" t="str">
        <x:v>ARXIV-10-031</x:v>
      </x:c>
      <x:c r="B710" s="22" t="str">
        <x:v>arXiv</x:v>
      </x:c>
      <x:c r="C710" s="22" t="str">
        <x:v>ARXIV-10</x:v>
      </x:c>
      <x:c r="D710" s="22" t="str">
        <x:v>On the Robustness of Pretraining and Self-Supervision for a Deep Learning-Based Analysis of Diabetic Retinopathy</x:v>
      </x:c>
      <x:c r="E710" s="22" t="str">
        <x:v>NR — authors not captured in the available source record</x:v>
      </x:c>
      <x:c r="F710" s="22" t="str">
        <x:v>NR</x:v>
      </x:c>
      <x:c r="G710" s="22" t="str">
        <x:v>arXiv</x:v>
      </x:c>
      <x:c r="H710" s="22" t="str">
        <x:v>arXiv search result</x:v>
      </x:c>
      <x:c r="I710" s="22" t="str">
        <x:v>NR</x:v>
      </x:c>
      <x:c r="J710" s="22" t="str">
        <x:v>NR</x:v>
      </x:c>
      <x:c r="K710" s="22" t="str">
        <x:v>NR — URL not captured in the available source record</x:v>
      </x:c>
      <x:c r="L710" s="22" t="str">
        <x:v>Not available in the captured evidence; the screening decision used the title and available source metadata.</x:v>
      </x:c>
      <x:c r="M710" s="22" t="str">
        <x:v>No duplicate</x:v>
      </x:c>
      <x:c r="N710" s="22" t="str">
        <x:v>Not applicable — no duplicate group</x:v>
      </x:c>
      <x:c r="O710" s="22" t="str">
        <x:v>Not applicable</x:v>
      </x:c>
      <x:c r="P710" s="22" t="str">
        <x:v>Yes</x:v>
      </x:c>
      <x:c r="Q710" s="22" t="str">
        <x:v>Exclude</x:v>
      </x:c>
      <x:c r="R710" s="22" t="str">
        <x:v>Robustness and pretraining evaluation without an explanation method (E2).</x:v>
      </x:c>
      <x:c r="S710" s="22" t="str">
        <x:v>Verification documented at process level</x:v>
      </x:c>
      <x:c r="T710" s="22" t="str">
        <x:v>Two additional authors performed random spot checks; individual spot-check assignments are not recorded in this register.</x:v>
      </x:c>
      <x:c r="U710" s="22" t="str">
        <x:v>Exclude</x:v>
      </x:c>
      <x:c r="V710" s="22" t="str">
        <x:v>Primary decision by the corresponding author; two additional authors performed random spot checks as a quality-control step.</x:v>
      </x:c>
      <x:c r="W710" s="22" t="str">
        <x:v>No</x:v>
      </x:c>
      <x:c r="X710" s="22" t="str">
        <x:v>Not applicable</x:v>
      </x:c>
      <x:c r="Y710" s="22" t="str">
        <x:v>Not assessed</x:v>
      </x:c>
      <x:c r="Z710" s="22" t="str">
        <x:v>Not advanced to full-text assessment after the title/abstract decision.</x:v>
      </x:c>
      <x:c r="AA710" s="22" t="str">
        <x:v>Not applicable</x:v>
      </x:c>
      <x:c r="AB710" s="22" t="str">
        <x:v>Record was not advanced to full-text assessment.</x:v>
      </x:c>
      <x:c r="AC710" s="22" t="str">
        <x:v>Not assessed</x:v>
      </x:c>
      <x:c r="AD710" s="22" t="str">
        <x:v>Not applicable — no full-text assessment was required.</x:v>
      </x:c>
      <x:c r="AE710" s="22" t="str">
        <x:v>Not included — title/abstract exclusion</x:v>
      </x:c>
      <x:c r="AF710" s="22" t="str">
        <x:v>Not applicable — not included</x:v>
      </x:c>
      <x:c r="AG710" s="22" t="str">
        <x:v>Evidence: Screenshot_10-8-2026_181426_arxiv10.org.jpeg; result 31. Metadata transcribed from captured arXiv results page; OCR-normalised where visually clear.</x:v>
      </x:c>
      <x:c r="AH710" s="20" t="str">
        <x:v>No duplicate identified under the documented matching rules.</x:v>
      </x:c>
    </x:row>
    <x:row r="711" ht="42" customHeight="1">
      <x:c r="A711" s="22" t="str">
        <x:v>ARXIV-10-032</x:v>
      </x:c>
      <x:c r="B711" s="22" t="str">
        <x:v>arXiv</x:v>
      </x:c>
      <x:c r="C711" s="22" t="str">
        <x:v>ARXIV-10</x:v>
      </x:c>
      <x:c r="D711" s="22" t="str">
        <x:v>About Epistemic Variance Minimization: Training Neural Networks for Medical Imaging With Limited Data Annotations</x:v>
      </x:c>
      <x:c r="E711" s="22" t="str">
        <x:v>NR — authors not captured in the available source record</x:v>
      </x:c>
      <x:c r="F711" s="22" t="str">
        <x:v>NR</x:v>
      </x:c>
      <x:c r="G711" s="22" t="str">
        <x:v>arXiv</x:v>
      </x:c>
      <x:c r="H711" s="22" t="str">
        <x:v>arXiv search result</x:v>
      </x:c>
      <x:c r="I711" s="22" t="str">
        <x:v>NR</x:v>
      </x:c>
      <x:c r="J711" s="22" t="str">
        <x:v>NR</x:v>
      </x:c>
      <x:c r="K711" s="22" t="str">
        <x:v>NR — URL not captured in the available source record</x:v>
      </x:c>
      <x:c r="L711" s="22" t="str">
        <x:v>Not available in the captured evidence; the screening decision used the title and available source metadata.</x:v>
      </x:c>
      <x:c r="M711" s="22" t="str">
        <x:v>No duplicate</x:v>
      </x:c>
      <x:c r="N711" s="22" t="str">
        <x:v>Not applicable — no duplicate group</x:v>
      </x:c>
      <x:c r="O711" s="22" t="str">
        <x:v>Not applicable</x:v>
      </x:c>
      <x:c r="P711" s="22" t="str">
        <x:v>Yes</x:v>
      </x:c>
      <x:c r="Q711" s="22" t="str">
        <x:v>Exclude</x:v>
      </x:c>
      <x:c r="R711" s="22" t="str">
        <x:v>Uncertainty and limited-annotation training rather than concept XAI (E2).</x:v>
      </x:c>
      <x:c r="S711" s="22" t="str">
        <x:v>Verification documented at process level</x:v>
      </x:c>
      <x:c r="T711" s="22" t="str">
        <x:v>Two additional authors performed random spot checks; individual spot-check assignments are not recorded in this register.</x:v>
      </x:c>
      <x:c r="U711" s="22" t="str">
        <x:v>Exclude</x:v>
      </x:c>
      <x:c r="V711" s="22" t="str">
        <x:v>Primary decision by the corresponding author; two additional authors performed random spot checks as a quality-control step.</x:v>
      </x:c>
      <x:c r="W711" s="22" t="str">
        <x:v>No</x:v>
      </x:c>
      <x:c r="X711" s="22" t="str">
        <x:v>Not applicable</x:v>
      </x:c>
      <x:c r="Y711" s="22" t="str">
        <x:v>Not assessed</x:v>
      </x:c>
      <x:c r="Z711" s="22" t="str">
        <x:v>Not advanced to full-text assessment after the title/abstract decision.</x:v>
      </x:c>
      <x:c r="AA711" s="22" t="str">
        <x:v>Not applicable</x:v>
      </x:c>
      <x:c r="AB711" s="22" t="str">
        <x:v>Record was not advanced to full-text assessment.</x:v>
      </x:c>
      <x:c r="AC711" s="22" t="str">
        <x:v>Not assessed</x:v>
      </x:c>
      <x:c r="AD711" s="22" t="str">
        <x:v>Not applicable — no full-text assessment was required.</x:v>
      </x:c>
      <x:c r="AE711" s="22" t="str">
        <x:v>Not included — title/abstract exclusion</x:v>
      </x:c>
      <x:c r="AF711" s="22" t="str">
        <x:v>Not applicable — not included</x:v>
      </x:c>
      <x:c r="AG711" s="22" t="str">
        <x:v>Evidence: Screenshot_10-8-2026_181426_arxiv10.org.jpeg; result 32. Metadata transcribed from captured arXiv results page; OCR-normalised where visually clear.</x:v>
      </x:c>
      <x:c r="AH711" s="20" t="str">
        <x:v>No duplicate identified under the documented matching rules.</x:v>
      </x:c>
    </x:row>
    <x:row r="712" ht="42" customHeight="1">
      <x:c r="A712" s="22" t="str">
        <x:v>ARXIV-10-033</x:v>
      </x:c>
      <x:c r="B712" s="22" t="str">
        <x:v>arXiv</x:v>
      </x:c>
      <x:c r="C712" s="22" t="str">
        <x:v>ARXIV-10</x:v>
      </x:c>
      <x:c r="D712" s="22" t="str">
        <x:v>Dual-Awareness Attention for Few-Shot Object Detection</x:v>
      </x:c>
      <x:c r="E712" s="22" t="str">
        <x:v>NR — authors not captured in the available source record</x:v>
      </x:c>
      <x:c r="F712" s="22" t="str">
        <x:v>NR</x:v>
      </x:c>
      <x:c r="G712" s="22" t="str">
        <x:v>arXiv</x:v>
      </x:c>
      <x:c r="H712" s="22" t="str">
        <x:v>arXiv search result</x:v>
      </x:c>
      <x:c r="I712" s="22" t="str">
        <x:v>NR</x:v>
      </x:c>
      <x:c r="J712" s="22" t="str">
        <x:v>NR</x:v>
      </x:c>
      <x:c r="K712" s="22" t="str">
        <x:v>NR — URL not captured in the available source record</x:v>
      </x:c>
      <x:c r="L712" s="22" t="str">
        <x:v>Not available in the captured evidence; the screening decision used the title and available source metadata.</x:v>
      </x:c>
      <x:c r="M712" s="22" t="str">
        <x:v>No duplicate</x:v>
      </x:c>
      <x:c r="N712" s="22" t="str">
        <x:v>Not applicable — no duplicate group</x:v>
      </x:c>
      <x:c r="O712" s="22" t="str">
        <x:v>Not applicable</x:v>
      </x:c>
      <x:c r="P712" s="22" t="str">
        <x:v>Yes</x:v>
      </x:c>
      <x:c r="Q712" s="22" t="str">
        <x:v>Exclude</x:v>
      </x:c>
      <x:c r="R712" s="22" t="str">
        <x:v>Generic few-shot object detection; wrong application domain (E1).</x:v>
      </x:c>
      <x:c r="S712" s="22" t="str">
        <x:v>Verification documented at process level</x:v>
      </x:c>
      <x:c r="T712" s="22" t="str">
        <x:v>Two additional authors performed random spot checks; individual spot-check assignments are not recorded in this register.</x:v>
      </x:c>
      <x:c r="U712" s="22" t="str">
        <x:v>Exclude</x:v>
      </x:c>
      <x:c r="V712" s="22" t="str">
        <x:v>Primary decision by the corresponding author; two additional authors performed random spot checks as a quality-control step.</x:v>
      </x:c>
      <x:c r="W712" s="22" t="str">
        <x:v>No</x:v>
      </x:c>
      <x:c r="X712" s="22" t="str">
        <x:v>Not applicable</x:v>
      </x:c>
      <x:c r="Y712" s="22" t="str">
        <x:v>Not assessed</x:v>
      </x:c>
      <x:c r="Z712" s="22" t="str">
        <x:v>Not advanced to full-text assessment after the title/abstract decision.</x:v>
      </x:c>
      <x:c r="AA712" s="22" t="str">
        <x:v>Not applicable</x:v>
      </x:c>
      <x:c r="AB712" s="22" t="str">
        <x:v>Record was not advanced to full-text assessment.</x:v>
      </x:c>
      <x:c r="AC712" s="22" t="str">
        <x:v>Not assessed</x:v>
      </x:c>
      <x:c r="AD712" s="22" t="str">
        <x:v>Not applicable — no full-text assessment was required.</x:v>
      </x:c>
      <x:c r="AE712" s="22" t="str">
        <x:v>Not included — title/abstract exclusion</x:v>
      </x:c>
      <x:c r="AF712" s="22" t="str">
        <x:v>Not applicable — not included</x:v>
      </x:c>
      <x:c r="AG712" s="22" t="str">
        <x:v>Evidence: Screenshot_10-8-2026_181426_arxiv10.org.jpeg; result 33. Metadata transcribed from captured arXiv results page; OCR-normalised where visually clear.</x:v>
      </x:c>
      <x:c r="AH712" s="20" t="str">
        <x:v>No duplicate identified under the documented matching rules.</x:v>
      </x:c>
    </x:row>
    <x:row r="713" ht="42" customHeight="1">
      <x:c r="A713" s="22" t="str">
        <x:v>ARXIV-10-034</x:v>
      </x:c>
      <x:c r="B713" s="22" t="str">
        <x:v>arXiv</x:v>
      </x:c>
      <x:c r="C713" s="22" t="str">
        <x:v>ARXIV-10</x:v>
      </x:c>
      <x:c r="D713" s="22" t="str">
        <x:v>Multiresolution Knowledge Distillation for Anomaly Detection</x:v>
      </x:c>
      <x:c r="E713" s="22" t="str">
        <x:v>NR — authors not captured in the available source record</x:v>
      </x:c>
      <x:c r="F713" s="22" t="str">
        <x:v>NR</x:v>
      </x:c>
      <x:c r="G713" s="22" t="str">
        <x:v>arXiv</x:v>
      </x:c>
      <x:c r="H713" s="22" t="str">
        <x:v>arXiv search result</x:v>
      </x:c>
      <x:c r="I713" s="22" t="str">
        <x:v>NR</x:v>
      </x:c>
      <x:c r="J713" s="22" t="str">
        <x:v>NR</x:v>
      </x:c>
      <x:c r="K713" s="22" t="str">
        <x:v>NR — URL not captured in the available source record</x:v>
      </x:c>
      <x:c r="L713" s="22" t="str">
        <x:v>Not available in the captured evidence; the screening decision used the title and available source metadata.</x:v>
      </x:c>
      <x:c r="M713" s="22" t="str">
        <x:v>No duplicate</x:v>
      </x:c>
      <x:c r="N713" s="22" t="str">
        <x:v>Not applicable — no duplicate group</x:v>
      </x:c>
      <x:c r="O713" s="22" t="str">
        <x:v>Not applicable</x:v>
      </x:c>
      <x:c r="P713" s="22" t="str">
        <x:v>Yes</x:v>
      </x:c>
      <x:c r="Q713" s="22" t="str">
        <x:v>Exclude</x:v>
      </x:c>
      <x:c r="R713" s="22" t="str">
        <x:v>Generic anomaly detection and knowledge distillation; wrong focus (E1/E2).</x:v>
      </x:c>
      <x:c r="S713" s="22" t="str">
        <x:v>Verification documented at process level</x:v>
      </x:c>
      <x:c r="T713" s="22" t="str">
        <x:v>Two additional authors performed random spot checks; individual spot-check assignments are not recorded in this register.</x:v>
      </x:c>
      <x:c r="U713" s="22" t="str">
        <x:v>Exclude</x:v>
      </x:c>
      <x:c r="V713" s="22" t="str">
        <x:v>Primary decision by the corresponding author; two additional authors performed random spot checks as a quality-control step.</x:v>
      </x:c>
      <x:c r="W713" s="22" t="str">
        <x:v>No</x:v>
      </x:c>
      <x:c r="X713" s="22" t="str">
        <x:v>Not applicable</x:v>
      </x:c>
      <x:c r="Y713" s="22" t="str">
        <x:v>Not assessed</x:v>
      </x:c>
      <x:c r="Z713" s="22" t="str">
        <x:v>Not advanced to full-text assessment after the title/abstract decision.</x:v>
      </x:c>
      <x:c r="AA713" s="22" t="str">
        <x:v>Not applicable</x:v>
      </x:c>
      <x:c r="AB713" s="22" t="str">
        <x:v>Record was not advanced to full-text assessment.</x:v>
      </x:c>
      <x:c r="AC713" s="22" t="str">
        <x:v>Not assessed</x:v>
      </x:c>
      <x:c r="AD713" s="22" t="str">
        <x:v>Not applicable — no full-text assessment was required.</x:v>
      </x:c>
      <x:c r="AE713" s="22" t="str">
        <x:v>Not included — title/abstract exclusion</x:v>
      </x:c>
      <x:c r="AF713" s="22" t="str">
        <x:v>Not applicable — not included</x:v>
      </x:c>
      <x:c r="AG713" s="22" t="str">
        <x:v>Evidence: Screenshot_10-8-2026_181426_arxiv10.org.jpeg; result 34. Metadata transcribed from captured arXiv results page; OCR-normalised where visually clear.</x:v>
      </x:c>
      <x:c r="AH713" s="20" t="str">
        <x:v>No duplicate identified under the documented matching rules.</x:v>
      </x:c>
    </x:row>
    <x:row r="714" ht="42" customHeight="1">
      <x:c r="A714" s="22" t="str">
        <x:v>ARXIV-10-035</x:v>
      </x:c>
      <x:c r="B714" s="22" t="str">
        <x:v>arXiv</x:v>
      </x:c>
      <x:c r="C714" s="22" t="str">
        <x:v>ARXIV-10</x:v>
      </x:c>
      <x:c r="D714" s="22" t="str">
        <x:v>Hybrid Deep Learning Guides in Process for Diabetic Retinopathy Diagnosis and Uncertainty Quantification</x:v>
      </x:c>
      <x:c r="E714" s="22" t="str">
        <x:v>NR — authors not captured in the available source record</x:v>
      </x:c>
      <x:c r="F714" s="22" t="str">
        <x:v>NR</x:v>
      </x:c>
      <x:c r="G714" s="22" t="str">
        <x:v>arXiv</x:v>
      </x:c>
      <x:c r="H714" s="22" t="str">
        <x:v>arXiv search result</x:v>
      </x:c>
      <x:c r="I714" s="22" t="str">
        <x:v>NR</x:v>
      </x:c>
      <x:c r="J714" s="22" t="str">
        <x:v>NR</x:v>
      </x:c>
      <x:c r="K714" s="22" t="str">
        <x:v>NR — URL not captured in the available source record</x:v>
      </x:c>
      <x:c r="L714" s="22" t="str">
        <x:v>Not available in the captured evidence; the screening decision used the title and available source metadata.</x:v>
      </x:c>
      <x:c r="M714" s="22" t="str">
        <x:v>No duplicate</x:v>
      </x:c>
      <x:c r="N714" s="22" t="str">
        <x:v>Not applicable — no duplicate group</x:v>
      </x:c>
      <x:c r="O714" s="22" t="str">
        <x:v>Not applicable</x:v>
      </x:c>
      <x:c r="P714" s="22" t="str">
        <x:v>Yes</x:v>
      </x:c>
      <x:c r="Q714" s="22" t="str">
        <x:v>Exclude</x:v>
      </x:c>
      <x:c r="R714" s="22" t="str">
        <x:v>DR diagnosis and uncertainty quantification without concept explanations (E2).</x:v>
      </x:c>
      <x:c r="S714" s="22" t="str">
        <x:v>Verification documented at process level</x:v>
      </x:c>
      <x:c r="T714" s="22" t="str">
        <x:v>Two additional authors performed random spot checks; individual spot-check assignments are not recorded in this register.</x:v>
      </x:c>
      <x:c r="U714" s="22" t="str">
        <x:v>Exclude</x:v>
      </x:c>
      <x:c r="V714" s="22" t="str">
        <x:v>Primary decision by the corresponding author; two additional authors performed random spot checks as a quality-control step.</x:v>
      </x:c>
      <x:c r="W714" s="22" t="str">
        <x:v>No</x:v>
      </x:c>
      <x:c r="X714" s="22" t="str">
        <x:v>Not applicable</x:v>
      </x:c>
      <x:c r="Y714" s="22" t="str">
        <x:v>Not assessed</x:v>
      </x:c>
      <x:c r="Z714" s="22" t="str">
        <x:v>Not advanced to full-text assessment after the title/abstract decision.</x:v>
      </x:c>
      <x:c r="AA714" s="22" t="str">
        <x:v>Not applicable</x:v>
      </x:c>
      <x:c r="AB714" s="22" t="str">
        <x:v>Record was not advanced to full-text assessment.</x:v>
      </x:c>
      <x:c r="AC714" s="22" t="str">
        <x:v>Not assessed</x:v>
      </x:c>
      <x:c r="AD714" s="22" t="str">
        <x:v>Not applicable — no full-text assessment was required.</x:v>
      </x:c>
      <x:c r="AE714" s="22" t="str">
        <x:v>Not included — title/abstract exclusion</x:v>
      </x:c>
      <x:c r="AF714" s="22" t="str">
        <x:v>Not applicable — not included</x:v>
      </x:c>
      <x:c r="AG714" s="22" t="str">
        <x:v>Evidence: Screenshot_10-8-2026_181426_arxiv10.org.jpeg; result 35. Metadata transcribed from captured arXiv results page; OCR-normalised where visually clear.</x:v>
      </x:c>
      <x:c r="AH714" s="20" t="str">
        <x:v>No duplicate identified under the documented matching rules.</x:v>
      </x:c>
    </x:row>
    <x:row r="715" ht="42" customHeight="1">
      <x:c r="A715" s="22" t="str">
        <x:v>ARXIV-11-001</x:v>
      </x:c>
      <x:c r="B715" s="22" t="str">
        <x:v>arXiv</x:v>
      </x:c>
      <x:c r="C715" s="22" t="str">
        <x:v>ARXIV-11</x:v>
      </x:c>
      <x:c r="D715" s="22" t="str">
        <x:v>Neuromorphic cameras for Atmospheric Cherenkov Telescopes and fast optical astronomy: new paradigm, challenges and opportunities</x:v>
      </x:c>
      <x:c r="E715" s="22" t="str">
        <x:v>NR — authors not captured in the available source record</x:v>
      </x:c>
      <x:c r="F715" s="22" t="n">
        <x:v>2023</x:v>
      </x:c>
      <x:c r="G715" s="22" t="str">
        <x:v>NR — source not captured in the available record</x:v>
      </x:c>
      <x:c r="H715" s="22" t="str">
        <x:v>Preprint / arXiv search result</x:v>
      </x:c>
      <x:c r="I715" s="22" t="str">
        <x:v>NR</x:v>
      </x:c>
      <x:c r="J715" s="22" t="str">
        <x:v>2310.16321</x:v>
      </x:c>
      <x:c r="K715" s="22" t="str">
        <x:v>https://arxiv.org/abs/2310.16321</x:v>
      </x:c>
      <x:c r="L715" s="22" t="str">
        <x:v>Not available in the captured evidence; the screening decision used the title and available source metadata.</x:v>
      </x:c>
      <x:c r="M715" s="22" t="str">
        <x:v>No duplicate</x:v>
      </x:c>
      <x:c r="N715" s="22" t="str">
        <x:v>Not applicable — no duplicate group</x:v>
      </x:c>
      <x:c r="O715" s="22" t="str">
        <x:v>Not applicable</x:v>
      </x:c>
      <x:c r="P715" s="22" t="str">
        <x:v>Yes</x:v>
      </x:c>
      <x:c r="Q715" s="22" t="str">
        <x:v>Exclude</x:v>
      </x:c>
      <x:c r="R715" s="22" t="str">
        <x:v>Astronomy application; wrong domain (E1).</x:v>
      </x:c>
      <x:c r="S715" s="22" t="str">
        <x:v>Verification documented at process level</x:v>
      </x:c>
      <x:c r="T715" s="22" t="str">
        <x:v>Two additional authors performed random spot checks; individual spot-check assignments are not recorded in this register.</x:v>
      </x:c>
      <x:c r="U715" s="22" t="str">
        <x:v>Exclude</x:v>
      </x:c>
      <x:c r="V715" s="22" t="str">
        <x:v>Primary decision by the corresponding author; two additional authors performed random spot checks as a quality-control step.</x:v>
      </x:c>
      <x:c r="W715" s="22" t="str">
        <x:v>No</x:v>
      </x:c>
      <x:c r="X715" s="22" t="str">
        <x:v>Not applicable</x:v>
      </x:c>
      <x:c r="Y715" s="22" t="str">
        <x:v>Not assessed</x:v>
      </x:c>
      <x:c r="Z715" s="22" t="str">
        <x:v>Not advanced to full-text assessment after the title/abstract decision.</x:v>
      </x:c>
      <x:c r="AA715" s="22" t="str">
        <x:v>Not applicable</x:v>
      </x:c>
      <x:c r="AB715" s="22" t="str">
        <x:v>Record was not advanced to full-text assessment.</x:v>
      </x:c>
      <x:c r="AC715" s="22" t="str">
        <x:v>Not assessed</x:v>
      </x:c>
      <x:c r="AD715" s="22" t="str">
        <x:v>Not applicable — no full-text assessment was required.</x:v>
      </x:c>
      <x:c r="AE715" s="22" t="str">
        <x:v>Not included — title/abstract exclusion</x:v>
      </x:c>
      <x:c r="AF715" s="22" t="str">
        <x:v>Not applicable — not included</x:v>
      </x:c>
      <x:c r="AG715" s="22" t="str">
        <x:v>Visible in the supplied arXiv result screenshot for ARXIV-11; current rerun on 7 August 2026. Authors/abstract may require metadata completion before title/abstract screening.</x:v>
      </x:c>
      <x:c r="AH715" s="20" t="str">
        <x:v>No duplicate identified under the documented matching rules.</x:v>
      </x:c>
    </x:row>
    <x:row r="716" ht="42" customHeight="1">
      <x:c r="A716" s="22" t="str">
        <x:v>ARXIV-11-002</x:v>
      </x:c>
      <x:c r="B716" s="22" t="str">
        <x:v>arXiv</x:v>
      </x:c>
      <x:c r="C716" s="22" t="str">
        <x:v>ARXIV-11</x:v>
      </x:c>
      <x:c r="D716" s="22" t="str">
        <x:v>Discovery Radiomics with CLEAR-DR: Interpretable Computer Aided Diagnosis of Diabetic Retinopathy</x:v>
      </x:c>
      <x:c r="E716" s="22" t="str">
        <x:v>NR — authors not captured in the available source record</x:v>
      </x:c>
      <x:c r="F716" s="22" t="n">
        <x:v>2017</x:v>
      </x:c>
      <x:c r="G716" s="22" t="str">
        <x:v>NR — source not captured in the available record</x:v>
      </x:c>
      <x:c r="H716" s="22" t="str">
        <x:v>Preprint / arXiv search result</x:v>
      </x:c>
      <x:c r="I716" s="22" t="str">
        <x:v>10.1109/access.2019.2893635</x:v>
      </x:c>
      <x:c r="J716" s="22" t="str">
        <x:v>1710.10675</x:v>
      </x:c>
      <x:c r="K716" s="22" t="str">
        <x:v>https://arxiv.org/pdf/1710.10675</x:v>
      </x:c>
      <x:c r="L716" s="22" t="str">
        <x:v>Radiomics-driven computer aided diagnosis (CAD) has shown considerable promise in recent years as a potential tool for improving clinical decision support in medical oncology, particularly those based around the concept of discovery radiomics, where radiomic sequencers are discovered through the analysis of medical imaging data. One of the main limitations, with current CAD approaches, is that it is very difficult to gain insight or rationale as to how decisions are made, thus limiting their utility to clinicians. In this paper, we propose CLEAR-DR, a novel interpretable CAD system based on the notion of CLass-Enhanced Attentive Response Discovery Radiomics for the purpose of clinical decision support for diabetic retinopathy. In addition to disease grading via the discovered deep radiomic sequencer, the CLEAR-DR system also produces a visual interpretation of the decision-making process to provide better insight and understanding of the decision-making process of the system. We demonstrate the effectiveness and utility of the proposed CLEAR-DR system of enhancing the interpretability of diagnostic grading results for the application of diabetic retinopathy grading. CLEAR-DR can act as a potentially powerful tool to address the uninterpretability issue of current CAD systems, thus improving their utility to clinicians.</x:v>
      </x:c>
      <x:c r="M716" s="22" t="str">
        <x:v>No duplicate</x:v>
      </x:c>
      <x:c r="N716" s="22" t="str">
        <x:v>Not applicable — no duplicate group</x:v>
      </x:c>
      <x:c r="O716" s="22" t="str">
        <x:v>Not applicable</x:v>
      </x:c>
      <x:c r="P716" s="22" t="str">
        <x:v>Yes</x:v>
      </x:c>
      <x:c r="Q716" s="22" t="str">
        <x:v>Include</x:v>
      </x:c>
      <x:c r="R716" s="22" t="str">
        <x:v>Interpretable discovery-radiomics framework for diabetic-retinopathy decisions.</x:v>
      </x:c>
      <x:c r="S716" s="22" t="str">
        <x:v>Verification documented at process level</x:v>
      </x:c>
      <x:c r="T716" s="22" t="str">
        <x:v>Two additional authors performed random spot checks; individual spot-check assignments are not recorded in this register.</x:v>
      </x:c>
      <x:c r="U716" s="22" t="str">
        <x:v>Include</x:v>
      </x:c>
      <x:c r="V716" s="22" t="str">
        <x:v>Primary decision by the corresponding author; two additional authors performed random spot checks as a quality-control step.</x:v>
      </x:c>
      <x:c r="W716" s="22" t="str">
        <x:v>Yes</x:v>
      </x:c>
      <x:c r="X716" s="22" t="str">
        <x:v>Yes</x:v>
      </x:c>
      <x:c r="Y716" s="22" t="str">
        <x:v>Include</x:v>
      </x:c>
      <x:c r="Z716" s="22" t="str">
        <x:v>The corresponding author assessed the complete report and judged it eligible for inclusion in the review.</x:v>
      </x:c>
      <x:c r="AA716" s="22" t="str">
        <x:v>Verification documented at process level</x:v>
      </x:c>
      <x:c r="AB716" s="22" t="str">
        <x:v>Two additional authors performed random spot checks; individual spot-check assignments are not recorded in this register.</x:v>
      </x:c>
      <x:c r="AC716" s="22" t="str">
        <x:v>Include</x:v>
      </x:c>
      <x:c r="AD716" s="22" t="str">
        <x:v>Primary decision by the corresponding author; two additional authors performed random spot checks as a quality-control step.</x:v>
      </x:c>
      <x:c r="AE716" s="22" t="str">
        <x:v>Include</x:v>
      </x:c>
      <x:c r="AF716" s="22" t="str">
        <x:v>Direct retinal/ophthalmic evidence</x:v>
      </x:c>
      <x:c r="AG716" s="22" t="str">
        <x:v>Visible in the supplied arXiv result screenshot for ARXIV-11; current rerun on 7 August 2026. Authors/abstract may require metadata completion before title/abstract screening.</x:v>
      </x:c>
      <x:c r="AH716" s="20" t="str">
        <x:v>No duplicate identified under the documented matching rules.</x:v>
      </x:c>
    </x:row>
    <x:row r="717" ht="42" customHeight="1">
      <x:c r="A717" s="22" t="str">
        <x:v>ARXIV-12-001</x:v>
      </x:c>
      <x:c r="B717" s="22" t="str">
        <x:v>arXiv</x:v>
      </x:c>
      <x:c r="C717" s="22" t="str">
        <x:v>ARXIV-12</x:v>
      </x:c>
      <x:c r="D717" s="22" t="str">
        <x:v>Reframing Pattern: A Comprehensive Approach to a Composite Visual Variable</x:v>
      </x:c>
      <x:c r="E717" s="22" t="str">
        <x:v>NR — authors not captured in the available source record</x:v>
      </x:c>
      <x:c r="F717" s="22" t="n">
        <x:v>2025</x:v>
      </x:c>
      <x:c r="G717" s="22" t="str">
        <x:v>NR — source not captured in the available record</x:v>
      </x:c>
      <x:c r="H717" s="22" t="str">
        <x:v>Preprint / arXiv search result</x:v>
      </x:c>
      <x:c r="I717" s="22" t="str">
        <x:v>NR</x:v>
      </x:c>
      <x:c r="J717" s="22" t="str">
        <x:v>2508.02639</x:v>
      </x:c>
      <x:c r="K717" s="22" t="str">
        <x:v>https://arxiv.org/abs/2508.02639</x:v>
      </x:c>
      <x:c r="L717" s="22" t="str">
        <x:v>Not available in the captured evidence; the screening decision used the title and available source metadata.</x:v>
      </x:c>
      <x:c r="M717" s="22" t="str">
        <x:v>No duplicate</x:v>
      </x:c>
      <x:c r="N717" s="22" t="str">
        <x:v>Not applicable — no duplicate group</x:v>
      </x:c>
      <x:c r="O717" s="22" t="str">
        <x:v>Not applicable</x:v>
      </x:c>
      <x:c r="P717" s="22" t="str">
        <x:v>Yes</x:v>
      </x:c>
      <x:c r="Q717" s="22" t="str">
        <x:v>Exclude</x:v>
      </x:c>
      <x:c r="R717" s="22" t="str">
        <x:v>General visual-variable theory; wrong application focus (E1).</x:v>
      </x:c>
      <x:c r="S717" s="22" t="str">
        <x:v>Verification documented at process level</x:v>
      </x:c>
      <x:c r="T717" s="22" t="str">
        <x:v>Two additional authors performed random spot checks; individual spot-check assignments are not recorded in this register.</x:v>
      </x:c>
      <x:c r="U717" s="22" t="str">
        <x:v>Exclude</x:v>
      </x:c>
      <x:c r="V717" s="22" t="str">
        <x:v>Primary decision by the corresponding author; two additional authors performed random spot checks as a quality-control step.</x:v>
      </x:c>
      <x:c r="W717" s="22" t="str">
        <x:v>No</x:v>
      </x:c>
      <x:c r="X717" s="22" t="str">
        <x:v>Not applicable</x:v>
      </x:c>
      <x:c r="Y717" s="22" t="str">
        <x:v>Not assessed</x:v>
      </x:c>
      <x:c r="Z717" s="22" t="str">
        <x:v>Not advanced to full-text assessment after the title/abstract decision.</x:v>
      </x:c>
      <x:c r="AA717" s="22" t="str">
        <x:v>Not applicable</x:v>
      </x:c>
      <x:c r="AB717" s="22" t="str">
        <x:v>Record was not advanced to full-text assessment.</x:v>
      </x:c>
      <x:c r="AC717" s="22" t="str">
        <x:v>Not assessed</x:v>
      </x:c>
      <x:c r="AD717" s="22" t="str">
        <x:v>Not applicable — no full-text assessment was required.</x:v>
      </x:c>
      <x:c r="AE717" s="22" t="str">
        <x:v>Not included — title/abstract exclusion</x:v>
      </x:c>
      <x:c r="AF717" s="22" t="str">
        <x:v>Not applicable — not included</x:v>
      </x:c>
      <x:c r="AG717" s="22" t="str">
        <x:v>Visible in the supplied arXiv result screenshot for ARXIV-12; current rerun on 7 August 2026. Authors/abstract may require metadata completion before title/abstract screening.</x:v>
      </x:c>
      <x:c r="AH717" s="20" t="str">
        <x:v>No duplicate identified under the documented matching rules.</x:v>
      </x:c>
    </x:row>
    <x:row r="718" ht="42" customHeight="1">
      <x:c r="A718" s="22" t="str">
        <x:v>ARXIV-12-002</x:v>
      </x:c>
      <x:c r="B718" s="22" t="str">
        <x:v>arXiv</x:v>
      </x:c>
      <x:c r="C718" s="22" t="str">
        <x:v>ARXIV-12</x:v>
      </x:c>
      <x:c r="D718" s="22" t="str">
        <x:v>Statistical models of neural activity, criticality, and Zipf's law</x:v>
      </x:c>
      <x:c r="E718" s="22" t="str">
        <x:v>NR — authors not captured in the available source record</x:v>
      </x:c>
      <x:c r="F718" s="22" t="n">
        <x:v>2018</x:v>
      </x:c>
      <x:c r="G718" s="22" t="str">
        <x:v>NR — source not captured in the available record</x:v>
      </x:c>
      <x:c r="H718" s="22" t="str">
        <x:v>Preprint / arXiv search result</x:v>
      </x:c>
      <x:c r="I718" s="22" t="str">
        <x:v>NR</x:v>
      </x:c>
      <x:c r="J718" s="22" t="str">
        <x:v>1812.09123</x:v>
      </x:c>
      <x:c r="K718" s="22" t="str">
        <x:v>https://arxiv.org/abs/1812.09123</x:v>
      </x:c>
      <x:c r="L718" s="22" t="str">
        <x:v>Not available in the captured evidence; the screening decision used the title and available source metadata.</x:v>
      </x:c>
      <x:c r="M718" s="22" t="str">
        <x:v>No duplicate</x:v>
      </x:c>
      <x:c r="N718" s="22" t="str">
        <x:v>Not applicable — no duplicate group</x:v>
      </x:c>
      <x:c r="O718" s="22" t="str">
        <x:v>Not applicable</x:v>
      </x:c>
      <x:c r="P718" s="22" t="str">
        <x:v>Yes</x:v>
      </x:c>
      <x:c r="Q718" s="22" t="str">
        <x:v>Exclude</x:v>
      </x:c>
      <x:c r="R718" s="22" t="str">
        <x:v>Statistical modelling of neural activity; wrong domain (E1).</x:v>
      </x:c>
      <x:c r="S718" s="22" t="str">
        <x:v>Verification documented at process level</x:v>
      </x:c>
      <x:c r="T718" s="22" t="str">
        <x:v>Two additional authors performed random spot checks; individual spot-check assignments are not recorded in this register.</x:v>
      </x:c>
      <x:c r="U718" s="22" t="str">
        <x:v>Exclude</x:v>
      </x:c>
      <x:c r="V718" s="22" t="str">
        <x:v>Primary decision by the corresponding author; two additional authors performed random spot checks as a quality-control step.</x:v>
      </x:c>
      <x:c r="W718" s="22" t="str">
        <x:v>No</x:v>
      </x:c>
      <x:c r="X718" s="22" t="str">
        <x:v>Not applicable</x:v>
      </x:c>
      <x:c r="Y718" s="22" t="str">
        <x:v>Not assessed</x:v>
      </x:c>
      <x:c r="Z718" s="22" t="str">
        <x:v>Not advanced to full-text assessment after the title/abstract decision.</x:v>
      </x:c>
      <x:c r="AA718" s="22" t="str">
        <x:v>Not applicable</x:v>
      </x:c>
      <x:c r="AB718" s="22" t="str">
        <x:v>Record was not advanced to full-text assessment.</x:v>
      </x:c>
      <x:c r="AC718" s="22" t="str">
        <x:v>Not assessed</x:v>
      </x:c>
      <x:c r="AD718" s="22" t="str">
        <x:v>Not applicable — no full-text assessment was required.</x:v>
      </x:c>
      <x:c r="AE718" s="22" t="str">
        <x:v>Not included — title/abstract exclusion</x:v>
      </x:c>
      <x:c r="AF718" s="22" t="str">
        <x:v>Not applicable — not included</x:v>
      </x:c>
      <x:c r="AG718" s="22" t="str">
        <x:v>Visible in the supplied arXiv result screenshot for ARXIV-12; current rerun on 7 August 2026. Authors/abstract may require metadata completion before title/abstract screening.</x:v>
      </x:c>
      <x:c r="AH718" s="20" t="str">
        <x:v>No duplicate identified under the documented matching rules.</x:v>
      </x:c>
    </x:row>
    <x:row r="719" ht="42" customHeight="1">
      <x:c r="A719" s="22" t="str">
        <x:v>ARXIV-12-003</x:v>
      </x:c>
      <x:c r="B719" s="22" t="str">
        <x:v>arXiv</x:v>
      </x:c>
      <x:c r="C719" s="22" t="str">
        <x:v>ARXIV-12</x:v>
      </x:c>
      <x:c r="D719" s="22" t="str">
        <x:v>A Consolidated Approach to Convolutional Neural Networks and the Kolmogorov Complexity</x:v>
      </x:c>
      <x:c r="E719" s="22" t="str">
        <x:v>NR — authors not captured in the available source record</x:v>
      </x:c>
      <x:c r="F719" s="22" t="n">
        <x:v>2018</x:v>
      </x:c>
      <x:c r="G719" s="22" t="str">
        <x:v>NR — source not captured in the available record</x:v>
      </x:c>
      <x:c r="H719" s="22" t="str">
        <x:v>Preprint / arXiv search result</x:v>
      </x:c>
      <x:c r="I719" s="22" t="str">
        <x:v>NR</x:v>
      </x:c>
      <x:c r="J719" s="22" t="str">
        <x:v>1812.00888</x:v>
      </x:c>
      <x:c r="K719" s="22" t="str">
        <x:v>https://arxiv.org/abs/1812.00888</x:v>
      </x:c>
      <x:c r="L719" s="22" t="str">
        <x:v>Not available in the captured evidence; the screening decision used the title and available source metadata.</x:v>
      </x:c>
      <x:c r="M719" s="22" t="str">
        <x:v>No duplicate</x:v>
      </x:c>
      <x:c r="N719" s="22" t="str">
        <x:v>Not applicable — no duplicate group</x:v>
      </x:c>
      <x:c r="O719" s="22" t="str">
        <x:v>Not applicable</x:v>
      </x:c>
      <x:c r="P719" s="22" t="str">
        <x:v>Yes</x:v>
      </x:c>
      <x:c r="Q719" s="22" t="str">
        <x:v>Exclude</x:v>
      </x:c>
      <x:c r="R719" s="22" t="str">
        <x:v>General CNN and complexity theory; wrong domain (E1).</x:v>
      </x:c>
      <x:c r="S719" s="22" t="str">
        <x:v>Verification documented at process level</x:v>
      </x:c>
      <x:c r="T719" s="22" t="str">
        <x:v>Two additional authors performed random spot checks; individual spot-check assignments are not recorded in this register.</x:v>
      </x:c>
      <x:c r="U719" s="22" t="str">
        <x:v>Exclude</x:v>
      </x:c>
      <x:c r="V719" s="22" t="str">
        <x:v>Primary decision by the corresponding author; two additional authors performed random spot checks as a quality-control step.</x:v>
      </x:c>
      <x:c r="W719" s="22" t="str">
        <x:v>No</x:v>
      </x:c>
      <x:c r="X719" s="22" t="str">
        <x:v>Not applicable</x:v>
      </x:c>
      <x:c r="Y719" s="22" t="str">
        <x:v>Not assessed</x:v>
      </x:c>
      <x:c r="Z719" s="22" t="str">
        <x:v>Not advanced to full-text assessment after the title/abstract decision.</x:v>
      </x:c>
      <x:c r="AA719" s="22" t="str">
        <x:v>Not applicable</x:v>
      </x:c>
      <x:c r="AB719" s="22" t="str">
        <x:v>Record was not advanced to full-text assessment.</x:v>
      </x:c>
      <x:c r="AC719" s="22" t="str">
        <x:v>Not assessed</x:v>
      </x:c>
      <x:c r="AD719" s="22" t="str">
        <x:v>Not applicable — no full-text assessment was required.</x:v>
      </x:c>
      <x:c r="AE719" s="22" t="str">
        <x:v>Not included — title/abstract exclusion</x:v>
      </x:c>
      <x:c r="AF719" s="22" t="str">
        <x:v>Not applicable — not included</x:v>
      </x:c>
      <x:c r="AG719" s="22" t="str">
        <x:v>Visible in the supplied arXiv result screenshot for ARXIV-12; current rerun on 7 August 2026. Authors/abstract may require metadata completion before title/abstract screening.</x:v>
      </x:c>
      <x:c r="AH719" s="20" t="str">
        <x:v>No duplicate identified under the documented matching rules.</x:v>
      </x:c>
    </x:row>
    <x:row r="720" ht="42" customHeight="1">
      <x:c r="A720" s="22" t="str">
        <x:v>ARXIV-12-004</x:v>
      </x:c>
      <x:c r="B720" s="22" t="str">
        <x:v>arXiv</x:v>
      </x:c>
      <x:c r="C720" s="22" t="str">
        <x:v>ARXIV-12</x:v>
      </x:c>
      <x:c r="D720" s="22" t="str">
        <x:v>Unsupervised Identification of Disease Marker Candidates in Retinal OCT Imaging Data</x:v>
      </x:c>
      <x:c r="E720" s="22" t="str">
        <x:v>NR — authors not captured in the available source record</x:v>
      </x:c>
      <x:c r="F720" s="22" t="n">
        <x:v>2018</x:v>
      </x:c>
      <x:c r="G720" s="22" t="str">
        <x:v>NR — source not captured in the available record</x:v>
      </x:c>
      <x:c r="H720" s="22" t="str">
        <x:v>Preprint / arXiv search result</x:v>
      </x:c>
      <x:c r="I720" s="22" t="str">
        <x:v>10.1109/tmi.2018.2877080</x:v>
      </x:c>
      <x:c r="J720" s="22" t="str">
        <x:v>1810.13404</x:v>
      </x:c>
      <x:c r="K720" s="22" t="str">
        <x:v>https://arxiv.org/pdf/1810.13404</x:v>
      </x:c>
      <x:c r="L720" s="22" t="str">
        <x:v>The identification and quantification of markers in medical images is critical for diagnosis, prognosis, and disease management. Supervised machine learning enables the detection and exploitation of findings that are known a priori after annotation of training examples by experts. However, supervision does not scale well, due to the amount of necessary training examples, and the limitation of the marker vocabulary to known entities. In this proof-of-concept study, we propose unsupervised identification of anomalies as candidates for markers in retinal optical coherence tomography (OCT) imaging data without a constraint to a priori definitions. We identify and categorize marker candidates occurring frequently in the data and demonstrate that these markers show a predictive value in the task of detecting disease. A careful qualitative analysis of the identified data driven markers reveals how their quantifiable occurrence aligns with our current understanding of disease course, in early- and late age-related macular degeneration (AMD) patients. A multi-scale deep denoising autoencoder is trained on healthy images, and a one-class support vector machine identifies anomalies in new data. Clustering in the anomalies identifies stable categories. Using these markers to classify healthy-, early AMD- and late AMD cases yields an accuracy of 81.40%. In a second binary classification experiment on a publicly available data set (healthy versus intermediate AMD), the model achieves an area under the ROC curve of 0.944.</x:v>
      </x:c>
      <x:c r="M720" s="22" t="str">
        <x:v>No duplicate</x:v>
      </x:c>
      <x:c r="N720" s="22" t="str">
        <x:v>Not applicable — no duplicate group</x:v>
      </x:c>
      <x:c r="O720" s="22" t="str">
        <x:v>Not applicable</x:v>
      </x:c>
      <x:c r="P720" s="22" t="str">
        <x:v>Yes</x:v>
      </x:c>
      <x:c r="Q720" s="22" t="str">
        <x:v>Include</x:v>
      </x:c>
      <x:c r="R720" s="22" t="str">
        <x:v>Unsupervised discovery of clinically meaningful retinal OCT disease-marker candidates.</x:v>
      </x:c>
      <x:c r="S720" s="22" t="str">
        <x:v>Verification documented at process level</x:v>
      </x:c>
      <x:c r="T720" s="22" t="str">
        <x:v>Two additional authors performed random spot checks; individual spot-check assignments are not recorded in this register.</x:v>
      </x:c>
      <x:c r="U720" s="22" t="str">
        <x:v>Include</x:v>
      </x:c>
      <x:c r="V720" s="22" t="str">
        <x:v>Primary decision by the corresponding author; two additional authors performed random spot checks as a quality-control step.</x:v>
      </x:c>
      <x:c r="W720" s="22" t="str">
        <x:v>Yes</x:v>
      </x:c>
      <x:c r="X720" s="22" t="str">
        <x:v>Yes</x:v>
      </x:c>
      <x:c r="Y720" s="22" t="str">
        <x:v>Include</x:v>
      </x:c>
      <x:c r="Z720" s="22" t="str">
        <x:v>The corresponding author assessed the complete report and judged it eligible for inclusion in the review.</x:v>
      </x:c>
      <x:c r="AA720" s="22" t="str">
        <x:v>Verification documented at process level</x:v>
      </x:c>
      <x:c r="AB720" s="22" t="str">
        <x:v>Two additional authors performed random spot checks; individual spot-check assignments are not recorded in this register.</x:v>
      </x:c>
      <x:c r="AC720" s="22" t="str">
        <x:v>Include</x:v>
      </x:c>
      <x:c r="AD720" s="22" t="str">
        <x:v>Primary decision by the corresponding author; two additional authors performed random spot checks as a quality-control step.</x:v>
      </x:c>
      <x:c r="AE720" s="22" t="str">
        <x:v>Include</x:v>
      </x:c>
      <x:c r="AF720" s="22" t="str">
        <x:v>Direct retinal/ophthalmic evidence</x:v>
      </x:c>
      <x:c r="AG720" s="22" t="str">
        <x:v>Visible in the supplied arXiv result screenshot for ARXIV-12; current rerun on 7 August 2026. Authors/abstract may require metadata completion before title/abstract screening.</x:v>
      </x:c>
      <x:c r="AH720" s="20" t="str">
        <x:v>No duplicate identified under the documented matching rules.</x:v>
      </x:c>
    </x:row>
    <x:row r="721" ht="42" customHeight="1">
      <x:c r="A721" s="22" t="str">
        <x:v>ARXIV-13-001</x:v>
      </x:c>
      <x:c r="B721" s="22" t="str">
        <x:v>arXiv</x:v>
      </x:c>
      <x:c r="C721" s="22" t="str">
        <x:v>ARXIV-13</x:v>
      </x:c>
      <x:c r="D721" s="22" t="str">
        <x:v>This actually looks like that: Proto-BagNets for local and global interpretability-by-design</x:v>
      </x:c>
      <x:c r="E721" s="22" t="str">
        <x:v>NR — authors not captured in the available source record</x:v>
      </x:c>
      <x:c r="F721" s="22" t="n">
        <x:v>2024</x:v>
      </x:c>
      <x:c r="G721" s="22" t="str">
        <x:v>NR — source not captured in the available record</x:v>
      </x:c>
      <x:c r="H721" s="22" t="str">
        <x:v>Preprint / arXiv search result</x:v>
      </x:c>
      <x:c r="I721" s="22" t="str">
        <x:v>NR</x:v>
      </x:c>
      <x:c r="J721" s="22" t="str">
        <x:v>2406.15168</x:v>
      </x:c>
      <x:c r="K721" s="22" t="str">
        <x:v>https://arxiv.org/abs/2406.15168</x:v>
      </x:c>
      <x:c r="L721" s="22" t="str">
        <x:v>Not available in the captured evidence; the screening decision used the title and available source metadata.</x:v>
      </x:c>
      <x:c r="M721" s="22" t="str">
        <x:v>Confirmed duplicate</x:v>
      </x:c>
      <x:c r="N721" s="22" t="str">
        <x:v>DG-022</x:v>
      </x:c>
      <x:c r="O721" s="22" t="str">
        <x:v>ARXIV-02-008</x:v>
      </x:c>
      <x:c r="P721" s="22" t="str">
        <x:v>No</x:v>
      </x:c>
      <x:c r="Q721" s="22" t="str">
        <x:v>Not screened</x:v>
      </x:c>
      <x:c r="R721" s="22" t="str">
        <x:v>Removed before title/abstract screening as a confirmed duplicate.</x:v>
      </x:c>
      <x:c r="S721" s="22" t="str">
        <x:v>Not applicable — removed before screening</x:v>
      </x:c>
      <x:c r="T721" s="22" t="str">
        <x:v>Record was outside the active screening set.</x:v>
      </x:c>
      <x:c r="U721" s="22" t="str">
        <x:v>Removed before screening</x:v>
      </x:c>
      <x:c r="V721" s="22" t="str">
        <x:v>Confirmed duplicate removed during deduplication.</x:v>
      </x:c>
      <x:c r="W721" s="22" t="str">
        <x:v>No</x:v>
      </x:c>
      <x:c r="X721" s="22" t="str">
        <x:v>Not applicable</x:v>
      </x:c>
      <x:c r="Y721" s="22" t="str">
        <x:v>Not assessed</x:v>
      </x:c>
      <x:c r="Z721" s="22" t="str">
        <x:v>Not applicable — record removed before screening.</x:v>
      </x:c>
      <x:c r="AA721" s="22" t="str">
        <x:v>Not applicable</x:v>
      </x:c>
      <x:c r="AB721" s="22" t="str">
        <x:v>Record was not advanced to full-text assessment.</x:v>
      </x:c>
      <x:c r="AC721" s="22" t="str">
        <x:v>Not assessed</x:v>
      </x:c>
      <x:c r="AD721" s="22" t="str">
        <x:v>Not applicable — no full-text assessment was required.</x:v>
      </x:c>
      <x:c r="AE721" s="22" t="str">
        <x:v>Removed before screening</x:v>
      </x:c>
      <x:c r="AF721" s="22" t="str">
        <x:v>Not applicable — not included</x:v>
      </x:c>
      <x:c r="AG721" s="22" t="str">
        <x:v>Visible in the supplied arXiv result screenshot for ARXIV-13; current rerun on 7 August 2026. Authors/abstract may require metadata completion before title/abstract screening.</x:v>
      </x:c>
      <x:c r="AH721" s="20" t="str">
        <x:v>Confirmed using identifier/title evidence; normalized title across captured searches.</x:v>
      </x:c>
    </x:row>
    <x:row r="722" ht="42" customHeight="1">
      <x:c r="A722" s="22" t="str">
        <x:v>ARXIV-14-001</x:v>
      </x:c>
      <x:c r="B722" s="22" t="str">
        <x:v>arXiv</x:v>
      </x:c>
      <x:c r="C722" s="22" t="str">
        <x:v>ARXIV-14</x:v>
      </x:c>
      <x:c r="D722" s="22" t="str">
        <x:v>Interpretable Few-Shot Retinal Disease Diagnosis with Concept-Guided Prompting of Vision-Language Models</x:v>
      </x:c>
      <x:c r="E722" s="22" t="str">
        <x:v>NR — authors not captured in the available source record</x:v>
      </x:c>
      <x:c r="F722" s="22" t="n">
        <x:v>2025</x:v>
      </x:c>
      <x:c r="G722" s="22" t="str">
        <x:v>NR — source not captured in the available record</x:v>
      </x:c>
      <x:c r="H722" s="22" t="str">
        <x:v>Preprint / arXiv search result</x:v>
      </x:c>
      <x:c r="I722" s="22" t="str">
        <x:v>10.1007/978-3-031-96625-5_18</x:v>
      </x:c>
      <x:c r="J722" s="22" t="str">
        <x:v>2503.02917</x:v>
      </x:c>
      <x:c r="K722" s="22" t="str">
        <x:v>https://arxiv.org/pdf/2503.02917</x:v>
      </x:c>
      <x:c r="L722" s="22" t="str">
        <x:v>Recent advancements in deep learning have shown significant potential for classifying retinal diseases using color fundus images. However, existing works predominantly rely exclusively on image data, lack interpretability in their diagnostic decisions, and treat medical professionals primarily as annotators for ground truth labeling. To fill this gap, we implement two key strategies: extracting interpretable concepts of retinal diseases using the knowledge base of GPT models and incorporating these concepts as a language component in prompt-learning to train vision-language (VL) models with both fundus images and their associated concepts. Our method not only improves retinal disease classification but also enriches few-shot and zero-shot detection (novel disease detection), while offering the added benefit of concept-based model interpretability. Our extensive evaluation across two diverse retinal fundus image datasets illustrates substantial performance gains in VL-model based few-shot methodologies through our concept integration approach, demonstrating an average improvement of approximately 5.8% and 2.7% mean average precision for 16-shot learning and zero-shot (novel class) detection respectively. Our method marks a pivotal step towards interpretable and efficient retinal disease recognition for real-world clinical applications.</x:v>
      </x:c>
      <x:c r="M722" s="22" t="str">
        <x:v>No duplicate</x:v>
      </x:c>
      <x:c r="N722" s="22" t="str">
        <x:v>DG-010</x:v>
      </x:c>
      <x:c r="O722" s="22" t="str">
        <x:v>Not applicable</x:v>
      </x:c>
      <x:c r="P722" s="22" t="str">
        <x:v>Yes</x:v>
      </x:c>
      <x:c r="Q722" s="22" t="str">
        <x:v>Include</x:v>
      </x:c>
      <x:c r="R722" s="22" t="str">
        <x:v>Direct concept-guided retinal vision-language model with explicit concept-based interpretability.</x:v>
      </x:c>
      <x:c r="S722" s="22" t="str">
        <x:v>Verification documented at process level</x:v>
      </x:c>
      <x:c r="T722" s="22" t="str">
        <x:v>Two additional authors performed random spot checks; individual spot-check assignments are not recorded in this register.</x:v>
      </x:c>
      <x:c r="U722" s="22" t="str">
        <x:v>Include</x:v>
      </x:c>
      <x:c r="V722" s="22" t="str">
        <x:v>Primary decision by the corresponding author; two additional authors performed random spot checks as a quality-control step.</x:v>
      </x:c>
      <x:c r="W722" s="22" t="str">
        <x:v>Yes</x:v>
      </x:c>
      <x:c r="X722" s="22" t="str">
        <x:v>Yes</x:v>
      </x:c>
      <x:c r="Y722" s="22" t="str">
        <x:v>Include</x:v>
      </x:c>
      <x:c r="Z722" s="22" t="str">
        <x:v>The corresponding author assessed the complete report and judged it eligible for inclusion in the review.</x:v>
      </x:c>
      <x:c r="AA722" s="22" t="str">
        <x:v>Verification documented at process level</x:v>
      </x:c>
      <x:c r="AB722" s="22" t="str">
        <x:v>Two additional authors performed random spot checks; individual spot-check assignments are not recorded in this register.</x:v>
      </x:c>
      <x:c r="AC722" s="22" t="str">
        <x:v>Include</x:v>
      </x:c>
      <x:c r="AD722" s="22" t="str">
        <x:v>Primary decision by the corresponding author; two additional authors performed random spot checks as a quality-control step.</x:v>
      </x:c>
      <x:c r="AE722" s="22" t="str">
        <x:v>Include</x:v>
      </x:c>
      <x:c r="AF722" s="22" t="str">
        <x:v>Direct retinal/ophthalmic evidence</x:v>
      </x:c>
      <x:c r="AG722" s="22" t="str">
        <x:v>Visible in the supplied arXiv result screenshot for ARXIV-14; current rerun on 7 August 2026. Authors/abstract may require metadata completion before title/abstract screening.</x:v>
      </x:c>
      <x:c r="AH722" s="20" t="str">
        <x:v>Confirmed using identifier/title evidence; normalized title across captured searches.</x:v>
      </x:c>
    </x:row>
    <x:row r="723">
      <x:c r="A723" t="str">
        <x:v>CIT-071</x:v>
      </x:c>
      <x:c r="B723" t="str">
        <x:v>Citation chasing</x:v>
      </x:c>
      <x:c r="C723" t="str">
        <x:v>CITATION-01</x:v>
      </x:c>
      <x:c r="D723" t="str">
        <x:v>Hybrid vision–language models for improved transparency in healthcare processes: The retinal diagnosis use case</x:v>
      </x:c>
      <x:c r="E723" t="str">
        <x:v>La Rosa F; Dell'Acqua P; Fazio M; Villari M</x:v>
      </x:c>
      <x:c r="F723" t="n">
        <x:v>2026</x:v>
      </x:c>
      <x:c r="G723" t="str">
        <x:v>Knowledge-Based Systems</x:v>
      </x:c>
      <x:c r="H723" t="str">
        <x:v>Journal Article</x:v>
      </x:c>
      <x:c r="I723" t="str">
        <x:v>10.1016/j.knosys.2026.115456</x:v>
      </x:c>
      <x:c r="J723" t="str">
        <x:v>NR</x:v>
      </x:c>
      <x:c r="K723" t="str">
        <x:v>https://www.sciencedirect.com/science/article/pii/S0950705126001991</x:v>
      </x:c>
      <x:c r="L723" t="str">
        <x:v>A hybrid retinal-diagnosis pipeline combines ConvNeXt V2 and CLIP-derived visual features with a large language model to generate human-readable explanations for CNN predictions, with the aim of improving transparency and clinical trust.</x:v>
      </x:c>
      <x:c r="M723" t="str">
        <x:v>No duplicate</x:v>
      </x:c>
      <x:c r="N723" t="str">
        <x:v>Not applicable — no duplicate group</x:v>
      </x:c>
      <x:c r="O723" t="str">
        <x:v>Not applicable</x:v>
      </x:c>
      <x:c r="P723" t="str">
        <x:v>Yes</x:v>
      </x:c>
      <x:c r="Q723" t="str">
        <x:v>Include</x:v>
      </x:c>
      <x:c r="R723" t="str">
        <x:v>Retinal hybrid vision-language pipeline generates human-readable diagnostic explanations.</x:v>
      </x:c>
      <x:c r="S723" t="str">
        <x:v>Verification documented at process level</x:v>
      </x:c>
      <x:c r="T723" t="str">
        <x:v>Two additional authors performed random spot checks; individual spot-check assignments are not recorded in this register.</x:v>
      </x:c>
      <x:c r="U723" t="str">
        <x:v>Include</x:v>
      </x:c>
      <x:c r="V723" t="str">
        <x:v>Primary decision by the corresponding author; two additional authors performed random spot checks as a quality-control step.</x:v>
      </x:c>
      <x:c r="W723" t="str">
        <x:v>Yes</x:v>
      </x:c>
      <x:c r="X723" t="str">
        <x:v>Yes</x:v>
      </x:c>
      <x:c r="Y723" t="str">
        <x:v>Include</x:v>
      </x:c>
      <x:c r="Z723" t="str">
        <x:v>The corresponding author confirmed full-text assessment. Abstract/official-record rationale (I2–I4): The abstract combines ConvNeXt V2, CLIP-derived visual features and an LLM to generate human-readable explanations for retinal diagnoses; it is direct retinal vision–language XAI evidence.</x:v>
      </x:c>
      <x:c r="AA723" t="str">
        <x:v>Verification documented at process level</x:v>
      </x:c>
      <x:c r="AB723" t="str">
        <x:v>Two additional authors performed random spot checks; individual spot-check assignments are not recorded in this register.</x:v>
      </x:c>
      <x:c r="AC723" t="str">
        <x:v>Include</x:v>
      </x:c>
      <x:c r="AD723" t="str">
        <x:v>Primary decision by the corresponding author; two additional authors performed random spot checks as a quality-control step.</x:v>
      </x:c>
      <x:c r="AE723" t="str">
        <x:v>Include</x:v>
      </x:c>
      <x:c r="AF723" t="str">
        <x:v>Direct retinal/ophthalmic evidence</x:v>
      </x:c>
      <x:c r="AG723" t="str">
        <x:v>Backward citation-chasing record from current manuscript Reference 71; bibliographic metadata verified against DOI/publisher records on 17 August 2026 and added before human screening. Abstract field is a concise screening summary, not a verbatim publisher abstract.</x:v>
      </x:c>
      <x:c r="AH723" t="str">
        <x:v>No DOI or high-similarity normalized-title match in the 719-record pre-chasing register; retained as a new unique record after the 17 August 2026 deduplication rerun.</x:v>
      </x:c>
    </x:row>
    <x:row r="724">
      <x:c r="A724" t="str">
        <x:v>CIT-100</x:v>
      </x:c>
      <x:c r="B724" t="str">
        <x:v>Citation chasing</x:v>
      </x:c>
      <x:c r="C724" t="str">
        <x:v>CITATION-01</x:v>
      </x:c>
      <x:c r="D724" t="str">
        <x:v>Enhancing ophthalmology medical record management with multi-modal knowledge graphs</x:v>
      </x:c>
      <x:c r="E724" t="str">
        <x:v>Gao W; Rong F; Shao L; Deng Z; Xiao D; Zhang R; Chen C; Gong Z; Niu Z; Li F; Wei W; Ma L</x:v>
      </x:c>
      <x:c r="F724" t="n">
        <x:v>2024</x:v>
      </x:c>
      <x:c r="G724" t="str">
        <x:v>Scientific Reports</x:v>
      </x:c>
      <x:c r="H724" t="str">
        <x:v>Journal Article</x:v>
      </x:c>
      <x:c r="I724" t="str">
        <x:v>10.1038/s41598-024-73316-9</x:v>
      </x:c>
      <x:c r="J724" t="str">
        <x:v>39369079</x:v>
      </x:c>
      <x:c r="K724" t="str">
        <x:v>https://www.nature.com/articles/s41598-024-73316-9</x:v>
      </x:c>
      <x:c r="L724" t="str">
        <x:v>Using expert-reviewed, de-identified ophthalmology records, the study constructs a multimodal knowledge graph and a contrastive graph-attention auxiliary diagnostic model for similar-case retrieval and clinical decision support.</x:v>
      </x:c>
      <x:c r="M724" t="str">
        <x:v>No duplicate</x:v>
      </x:c>
      <x:c r="N724" t="str">
        <x:v>Not applicable — no duplicate group</x:v>
      </x:c>
      <x:c r="O724" t="str">
        <x:v>Not applicable</x:v>
      </x:c>
      <x:c r="P724" t="str">
        <x:v>Yes</x:v>
      </x:c>
      <x:c r="Q724" t="str">
        <x:v>Include</x:v>
      </x:c>
      <x:c r="R724" t="str">
        <x:v>Multimodal ophthalmology knowledge graph provides relevant contextual structured-reasoning evidence.</x:v>
      </x:c>
      <x:c r="S724" t="str">
        <x:v>Verification documented at process level</x:v>
      </x:c>
      <x:c r="T724" t="str">
        <x:v>Two additional authors performed random spot checks; individual spot-check assignments are not recorded in this register.</x:v>
      </x:c>
      <x:c r="U724" t="str">
        <x:v>Include</x:v>
      </x:c>
      <x:c r="V724" t="str">
        <x:v>Primary decision by the corresponding author; two additional authors performed random spot checks as a quality-control step.</x:v>
      </x:c>
      <x:c r="W724" t="str">
        <x:v>Yes</x:v>
      </x:c>
      <x:c r="X724" t="str">
        <x:v>Yes</x:v>
      </x:c>
      <x:c r="Y724" t="str">
        <x:v>Include</x:v>
      </x:c>
      <x:c r="Z724" t="str">
        <x:v>The corresponding author assessed the complete report and judged it eligible for inclusion in the review.</x:v>
      </x:c>
      <x:c r="AA724" t="str">
        <x:v>Verification documented at process level</x:v>
      </x:c>
      <x:c r="AB724" t="str">
        <x:v>Two additional authors performed random spot checks; individual spot-check assignments are not recorded in this register.</x:v>
      </x:c>
      <x:c r="AC724" t="str">
        <x:v>Include</x:v>
      </x:c>
      <x:c r="AD724" t="str">
        <x:v>Primary decision by the corresponding author; two additional authors performed random spot checks as a quality-control step.</x:v>
      </x:c>
      <x:c r="AE724" t="str">
        <x:v>Include</x:v>
      </x:c>
      <x:c r="AF724" t="str">
        <x:v>Direct retinal/ophthalmic evidence</x:v>
      </x:c>
      <x:c r="AG724" t="str">
        <x:v>Backward citation-chasing record from current manuscript Reference 100; bibliographic metadata verified against DOI/publisher records on 17 August 2026 and added before human screening. Abstract field is a concise screening summary, not a verbatim publisher abstract.</x:v>
      </x:c>
      <x:c r="AH724" t="str">
        <x:v>No DOI or high-similarity normalized-title match in the 719-record pre-chasing register; retained as a new unique record after the 17 August 2026 deduplication rerun.</x:v>
      </x:c>
    </x:row>
    <x:row r="725">
      <x:c r="A725" t="str">
        <x:v>CIT-101</x:v>
      </x:c>
      <x:c r="B725" t="str">
        <x:v>Citation chasing</x:v>
      </x:c>
      <x:c r="C725" t="str">
        <x:v>CITATION-01</x:v>
      </x:c>
      <x:c r="D725" t="str">
        <x:v>Semantic web ontology for structured knowledge representation and clinical decision support in eye diseases</x:v>
      </x:c>
      <x:c r="E725" t="str">
        <x:v>Anjum F; Maqbool F; Razzaq MS; Shehzad HMF; Ali S; Shah D; Tahir M; Ilyas M</x:v>
      </x:c>
      <x:c r="F725" t="n">
        <x:v>2025</x:v>
      </x:c>
      <x:c r="G725" t="str">
        <x:v>Scientific Reports</x:v>
      </x:c>
      <x:c r="H725" t="str">
        <x:v>Journal Article</x:v>
      </x:c>
      <x:c r="I725" t="str">
        <x:v>10.1038/s41598-025-15885-x</x:v>
      </x:c>
      <x:c r="J725" t="str">
        <x:v>40819142</x:v>
      </x:c>
      <x:c r="K725" t="str">
        <x:v>https://www.nature.com/articles/s41598-025-15885-x</x:v>
      </x:c>
      <x:c r="L725" t="str">
        <x:v>The study develops the Eye Disease Ontology in OWL and Protégé to represent common eye diseases, symptoms, causes, risk factors, diagnostic tests, and treatments; validation uses competency questions, SPARQL, reasoning, and ontology-quality checks.</x:v>
      </x:c>
      <x:c r="M725" t="str">
        <x:v>No duplicate</x:v>
      </x:c>
      <x:c r="N725" t="str">
        <x:v>Not applicable — no duplicate group</x:v>
      </x:c>
      <x:c r="O725" t="str">
        <x:v>Not applicable</x:v>
      </x:c>
      <x:c r="P725" t="str">
        <x:v>Yes</x:v>
      </x:c>
      <x:c r="Q725" t="str">
        <x:v>Include</x:v>
      </x:c>
      <x:c r="R725" t="str">
        <x:v>Eye-disease ontology provides contextual evidence for structured and auditable clinical reasoning.</x:v>
      </x:c>
      <x:c r="S725" t="str">
        <x:v>Verification documented at process level</x:v>
      </x:c>
      <x:c r="T725" t="str">
        <x:v>Two additional authors performed random spot checks; individual spot-check assignments are not recorded in this register.</x:v>
      </x:c>
      <x:c r="U725" t="str">
        <x:v>Include</x:v>
      </x:c>
      <x:c r="V725" t="str">
        <x:v>Primary decision by the corresponding author; two additional authors performed random spot checks as a quality-control step.</x:v>
      </x:c>
      <x:c r="W725" t="str">
        <x:v>Yes</x:v>
      </x:c>
      <x:c r="X725" t="str">
        <x:v>Yes</x:v>
      </x:c>
      <x:c r="Y725" t="str">
        <x:v>Include</x:v>
      </x:c>
      <x:c r="Z725" t="str">
        <x:v>The corresponding author assessed the complete report and judged it eligible for inclusion in the review.</x:v>
      </x:c>
      <x:c r="AA725" t="str">
        <x:v>Verification documented at process level</x:v>
      </x:c>
      <x:c r="AB725" t="str">
        <x:v>Two additional authors performed random spot checks; individual spot-check assignments are not recorded in this register.</x:v>
      </x:c>
      <x:c r="AC725" t="str">
        <x:v>Include</x:v>
      </x:c>
      <x:c r="AD725" t="str">
        <x:v>Primary decision by the corresponding author; two additional authors performed random spot checks as a quality-control step.</x:v>
      </x:c>
      <x:c r="AE725" t="str">
        <x:v>Include</x:v>
      </x:c>
      <x:c r="AF725" t="str">
        <x:v>Contextual medical concept-XAI evidence</x:v>
      </x:c>
      <x:c r="AG725" t="str">
        <x:v>Backward citation-chasing record from current manuscript Reference 101; bibliographic metadata verified against DOI/publisher records on 17 August 2026 and added before human screening. Abstract field is a concise screening summary, not a verbatim publisher abstract.</x:v>
      </x:c>
      <x:c r="AH725" t="str">
        <x:v>No DOI or high-similarity normalized-title match in the 719-record pre-chasing register; retained as a new unique record after the 17 August 2026 deduplication rerun.</x:v>
      </x:c>
    </x:row>
  </x:sheetData>
  <x:mergeCells>
    <x:mergeCell ref="A1:AG1"/>
    <x:mergeCell ref="A2:AH2"/>
  </x:mergeCells>
  <x:conditionalFormatting sqref="A4:AG92">
    <x:cfRule type="expression" dxfId="2" priority="1">
      <x:formula>$M4="Confirmed duplicate"</x:formula>
    </x:cfRule>
    <x:cfRule type="expression" dxfId="3" priority="2">
      <x:formula>$M4="Potential duplicate"</x:formula>
    </x:cfRule>
    <x:cfRule type="expression" dxfId="4" priority="3">
      <x:formula>$AE4="Include"</x:formula>
    </x:cfRule>
  </x:conditionalFormatting>
  <x:conditionalFormatting sqref="A4:AG722">
    <x:cfRule type="expression" dxfId="9" priority="4">
      <x:formula>$D4=""</x:formula>
    </x:cfRule>
    <x:cfRule type="expression" dxfId="10" priority="5">
      <x:formula>$M4="Confirmed duplicate"</x:formula>
    </x:cfRule>
  </x:conditionalFormatting>
  <x:conditionalFormatting sqref="M4:M722">
    <x:cfRule type="expression" dxfId="11" priority="6">
      <x:formula>M4="Confirmed duplicate"</x:formula>
    </x:cfRule>
    <x:cfRule type="expression" dxfId="12" priority="7">
      <x:formula>M4="Potential duplicate"</x:formula>
    </x:cfRule>
  </x:conditionalFormatting>
  <x:dataValidations count="30">
    <x:dataValidation type="list" sqref="M4:M2000">
      <x:formula1>"No duplicate,Confirmed duplicate,Potential duplicate,Pending"</x:formula1>
    </x:dataValidation>
    <x:dataValidation type="list" sqref="P4:P2000">
      <x:formula1>"Yes,No,Pending"</x:formula1>
    </x:dataValidation>
    <x:dataValidation type="list" sqref="Q4:Q2000">
      <x:formula1>"Include,Exclude,Unclear"</x:formula1>
    </x:dataValidation>
    <x:dataValidation type="list" sqref="S4:S2000">
      <x:formula1>"Include,Exclude,Unclear"</x:formula1>
    </x:dataValidation>
    <x:dataValidation type="list" sqref="U4:U2000">
      <x:formula1>"Include,Exclude,Unclear"</x:formula1>
    </x:dataValidation>
    <x:dataValidation type="list" sqref="Y4:Y2000">
      <x:formula1>"Include,Exclude,Unclear"</x:formula1>
    </x:dataValidation>
    <x:dataValidation type="list" sqref="AA4:AA2000">
      <x:formula1>"Include,Exclude,Unclear"</x:formula1>
    </x:dataValidation>
    <x:dataValidation type="list" sqref="AC4:AC2000">
      <x:formula1>"Include,Exclude,Unclear"</x:formula1>
    </x:dataValidation>
    <x:dataValidation type="list" sqref="AE4:AE2000">
      <x:formula1>"Include,Exclude,Unclear"</x:formula1>
    </x:dataValidation>
    <x:dataValidation type="list" sqref="W4:W2000">
      <x:formula1>"Yes,No,Pending"</x:formula1>
    </x:dataValidation>
    <x:dataValidation type="list" sqref="X4:X2000">
      <x:formula1>"Yes,No,Pending"</x:formula1>
    </x:dataValidation>
    <x:dataValidation type="list" sqref="AF4:AF2000">
      <x:formula1>"Direct retinal C-XAI,Contextual retinal evidence,General C-XAI background,Excluded"</x:formula1>
    </x:dataValidation>
    <x:dataValidation type="list" sqref="M4:M722">
      <x:formula1>"No duplicate,Confirmed duplicate,Potential duplicate,Pending"</x:formula1>
    </x:dataValidation>
    <x:dataValidation type="list" sqref="P4:P722">
      <x:formula1>"Yes,No,Pending"</x:formula1>
    </x:dataValidation>
    <x:dataValidation type="list" sqref="Q4:Q722">
      <x:formula1>"Include,Exclude,Unclear"</x:formula1>
    </x:dataValidation>
    <x:dataValidation type="list" sqref="S4:S722">
      <x:formula1>"Include,Exclude,Unclear"</x:formula1>
    </x:dataValidation>
    <x:dataValidation type="list" sqref="U4:U722">
      <x:formula1>"Include,Exclude,Unclear"</x:formula1>
    </x:dataValidation>
    <x:dataValidation type="list" sqref="Y4:Y722">
      <x:formula1>"Include,Exclude,Unclear"</x:formula1>
    </x:dataValidation>
    <x:dataValidation type="list" sqref="AA4:AA722">
      <x:formula1>"Include,Exclude,Unclear"</x:formula1>
    </x:dataValidation>
    <x:dataValidation type="list" sqref="AC4:AC722">
      <x:formula1>"Include,Exclude,Unclear"</x:formula1>
    </x:dataValidation>
    <x:dataValidation type="list" sqref="AE4:AE722">
      <x:formula1>"Include,Exclude,Unclear"</x:formula1>
    </x:dataValidation>
    <x:dataValidation type="list" sqref="W4:W722">
      <x:formula1>"Yes,No,Pending"</x:formula1>
    </x:dataValidation>
    <x:dataValidation type="list" sqref="X4:X722">
      <x:formula1>"Yes,No,Pending"</x:formula1>
    </x:dataValidation>
    <x:dataValidation type="list" sqref="R4:R722">
      <x:formula1>"Not retinal or ophthalmic imaging,No concept-based or structured explainability method,Saliency/feature attribution only,Review, editorial, commentary, or non-original study,Insufficient relevance from title/abstract"</x:formula1>
    </x:dataValidation>
    <x:dataValidation type="list" sqref="T4:T722">
      <x:formula1>"Not retinal or ophthalmic imaging,No concept-based or structured explainability method,Saliency/feature attribution only,Review, editorial, commentary, or non-original study,Insufficient relevance from title/abstract"</x:formula1>
    </x:dataValidation>
    <x:dataValidation type="list" sqref="V4:V722">
      <x:formula1>"Not retinal or ophthalmic imaging,No concept-based or structured explainability method,Saliency/feature attribution only,Review, editorial, commentary, or non-original study,Insufficient relevance from title/abstract"</x:formula1>
    </x:dataValidation>
    <x:dataValidation type="list" sqref="Z4:Z722">
      <x:formula1>"Not retinal or ophthalmic imaging,No concept-based or structured explainability method,Saliency/feature attribution only,No original empirical evaluation,Insufficient methodological detail,Duplicate or earlier publication version,Outside date range,Full text unavailable,Does not meet predefined retinal C-XAI eligibility criteria"</x:formula1>
    </x:dataValidation>
    <x:dataValidation type="list" sqref="AB4:AB722">
      <x:formula1>"Not retinal or ophthalmic imaging,No concept-based or structured explainability method,Saliency/feature attribution only,No original empirical evaluation,Insufficient methodological detail,Duplicate or earlier publication version,Outside date range,Full text unavailable,Does not meet predefined retinal C-XAI eligibility criteria"</x:formula1>
    </x:dataValidation>
    <x:dataValidation type="list" sqref="AD4:AD722">
      <x:formula1>"Not retinal or ophthalmic imaging,No concept-based or structured explainability method,Saliency/feature attribution only,No original empirical evaluation,Insufficient methodological detail,Duplicate or earlier publication version,Outside date range,Full text unavailable,Does not meet predefined retinal C-XAI eligibility criteria"</x:formula1>
    </x:dataValidation>
    <x:dataValidation type="list" sqref="AF4:AF722">
      <x:formula1>"Direct retinal C-XAI,Contextual retinal evidence,General C-XAI background,Excluded"</x:formula1>
    </x:dataValidation>
  </x:dataValidations>
  <x:pageMargins left="0.7" right="0.7" top="0.75" bottom="0.75" header="0.3" footer="0.3"/>
  <x:tableParts count="1">
    <x:tablePart xmlns:r="http://schemas.openxmlformats.org/officeDocument/2006/relationships" r:id="Rc7cf9836896446e2"/>
  </x:tableParts>
</x:worksheet>
</file>

<file path=xl/worksheets/sheet5.xml><?xml version="1.0" encoding="utf-8"?>
<x:worksheet xmlns:x="http://schemas.openxmlformats.org/spreadsheetml/2006/main">
  <x:sheetFormatPr defaultRowHeight="15"/>
  <x:cols>
    <x:col min="1" max="1" width="14" hidden="0" customWidth="1"/>
    <x:col min="2" max="2" width="42" hidden="0" customWidth="1"/>
    <x:col min="3" max="3" width="18" hidden="0" customWidth="1"/>
    <x:col min="4" max="4" width="38" hidden="0" customWidth="1"/>
    <x:col min="5" max="5" width="24" hidden="0" customWidth="1"/>
    <x:col min="6" max="6" width="12" hidden="0" customWidth="1"/>
    <x:col min="7" max="7" width="34" hidden="0" customWidth="1"/>
    <x:col min="8" max="8" width="38" hidden="0" customWidth="1"/>
    <x:col min="9" max="9" width="18" hidden="0" customWidth="1"/>
    <x:col min="10" max="10" width="28" hidden="0" customWidth="1"/>
    <x:col min="11" max="11" width="36" hidden="0" customWidth="1"/>
    <x:col min="12" max="12" width="22" hidden="0" customWidth="1"/>
    <x:col min="13" max="13" width="34" hidden="0" customWidth="1"/>
    <x:col min="14" max="14" width="24" hidden="0" customWidth="1"/>
  </x:cols>
  <x:sheetData>
    <x:row r="1" ht="30" customHeight="1">
      <x:c r="A1" s="640" t="str">
        <x:v>Deduplication Log — Complete Evidence-Backed Cross-Source Reconciliation Including Citation Chasing</x:v>
      </x:c>
      <x:c r="B1" s="640"/>
      <x:c r="C1" s="640"/>
      <x:c r="D1" s="640"/>
      <x:c r="E1" s="640"/>
      <x:c r="F1" s="640"/>
      <x:c r="G1" s="640"/>
      <x:c r="H1" s="640"/>
      <x:c r="I1" s="640"/>
      <x:c r="J1" s="640"/>
      <x:c r="K1" s="640"/>
      <x:c r="L1" s="640"/>
      <x:c r="M1" s="569" t="str">
        <x:v>Deduplication Status</x:v>
      </x:c>
      <x:c r="N1" s="570"/>
      <x:c r="O1" s="570"/>
      <x:c r="P1" s="570"/>
      <x:c r="Q1" s="571"/>
      <x:c r="R1" s="418"/>
      <x:c r="S1" s="418"/>
      <x:c r="T1" s="418"/>
      <x:c r="U1" s="418"/>
      <x:c r="V1" s="418"/>
      <x:c r="W1" s="418"/>
      <x:c r="X1" s="418"/>
      <x:c r="Y1" s="418"/>
      <x:c r="Z1" s="418"/>
    </x:row>
    <x:row r="2">
      <x:c r="A2" s="427"/>
      <x:c r="B2" s="427"/>
      <x:c r="C2" s="427"/>
      <x:c r="D2" s="427"/>
      <x:c r="E2" s="427"/>
      <x:c r="F2" s="427"/>
      <x:c r="G2" s="427"/>
      <x:c r="H2" s="427"/>
      <x:c r="I2" s="427"/>
      <x:c r="J2" s="427"/>
      <x:c r="K2" s="427"/>
      <x:c r="L2" s="427"/>
      <x:c r="M2" s="572"/>
      <x:c r="N2" s="573"/>
      <x:c r="O2" s="574"/>
      <x:c r="P2" s="574"/>
      <x:c r="Q2" s="575"/>
      <x:c r="R2" s="418"/>
      <x:c r="S2" s="418"/>
      <x:c r="T2" s="418"/>
      <x:c r="U2" s="418"/>
      <x:c r="V2" s="418"/>
      <x:c r="W2" s="418"/>
      <x:c r="X2" s="418"/>
      <x:c r="Y2" s="418"/>
      <x:c r="Z2" s="418"/>
    </x:row>
    <x:row r="3">
      <x:c r="A3" s="641" t="str">
        <x:v>Group ID</x:v>
      </x:c>
      <x:c r="B3" s="641" t="str">
        <x:v>Representative title</x:v>
      </x:c>
      <x:c r="C3" s="641" t="str">
        <x:v>Preferred Record ID</x:v>
      </x:c>
      <x:c r="D3" s="641" t="str">
        <x:v>Member Record IDs</x:v>
      </x:c>
      <x:c r="E3" s="641" t="str">
        <x:v>Databases</x:v>
      </x:c>
      <x:c r="F3" s="641" t="str">
        <x:v>Member count</x:v>
      </x:c>
      <x:c r="G3" s="641" t="str">
        <x:v>Match basis</x:v>
      </x:c>
      <x:c r="H3" s="641" t="str">
        <x:v>Resolution</x:v>
      </x:c>
      <x:c r="I3" s="641" t="str">
        <x:v>Confirmed duplicates removed</x:v>
      </x:c>
      <x:c r="J3" s="641" t="str">
        <x:v>Metadata completeness</x:v>
      </x:c>
      <x:c r="K3" s="641" t="str">
        <x:v>Required follow-up</x:v>
      </x:c>
      <x:c r="L3" s="641" t="str">
        <x:v>Status</x:v>
      </x:c>
      <x:c r="M3" s="641" t="str">
        <x:v>Metric</x:v>
      </x:c>
      <x:c r="N3" s="648" t="str">
        <x:v>Current value</x:v>
      </x:c>
      <x:c r="O3" s="574"/>
      <x:c r="P3" s="574"/>
      <x:c r="Q3" s="575"/>
      <x:c r="R3" s="418"/>
      <x:c r="S3" s="418"/>
      <x:c r="T3" s="418"/>
      <x:c r="U3" s="418"/>
      <x:c r="V3" s="418"/>
      <x:c r="W3" s="418"/>
      <x:c r="X3" s="418"/>
      <x:c r="Y3" s="418"/>
      <x:c r="Z3" s="418"/>
    </x:row>
    <x:row r="4" ht="64" customHeight="1">
      <x:c r="A4" s="426" t="str">
        <x:v>DG-001</x:v>
      </x:c>
      <x:c r="B4" s="426" t="str">
        <x:v>An Interpretable and Accurate Deep-Learning Diagnosis Framework Modeled With Fully and Semi-Supervised Reciprocal Learning</x:v>
      </x:c>
      <x:c r="C4" s="426" t="str">
        <x:v>PM-004</x:v>
      </x:c>
      <x:c r="D4" s="426" t="str">
        <x:v>PM-004; GS-02-027</x:v>
      </x:c>
      <x:c r="E4" s="426" t="str">
        <x:v>PubMed; Google Scholar</x:v>
      </x:c>
      <x:c r="F4" s="426" t="n">
        <x:v>2</x:v>
      </x:c>
      <x:c r="G4" s="426" t="str">
        <x:v>DOI/title evidence; identifier/title evidence; normalized title across captured searches</x:v>
      </x:c>
      <x:c r="H4" s="426" t="str">
        <x:v>Retain PM-004; mark GS-02-027 as duplicate</x:v>
      </x:c>
      <x:c r="I4" s="426" t="n">
        <x:v>1</x:v>
      </x:c>
      <x:c r="J4" s="426" t="str">
        <x:v>Title complete for every member</x:v>
      </x:c>
      <x:c r="K4" s="426" t="str">
        <x:v>Verify OCR-normalised secondary metadata before citation</x:v>
      </x:c>
      <x:c r="L4" s="654" t="str">
        <x:v>Confirmed</x:v>
      </x:c>
      <x:c r="M4" s="427" t="str">
        <x:v>Captured source instances</x:v>
      </x:c>
      <x:c r="N4" s="574" t="n">
        <x:v>722</x:v>
      </x:c>
      <x:c r="O4" s="574"/>
      <x:c r="P4" s="574"/>
      <x:c r="Q4" s="575"/>
      <x:c r="R4" s="418"/>
      <x:c r="S4" s="418"/>
      <x:c r="T4" s="418"/>
      <x:c r="U4" s="418"/>
      <x:c r="V4" s="418"/>
      <x:c r="W4" s="418"/>
      <x:c r="X4" s="418"/>
      <x:c r="Y4" s="418"/>
      <x:c r="Z4" s="418"/>
    </x:row>
    <x:row r="5" ht="64" customHeight="1">
      <x:c r="A5" s="426" t="str">
        <x:v>DG-002</x:v>
      </x:c>
      <x:c r="B5" s="426" t="str">
        <x:v>Robust and Interpretable Convolutional Neural Networks to Detect Glaucoma in Optical Coherence Tomography Images</x:v>
      </x:c>
      <x:c r="C5" s="426" t="str">
        <x:v>PM-007</x:v>
      </x:c>
      <x:c r="D5" s="426" t="str">
        <x:v>PM-007; IEEE-003</x:v>
      </x:c>
      <x:c r="E5" s="426" t="str">
        <x:v>PubMed; IEEE Xplore</x:v>
      </x:c>
      <x:c r="F5" s="426" t="n">
        <x:v>2</x:v>
      </x:c>
      <x:c r="G5" s="426" t="str">
        <x:v>DOI/title evidence; identifier/title evidence</x:v>
      </x:c>
      <x:c r="H5" s="426" t="str">
        <x:v>Retain PM-007; mark IEEE-003 as duplicate</x:v>
      </x:c>
      <x:c r="I5" s="426" t="n">
        <x:v>1</x:v>
      </x:c>
      <x:c r="J5" s="426" t="str">
        <x:v>Title complete for every member</x:v>
      </x:c>
      <x:c r="K5" s="426" t="str">
        <x:v>Verify OCR-normalised secondary metadata before citation</x:v>
      </x:c>
      <x:c r="L5" s="654" t="str">
        <x:v>Confirmed</x:v>
      </x:c>
      <x:c r="M5" s="427" t="str">
        <x:v>Records with title metadata</x:v>
      </x:c>
      <x:c r="N5" s="574" t="n">
        <x:v>722</x:v>
      </x:c>
      <x:c r="O5" s="574"/>
      <x:c r="P5" s="574"/>
      <x:c r="Q5" s="575"/>
      <x:c r="R5" s="418"/>
      <x:c r="S5" s="418"/>
      <x:c r="T5" s="418"/>
      <x:c r="U5" s="418"/>
      <x:c r="V5" s="418"/>
      <x:c r="W5" s="418"/>
      <x:c r="X5" s="418"/>
      <x:c r="Y5" s="418"/>
      <x:c r="Z5" s="418"/>
    </x:row>
    <x:row r="6" ht="64" customHeight="1">
      <x:c r="A6" s="426" t="str">
        <x:v>DG-003</x:v>
      </x:c>
      <x:c r="B6" s="426" t="str">
        <x:v>Comparative evaluation of large language models and clinicians in real-world glaucoma clinical reasoning</x:v>
      </x:c>
      <x:c r="C6" s="426" t="str">
        <x:v>PM-010</x:v>
      </x:c>
      <x:c r="D6" s="426" t="str">
        <x:v>PM-010; GS-03-026</x:v>
      </x:c>
      <x:c r="E6" s="426" t="str">
        <x:v>PubMed; Google Scholar</x:v>
      </x:c>
      <x:c r="F6" s="426" t="n">
        <x:v>2</x:v>
      </x:c>
      <x:c r="G6" s="426" t="str">
        <x:v>DOI/title evidence; identifier/title evidence; normalized title across captured searches</x:v>
      </x:c>
      <x:c r="H6" s="426" t="str">
        <x:v>Retain PM-010; mark GS-03-026 as duplicate</x:v>
      </x:c>
      <x:c r="I6" s="426" t="n">
        <x:v>1</x:v>
      </x:c>
      <x:c r="J6" s="426" t="str">
        <x:v>Title complete for every member</x:v>
      </x:c>
      <x:c r="K6" s="426" t="str">
        <x:v>Verify OCR-normalised secondary metadata before citation</x:v>
      </x:c>
      <x:c r="L6" s="654" t="str">
        <x:v>Confirmed</x:v>
      </x:c>
      <x:c r="M6" s="427" t="str">
        <x:v>Records with author metadata</x:v>
      </x:c>
      <x:c r="N6" s="427" t="n">
        <x:v>671</x:v>
      </x:c>
      <x:c r="O6" s="578"/>
      <x:c r="P6" s="578"/>
      <x:c r="Q6" s="579"/>
      <x:c r="R6" s="418"/>
      <x:c r="S6" s="418"/>
      <x:c r="T6" s="418"/>
      <x:c r="U6" s="418"/>
      <x:c r="V6" s="418"/>
      <x:c r="W6" s="418"/>
      <x:c r="X6" s="418"/>
      <x:c r="Y6" s="418"/>
      <x:c r="Z6" s="418"/>
    </x:row>
    <x:row r="7" ht="64" customHeight="1">
      <x:c r="A7" s="426" t="str">
        <x:v>DG-004</x:v>
      </x:c>
      <x:c r="B7" s="426" t="str">
        <x:v>Cross- and Intra-Image Prototypical Learning for Multi-Label Disease Diagnosis and Interpretation</x:v>
      </x:c>
      <x:c r="C7" s="426" t="str">
        <x:v>PM-012</x:v>
      </x:c>
      <x:c r="D7" s="426" t="str">
        <x:v>PM-012; IEEE-012; GS-02-005</x:v>
      </x:c>
      <x:c r="E7" s="426" t="str">
        <x:v>PubMed; IEEE Xplore; Google Scholar</x:v>
      </x:c>
      <x:c r="F7" s="426" t="n">
        <x:v>3</x:v>
      </x:c>
      <x:c r="G7" s="426" t="str">
        <x:v>DOI/title evidence; identifier/title evidence; normalized title across captured searches</x:v>
      </x:c>
      <x:c r="H7" s="426" t="str">
        <x:v>Retain PM-012; mark IEEE-012; GS-02-005 as duplicate</x:v>
      </x:c>
      <x:c r="I7" s="426" t="n">
        <x:v>2</x:v>
      </x:c>
      <x:c r="J7" s="426" t="str">
        <x:v>Title complete for every member</x:v>
      </x:c>
      <x:c r="K7" s="426" t="str">
        <x:v>Verify OCR-normalised secondary metadata before citation</x:v>
      </x:c>
      <x:c r="L7" s="654" t="str">
        <x:v>Confirmed</x:v>
      </x:c>
      <x:c r="M7" s="427" t="str">
        <x:v>Records with year metadata</x:v>
      </x:c>
      <x:c r="N7" s="427" t="n">
        <x:v>537</x:v>
      </x:c>
      <x:c r="O7" s="418"/>
      <x:c r="P7" s="418"/>
      <x:c r="Q7" s="418"/>
      <x:c r="R7" s="418"/>
      <x:c r="S7" s="418"/>
      <x:c r="T7" s="418"/>
      <x:c r="U7" s="418"/>
      <x:c r="V7" s="418"/>
      <x:c r="W7" s="418"/>
      <x:c r="X7" s="418"/>
      <x:c r="Y7" s="418"/>
      <x:c r="Z7" s="418"/>
    </x:row>
    <x:row r="8" ht="64" customHeight="1">
      <x:c r="A8" s="426" t="str">
        <x:v>DG-005</x:v>
      </x:c>
      <x:c r="B8" s="426" t="str">
        <x:v>An Explainable AI Framework for Corneal Imaging Interpretation and Refractive Surgery Decision Support</x:v>
      </x:c>
      <x:c r="C8" s="426" t="str">
        <x:v>PM-016</x:v>
      </x:c>
      <x:c r="D8" s="426" t="str">
        <x:v>PM-016; GS-04-020; GS-05-018</x:v>
      </x:c>
      <x:c r="E8" s="426" t="str">
        <x:v>PubMed; Google Scholar</x:v>
      </x:c>
      <x:c r="F8" s="426" t="n">
        <x:v>3</x:v>
      </x:c>
      <x:c r="G8" s="426" t="str">
        <x:v>DOI/title evidence; identifier/title evidence; normalized title across captured searches</x:v>
      </x:c>
      <x:c r="H8" s="426" t="str">
        <x:v>Retain PM-016; mark GS-04-020; GS-05-018 as duplicate</x:v>
      </x:c>
      <x:c r="I8" s="426" t="n">
        <x:v>2</x:v>
      </x:c>
      <x:c r="J8" s="426" t="str">
        <x:v>Title complete for every member</x:v>
      </x:c>
      <x:c r="K8" s="426" t="str">
        <x:v>Verify OCR-normalised secondary metadata before citation</x:v>
      </x:c>
      <x:c r="L8" s="426" t="str">
        <x:v>Confirmed</x:v>
      </x:c>
      <x:c r="M8" s="427" t="str">
        <x:v>Confirmed duplicate instances</x:v>
      </x:c>
      <x:c r="N8" s="427" t="n">
        <x:v>143</x:v>
      </x:c>
      <x:c r="O8" s="418"/>
      <x:c r="P8" s="418"/>
      <x:c r="Q8" s="418"/>
      <x:c r="R8" s="418"/>
      <x:c r="S8" s="418"/>
      <x:c r="T8" s="418"/>
      <x:c r="U8" s="418"/>
      <x:c r="V8" s="418"/>
      <x:c r="W8" s="418"/>
      <x:c r="X8" s="418"/>
      <x:c r="Y8" s="418"/>
      <x:c r="Z8" s="418"/>
    </x:row>
    <x:row r="9" ht="24" customHeight="1">
      <x:c r="A9" s="651" t="str">
        <x:v>DG-006</x:v>
      </x:c>
      <x:c r="B9" s="651" t="str">
        <x:v>Explainable Artificial Intelligence Framework for Predicting Treatment Outcomes in Age-Related Macular Degeneration</x:v>
      </x:c>
      <x:c r="C9" s="651" t="str">
        <x:v>PM-017</x:v>
      </x:c>
      <x:c r="D9" s="651" t="str">
        <x:v>PM-017; GS-04-004; GS-05-002</x:v>
      </x:c>
      <x:c r="E9" s="651" t="str">
        <x:v>PubMed; Google Scholar</x:v>
      </x:c>
      <x:c r="F9" s="651" t="n">
        <x:v>3</x:v>
      </x:c>
      <x:c r="G9" s="651" t="str">
        <x:v>DOI/title evidence; identifier/title evidence; normalized title across captured searches</x:v>
      </x:c>
      <x:c r="H9" s="651" t="str">
        <x:v>Retain PM-017; mark GS-04-004; GS-05-002 as duplicate</x:v>
      </x:c>
      <x:c r="I9" s="651" t="n">
        <x:v>2</x:v>
      </x:c>
      <x:c r="J9" s="651" t="str">
        <x:v>Title complete for every member</x:v>
      </x:c>
      <x:c r="K9" s="651" t="str">
        <x:v>Verify OCR-normalised secondary metadata before citation</x:v>
      </x:c>
      <x:c r="L9" s="651" t="str">
        <x:v>Confirmed</x:v>
      </x:c>
      <x:c r="M9" s="427" t="str">
        <x:v>Unique records for screening</x:v>
      </x:c>
      <x:c r="N9" s="427" t="n">
        <x:v>579</x:v>
      </x:c>
      <x:c r="O9" s="418"/>
      <x:c r="P9" s="418"/>
      <x:c r="Q9" s="418"/>
      <x:c r="R9" s="418"/>
      <x:c r="S9" s="418"/>
      <x:c r="T9" s="418"/>
      <x:c r="U9" s="418"/>
      <x:c r="V9" s="418"/>
      <x:c r="W9" s="418"/>
      <x:c r="X9" s="418"/>
      <x:c r="Y9" s="418"/>
      <x:c r="Z9" s="418"/>
    </x:row>
    <x:row r="10" ht="64" customHeight="1">
      <x:c r="A10" s="426" t="str">
        <x:v>DG-007</x:v>
      </x:c>
      <x:c r="B10" s="426" t="str">
        <x:v>Explainable neuro-symbolic artificial intelligence for automated interpretation of corneal topography and early keratoconus detection</x:v>
      </x:c>
      <x:c r="C10" s="426" t="str">
        <x:v>PM-018</x:v>
      </x:c>
      <x:c r="D10" s="426" t="str">
        <x:v>PM-018; GS-04-019; GS-05-017</x:v>
      </x:c>
      <x:c r="E10" s="426" t="str">
        <x:v>PubMed; Google Scholar</x:v>
      </x:c>
      <x:c r="F10" s="426" t="n">
        <x:v>3</x:v>
      </x:c>
      <x:c r="G10" s="426" t="str">
        <x:v>DOI/title evidence; identifier/title evidence; normalized title across captured searches</x:v>
      </x:c>
      <x:c r="H10" s="426" t="str">
        <x:v>Retain PM-018; mark GS-04-019; GS-05-017 as duplicate</x:v>
      </x:c>
      <x:c r="I10" s="426" t="n">
        <x:v>2</x:v>
      </x:c>
      <x:c r="J10" s="426" t="str">
        <x:v>Title complete for every member</x:v>
      </x:c>
      <x:c r="K10" s="426" t="str">
        <x:v>Verify OCR-normalised secondary metadata before citation</x:v>
      </x:c>
      <x:c r="L10" s="657" t="str">
        <x:v>Confirmed</x:v>
      </x:c>
      <x:c r="M10" s="427" t="str">
        <x:v>Duplicate groups</x:v>
      </x:c>
      <x:c r="N10" s="427" t="n">
        <x:v>124</x:v>
      </x:c>
      <x:c r="O10" s="418"/>
      <x:c r="P10" s="418"/>
      <x:c r="Q10" s="418"/>
      <x:c r="R10" s="418"/>
      <x:c r="S10" s="418"/>
      <x:c r="T10" s="418"/>
      <x:c r="U10" s="418"/>
      <x:c r="V10" s="418"/>
      <x:c r="W10" s="418"/>
      <x:c r="X10" s="418"/>
      <x:c r="Y10" s="418"/>
      <x:c r="Z10" s="418"/>
    </x:row>
    <x:row r="11" ht="64" customHeight="1">
      <x:c r="A11" s="426" t="str">
        <x:v>DG-008</x:v>
      </x:c>
      <x:c r="B11" s="426" t="str">
        <x:v>Compact vision language models enable efficient and interpretable optical coherence tomography through layer-specific multimodal learning</x:v>
      </x:c>
      <x:c r="C11" s="426" t="str">
        <x:v>PM-020</x:v>
      </x:c>
      <x:c r="D11" s="426" t="str">
        <x:v>PM-019; PM-020</x:v>
      </x:c>
      <x:c r="E11" s="426" t="str">
        <x:v>PubMed</x:v>
      </x:c>
      <x:c r="F11" s="426" t="n">
        <x:v>2</x:v>
      </x:c>
      <x:c r="G11" s="426" t="str">
        <x:v>DOI/title evidence; identifier/title evidence</x:v>
      </x:c>
      <x:c r="H11" s="426" t="str">
        <x:v>Retain PM-020; mark PM-019 as duplicate</x:v>
      </x:c>
      <x:c r="I11" s="426" t="n">
        <x:v>1</x:v>
      </x:c>
      <x:c r="J11" s="426" t="str">
        <x:v>Title complete for every member</x:v>
      </x:c>
      <x:c r="K11" s="426" t="str">
        <x:v>Verify OCR-normalised secondary metadata before citation</x:v>
      </x:c>
      <x:c r="L11" s="426" t="str">
        <x:v>Confirmed</x:v>
      </x:c>
      <x:c r="M11" s="427"/>
      <x:c r="N11" s="427"/>
      <x:c r="O11" s="418"/>
      <x:c r="P11" s="418"/>
      <x:c r="Q11" s="418"/>
      <x:c r="R11" s="418"/>
      <x:c r="S11" s="418"/>
      <x:c r="T11" s="418"/>
      <x:c r="U11" s="418"/>
      <x:c r="V11" s="418"/>
      <x:c r="W11" s="418"/>
      <x:c r="X11" s="418"/>
      <x:c r="Y11" s="418"/>
      <x:c r="Z11" s="418"/>
    </x:row>
    <x:row r="12" ht="24" customHeight="1">
      <x:c r="A12" s="651" t="str">
        <x:v>DG-009</x:v>
      </x:c>
      <x:c r="B12" s="651" t="str">
        <x:v>ORBIT-AMD: Ordinal Risk, Bilateral Imaging, and Trajectory Learning for Age-Related Macular Degeneration in Multi-Cohorts</x:v>
      </x:c>
      <x:c r="C12" s="651" t="str">
        <x:v>PM-021</x:v>
      </x:c>
      <x:c r="D12" s="651" t="str">
        <x:v>PM-021; GS-01-032</x:v>
      </x:c>
      <x:c r="E12" s="651" t="str">
        <x:v>PubMed; Google Scholar</x:v>
      </x:c>
      <x:c r="F12" s="651" t="n">
        <x:v>2</x:v>
      </x:c>
      <x:c r="G12" s="651" t="str">
        <x:v>DOI/title evidence; identifier/title evidence; normalized title across captured searches</x:v>
      </x:c>
      <x:c r="H12" s="651" t="str">
        <x:v>Retain PM-021; mark GS-01-032 as duplicate</x:v>
      </x:c>
      <x:c r="I12" s="651" t="n">
        <x:v>1</x:v>
      </x:c>
      <x:c r="J12" s="651" t="str">
        <x:v>Title complete for every member</x:v>
      </x:c>
      <x:c r="K12" s="651" t="str">
        <x:v>Verify OCR-normalised secondary metadata before citation</x:v>
      </x:c>
      <x:c r="L12" s="651" t="str">
        <x:v>Confirmed</x:v>
      </x:c>
      <x:c r="M12" s="731" t="str">
        <x:v>Citation-chasing records assessed</x:v>
      </x:c>
      <x:c r="N12" s="732" t="n">
        <x:v>3</x:v>
      </x:c>
      <x:c r="O12" s="418"/>
      <x:c r="P12" s="418"/>
      <x:c r="Q12" s="418"/>
      <x:c r="R12" s="418"/>
      <x:c r="S12" s="418"/>
      <x:c r="T12" s="418"/>
      <x:c r="U12" s="418"/>
      <x:c r="V12" s="418"/>
      <x:c r="W12" s="418"/>
      <x:c r="X12" s="418"/>
      <x:c r="Y12" s="418"/>
      <x:c r="Z12" s="418"/>
    </x:row>
    <x:row r="13" ht="64" customHeight="1">
      <x:c r="A13" s="426" t="str">
        <x:v>DG-010</x:v>
      </x:c>
      <x:c r="B13" s="426" t="str">
        <x:v>Interpretable Few-Shot Retinal Disease Diagnosis with Concept-Guided Prompting of Vision-Language Models</x:v>
      </x:c>
      <x:c r="C13" s="426" t="str">
        <x:v>ARXIV-14-001</x:v>
      </x:c>
      <x:c r="D13" s="426" t="str">
        <x:v>GS-01-001; ARXIV-14-001</x:v>
      </x:c>
      <x:c r="E13" s="426" t="str">
        <x:v>Google Scholar; arXiv</x:v>
      </x:c>
      <x:c r="F13" s="426" t="n">
        <x:v>2</x:v>
      </x:c>
      <x:c r="G13" s="426" t="str">
        <x:v>identifier/title evidence; normalized title across captured searches</x:v>
      </x:c>
      <x:c r="H13" s="426" t="str">
        <x:v>Retain ARXIV-14-001; mark GS-01-001 as duplicate</x:v>
      </x:c>
      <x:c r="I13" s="426" t="n">
        <x:v>1</x:v>
      </x:c>
      <x:c r="J13" s="426" t="str">
        <x:v>Title complete for every member</x:v>
      </x:c>
      <x:c r="K13" s="426" t="str">
        <x:v>Verify OCR-normalised secondary metadata before citation</x:v>
      </x:c>
      <x:c r="L13" s="660" t="str">
        <x:v>Confirmed</x:v>
      </x:c>
      <x:c r="M13" s="731" t="str">
        <x:v>New duplicate matches on rerun</x:v>
      </x:c>
      <x:c r="N13" s="732" t="n">
        <x:v>0</x:v>
      </x:c>
      <x:c r="O13" s="418"/>
      <x:c r="P13" s="418"/>
      <x:c r="Q13" s="418"/>
      <x:c r="R13" s="418"/>
      <x:c r="S13" s="418"/>
      <x:c r="T13" s="418"/>
      <x:c r="U13" s="418"/>
      <x:c r="V13" s="418"/>
      <x:c r="W13" s="418"/>
      <x:c r="X13" s="418"/>
      <x:c r="Y13" s="418"/>
      <x:c r="Z13" s="418"/>
    </x:row>
    <x:row r="14" ht="64" customHeight="1">
      <x:c r="A14" s="426" t="str">
        <x:v>DG-011</x:v>
      </x:c>
      <x:c r="B14" s="426" t="str">
        <x:v>Looking into Concept Explanation Methods for Diabetic Retinopathy Classification</x:v>
      </x:c>
      <x:c r="C14" s="426" t="str">
        <x:v>ARXIV-01-001</x:v>
      </x:c>
      <x:c r="D14" s="426" t="str">
        <x:v>GS-01-004; GS-06-001; GS-08-004; ARXIV-01-001; ARXIV-06-002</x:v>
      </x:c>
      <x:c r="E14" s="426" t="str">
        <x:v>Google Scholar; arXiv</x:v>
      </x:c>
      <x:c r="F14" s="426" t="n">
        <x:v>5</x:v>
      </x:c>
      <x:c r="G14" s="426" t="str">
        <x:v>identifier/title evidence; normalized title across captured searches</x:v>
      </x:c>
      <x:c r="H14" s="426" t="str">
        <x:v>Retain ARXIV-01-001; mark GS-01-004; GS-06-001; GS-08-004; ARXIV-06-002 as duplicate</x:v>
      </x:c>
      <x:c r="I14" s="426" t="n">
        <x:v>4</x:v>
      </x:c>
      <x:c r="J14" s="426" t="str">
        <x:v>Title complete for every member</x:v>
      </x:c>
      <x:c r="K14" s="426" t="str">
        <x:v>Verify OCR-normalised secondary metadata before citation</x:v>
      </x:c>
      <x:c r="L14" s="426" t="str">
        <x:v>Confirmed</x:v>
      </x:c>
      <x:c r="M14" s="731" t="str">
        <x:v>Deduplication rerun date</x:v>
      </x:c>
      <x:c r="N14" s="732" t="str">
        <x:v>17 August 2026</x:v>
      </x:c>
      <x:c r="O14" s="418"/>
      <x:c r="P14" s="418"/>
      <x:c r="Q14" s="418"/>
      <x:c r="R14" s="418"/>
      <x:c r="S14" s="418"/>
      <x:c r="T14" s="418"/>
      <x:c r="U14" s="418"/>
      <x:c r="V14" s="418"/>
      <x:c r="W14" s="418"/>
      <x:c r="X14" s="418"/>
      <x:c r="Y14" s="418"/>
      <x:c r="Z14" s="418"/>
    </x:row>
    <x:row r="15" ht="24" customHeight="1">
      <x:c r="A15" s="651" t="str">
        <x:v>DG-012</x:v>
      </x:c>
      <x:c r="B15" s="651" t="str">
        <x:v>Concept-based lesion aware transformer for interpretable retinal disease diagnosis</x:v>
      </x:c>
      <x:c r="C15" s="651" t="str">
        <x:v>GS-01-006</x:v>
      </x:c>
      <x:c r="D15" s="651" t="str">
        <x:v>GS-01-006; GS-06-005; GS-08-001</x:v>
      </x:c>
      <x:c r="E15" s="651" t="str">
        <x:v>Google Scholar</x:v>
      </x:c>
      <x:c r="F15" s="651" t="n">
        <x:v>3</x:v>
      </x:c>
      <x:c r="G15" s="651" t="str">
        <x:v>normalized title across captured searches</x:v>
      </x:c>
      <x:c r="H15" s="651" t="str">
        <x:v>Retain GS-01-006; mark GS-06-005; GS-08-001 as duplicate</x:v>
      </x:c>
      <x:c r="I15" s="651" t="n">
        <x:v>2</x:v>
      </x:c>
      <x:c r="J15" s="651" t="str">
        <x:v>Title complete for every member</x:v>
      </x:c>
      <x:c r="K15" s="651" t="str">
        <x:v>Verify OCR-normalised secondary metadata before citation</x:v>
      </x:c>
      <x:c r="L15" s="651" t="str">
        <x:v>Confirmed</x:v>
      </x:c>
      <x:c r="M15" s="427"/>
      <x:c r="N15" s="427"/>
      <x:c r="O15" s="418"/>
      <x:c r="P15" s="418"/>
      <x:c r="Q15" s="418"/>
      <x:c r="R15" s="418"/>
      <x:c r="S15" s="418"/>
      <x:c r="T15" s="418"/>
      <x:c r="U15" s="418"/>
      <x:c r="V15" s="418"/>
      <x:c r="W15" s="418"/>
      <x:c r="X15" s="418"/>
      <x:c r="Y15" s="418"/>
      <x:c r="Z15" s="418"/>
    </x:row>
    <x:row r="16">
      <x:c r="A16" s="427" t="str">
        <x:v>DG-013</x:v>
      </x:c>
      <x:c r="B16" s="427" t="str">
        <x:v>Escaping Low-Rank Traps: Interpretable Visual Concept Learning via Implicit Vector Quantization</x:v>
      </x:c>
      <x:c r="C16" s="427" t="str">
        <x:v>GS-01-034</x:v>
      </x:c>
      <x:c r="D16" s="427" t="str">
        <x:v>GS-01-034; GS-06-004</x:v>
      </x:c>
      <x:c r="E16" s="427" t="str">
        <x:v>Google Scholar</x:v>
      </x:c>
      <x:c r="F16" s="427" t="n">
        <x:v>2</x:v>
      </x:c>
      <x:c r="G16" s="427" t="str">
        <x:v>normalized title across captured searches</x:v>
      </x:c>
      <x:c r="H16" s="427" t="str">
        <x:v>Retain GS-01-034; mark GS-06-004 as duplicate</x:v>
      </x:c>
      <x:c r="I16" s="427" t="n">
        <x:v>1</x:v>
      </x:c>
      <x:c r="J16" s="427" t="str">
        <x:v>Title complete for every member</x:v>
      </x:c>
      <x:c r="K16" s="427"/>
      <x:c r="L16" s="661"/>
      <x:c r="M16" s="427"/>
      <x:c r="N16" s="427"/>
      <x:c r="O16" s="418"/>
      <x:c r="P16" s="418"/>
      <x:c r="Q16" s="418"/>
      <x:c r="R16" s="418"/>
      <x:c r="S16" s="418"/>
      <x:c r="T16" s="418"/>
      <x:c r="U16" s="418"/>
      <x:c r="V16" s="418"/>
      <x:c r="W16" s="418"/>
      <x:c r="X16" s="418"/>
      <x:c r="Y16" s="418"/>
      <x:c r="Z16" s="418"/>
    </x:row>
    <x:row r="17">
      <x:c r="A17" s="427" t="str">
        <x:v>DG-078</x:v>
      </x:c>
      <x:c r="B17" s="427" t="str">
        <x:v>Neurosymbolic AI Framework for Explainable Retinal Disease Classification From OCT Images</x:v>
      </x:c>
      <x:c r="C17" s="427" t="str">
        <x:v>PM-008</x:v>
      </x:c>
      <x:c r="D17" s="427" t="str">
        <x:v>PM-008; GS-04-002</x:v>
      </x:c>
      <x:c r="E17" s="427" t="str">
        <x:v>PubMed; Google Scholar</x:v>
      </x:c>
      <x:c r="F17" s="427" t="n">
        <x:v>2</x:v>
      </x:c>
      <x:c r="G17" s="427" t="str">
        <x:v>Enhanced normalized-title/OCR-variant reconciliation; primary-source verification where available</x:v>
      </x:c>
      <x:c r="H17" s="427" t="str">
        <x:v>Retain PM-008; mark GS-04-002 as duplicate</x:v>
      </x:c>
      <x:c r="I17" s="427" t="n">
        <x:v>1</x:v>
      </x:c>
      <x:c r="J17" s="427" t="str">
        <x:v>Preferred record retained; title-level identity confirmed</x:v>
      </x:c>
      <x:c r="K17" s="427"/>
      <x:c r="L17" s="661"/>
      <x:c r="M17" s="427"/>
      <x:c r="N17" s="427"/>
      <x:c r="O17" s="418"/>
      <x:c r="P17" s="418"/>
      <x:c r="Q17" s="418"/>
      <x:c r="R17" s="418"/>
      <x:c r="S17" s="418"/>
      <x:c r="T17" s="418"/>
      <x:c r="U17" s="418"/>
      <x:c r="V17" s="418"/>
      <x:c r="W17" s="418"/>
      <x:c r="X17" s="418"/>
      <x:c r="Y17" s="418"/>
      <x:c r="Z17" s="418"/>
    </x:row>
    <x:row r="18">
      <x:c r="A18" s="427" t="str">
        <x:v>DG-079</x:v>
      </x:c>
      <x:c r="B18" s="427" t="str">
        <x:v>Case Based Reasoning in Retina Abnormalities Detection</x:v>
      </x:c>
      <x:c r="C18" s="427" t="str">
        <x:v>IEEE-001</x:v>
      </x:c>
      <x:c r="D18" s="427" t="str">
        <x:v>IEEE-001; GS-03-002</x:v>
      </x:c>
      <x:c r="E18" s="427" t="str">
        <x:v>IEEE Xplore; Google Scholar</x:v>
      </x:c>
      <x:c r="F18" s="427" t="n">
        <x:v>2</x:v>
      </x:c>
      <x:c r="G18" s="427" t="str">
        <x:v>Enhanced normalized-title/OCR-variant reconciliation; primary-source verification where available</x:v>
      </x:c>
      <x:c r="H18" s="427" t="str">
        <x:v>Retain IEEE-001; mark GS-03-002 as duplicate</x:v>
      </x:c>
      <x:c r="I18" s="427" t="n">
        <x:v>1</x:v>
      </x:c>
      <x:c r="J18" s="427" t="str">
        <x:v>Preferred record retained; title-level identity confirmed</x:v>
      </x:c>
      <x:c r="K18" s="427"/>
      <x:c r="L18" s="661"/>
      <x:c r="M18" s="427"/>
      <x:c r="N18" s="427"/>
      <x:c r="O18" s="418"/>
      <x:c r="P18" s="418"/>
      <x:c r="Q18" s="418"/>
      <x:c r="R18" s="418"/>
      <x:c r="S18" s="418"/>
      <x:c r="T18" s="418"/>
      <x:c r="U18" s="418"/>
      <x:c r="V18" s="418"/>
      <x:c r="W18" s="418"/>
      <x:c r="X18" s="418"/>
      <x:c r="Y18" s="418"/>
      <x:c r="Z18" s="418"/>
    </x:row>
    <x:row r="19">
      <x:c r="A19" s="427" t="str">
        <x:v>DG-080</x:v>
      </x:c>
      <x:c r="B19" s="427" t="str">
        <x:v>Stable visian concept transformers for medical diagnosis</x:v>
      </x:c>
      <x:c r="C19" s="427" t="str">
        <x:v>GS-01-028</x:v>
      </x:c>
      <x:c r="D19" s="427" t="str">
        <x:v>GS-01-028; GS-01-059</x:v>
      </x:c>
      <x:c r="E19" s="427" t="str">
        <x:v>Google Scholar</x:v>
      </x:c>
      <x:c r="F19" s="427" t="n">
        <x:v>2</x:v>
      </x:c>
      <x:c r="G19" s="427" t="str">
        <x:v>Enhanced normalized-title/OCR-variant reconciliation; primary-source verification where available</x:v>
      </x:c>
      <x:c r="H19" s="427" t="str">
        <x:v>Retain GS-01-028; mark GS-01-059 as duplicate</x:v>
      </x:c>
      <x:c r="I19" s="427" t="n">
        <x:v>1</x:v>
      </x:c>
      <x:c r="J19" s="427" t="str">
        <x:v>Preferred record retained; title-level identity confirmed</x:v>
      </x:c>
      <x:c r="K19" s="427"/>
      <x:c r="L19" s="661"/>
      <x:c r="M19" s="427"/>
      <x:c r="N19" s="427"/>
      <x:c r="O19" s="418"/>
      <x:c r="P19" s="418"/>
      <x:c r="Q19" s="418"/>
      <x:c r="R19" s="418"/>
      <x:c r="S19" s="418"/>
      <x:c r="T19" s="418"/>
      <x:c r="U19" s="418"/>
      <x:c r="V19" s="418"/>
      <x:c r="W19" s="418"/>
      <x:c r="X19" s="418"/>
      <x:c r="Y19" s="418"/>
      <x:c r="Z19" s="418"/>
    </x:row>
    <x:row r="20">
      <x:c r="A20" s="427" t="str">
        <x:v>DG-081</x:v>
      </x:c>
      <x:c r="B20" s="427" t="str">
        <x:v>Convolutional neural networks for vision neuroscience’ significance, developments, and outstanding issues</x:v>
      </x:c>
      <x:c r="C20" s="427" t="str">
        <x:v>GS-04-084</x:v>
      </x:c>
      <x:c r="D20" s="427" t="str">
        <x:v>GS-04-084; GS-05-089</x:v>
      </x:c>
      <x:c r="E20" s="427" t="str">
        <x:v>Google Scholar</x:v>
      </x:c>
      <x:c r="F20" s="427" t="n">
        <x:v>2</x:v>
      </x:c>
      <x:c r="G20" s="427" t="str">
        <x:v>Enhanced normalized-title/OCR-variant reconciliation; primary-source verification where available</x:v>
      </x:c>
      <x:c r="H20" s="427" t="str">
        <x:v>Retain GS-04-084; mark GS-05-089 as duplicate</x:v>
      </x:c>
      <x:c r="I20" s="427" t="n">
        <x:v>1</x:v>
      </x:c>
      <x:c r="J20" s="427" t="str">
        <x:v>Preferred record retained; title-level identity confirmed</x:v>
      </x:c>
      <x:c r="K20" s="427"/>
      <x:c r="L20" s="661"/>
      <x:c r="M20" s="427"/>
      <x:c r="N20" s="427"/>
      <x:c r="O20" s="418"/>
      <x:c r="P20" s="418"/>
      <x:c r="Q20" s="418"/>
      <x:c r="R20" s="418"/>
      <x:c r="S20" s="418"/>
      <x:c r="T20" s="418"/>
      <x:c r="U20" s="418"/>
      <x:c r="V20" s="418"/>
      <x:c r="W20" s="418"/>
      <x:c r="X20" s="418"/>
      <x:c r="Y20" s="418"/>
      <x:c r="Z20" s="418"/>
    </x:row>
    <x:row r="21">
      <x:c r="A21" s="427" t="str">
        <x:v>DG-082</x:v>
      </x:c>
      <x:c r="B21" s="427" t="str">
        <x:v>In-hoc Concept Representations to Regularise Deep Learning in Medical Imaging</x:v>
      </x:c>
      <x:c r="C21" s="427" t="str">
        <x:v>ARXIV-06-001</x:v>
      </x:c>
      <x:c r="D21" s="427" t="str">
        <x:v>ARXIV-06-001; GS-01-068</x:v>
      </x:c>
      <x:c r="E21" s="427" t="str">
        <x:v>arXiv; Google Scholar</x:v>
      </x:c>
      <x:c r="F21" s="427" t="n">
        <x:v>2</x:v>
      </x:c>
      <x:c r="G21" s="427" t="str">
        <x:v>Enhanced normalized-title/OCR-variant reconciliation; primary-source verification where available</x:v>
      </x:c>
      <x:c r="H21" s="427" t="str">
        <x:v>Retain ARXIV-06-001; mark GS-01-068 as duplicate</x:v>
      </x:c>
      <x:c r="I21" s="427" t="n">
        <x:v>1</x:v>
      </x:c>
      <x:c r="J21" s="427" t="str">
        <x:v>Preferred record retained; title-level identity confirmed</x:v>
      </x:c>
      <x:c r="K21" s="427"/>
      <x:c r="L21" s="661"/>
      <x:c r="M21" s="427"/>
      <x:c r="N21" s="427"/>
      <x:c r="O21" s="418"/>
      <x:c r="P21" s="418"/>
      <x:c r="Q21" s="418"/>
      <x:c r="R21" s="418"/>
      <x:c r="S21" s="418"/>
      <x:c r="T21" s="418"/>
      <x:c r="U21" s="418"/>
      <x:c r="V21" s="418"/>
      <x:c r="W21" s="418"/>
      <x:c r="X21" s="418"/>
      <x:c r="Y21" s="418"/>
      <x:c r="Z21" s="418"/>
    </x:row>
    <x:row r="22">
      <x:c r="A22" s="427" t="str">
        <x:v>DG-083</x:v>
      </x:c>
      <x:c r="B22" s="427" t="str">
        <x:v>(4TML] ACNN-DR’ Adaptive convolutional neural network for diabetic retinopathy using bias correction and continual leaming</x:v>
      </x:c>
      <x:c r="C22" s="427" t="str">
        <x:v>GS-04-050</x:v>
      </x:c>
      <x:c r="D22" s="427" t="str">
        <x:v>GS-04-050; GS-05-045</x:v>
      </x:c>
      <x:c r="E22" s="427" t="str">
        <x:v>Google Scholar</x:v>
      </x:c>
      <x:c r="F22" s="427" t="n">
        <x:v>2</x:v>
      </x:c>
      <x:c r="G22" s="427" t="str">
        <x:v>Enhanced normalized-title/OCR-variant reconciliation; primary-source verification where available</x:v>
      </x:c>
      <x:c r="H22" s="427" t="str">
        <x:v>Retain GS-04-050; mark GS-05-045 as duplicate</x:v>
      </x:c>
      <x:c r="I22" s="427" t="n">
        <x:v>1</x:v>
      </x:c>
      <x:c r="J22" s="427" t="str">
        <x:v>Preferred record retained; title-level identity confirmed</x:v>
      </x:c>
      <x:c r="K22" s="427"/>
      <x:c r="L22" s="661"/>
      <x:c r="M22" s="427"/>
      <x:c r="N22" s="427"/>
      <x:c r="O22" s="418"/>
      <x:c r="P22" s="418"/>
      <x:c r="Q22" s="418"/>
      <x:c r="R22" s="418"/>
      <x:c r="S22" s="418"/>
      <x:c r="T22" s="418"/>
      <x:c r="U22" s="418"/>
      <x:c r="V22" s="418"/>
      <x:c r="W22" s="418"/>
      <x:c r="X22" s="418"/>
      <x:c r="Y22" s="418"/>
      <x:c r="Z22" s="418"/>
    </x:row>
    <x:row r="23">
      <x:c r="A23" s="427" t="str">
        <x:v>DG-084</x:v>
      </x:c>
      <x:c r="B23" s="427" t="str">
        <x:v>Coarse Retinal Lesion Annotations Refinement via Prototypical Learning</x:v>
      </x:c>
      <x:c r="C23" s="427" t="str">
        <x:v>ARXIV-02-014</x:v>
      </x:c>
      <x:c r="D23" s="427" t="str">
        <x:v>ARXIV-02-014; GS-02-010; GS-02-015</x:v>
      </x:c>
      <x:c r="E23" s="427" t="str">
        <x:v>arXiv; Google Scholar</x:v>
      </x:c>
      <x:c r="F23" s="427" t="n">
        <x:v>3</x:v>
      </x:c>
      <x:c r="G23" s="427" t="str">
        <x:v>Enhanced normalized-title/OCR-variant reconciliation; primary-source verification where available</x:v>
      </x:c>
      <x:c r="H23" s="427" t="str">
        <x:v>Retain ARXIV-02-014; mark GS-02-010; GS-02-015 as duplicates</x:v>
      </x:c>
      <x:c r="I23" s="427" t="n">
        <x:v>2</x:v>
      </x:c>
      <x:c r="J23" s="427" t="str">
        <x:v>Preferred record retained; title-level identity confirmed</x:v>
      </x:c>
      <x:c r="K23" s="427"/>
      <x:c r="L23" s="427"/>
      <x:c r="M23" s="427"/>
      <x:c r="N23" s="427"/>
      <x:c r="O23" s="418"/>
      <x:c r="P23" s="418"/>
      <x:c r="Q23" s="418"/>
      <x:c r="R23" s="418"/>
      <x:c r="S23" s="418"/>
      <x:c r="T23" s="418"/>
      <x:c r="U23" s="418"/>
      <x:c r="V23" s="418"/>
      <x:c r="W23" s="418"/>
      <x:c r="X23" s="418"/>
      <x:c r="Y23" s="418"/>
      <x:c r="Z23" s="418"/>
    </x:row>
    <x:row r="24" ht="38" customHeight="1">
      <x:c r="A24" s="663" t="str">
        <x:v>DG-085</x:v>
      </x:c>
      <x:c r="B24" s="663" t="str">
        <x:v>EXPLORING NEURO-SYMBOLIC ARTIFICIAL INTELLIGENCE THROUGH BIONIC VISION</x:v>
      </x:c>
      <x:c r="C24" s="663" t="str">
        <x:v>GS-04-005</x:v>
      </x:c>
      <x:c r="D24" s="663" t="str">
        <x:v>GS-04-005; GS-05-008</x:v>
      </x:c>
      <x:c r="E24" s="663" t="str">
        <x:v>Google Scholar</x:v>
      </x:c>
      <x:c r="F24" s="663" t="n">
        <x:v>2</x:v>
      </x:c>
      <x:c r="G24" s="663" t="str">
        <x:v>Enhanced normalized-title/OCR-variant reconciliation; primary-source verification where available</x:v>
      </x:c>
      <x:c r="H24" s="663" t="str">
        <x:v>Retain GS-04-005; mark GS-05-008 as duplicate</x:v>
      </x:c>
      <x:c r="I24" s="663" t="n">
        <x:v>1</x:v>
      </x:c>
      <x:c r="J24" s="663" t="str">
        <x:v>Preferred record retained; title-level identity confirmed</x:v>
      </x:c>
      <x:c r="K24" s="663"/>
      <x:c r="L24" s="663"/>
      <x:c r="M24" s="663"/>
      <x:c r="N24" s="663"/>
      <x:c r="O24" s="418"/>
      <x:c r="P24" s="418"/>
      <x:c r="Q24" s="418"/>
      <x:c r="R24" s="418"/>
      <x:c r="S24" s="418"/>
      <x:c r="T24" s="418"/>
      <x:c r="U24" s="418"/>
      <x:c r="V24" s="418"/>
      <x:c r="W24" s="418"/>
      <x:c r="X24" s="418"/>
      <x:c r="Y24" s="418"/>
      <x:c r="Z24" s="418"/>
    </x:row>
    <x:row r="25">
      <x:c r="A25" s="418" t="str">
        <x:v>DG-086</x:v>
      </x:c>
      <x:c r="B25" s="418" t="str">
        <x:v>Neuro-symbolic tearning: Principles and applications in ophthalmology</x:v>
      </x:c>
      <x:c r="C25" s="418" t="str">
        <x:v>GS-04-010</x:v>
      </x:c>
      <x:c r="D25" s="418" t="str">
        <x:v>GS-04-010; GS-05-004</x:v>
      </x:c>
      <x:c r="E25" s="418" t="str">
        <x:v>Google Scholar</x:v>
      </x:c>
      <x:c r="F25" s="418" t="n">
        <x:v>2</x:v>
      </x:c>
      <x:c r="G25" s="418" t="str">
        <x:v>Enhanced normalized-title/OCR-variant reconciliation; primary-source verification where available</x:v>
      </x:c>
      <x:c r="H25" s="418" t="str">
        <x:v>Retain GS-04-010; mark GS-05-004 as duplicate</x:v>
      </x:c>
      <x:c r="I25" s="418" t="n">
        <x:v>1</x:v>
      </x:c>
      <x:c r="J25" s="418" t="str">
        <x:v>Preferred record retained; title-level identity confirmed</x:v>
      </x:c>
      <x:c r="K25" s="418"/>
      <x:c r="L25" s="418"/>
      <x:c r="M25" s="418"/>
      <x:c r="N25" s="418"/>
      <x:c r="O25" s="418"/>
      <x:c r="P25" s="418"/>
      <x:c r="Q25" s="418"/>
      <x:c r="R25" s="418"/>
      <x:c r="S25" s="418"/>
      <x:c r="T25" s="418"/>
      <x:c r="U25" s="418"/>
      <x:c r="V25" s="418"/>
      <x:c r="W25" s="418"/>
      <x:c r="X25" s="418"/>
      <x:c r="Y25" s="418"/>
      <x:c r="Z25" s="418"/>
    </x:row>
    <x:row r="26">
      <x:c r="A26" s="418" t="str">
        <x:v>DG-087</x:v>
      </x:c>
      <x:c r="B26" s="418" t="str">
        <x:v>Neurosymbolic inference on foundation models for remote sensing text-to- image retrieval with complex queries</x:v>
      </x:c>
      <x:c r="C26" s="418" t="str">
        <x:v>GS-04-025</x:v>
      </x:c>
      <x:c r="D26" s="418" t="str">
        <x:v>GS-04-025; GS-05-038</x:v>
      </x:c>
      <x:c r="E26" s="418" t="str">
        <x:v>Google Scholar</x:v>
      </x:c>
      <x:c r="F26" s="418" t="n">
        <x:v>2</x:v>
      </x:c>
      <x:c r="G26" s="418" t="str">
        <x:v>Enhanced normalized-title/OCR-variant reconciliation; primary-source verification where available</x:v>
      </x:c>
      <x:c r="H26" s="418" t="str">
        <x:v>Retain GS-04-025; mark GS-05-038 as duplicate</x:v>
      </x:c>
      <x:c r="I26" s="418" t="n">
        <x:v>1</x:v>
      </x:c>
      <x:c r="J26" s="418" t="str">
        <x:v>Preferred record retained; title-level identity confirmed</x:v>
      </x:c>
      <x:c r="K26" s="418"/>
      <x:c r="L26" s="418"/>
      <x:c r="M26" s="418"/>
      <x:c r="N26" s="418"/>
      <x:c r="O26" s="418"/>
      <x:c r="P26" s="418"/>
      <x:c r="Q26" s="418"/>
      <x:c r="R26" s="418"/>
      <x:c r="S26" s="418"/>
      <x:c r="T26" s="418"/>
      <x:c r="U26" s="418"/>
      <x:c r="V26" s="418"/>
      <x:c r="W26" s="418"/>
      <x:c r="X26" s="418"/>
      <x:c r="Y26" s="418"/>
      <x:c r="Z26" s="418"/>
    </x:row>
    <x:row r="27">
      <x:c r="A27" s="418" t="str">
        <x:v>DG-088</x:v>
      </x:c>
      <x:c r="B27" s="418" t="str">
        <x:v>NeRD Neuro-Sympbalic Rute Distillation for Efficient Ontology-Grounded Chain- of-Thougnht in Medical image Diagnosis</x:v>
      </x:c>
      <x:c r="C27" s="418" t="str">
        <x:v>GS-01-050</x:v>
      </x:c>
      <x:c r="D27" s="418" t="str">
        <x:v>GS-01-050; GS-04-026; GS-05-022</x:v>
      </x:c>
      <x:c r="E27" s="418" t="str">
        <x:v>Google Scholar</x:v>
      </x:c>
      <x:c r="F27" s="418" t="n">
        <x:v>3</x:v>
      </x:c>
      <x:c r="G27" s="418" t="str">
        <x:v>Enhanced normalized-title/OCR-variant reconciliation; primary-source verification where available</x:v>
      </x:c>
      <x:c r="H27" s="418" t="str">
        <x:v>Retain GS-01-050; mark GS-04-026; GS-05-022 as duplicates</x:v>
      </x:c>
      <x:c r="I27" s="418" t="n">
        <x:v>2</x:v>
      </x:c>
      <x:c r="J27" s="418" t="str">
        <x:v>Preferred record retained; title-level identity confirmed</x:v>
      </x:c>
      <x:c r="K27" s="418"/>
      <x:c r="L27" s="418"/>
      <x:c r="M27" s="418"/>
      <x:c r="N27" s="418"/>
      <x:c r="O27" s="418"/>
      <x:c r="P27" s="418"/>
      <x:c r="Q27" s="418"/>
      <x:c r="R27" s="418"/>
      <x:c r="S27" s="418"/>
      <x:c r="T27" s="418"/>
      <x:c r="U27" s="418"/>
      <x:c r="V27" s="418"/>
      <x:c r="W27" s="418"/>
      <x:c r="X27" s="418"/>
      <x:c r="Y27" s="418"/>
      <x:c r="Z27" s="418"/>
    </x:row>
    <x:row r="28">
      <x:c r="A28" s="418" t="str">
        <x:v>DG-089</x:v>
      </x:c>
      <x:c r="B28" s="418" t="str">
        <x:v>Towards explainable deep learning in computational neuroscience’ visual and clinical applications</x:v>
      </x:c>
      <x:c r="C28" s="418" t="str">
        <x:v>GS-04-077</x:v>
      </x:c>
      <x:c r="D28" s="418" t="str">
        <x:v>GS-04-077; GS-08-007</x:v>
      </x:c>
      <x:c r="E28" s="418" t="str">
        <x:v>Google Scholar</x:v>
      </x:c>
      <x:c r="F28" s="418" t="n">
        <x:v>2</x:v>
      </x:c>
      <x:c r="G28" s="418" t="str">
        <x:v>Enhanced normalized-title/OCR-variant reconciliation; primary-source verification where available</x:v>
      </x:c>
      <x:c r="H28" s="418" t="str">
        <x:v>Retain GS-04-077; mark GS-08-007 as duplicate</x:v>
      </x:c>
      <x:c r="I28" s="418" t="n">
        <x:v>1</x:v>
      </x:c>
      <x:c r="J28" s="418" t="str">
        <x:v>Preferred record retained; title-level identity confirmed</x:v>
      </x:c>
      <x:c r="K28" s="418"/>
      <x:c r="L28" s="418"/>
      <x:c r="M28" s="418"/>
      <x:c r="N28" s="418"/>
      <x:c r="O28" s="418"/>
      <x:c r="P28" s="418"/>
      <x:c r="Q28" s="418"/>
      <x:c r="R28" s="418"/>
      <x:c r="S28" s="418"/>
      <x:c r="T28" s="418"/>
      <x:c r="U28" s="418"/>
      <x:c r="V28" s="418"/>
      <x:c r="W28" s="418"/>
      <x:c r="X28" s="418"/>
      <x:c r="Y28" s="418"/>
      <x:c r="Z28" s="418"/>
    </x:row>
    <x:row r="29">
      <x:c r="A29" s="418" t="str">
        <x:v>DG-090</x:v>
      </x:c>
      <x:c r="B29" s="418" t="str">
        <x:v>Brain-inspired artificial intelligence research: A review</x:v>
      </x:c>
      <x:c r="C29" s="418" t="str">
        <x:v>GS-04-096</x:v>
      </x:c>
      <x:c r="D29" s="418" t="str">
        <x:v>GS-04-096; GS-05-079</x:v>
      </x:c>
      <x:c r="E29" s="418" t="str">
        <x:v>Google Scholar</x:v>
      </x:c>
      <x:c r="F29" s="418" t="n">
        <x:v>2</x:v>
      </x:c>
      <x:c r="G29" s="418" t="str">
        <x:v>Enhanced normalized-title/OCR-variant reconciliation; primary-source verification where available</x:v>
      </x:c>
      <x:c r="H29" s="418" t="str">
        <x:v>Retain GS-04-096; mark GS-05-079 as duplicate</x:v>
      </x:c>
      <x:c r="I29" s="418" t="n">
        <x:v>1</x:v>
      </x:c>
      <x:c r="J29" s="418" t="str">
        <x:v>Preferred record retained; title-level identity confirmed</x:v>
      </x:c>
      <x:c r="K29" s="418"/>
      <x:c r="L29" s="418"/>
      <x:c r="M29" s="418"/>
      <x:c r="N29" s="418"/>
      <x:c r="O29" s="418"/>
      <x:c r="P29" s="418"/>
      <x:c r="Q29" s="418"/>
      <x:c r="R29" s="418"/>
      <x:c r="S29" s="418"/>
      <x:c r="T29" s="418"/>
      <x:c r="U29" s="418"/>
      <x:c r="V29" s="418"/>
      <x:c r="W29" s="418"/>
      <x:c r="X29" s="418"/>
      <x:c r="Y29" s="418"/>
      <x:c r="Z29" s="418"/>
    </x:row>
    <x:row r="30">
      <x:c r="A30" s="418" t="str">
        <x:v>DG-091</x:v>
      </x:c>
      <x:c r="B30" s="418" t="str">
        <x:v>Noisy Pixels, Credible Decisions—A Rabust, Edge-Ready Neuro- Symbolic Architecture for Rural {African} Clinics</x:v>
      </x:c>
      <x:c r="C30" s="418" t="str">
        <x:v>GS-04-029</x:v>
      </x:c>
      <x:c r="D30" s="418" t="str">
        <x:v>GS-04-029; GS-05-021</x:v>
      </x:c>
      <x:c r="E30" s="418" t="str">
        <x:v>Google Scholar</x:v>
      </x:c>
      <x:c r="F30" s="418" t="n">
        <x:v>2</x:v>
      </x:c>
      <x:c r="G30" s="418" t="str">
        <x:v>Enhanced normalized-title/OCR-variant reconciliation; primary-source verification where available</x:v>
      </x:c>
      <x:c r="H30" s="418" t="str">
        <x:v>Retain GS-04-029; mark GS-05-021 as duplicate</x:v>
      </x:c>
      <x:c r="I30" s="418" t="n">
        <x:v>1</x:v>
      </x:c>
      <x:c r="J30" s="418" t="str">
        <x:v>Preferred record retained; title-level identity confirmed</x:v>
      </x:c>
      <x:c r="K30" s="418"/>
      <x:c r="L30" s="418"/>
      <x:c r="M30" s="418"/>
      <x:c r="N30" s="418"/>
      <x:c r="O30" s="418"/>
      <x:c r="P30" s="418"/>
      <x:c r="Q30" s="418"/>
      <x:c r="R30" s="418"/>
      <x:c r="S30" s="418"/>
      <x:c r="T30" s="418"/>
      <x:c r="U30" s="418"/>
      <x:c r="V30" s="418"/>
      <x:c r="W30" s="418"/>
      <x:c r="X30" s="418"/>
      <x:c r="Y30" s="418"/>
      <x:c r="Z30" s="418"/>
    </x:row>
    <x:row r="31">
      <x:c r="A31" s="418" t="str">
        <x:v>DG-092</x:v>
      </x:c>
      <x:c r="B31" s="418" t="str">
        <x:v>Author Response: Using Provenance Dispersion to Triage Uncertain Neurosymbolic OCT Diagnoses</x:v>
      </x:c>
      <x:c r="C31" s="418" t="str">
        <x:v>PM-025</x:v>
      </x:c>
      <x:c r="D31" s="418" t="str">
        <x:v>PM-025; GS-04-035</x:v>
      </x:c>
      <x:c r="E31" s="418" t="str">
        <x:v>PubMed; Google Scholar</x:v>
      </x:c>
      <x:c r="F31" s="418" t="n">
        <x:v>2</x:v>
      </x:c>
      <x:c r="G31" s="418" t="str">
        <x:v>Enhanced normalized-title/OCR-variant reconciliation; primary-source verification where available</x:v>
      </x:c>
      <x:c r="H31" s="418" t="str">
        <x:v>Retain PM-025; mark GS-04-035 as duplicate</x:v>
      </x:c>
      <x:c r="I31" s="418" t="n">
        <x:v>1</x:v>
      </x:c>
      <x:c r="J31" s="418" t="str">
        <x:v>Preferred record retained; title-level identity confirmed</x:v>
      </x:c>
      <x:c r="K31" s="418"/>
      <x:c r="L31" s="418"/>
      <x:c r="M31" s="418"/>
      <x:c r="N31" s="418"/>
      <x:c r="O31" s="418"/>
      <x:c r="P31" s="418"/>
      <x:c r="Q31" s="418"/>
      <x:c r="R31" s="418"/>
      <x:c r="S31" s="418"/>
      <x:c r="T31" s="418"/>
      <x:c r="U31" s="418"/>
      <x:c r="V31" s="418"/>
      <x:c r="W31" s="418"/>
      <x:c r="X31" s="418"/>
      <x:c r="Y31" s="418"/>
      <x:c r="Z31" s="418"/>
    </x:row>
    <x:row r="32">
      <x:c r="A32" s="418" t="str">
        <x:v>DG-093</x:v>
      </x:c>
      <x:c r="B32" s="418" t="str">
        <x:v>ConVLM: Concept-Guided Vision-Language Models for Exptainable Dermatological Diagnosis</x:v>
      </x:c>
      <x:c r="C32" s="418" t="str">
        <x:v>GS-01-089</x:v>
      </x:c>
      <x:c r="D32" s="418" t="str">
        <x:v>GS-01-089; GS-08-009</x:v>
      </x:c>
      <x:c r="E32" s="418" t="str">
        <x:v>Google Scholar</x:v>
      </x:c>
      <x:c r="F32" s="418" t="n">
        <x:v>2</x:v>
      </x:c>
      <x:c r="G32" s="418" t="str">
        <x:v>Enhanced normalized-title/OCR-variant reconciliation; primary-source verification where available</x:v>
      </x:c>
      <x:c r="H32" s="418" t="str">
        <x:v>Retain GS-01-089; mark GS-08-009 as duplicate</x:v>
      </x:c>
      <x:c r="I32" s="418" t="n">
        <x:v>1</x:v>
      </x:c>
      <x:c r="J32" s="418" t="str">
        <x:v>Preferred record retained; title-level identity confirmed</x:v>
      </x:c>
      <x:c r="K32" s="418"/>
      <x:c r="L32" s="418"/>
      <x:c r="M32" s="418"/>
      <x:c r="N32" s="418"/>
      <x:c r="O32" s="418"/>
      <x:c r="P32" s="418"/>
      <x:c r="Q32" s="418"/>
      <x:c r="R32" s="418"/>
      <x:c r="S32" s="418"/>
      <x:c r="T32" s="418"/>
      <x:c r="U32" s="418"/>
      <x:c r="V32" s="418"/>
      <x:c r="W32" s="418"/>
      <x:c r="X32" s="418"/>
      <x:c r="Y32" s="418"/>
      <x:c r="Z32" s="418"/>
    </x:row>
    <x:row r="33">
      <x:c r="A33" s="418" t="str">
        <x:v>DG-094</x:v>
      </x:c>
      <x:c r="B33" s="418" t="str">
        <x:v>Neuro-symbolic artificial intelligence in medicine</x:v>
      </x:c>
      <x:c r="C33" s="418" t="str">
        <x:v>GS-04-037</x:v>
      </x:c>
      <x:c r="D33" s="418" t="str">
        <x:v>GS-04-037; GS-05-036</x:v>
      </x:c>
      <x:c r="E33" s="418" t="str">
        <x:v>Google Scholar</x:v>
      </x:c>
      <x:c r="F33" s="418" t="n">
        <x:v>2</x:v>
      </x:c>
      <x:c r="G33" s="418" t="str">
        <x:v>Enhanced normalized-title/OCR-variant reconciliation; primary-source verification where available</x:v>
      </x:c>
      <x:c r="H33" s="418" t="str">
        <x:v>Retain GS-04-037; mark GS-05-036 as duplicate</x:v>
      </x:c>
      <x:c r="I33" s="418" t="n">
        <x:v>1</x:v>
      </x:c>
      <x:c r="J33" s="418" t="str">
        <x:v>Preferred record retained; title-level identity confirmed</x:v>
      </x:c>
      <x:c r="K33" s="418"/>
      <x:c r="L33" s="418"/>
      <x:c r="M33" s="418"/>
      <x:c r="N33" s="418"/>
      <x:c r="O33" s="418"/>
      <x:c r="P33" s="418"/>
      <x:c r="Q33" s="418"/>
      <x:c r="R33" s="418"/>
      <x:c r="S33" s="418"/>
      <x:c r="T33" s="418"/>
      <x:c r="U33" s="418"/>
      <x:c r="V33" s="418"/>
      <x:c r="W33" s="418"/>
      <x:c r="X33" s="418"/>
      <x:c r="Y33" s="418"/>
      <x:c r="Z33" s="418"/>
    </x:row>
    <x:row r="34">
      <x:c r="A34" s="418" t="str">
        <x:v>DG-095</x:v>
      </x:c>
      <x:c r="B34" s="418" t="str">
        <x:v>Rapid image labeling via neuro-symbolic learning</x:v>
      </x:c>
      <x:c r="C34" s="418" t="str">
        <x:v>GS-04-018</x:v>
      </x:c>
      <x:c r="D34" s="418" t="str">
        <x:v>GS-04-018; GS-05-016</x:v>
      </x:c>
      <x:c r="E34" s="418" t="str">
        <x:v>Google Scholar</x:v>
      </x:c>
      <x:c r="F34" s="418" t="n">
        <x:v>2</x:v>
      </x:c>
      <x:c r="G34" s="418" t="str">
        <x:v>Enhanced normalized-title/OCR-variant reconciliation; primary-source verification where available</x:v>
      </x:c>
      <x:c r="H34" s="418" t="str">
        <x:v>Retain GS-04-018; mark GS-05-016 as duplicate</x:v>
      </x:c>
      <x:c r="I34" s="418" t="n">
        <x:v>1</x:v>
      </x:c>
      <x:c r="J34" s="418" t="str">
        <x:v>Preferred record retained; title-level identity confirmed</x:v>
      </x:c>
      <x:c r="K34" s="418"/>
      <x:c r="L34" s="418"/>
      <x:c r="M34" s="418"/>
      <x:c r="N34" s="418"/>
      <x:c r="O34" s="418"/>
      <x:c r="P34" s="418"/>
      <x:c r="Q34" s="418"/>
      <x:c r="R34" s="418"/>
      <x:c r="S34" s="418"/>
      <x:c r="T34" s="418"/>
      <x:c r="U34" s="418"/>
      <x:c r="V34" s="418"/>
      <x:c r="W34" s="418"/>
      <x:c r="X34" s="418"/>
      <x:c r="Y34" s="418"/>
      <x:c r="Z34" s="418"/>
    </x:row>
    <x:row r="35">
      <x:c r="A35" s="418" t="str">
        <x:v>DG-096</x:v>
      </x:c>
      <x:c r="B35" s="418" t="str">
        <x:v>YVhich explainable Al methods in medical imaging are clinically impactful? A systematic literature review addressing the clinician's perspective</x:v>
      </x:c>
      <x:c r="C35" s="418" t="str">
        <x:v>GS-08-014</x:v>
      </x:c>
      <x:c r="D35" s="418" t="str">
        <x:v>GS-08-014; GS-08-021</x:v>
      </x:c>
      <x:c r="E35" s="418" t="str">
        <x:v>Google Scholar</x:v>
      </x:c>
      <x:c r="F35" s="418" t="n">
        <x:v>2</x:v>
      </x:c>
      <x:c r="G35" s="418" t="str">
        <x:v>Enhanced normalized-title/OCR-variant reconciliation; primary-source verification where available</x:v>
      </x:c>
      <x:c r="H35" s="418" t="str">
        <x:v>Retain GS-08-014; mark GS-08-021 as duplicate</x:v>
      </x:c>
      <x:c r="I35" s="418" t="n">
        <x:v>1</x:v>
      </x:c>
      <x:c r="J35" s="418" t="str">
        <x:v>Preferred record retained; title-level identity confirmed</x:v>
      </x:c>
      <x:c r="K35" s="418"/>
      <x:c r="L35" s="418"/>
      <x:c r="M35" s="418"/>
      <x:c r="N35" s="418"/>
      <x:c r="O35" s="418"/>
      <x:c r="P35" s="418"/>
      <x:c r="Q35" s="418"/>
      <x:c r="R35" s="418"/>
      <x:c r="S35" s="418"/>
      <x:c r="T35" s="418"/>
      <x:c r="U35" s="418"/>
      <x:c r="V35" s="418"/>
      <x:c r="W35" s="418"/>
      <x:c r="X35" s="418"/>
      <x:c r="Y35" s="418"/>
      <x:c r="Z35" s="418"/>
    </x:row>
    <x:row r="36">
      <x:c r="A36" s="418" t="str">
        <x:v>DG-097</x:v>
      </x:c>
      <x:c r="B36" s="418" t="str">
        <x:v>Explainable artificial intelligence in biomedical image analysis A comprehensive suey</x:v>
      </x:c>
      <x:c r="C36" s="418" t="str">
        <x:v>GS-06-009</x:v>
      </x:c>
      <x:c r="D36" s="418" t="str">
        <x:v>GS-06-009; GS-08-023</x:v>
      </x:c>
      <x:c r="E36" s="418" t="str">
        <x:v>Google Scholar</x:v>
      </x:c>
      <x:c r="F36" s="418" t="n">
        <x:v>2</x:v>
      </x:c>
      <x:c r="G36" s="418" t="str">
        <x:v>Enhanced normalized-title/OCR-variant reconciliation; primary-source verification where available</x:v>
      </x:c>
      <x:c r="H36" s="418" t="str">
        <x:v>Retain GS-06-009; mark GS-08-023 as duplicate</x:v>
      </x:c>
      <x:c r="I36" s="418" t="n">
        <x:v>1</x:v>
      </x:c>
      <x:c r="J36" s="418" t="str">
        <x:v>Preferred record retained; title-level identity confirmed</x:v>
      </x:c>
      <x:c r="K36" s="418"/>
      <x:c r="L36" s="418"/>
      <x:c r="M36" s="418"/>
      <x:c r="N36" s="418"/>
      <x:c r="O36" s="418"/>
      <x:c r="P36" s="418"/>
      <x:c r="Q36" s="418"/>
      <x:c r="R36" s="418"/>
      <x:c r="S36" s="418"/>
      <x:c r="T36" s="418"/>
      <x:c r="U36" s="418"/>
      <x:c r="V36" s="418"/>
      <x:c r="W36" s="418"/>
      <x:c r="X36" s="418"/>
      <x:c r="Y36" s="418"/>
      <x:c r="Z36" s="418"/>
    </x:row>
    <x:row r="37">
      <x:c r="A37" s="418" t="str">
        <x:v>DG-098</x:v>
      </x:c>
      <x:c r="B37" s="418" t="str">
        <x:v>(s00k) Cognitive artificial intetligence for health and climate Deep models interpretability, and decision support</x:v>
      </x:c>
      <x:c r="C37" s="418" t="str">
        <x:v>GS-04-098</x:v>
      </x:c>
      <x:c r="D37" s="418" t="str">
        <x:v>GS-04-098; GS-05-076</x:v>
      </x:c>
      <x:c r="E37" s="418" t="str">
        <x:v>Google Scholar</x:v>
      </x:c>
      <x:c r="F37" s="418" t="n">
        <x:v>2</x:v>
      </x:c>
      <x:c r="G37" s="418" t="str">
        <x:v>Enhanced normalized-title/OCR-variant reconciliation; primary-source verification where available</x:v>
      </x:c>
      <x:c r="H37" s="418" t="str">
        <x:v>Retain GS-04-098; mark GS-05-076 as duplicate</x:v>
      </x:c>
      <x:c r="I37" s="418" t="n">
        <x:v>1</x:v>
      </x:c>
      <x:c r="J37" s="418" t="str">
        <x:v>Preferred record retained; title-level identity confirmed</x:v>
      </x:c>
      <x:c r="K37" s="418"/>
      <x:c r="L37" s="418"/>
      <x:c r="M37" s="418"/>
      <x:c r="N37" s="418"/>
      <x:c r="O37" s="418"/>
      <x:c r="P37" s="418"/>
      <x:c r="Q37" s="418"/>
      <x:c r="R37" s="418"/>
      <x:c r="S37" s="418"/>
      <x:c r="T37" s="418"/>
      <x:c r="U37" s="418"/>
      <x:c r="V37" s="418"/>
      <x:c r="W37" s="418"/>
      <x:c r="X37" s="418"/>
      <x:c r="Y37" s="418"/>
      <x:c r="Z37" s="418"/>
    </x:row>
    <x:row r="38">
      <x:c r="A38" s="418" t="str">
        <x:v>DG-099</x:v>
      </x:c>
      <x:c r="B38" s="418" t="str">
        <x:v>Concept-based AI interpretability in physiological time-series data: Example of abnormality detection in electroencephalography</x:v>
      </x:c>
      <x:c r="C38" s="418" t="str">
        <x:v>PM-005</x:v>
      </x:c>
      <x:c r="D38" s="418" t="str">
        <x:v>PM-005; GS-08-011</x:v>
      </x:c>
      <x:c r="E38" s="418" t="str">
        <x:v>PubMed; Google Scholar</x:v>
      </x:c>
      <x:c r="F38" s="418" t="n">
        <x:v>2</x:v>
      </x:c>
      <x:c r="G38" s="418" t="str">
        <x:v>Enhanced normalized-title/OCR-variant reconciliation; primary-source verification where available</x:v>
      </x:c>
      <x:c r="H38" s="418" t="str">
        <x:v>Retain PM-005; mark GS-08-011 as duplicate</x:v>
      </x:c>
      <x:c r="I38" s="418" t="n">
        <x:v>1</x:v>
      </x:c>
      <x:c r="J38" s="418" t="str">
        <x:v>Preferred record retained; title-level identity confirmed</x:v>
      </x:c>
      <x:c r="K38" s="418"/>
      <x:c r="L38" s="418"/>
      <x:c r="M38" s="418"/>
      <x:c r="N38" s="418"/>
      <x:c r="O38" s="418"/>
      <x:c r="P38" s="418"/>
      <x:c r="Q38" s="418"/>
      <x:c r="R38" s="418"/>
      <x:c r="S38" s="418"/>
      <x:c r="T38" s="418"/>
      <x:c r="U38" s="418"/>
      <x:c r="V38" s="418"/>
      <x:c r="W38" s="418"/>
      <x:c r="X38" s="418"/>
      <x:c r="Y38" s="418"/>
      <x:c r="Z38" s="418"/>
    </x:row>
    <x:row r="39">
      <x:c r="A39" s="418" t="str">
        <x:v>DG-100</x:v>
      </x:c>
      <x:c r="B39" s="418" t="str">
        <x:v>CAD System Utilizing UNet and Hough Transform for Automated Measurement of Fetal Head Circumference and Age in 2D Ultrasound Images</x:v>
      </x:c>
      <x:c r="C39" s="418" t="str">
        <x:v>GS-07-003</x:v>
      </x:c>
      <x:c r="D39" s="418" t="str">
        <x:v>GS-07-003; GS-07-005</x:v>
      </x:c>
      <x:c r="E39" s="418" t="str">
        <x:v>Google Scholar</x:v>
      </x:c>
      <x:c r="F39" s="418" t="n">
        <x:v>2</x:v>
      </x:c>
      <x:c r="G39" s="418" t="str">
        <x:v>Enhanced normalized-title/OCR-variant reconciliation; primary-source verification where available</x:v>
      </x:c>
      <x:c r="H39" s="418" t="str">
        <x:v>Retain GS-07-003; mark GS-07-005 as duplicate</x:v>
      </x:c>
      <x:c r="I39" s="418" t="n">
        <x:v>1</x:v>
      </x:c>
      <x:c r="J39" s="418" t="str">
        <x:v>Preferred record retained; title-level identity confirmed</x:v>
      </x:c>
      <x:c r="K39" s="418"/>
      <x:c r="L39" s="418"/>
      <x:c r="M39" s="418"/>
      <x:c r="N39" s="418"/>
      <x:c r="O39" s="418"/>
      <x:c r="P39" s="418"/>
      <x:c r="Q39" s="418"/>
      <x:c r="R39" s="418"/>
      <x:c r="S39" s="418"/>
      <x:c r="T39" s="418"/>
      <x:c r="U39" s="418"/>
      <x:c r="V39" s="418"/>
      <x:c r="W39" s="418"/>
      <x:c r="X39" s="418"/>
      <x:c r="Y39" s="418"/>
      <x:c r="Z39" s="418"/>
    </x:row>
    <x:row r="40">
      <x:c r="A40" s="418" t="str">
        <x:v>DG-101</x:v>
      </x:c>
      <x:c r="B40" s="418" t="str">
        <x:v>Explainable and Interpretable Diabetic Retinopathy Classification Based on Neural-Symbolic Learning</x:v>
      </x:c>
      <x:c r="C40" s="418" t="str">
        <x:v>ARXIV-10-030</x:v>
      </x:c>
      <x:c r="D40" s="418" t="str">
        <x:v>ARXIV-10-030; GS-04-013</x:v>
      </x:c>
      <x:c r="E40" s="418" t="str">
        <x:v>arXiv; Google Scholar</x:v>
      </x:c>
      <x:c r="F40" s="418" t="n">
        <x:v>2</x:v>
      </x:c>
      <x:c r="G40" s="418" t="str">
        <x:v>Enhanced normalized-title/OCR-variant reconciliation; primary-source verification where available</x:v>
      </x:c>
      <x:c r="H40" s="418" t="str">
        <x:v>Retain ARXIV-10-030; mark GS-04-013 as duplicate</x:v>
      </x:c>
      <x:c r="I40" s="418" t="n">
        <x:v>1</x:v>
      </x:c>
      <x:c r="J40" s="418" t="str">
        <x:v>Preferred record retained; title-level identity confirmed</x:v>
      </x:c>
      <x:c r="K40" s="418"/>
      <x:c r="L40" s="418"/>
      <x:c r="M40" s="418"/>
      <x:c r="N40" s="418"/>
      <x:c r="O40" s="418"/>
      <x:c r="P40" s="418"/>
      <x:c r="Q40" s="418"/>
      <x:c r="R40" s="418"/>
      <x:c r="S40" s="418"/>
      <x:c r="T40" s="418"/>
      <x:c r="U40" s="418"/>
      <x:c r="V40" s="418"/>
      <x:c r="W40" s="418"/>
      <x:c r="X40" s="418"/>
      <x:c r="Y40" s="418"/>
      <x:c r="Z40" s="418"/>
    </x:row>
    <x:row r="41">
      <x:c r="A41" s="418" t="str">
        <x:v>DG-102</x:v>
      </x:c>
      <x:c r="B41" s="418" t="str">
        <x:v>KG-BG: Knowledgs-Guided Domain Generalization via Neuro-Symbolic Fusion</x:v>
      </x:c>
      <x:c r="C41" s="418" t="str">
        <x:v>GS-04-006</x:v>
      </x:c>
      <x:c r="D41" s="418" t="str">
        <x:v>GS-04-006; GS-05-007</x:v>
      </x:c>
      <x:c r="E41" s="418" t="str">
        <x:v>Google Scholar</x:v>
      </x:c>
      <x:c r="F41" s="418" t="n">
        <x:v>2</x:v>
      </x:c>
      <x:c r="G41" s="418" t="str">
        <x:v>Enhanced normalized-title/OCR-variant reconciliation; primary-source verification where available</x:v>
      </x:c>
      <x:c r="H41" s="418" t="str">
        <x:v>Retain GS-04-006; mark GS-05-007 as duplicate</x:v>
      </x:c>
      <x:c r="I41" s="418" t="n">
        <x:v>1</x:v>
      </x:c>
      <x:c r="J41" s="418" t="str">
        <x:v>Preferred record retained; title-level identity confirmed</x:v>
      </x:c>
      <x:c r="K41" s="418"/>
      <x:c r="L41" s="418"/>
      <x:c r="M41" s="418"/>
      <x:c r="N41" s="418"/>
      <x:c r="O41" s="418"/>
      <x:c r="P41" s="418"/>
      <x:c r="Q41" s="418"/>
      <x:c r="R41" s="418"/>
      <x:c r="S41" s="418"/>
      <x:c r="T41" s="418"/>
      <x:c r="U41" s="418"/>
      <x:c r="V41" s="418"/>
      <x:c r="W41" s="418"/>
      <x:c r="X41" s="418"/>
      <x:c r="Y41" s="418"/>
      <x:c r="Z41" s="418"/>
    </x:row>
    <x:row r="42">
      <x:c r="A42" s="418" t="str">
        <x:v>DG-103</x:v>
      </x:c>
      <x:c r="B42" s="418" t="str">
        <x:v>Modeling cagnitive processes within a creative problem-solving task’ from symbolic to neuro- symbolic approaches in computational learning sciences</x:v>
      </x:c>
      <x:c r="C42" s="418" t="str">
        <x:v>GS-04-047</x:v>
      </x:c>
      <x:c r="D42" s="418" t="str">
        <x:v>GS-04-047; GS-05-031</x:v>
      </x:c>
      <x:c r="E42" s="418" t="str">
        <x:v>Google Scholar</x:v>
      </x:c>
      <x:c r="F42" s="418" t="n">
        <x:v>2</x:v>
      </x:c>
      <x:c r="G42" s="418" t="str">
        <x:v>Enhanced normalized-title/OCR-variant reconciliation; primary-source verification where available</x:v>
      </x:c>
      <x:c r="H42" s="418" t="str">
        <x:v>Retain GS-04-047; mark GS-05-031 as duplicate</x:v>
      </x:c>
      <x:c r="I42" s="418" t="n">
        <x:v>1</x:v>
      </x:c>
      <x:c r="J42" s="418" t="str">
        <x:v>Preferred record retained; title-level identity confirmed</x:v>
      </x:c>
      <x:c r="K42" s="418"/>
      <x:c r="L42" s="418"/>
      <x:c r="M42" s="418"/>
      <x:c r="N42" s="418"/>
      <x:c r="O42" s="418"/>
      <x:c r="P42" s="418"/>
      <x:c r="Q42" s="418"/>
      <x:c r="R42" s="418"/>
      <x:c r="S42" s="418"/>
      <x:c r="T42" s="418"/>
      <x:c r="U42" s="418"/>
      <x:c r="V42" s="418"/>
      <x:c r="W42" s="418"/>
      <x:c r="X42" s="418"/>
      <x:c r="Y42" s="418"/>
      <x:c r="Z42" s="418"/>
    </x:row>
    <x:row r="43">
      <x:c r="A43" s="418" t="str">
        <x:v>DG-104</x:v>
      </x:c>
      <x:c r="B43" s="418" t="str">
        <x:v>(nterpretable machine tearning applied to fusian plasmas</x:v>
      </x:c>
      <x:c r="C43" s="418" t="str">
        <x:v>GS-06-032</x:v>
      </x:c>
      <x:c r="D43" s="418" t="str">
        <x:v>GS-06-032; GS-08-044</x:v>
      </x:c>
      <x:c r="E43" s="418" t="str">
        <x:v>Google Scholar</x:v>
      </x:c>
      <x:c r="F43" s="418" t="n">
        <x:v>2</x:v>
      </x:c>
      <x:c r="G43" s="418" t="str">
        <x:v>Enhanced normalized-title/OCR-variant reconciliation; primary-source verification where available</x:v>
      </x:c>
      <x:c r="H43" s="418" t="str">
        <x:v>Retain GS-06-032; mark GS-08-044 as duplicate</x:v>
      </x:c>
      <x:c r="I43" s="418" t="n">
        <x:v>1</x:v>
      </x:c>
      <x:c r="J43" s="418" t="str">
        <x:v>Preferred record retained; title-level identity confirmed</x:v>
      </x:c>
      <x:c r="K43" s="418"/>
      <x:c r="L43" s="418"/>
      <x:c r="M43" s="418"/>
      <x:c r="N43" s="418"/>
      <x:c r="O43" s="418"/>
      <x:c r="P43" s="418"/>
      <x:c r="Q43" s="418"/>
      <x:c r="R43" s="418"/>
      <x:c r="S43" s="418"/>
      <x:c r="T43" s="418"/>
      <x:c r="U43" s="418"/>
      <x:c r="V43" s="418"/>
      <x:c r="W43" s="418"/>
      <x:c r="X43" s="418"/>
      <x:c r="Y43" s="418"/>
      <x:c r="Z43" s="418"/>
    </x:row>
    <x:row r="44">
      <x:c r="A44" s="418" t="str">
        <x:v>DG-105</x:v>
      </x:c>
      <x:c r="B44" s="418" t="str">
        <x:v>explainadle artificial intelligence on medical images’ A survey</x:v>
      </x:c>
      <x:c r="C44" s="418" t="str">
        <x:v>GS-06-024</x:v>
      </x:c>
      <x:c r="D44" s="418" t="str">
        <x:v>GS-06-024; GS-06-033</x:v>
      </x:c>
      <x:c r="E44" s="418" t="str">
        <x:v>Google Scholar</x:v>
      </x:c>
      <x:c r="F44" s="418" t="n">
        <x:v>2</x:v>
      </x:c>
      <x:c r="G44" s="418" t="str">
        <x:v>Enhanced normalized-title/OCR-variant reconciliation; primary-source verification where available</x:v>
      </x:c>
      <x:c r="H44" s="418" t="str">
        <x:v>Retain GS-06-024; mark GS-06-033 as duplicate</x:v>
      </x:c>
      <x:c r="I44" s="418" t="n">
        <x:v>1</x:v>
      </x:c>
      <x:c r="J44" s="418" t="str">
        <x:v>Preferred record retained; title-level identity confirmed</x:v>
      </x:c>
      <x:c r="K44" s="418"/>
      <x:c r="L44" s="418"/>
      <x:c r="M44" s="418"/>
      <x:c r="N44" s="418"/>
      <x:c r="O44" s="418"/>
      <x:c r="P44" s="418"/>
      <x:c r="Q44" s="418"/>
      <x:c r="R44" s="418"/>
      <x:c r="S44" s="418"/>
      <x:c r="T44" s="418"/>
      <x:c r="U44" s="418"/>
      <x:c r="V44" s="418"/>
      <x:c r="W44" s="418"/>
      <x:c r="X44" s="418"/>
      <x:c r="Y44" s="418"/>
      <x:c r="Z44" s="418"/>
    </x:row>
    <x:row r="45">
      <x:c r="A45" s="418" t="str">
        <x:v>DG-106</x:v>
      </x:c>
      <x:c r="B45" s="418" t="str">
        <x:v>A neuro-symbolic approach to GPS trajectory classification</x:v>
      </x:c>
      <x:c r="C45" s="418" t="str">
        <x:v>GS-04-036</x:v>
      </x:c>
      <x:c r="D45" s="418" t="str">
        <x:v>GS-04-036; GS-05-039</x:v>
      </x:c>
      <x:c r="E45" s="418" t="str">
        <x:v>Google Scholar</x:v>
      </x:c>
      <x:c r="F45" s="418" t="n">
        <x:v>2</x:v>
      </x:c>
      <x:c r="G45" s="418" t="str">
        <x:v>Enhanced normalized-title/OCR-variant reconciliation; primary-source verification where available</x:v>
      </x:c>
      <x:c r="H45" s="418" t="str">
        <x:v>Retain GS-04-036; mark GS-05-039 as duplicate</x:v>
      </x:c>
      <x:c r="I45" s="418" t="n">
        <x:v>1</x:v>
      </x:c>
      <x:c r="J45" s="418" t="str">
        <x:v>Preferred record retained; title-level identity confirmed</x:v>
      </x:c>
      <x:c r="K45" s="418"/>
      <x:c r="L45" s="418"/>
      <x:c r="M45" s="418"/>
      <x:c r="N45" s="418"/>
      <x:c r="O45" s="418"/>
      <x:c r="P45" s="418"/>
      <x:c r="Q45" s="418"/>
      <x:c r="R45" s="418"/>
      <x:c r="S45" s="418"/>
      <x:c r="T45" s="418"/>
      <x:c r="U45" s="418"/>
      <x:c r="V45" s="418"/>
      <x:c r="W45" s="418"/>
      <x:c r="X45" s="418"/>
      <x:c r="Y45" s="418"/>
      <x:c r="Z45" s="418"/>
    </x:row>
    <x:row r="46">
      <x:c r="A46" s="418" t="str">
        <x:v>DG-107</x:v>
      </x:c>
      <x:c r="B46" s="418" t="str">
        <x:v>Architectural Rewew of Early Alzhemmer's Diagnostics Neuro-Adaptive K-Means. Deep Embedding Clustering, and Edge-to-Claud Pipelines</x:v>
      </x:c>
      <x:c r="C46" s="418" t="str">
        <x:v>GS-04-068</x:v>
      </x:c>
      <x:c r="D46" s="418" t="str">
        <x:v>GS-04-068; GS-05-048</x:v>
      </x:c>
      <x:c r="E46" s="418" t="str">
        <x:v>Google Scholar</x:v>
      </x:c>
      <x:c r="F46" s="418" t="n">
        <x:v>2</x:v>
      </x:c>
      <x:c r="G46" s="418" t="str">
        <x:v>Enhanced normalized-title/OCR-variant reconciliation; primary-source verification where available</x:v>
      </x:c>
      <x:c r="H46" s="418" t="str">
        <x:v>Retain GS-04-068; mark GS-05-048 as duplicate</x:v>
      </x:c>
      <x:c r="I46" s="418" t="n">
        <x:v>1</x:v>
      </x:c>
      <x:c r="J46" s="418" t="str">
        <x:v>Preferred record retained; title-level identity confirmed</x:v>
      </x:c>
      <x:c r="K46" s="418"/>
      <x:c r="L46" s="418"/>
      <x:c r="M46" s="418"/>
      <x:c r="N46" s="418"/>
      <x:c r="O46" s="418"/>
      <x:c r="P46" s="418"/>
      <x:c r="Q46" s="418"/>
      <x:c r="R46" s="418"/>
      <x:c r="S46" s="418"/>
      <x:c r="T46" s="418"/>
      <x:c r="U46" s="418"/>
      <x:c r="V46" s="418"/>
      <x:c r="W46" s="418"/>
      <x:c r="X46" s="418"/>
      <x:c r="Y46" s="418"/>
      <x:c r="Z46" s="418"/>
    </x:row>
    <x:row r="47">
      <x:c r="A47" s="418" t="str">
        <x:v>DG-108</x:v>
      </x:c>
      <x:c r="B47" s="418" t="str">
        <x:v>Neuro-Symbolic Sentiment Analysis Integrating Lexicon Features with Deep Learning Models</x:v>
      </x:c>
      <x:c r="C47" s="418" t="str">
        <x:v>GS-04-045</x:v>
      </x:c>
      <x:c r="D47" s="418" t="str">
        <x:v>GS-04-045; GS-05-028</x:v>
      </x:c>
      <x:c r="E47" s="418" t="str">
        <x:v>Google Scholar</x:v>
      </x:c>
      <x:c r="F47" s="418" t="n">
        <x:v>2</x:v>
      </x:c>
      <x:c r="G47" s="418" t="str">
        <x:v>Enhanced normalized-title/OCR-variant reconciliation; primary-source verification where available</x:v>
      </x:c>
      <x:c r="H47" s="418" t="str">
        <x:v>Retain GS-04-045; mark GS-05-028 as duplicate</x:v>
      </x:c>
      <x:c r="I47" s="418" t="n">
        <x:v>1</x:v>
      </x:c>
      <x:c r="J47" s="418" t="str">
        <x:v>Preferred record retained; title-level identity confirmed</x:v>
      </x:c>
      <x:c r="K47" s="418"/>
      <x:c r="L47" s="418"/>
      <x:c r="M47" s="418"/>
      <x:c r="N47" s="418"/>
      <x:c r="O47" s="418"/>
      <x:c r="P47" s="418"/>
      <x:c r="Q47" s="418"/>
      <x:c r="R47" s="418"/>
      <x:c r="S47" s="418"/>
      <x:c r="T47" s="418"/>
      <x:c r="U47" s="418"/>
      <x:c r="V47" s="418"/>
      <x:c r="W47" s="418"/>
      <x:c r="X47" s="418"/>
      <x:c r="Y47" s="418"/>
      <x:c r="Z47" s="418"/>
    </x:row>
    <x:row r="48">
      <x:c r="A48" s="418" t="str">
        <x:v>DG-109</x:v>
      </x:c>
      <x:c r="B48" s="418" t="str">
        <x:v>Symbuotic Intelligence</x:v>
      </x:c>
      <x:c r="C48" s="418" t="str">
        <x:v>GS-04-085</x:v>
      </x:c>
      <x:c r="D48" s="418" t="str">
        <x:v>GS-04-085; GS-05-026</x:v>
      </x:c>
      <x:c r="E48" s="418" t="str">
        <x:v>Google Scholar</x:v>
      </x:c>
      <x:c r="F48" s="418" t="n">
        <x:v>2</x:v>
      </x:c>
      <x:c r="G48" s="418" t="str">
        <x:v>Enhanced normalized-title/OCR-variant reconciliation; primary-source verification where available</x:v>
      </x:c>
      <x:c r="H48" s="418" t="str">
        <x:v>Retain GS-04-085; mark GS-05-026 as duplicate</x:v>
      </x:c>
      <x:c r="I48" s="418" t="n">
        <x:v>1</x:v>
      </x:c>
      <x:c r="J48" s="418" t="str">
        <x:v>Preferred record retained; title-level identity confirmed</x:v>
      </x:c>
      <x:c r="K48" s="418"/>
      <x:c r="L48" s="418"/>
      <x:c r="M48" s="418"/>
      <x:c r="N48" s="418"/>
      <x:c r="O48" s="418"/>
      <x:c r="P48" s="418"/>
      <x:c r="Q48" s="418"/>
      <x:c r="R48" s="418"/>
      <x:c r="S48" s="418"/>
      <x:c r="T48" s="418"/>
      <x:c r="U48" s="418"/>
      <x:c r="V48" s="418"/>
      <x:c r="W48" s="418"/>
      <x:c r="X48" s="418"/>
      <x:c r="Y48" s="418"/>
      <x:c r="Z48" s="418"/>
    </x:row>
    <x:row r="49">
      <x:c r="A49" s="418" t="str">
        <x:v>DG-110</x:v>
      </x:c>
      <x:c r="B49" s="418" t="str">
        <x:v>Cogsys Efficient and scalable neurosymbolic cagnition system via algorithm- hardware co-design</x:v>
      </x:c>
      <x:c r="C49" s="418" t="str">
        <x:v>GS-04-040</x:v>
      </x:c>
      <x:c r="D49" s="418" t="str">
        <x:v>GS-04-040; GS-05-050</x:v>
      </x:c>
      <x:c r="E49" s="418" t="str">
        <x:v>Google Scholar</x:v>
      </x:c>
      <x:c r="F49" s="418" t="n">
        <x:v>2</x:v>
      </x:c>
      <x:c r="G49" s="418" t="str">
        <x:v>Enhanced normalized-title/OCR-variant reconciliation; primary-source verification where available</x:v>
      </x:c>
      <x:c r="H49" s="418" t="str">
        <x:v>Retain GS-04-040; mark GS-05-050 as duplicate</x:v>
      </x:c>
      <x:c r="I49" s="418" t="n">
        <x:v>1</x:v>
      </x:c>
      <x:c r="J49" s="418" t="str">
        <x:v>Preferred record retained; title-level identity confirmed</x:v>
      </x:c>
      <x:c r="K49" s="418"/>
      <x:c r="L49" s="418"/>
      <x:c r="M49" s="418"/>
      <x:c r="N49" s="418"/>
      <x:c r="O49" s="418"/>
      <x:c r="P49" s="418"/>
      <x:c r="Q49" s="418"/>
      <x:c r="R49" s="418"/>
      <x:c r="S49" s="418"/>
      <x:c r="T49" s="418"/>
      <x:c r="U49" s="418"/>
      <x:c r="V49" s="418"/>
      <x:c r="W49" s="418"/>
      <x:c r="X49" s="418"/>
      <x:c r="Y49" s="418"/>
      <x:c r="Z49" s="418"/>
    </x:row>
    <x:row r="50">
      <x:c r="A50" s="418" t="str">
        <x:v>DG-111</x:v>
      </x:c>
      <x:c r="B50" s="418" t="str">
        <x:v>Trustworthy Retinopathy Of Prematurity Diagnosis Using Explainable Vision- Language Model</x:v>
      </x:c>
      <x:c r="C50" s="418" t="str">
        <x:v>GS-04-034</x:v>
      </x:c>
      <x:c r="D50" s="418" t="str">
        <x:v>GS-04-034; GS-05-030</x:v>
      </x:c>
      <x:c r="E50" s="418" t="str">
        <x:v>Google Scholar</x:v>
      </x:c>
      <x:c r="F50" s="418" t="n">
        <x:v>2</x:v>
      </x:c>
      <x:c r="G50" s="418" t="str">
        <x:v>Enhanced normalized-title/OCR-variant reconciliation; primary-source verification where available</x:v>
      </x:c>
      <x:c r="H50" s="418" t="str">
        <x:v>Retain GS-04-034; mark GS-05-030 as duplicate</x:v>
      </x:c>
      <x:c r="I50" s="418" t="n">
        <x:v>1</x:v>
      </x:c>
      <x:c r="J50" s="418" t="str">
        <x:v>Preferred record retained; title-level identity confirmed</x:v>
      </x:c>
      <x:c r="K50" s="418"/>
      <x:c r="L50" s="418"/>
      <x:c r="M50" s="418"/>
      <x:c r="N50" s="418"/>
      <x:c r="O50" s="418"/>
      <x:c r="P50" s="418"/>
      <x:c r="Q50" s="418"/>
      <x:c r="R50" s="418"/>
      <x:c r="S50" s="418"/>
      <x:c r="T50" s="418"/>
      <x:c r="U50" s="418"/>
      <x:c r="V50" s="418"/>
      <x:c r="W50" s="418"/>
      <x:c r="X50" s="418"/>
      <x:c r="Y50" s="418"/>
      <x:c r="Z50" s="418"/>
    </x:row>
    <x:row r="51">
      <x:c r="A51" s="418" t="str">
        <x:v>DG-112</x:v>
      </x:c>
      <x:c r="B51" s="418" t="str">
        <x:v>Por] Develapment of next generation Al by madeling brain information</x:v>
      </x:c>
      <x:c r="C51" s="418" t="str">
        <x:v>GS-04-070</x:v>
      </x:c>
      <x:c r="D51" s="418" t="str">
        <x:v>GS-04-070; GS-05-074</x:v>
      </x:c>
      <x:c r="E51" s="418" t="str">
        <x:v>Google Scholar</x:v>
      </x:c>
      <x:c r="F51" s="418" t="n">
        <x:v>2</x:v>
      </x:c>
      <x:c r="G51" s="418" t="str">
        <x:v>Enhanced normalized-title/OCR-variant reconciliation; primary-source verification where available</x:v>
      </x:c>
      <x:c r="H51" s="418" t="str">
        <x:v>Retain GS-04-070; mark GS-05-074 as duplicate</x:v>
      </x:c>
      <x:c r="I51" s="418" t="n">
        <x:v>1</x:v>
      </x:c>
      <x:c r="J51" s="418" t="str">
        <x:v>Preferred record retained; title-level identity confirmed</x:v>
      </x:c>
      <x:c r="K51" s="418"/>
      <x:c r="L51" s="418"/>
      <x:c r="M51" s="418"/>
      <x:c r="N51" s="418"/>
      <x:c r="O51" s="418"/>
      <x:c r="P51" s="418"/>
      <x:c r="Q51" s="418"/>
      <x:c r="R51" s="418"/>
      <x:c r="S51" s="418"/>
      <x:c r="T51" s="418"/>
      <x:c r="U51" s="418"/>
      <x:c r="V51" s="418"/>
      <x:c r="W51" s="418"/>
      <x:c r="X51" s="418"/>
      <x:c r="Y51" s="418"/>
      <x:c r="Z51" s="418"/>
    </x:row>
    <x:row r="52">
      <x:c r="A52" s="418" t="str">
        <x:v>DG-113</x:v>
      </x:c>
      <x:c r="B52" s="418" t="str">
        <x:v>On Interpretability of Deep Learning based Skin Lesion Classifiers using Conc...</x:v>
      </x:c>
      <x:c r="C52" s="418" t="str">
        <x:v>IEEE-019</x:v>
      </x:c>
      <x:c r="D52" s="418" t="str">
        <x:v>IEEE-019; GS-08-018</x:v>
      </x:c>
      <x:c r="E52" s="418" t="str">
        <x:v>IEEE Xplore; Google Scholar</x:v>
      </x:c>
      <x:c r="F52" s="418" t="n">
        <x:v>2</x:v>
      </x:c>
      <x:c r="G52" s="418" t="str">
        <x:v>Enhanced normalized-title/OCR-variant reconciliation; primary-source verification where available</x:v>
      </x:c>
      <x:c r="H52" s="418" t="str">
        <x:v>Retain IEEE-019; mark GS-08-018 as duplicate</x:v>
      </x:c>
      <x:c r="I52" s="418" t="n">
        <x:v>1</x:v>
      </x:c>
      <x:c r="J52" s="418" t="str">
        <x:v>Preferred record retained; title-level identity confirmed</x:v>
      </x:c>
      <x:c r="K52" s="418"/>
      <x:c r="L52" s="418"/>
      <x:c r="M52" s="418"/>
      <x:c r="N52" s="418"/>
      <x:c r="O52" s="418"/>
      <x:c r="P52" s="418"/>
      <x:c r="Q52" s="418"/>
      <x:c r="R52" s="418"/>
      <x:c r="S52" s="418"/>
      <x:c r="T52" s="418"/>
      <x:c r="U52" s="418"/>
      <x:c r="V52" s="418"/>
      <x:c r="W52" s="418"/>
      <x:c r="X52" s="418"/>
      <x:c r="Y52" s="418"/>
      <x:c r="Z52" s="418"/>
    </x:row>
    <x:row r="53">
      <x:c r="A53" s="418" t="str">
        <x:v>DG-114</x:v>
      </x:c>
      <x:c r="B53" s="418" t="str">
        <x:v>interpretability beyond feature attribution’ Quantitative testing with concept activation vectors (tcay)</x:v>
      </x:c>
      <x:c r="C53" s="418" t="str">
        <x:v>GS-06-002</x:v>
      </x:c>
      <x:c r="D53" s="418" t="str">
        <x:v>GS-06-002; GS-06-006; GS-06-007</x:v>
      </x:c>
      <x:c r="E53" s="418" t="str">
        <x:v>Google Scholar</x:v>
      </x:c>
      <x:c r="F53" s="418" t="n">
        <x:v>3</x:v>
      </x:c>
      <x:c r="G53" s="418" t="str">
        <x:v>Enhanced normalized-title/OCR-variant reconciliation; primary-source verification where available</x:v>
      </x:c>
      <x:c r="H53" s="418" t="str">
        <x:v>Retain GS-06-002; mark GS-06-006; GS-06-007 as duplicates</x:v>
      </x:c>
      <x:c r="I53" s="418" t="n">
        <x:v>2</x:v>
      </x:c>
      <x:c r="J53" s="418" t="str">
        <x:v>Preferred record retained; title-level identity confirmed</x:v>
      </x:c>
      <x:c r="K53" s="418"/>
      <x:c r="L53" s="418"/>
      <x:c r="M53" s="418"/>
      <x:c r="N53" s="418"/>
      <x:c r="O53" s="418"/>
      <x:c r="P53" s="418"/>
      <x:c r="Q53" s="418"/>
      <x:c r="R53" s="418"/>
      <x:c r="S53" s="418"/>
      <x:c r="T53" s="418"/>
      <x:c r="U53" s="418"/>
      <x:c r="V53" s="418"/>
      <x:c r="W53" s="418"/>
      <x:c r="X53" s="418"/>
      <x:c r="Y53" s="418"/>
      <x:c r="Z53" s="418"/>
    </x:row>
    <x:row r="54">
      <x:c r="A54" s="418" t="str">
        <x:v>DG-115</x:v>
      </x:c>
      <x:c r="B54" s="418" t="str">
        <x:v>Calibration Matters: Prototype-Aware Diffusion for OCT Cervical Classificatio...</x:v>
      </x:c>
      <x:c r="C54" s="418" t="str">
        <x:v>IEEE-008</x:v>
      </x:c>
      <x:c r="D54" s="418" t="str">
        <x:v>IEEE-008; GS-02-018</x:v>
      </x:c>
      <x:c r="E54" s="418" t="str">
        <x:v>IEEE Xplore; Google Scholar</x:v>
      </x:c>
      <x:c r="F54" s="418" t="n">
        <x:v>2</x:v>
      </x:c>
      <x:c r="G54" s="418" t="str">
        <x:v>Enhanced normalized-title/OCR-variant reconciliation; primary-source verification where available</x:v>
      </x:c>
      <x:c r="H54" s="418" t="str">
        <x:v>Retain IEEE-008; mark GS-02-018 as duplicate</x:v>
      </x:c>
      <x:c r="I54" s="418" t="n">
        <x:v>1</x:v>
      </x:c>
      <x:c r="J54" s="418" t="str">
        <x:v>Preferred record retained; title-level identity confirmed</x:v>
      </x:c>
      <x:c r="K54" s="418"/>
      <x:c r="L54" s="418"/>
      <x:c r="M54" s="418"/>
      <x:c r="N54" s="418"/>
      <x:c r="O54" s="418"/>
      <x:c r="P54" s="418"/>
      <x:c r="Q54" s="418"/>
      <x:c r="R54" s="418"/>
      <x:c r="S54" s="418"/>
      <x:c r="T54" s="418"/>
      <x:c r="U54" s="418"/>
      <x:c r="V54" s="418"/>
      <x:c r="W54" s="418"/>
      <x:c r="X54" s="418"/>
      <x:c r="Y54" s="418"/>
      <x:c r="Z54" s="418"/>
    </x:row>
    <x:row r="55">
      <x:c r="A55" s="418" t="str">
        <x:v>DG-116</x:v>
      </x:c>
      <x:c r="B55" s="418" t="str">
        <x:v>A Neuro-Symbolic Framework for Automated Glaucoma Detection using Optic Disc-...</x:v>
      </x:c>
      <x:c r="C55" s="418" t="str">
        <x:v>IEEE-004</x:v>
      </x:c>
      <x:c r="D55" s="418" t="str">
        <x:v>IEEE-004; GS-04-012</x:v>
      </x:c>
      <x:c r="E55" s="418" t="str">
        <x:v>IEEE Xplore; Google Scholar</x:v>
      </x:c>
      <x:c r="F55" s="418" t="n">
        <x:v>2</x:v>
      </x:c>
      <x:c r="G55" s="418" t="str">
        <x:v>Enhanced normalized-title/OCR-variant reconciliation; primary-source verification where available</x:v>
      </x:c>
      <x:c r="H55" s="418" t="str">
        <x:v>Retain IEEE-004; mark GS-04-012 as duplicate</x:v>
      </x:c>
      <x:c r="I55" s="418" t="n">
        <x:v>1</x:v>
      </x:c>
      <x:c r="J55" s="418" t="str">
        <x:v>Preferred record retained; title-level identity confirmed</x:v>
      </x:c>
      <x:c r="K55" s="418"/>
      <x:c r="L55" s="418"/>
      <x:c r="M55" s="418"/>
      <x:c r="N55" s="418"/>
      <x:c r="O55" s="418"/>
      <x:c r="P55" s="418"/>
      <x:c r="Q55" s="418"/>
      <x:c r="R55" s="418"/>
      <x:c r="S55" s="418"/>
      <x:c r="T55" s="418"/>
      <x:c r="U55" s="418"/>
      <x:c r="V55" s="418"/>
      <x:c r="W55" s="418"/>
      <x:c r="X55" s="418"/>
      <x:c r="Y55" s="418"/>
      <x:c r="Z55" s="418"/>
    </x:row>
    <x:row r="56">
      <x:c r="A56" s="418" t="str">
        <x:v>DG-117</x:v>
      </x:c>
      <x:c r="B56" s="418" t="str">
        <x:v>Interpretabilidade de redes neurais convelucionais com estudo de caso eam diagnéstica por imagem</x:v>
      </x:c>
      <x:c r="C56" s="418" t="str">
        <x:v>GS-06-037</x:v>
      </x:c>
      <x:c r="D56" s="418" t="str">
        <x:v>GS-06-037; GS-08-046</x:v>
      </x:c>
      <x:c r="E56" s="418" t="str">
        <x:v>Google Scholar</x:v>
      </x:c>
      <x:c r="F56" s="418" t="n">
        <x:v>2</x:v>
      </x:c>
      <x:c r="G56" s="418" t="str">
        <x:v>Enhanced normalized-title/OCR-variant reconciliation; primary-source verification where available</x:v>
      </x:c>
      <x:c r="H56" s="418" t="str">
        <x:v>Retain GS-06-037; mark GS-08-046 as duplicate</x:v>
      </x:c>
      <x:c r="I56" s="418" t="n">
        <x:v>1</x:v>
      </x:c>
      <x:c r="J56" s="418" t="str">
        <x:v>Preferred record retained; title-level identity confirmed</x:v>
      </x:c>
      <x:c r="K56" s="418"/>
      <x:c r="L56" s="418"/>
      <x:c r="M56" s="418"/>
      <x:c r="N56" s="418"/>
      <x:c r="O56" s="418"/>
      <x:c r="P56" s="418"/>
      <x:c r="Q56" s="418"/>
      <x:c r="R56" s="418"/>
      <x:c r="S56" s="418"/>
      <x:c r="T56" s="418"/>
      <x:c r="U56" s="418"/>
      <x:c r="V56" s="418"/>
      <x:c r="W56" s="418"/>
      <x:c r="X56" s="418"/>
      <x:c r="Y56" s="418"/>
      <x:c r="Z56" s="418"/>
    </x:row>
    <x:row r="57">
      <x:c r="A57" s="418" t="str">
        <x:v>DG-118</x:v>
      </x:c>
      <x:c r="B57" s="418" t="str">
        <x:v>Fairness-Aware Multimodal Glaucoma Detection via Neurosymbolic Learning with ...</x:v>
      </x:c>
      <x:c r="C57" s="418" t="str">
        <x:v>IEEE-007</x:v>
      </x:c>
      <x:c r="D57" s="418" t="str">
        <x:v>IEEE-007; GS-04-015</x:v>
      </x:c>
      <x:c r="E57" s="418" t="str">
        <x:v>IEEE Xplore; Google Scholar</x:v>
      </x:c>
      <x:c r="F57" s="418" t="n">
        <x:v>2</x:v>
      </x:c>
      <x:c r="G57" s="418" t="str">
        <x:v>Enhanced normalized-title/OCR-variant reconciliation; primary-source verification where available</x:v>
      </x:c>
      <x:c r="H57" s="418" t="str">
        <x:v>Retain IEEE-007; mark GS-04-015 as duplicate</x:v>
      </x:c>
      <x:c r="I57" s="418" t="n">
        <x:v>1</x:v>
      </x:c>
      <x:c r="J57" s="418" t="str">
        <x:v>Preferred record retained; title-level identity confirmed</x:v>
      </x:c>
      <x:c r="K57" s="418"/>
      <x:c r="L57" s="418"/>
      <x:c r="M57" s="418"/>
      <x:c r="N57" s="418"/>
      <x:c r="O57" s="418"/>
      <x:c r="P57" s="418"/>
      <x:c r="Q57" s="418"/>
      <x:c r="R57" s="418"/>
      <x:c r="S57" s="418"/>
      <x:c r="T57" s="418"/>
      <x:c r="U57" s="418"/>
      <x:c r="V57" s="418"/>
      <x:c r="W57" s="418"/>
      <x:c r="X57" s="418"/>
      <x:c r="Y57" s="418"/>
      <x:c r="Z57" s="418"/>
    </x:row>
    <x:row r="58">
      <x:c r="A58" s="418" t="str">
        <x:v>DG-119</x:v>
      </x:c>
      <x:c r="B58" s="418" t="str">
        <x:v>(kTML] Weighttess neure-symbolic GPS trajectory classification</x:v>
      </x:c>
      <x:c r="C58" s="418" t="str">
        <x:v>GS-04-039</x:v>
      </x:c>
      <x:c r="D58" s="418" t="str">
        <x:v>GS-04-039; GS-05-040</x:v>
      </x:c>
      <x:c r="E58" s="418" t="str">
        <x:v>Google Scholar</x:v>
      </x:c>
      <x:c r="F58" s="418" t="n">
        <x:v>2</x:v>
      </x:c>
      <x:c r="G58" s="418" t="str">
        <x:v>Enhanced normalized-title/OCR-variant reconciliation; primary-source verification where available</x:v>
      </x:c>
      <x:c r="H58" s="418" t="str">
        <x:v>Retain GS-04-039; mark GS-05-040 as duplicate</x:v>
      </x:c>
      <x:c r="I58" s="418" t="n">
        <x:v>1</x:v>
      </x:c>
      <x:c r="J58" s="418" t="str">
        <x:v>Preferred record retained; title-level identity confirmed</x:v>
      </x:c>
      <x:c r="K58" s="418"/>
      <x:c r="L58" s="418"/>
      <x:c r="M58" s="418"/>
      <x:c r="N58" s="418"/>
      <x:c r="O58" s="418"/>
      <x:c r="P58" s="418"/>
      <x:c r="Q58" s="418"/>
      <x:c r="R58" s="418"/>
      <x:c r="S58" s="418"/>
      <x:c r="T58" s="418"/>
      <x:c r="U58" s="418"/>
      <x:c r="V58" s="418"/>
      <x:c r="W58" s="418"/>
      <x:c r="X58" s="418"/>
      <x:c r="Y58" s="418"/>
      <x:c r="Z58" s="418"/>
    </x:row>
    <x:row r="59">
      <x:c r="A59" s="418" t="str">
        <x:v>DG-120</x:v>
      </x:c>
      <x:c r="B59" s="418" t="str">
        <x:v>re rr ire, er aes Computing (HCC) Healthcare, Education and Research, Emphasizing Ethics and Safety ..</x:v>
      </x:c>
      <x:c r="C59" s="418" t="str">
        <x:v>GS-04-043</x:v>
      </x:c>
      <x:c r="D59" s="418" t="str">
        <x:v>GS-04-043; GS-05-035</x:v>
      </x:c>
      <x:c r="E59" s="418" t="str">
        <x:v>Google Scholar</x:v>
      </x:c>
      <x:c r="F59" s="418" t="n">
        <x:v>2</x:v>
      </x:c>
      <x:c r="G59" s="418" t="str">
        <x:v>Enhanced normalized-title/OCR-variant reconciliation; primary-source verification where available</x:v>
      </x:c>
      <x:c r="H59" s="418" t="str">
        <x:v>Retain GS-04-043; mark GS-05-035 as duplicate</x:v>
      </x:c>
      <x:c r="I59" s="418" t="n">
        <x:v>1</x:v>
      </x:c>
      <x:c r="J59" s="418" t="str">
        <x:v>Preferred record retained; title-level identity confirmed</x:v>
      </x:c>
      <x:c r="K59" s="418"/>
      <x:c r="L59" s="418"/>
      <x:c r="M59" s="418"/>
      <x:c r="N59" s="418"/>
      <x:c r="O59" s="418"/>
      <x:c r="P59" s="418"/>
      <x:c r="Q59" s="418"/>
      <x:c r="R59" s="418"/>
      <x:c r="S59" s="418"/>
      <x:c r="T59" s="418"/>
      <x:c r="U59" s="418"/>
      <x:c r="V59" s="418"/>
      <x:c r="W59" s="418"/>
      <x:c r="X59" s="418"/>
      <x:c r="Y59" s="418"/>
      <x:c r="Z59" s="418"/>
    </x:row>
    <x:row r="60">
      <x:c r="A60" s="418" t="str">
        <x:v>DG-121</x:v>
      </x:c>
      <x:c r="B60" s="418" t="str">
        <x:v>Explainable multimodal AI and neuro-symbolic clinical decision support system for chronic eye disease management: a digital health implementation study</x:v>
      </x:c>
      <x:c r="C60" s="418" t="str">
        <x:v>PM-024</x:v>
      </x:c>
      <x:c r="D60" s="418" t="str">
        <x:v>PM-024; GS-04-014</x:v>
      </x:c>
      <x:c r="E60" s="418" t="str">
        <x:v>PubMed; Google Scholar</x:v>
      </x:c>
      <x:c r="F60" s="418" t="n">
        <x:v>2</x:v>
      </x:c>
      <x:c r="G60" s="418" t="str">
        <x:v>Enhanced normalized-title/OCR-variant reconciliation; primary-source verification where available</x:v>
      </x:c>
      <x:c r="H60" s="418" t="str">
        <x:v>Retain PM-024; mark GS-04-014 as duplicate</x:v>
      </x:c>
      <x:c r="I60" s="418" t="n">
        <x:v>1</x:v>
      </x:c>
      <x:c r="J60" s="418" t="str">
        <x:v>Preferred record retained; title-level identity confirmed</x:v>
      </x:c>
      <x:c r="K60" s="418"/>
      <x:c r="L60" s="418"/>
      <x:c r="M60" s="418"/>
      <x:c r="N60" s="418"/>
      <x:c r="O60" s="418"/>
      <x:c r="P60" s="418"/>
      <x:c r="Q60" s="418"/>
      <x:c r="R60" s="418"/>
      <x:c r="S60" s="418"/>
      <x:c r="T60" s="418"/>
      <x:c r="U60" s="418"/>
      <x:c r="V60" s="418"/>
      <x:c r="W60" s="418"/>
      <x:c r="X60" s="418"/>
      <x:c r="Y60" s="418"/>
      <x:c r="Z60" s="418"/>
    </x:row>
    <x:row r="61">
      <x:c r="A61" s="418" t="str">
        <x:v>DG-122</x:v>
      </x:c>
      <x:c r="B61" s="418" t="str">
        <x:v>Protostage-NET: A Clinically Guided Foundation Model With Prototypical Learni...</x:v>
      </x:c>
      <x:c r="C61" s="418" t="str">
        <x:v>IEEE-002</x:v>
      </x:c>
      <x:c r="D61" s="418" t="str">
        <x:v>IEEE-002; GS-02-008</x:v>
      </x:c>
      <x:c r="E61" s="418" t="str">
        <x:v>IEEE Xplore; Google Scholar</x:v>
      </x:c>
      <x:c r="F61" s="418" t="n">
        <x:v>2</x:v>
      </x:c>
      <x:c r="G61" s="418" t="str">
        <x:v>Enhanced normalized-title/OCR-variant reconciliation; primary-source verification where available</x:v>
      </x:c>
      <x:c r="H61" s="418" t="str">
        <x:v>Retain IEEE-002; mark GS-02-008 as duplicate</x:v>
      </x:c>
      <x:c r="I61" s="418" t="n">
        <x:v>1</x:v>
      </x:c>
      <x:c r="J61" s="418" t="str">
        <x:v>Preferred record retained; title-level identity confirmed</x:v>
      </x:c>
      <x:c r="K61" s="418"/>
      <x:c r="L61" s="418"/>
      <x:c r="M61" s="418"/>
      <x:c r="N61" s="418"/>
      <x:c r="O61" s="418"/>
      <x:c r="P61" s="418"/>
      <x:c r="Q61" s="418"/>
      <x:c r="R61" s="418"/>
      <x:c r="S61" s="418"/>
      <x:c r="T61" s="418"/>
      <x:c r="U61" s="418"/>
      <x:c r="V61" s="418"/>
      <x:c r="W61" s="418"/>
      <x:c r="X61" s="418"/>
      <x:c r="Y61" s="418"/>
      <x:c r="Z61" s="418"/>
    </x:row>
    <x:row r="62">
      <x:c r="A62" s="418" t="str">
        <x:v>DG-123</x:v>
      </x:c>
      <x:c r="B62" s="418" t="str">
        <x:v>ProtoD2C2: Prototype-Based Dual-Supervision, Dual-Consistency, and Dual-Contr...</x:v>
      </x:c>
      <x:c r="C62" s="418" t="str">
        <x:v>IEEE-013</x:v>
      </x:c>
      <x:c r="D62" s="418" t="str">
        <x:v>IEEE-013; GS-02-011</x:v>
      </x:c>
      <x:c r="E62" s="418" t="str">
        <x:v>IEEE Xplore; Google Scholar</x:v>
      </x:c>
      <x:c r="F62" s="418" t="n">
        <x:v>2</x:v>
      </x:c>
      <x:c r="G62" s="418" t="str">
        <x:v>Enhanced normalized-title/OCR-variant reconciliation; primary-source verification where available</x:v>
      </x:c>
      <x:c r="H62" s="418" t="str">
        <x:v>Retain IEEE-013; mark GS-02-011 as duplicate</x:v>
      </x:c>
      <x:c r="I62" s="418" t="n">
        <x:v>1</x:v>
      </x:c>
      <x:c r="J62" s="418" t="str">
        <x:v>Preferred record retained; title-level identity confirmed</x:v>
      </x:c>
      <x:c r="K62" s="418"/>
      <x:c r="L62" s="418"/>
      <x:c r="M62" s="418"/>
      <x:c r="N62" s="418"/>
      <x:c r="O62" s="418"/>
      <x:c r="P62" s="418"/>
      <x:c r="Q62" s="418"/>
      <x:c r="R62" s="418"/>
      <x:c r="S62" s="418"/>
      <x:c r="T62" s="418"/>
      <x:c r="U62" s="418"/>
      <x:c r="V62" s="418"/>
      <x:c r="W62" s="418"/>
      <x:c r="X62" s="418"/>
      <x:c r="Y62" s="418"/>
      <x:c r="Z62" s="418"/>
    </x:row>
    <x:row r="63">
      <x:c r="A63" s="418" t="str">
        <x:v>DG-124</x:v>
      </x:c>
      <x:c r="B63" s="418" t="str">
        <x:v>Aligning Characteristic Descriptors with Images for Human-Expert-like Explainability</x:v>
      </x:c>
      <x:c r="C63" s="418" t="str">
        <x:v>GS-01-071</x:v>
      </x:c>
      <x:c r="D63" s="418" t="str">
        <x:v>GS-01-071; GS-01-095</x:v>
      </x:c>
      <x:c r="E63" s="418" t="str">
        <x:v>Google Scholar</x:v>
      </x:c>
      <x:c r="F63" s="418" t="n">
        <x:v>2</x:v>
      </x:c>
      <x:c r="G63" s="418" t="str">
        <x:v>Enhanced normalized-title/OCR-variant reconciliation; primary-source verification where available</x:v>
      </x:c>
      <x:c r="H63" s="418" t="str">
        <x:v>Retain GS-01-071; mark GS-01-095 as duplicate</x:v>
      </x:c>
      <x:c r="I63" s="418" t="n">
        <x:v>1</x:v>
      </x:c>
      <x:c r="J63" s="418" t="str">
        <x:v>Preferred record retained; title-level identity confirmed</x:v>
      </x:c>
      <x:c r="K63" s="418"/>
      <x:c r="L63" s="418"/>
      <x:c r="M63" s="418"/>
      <x:c r="N63" s="418"/>
      <x:c r="O63" s="418"/>
      <x:c r="P63" s="418"/>
      <x:c r="Q63" s="418"/>
      <x:c r="R63" s="418"/>
      <x:c r="S63" s="418"/>
      <x:c r="T63" s="418"/>
      <x:c r="U63" s="418"/>
      <x:c r="V63" s="418"/>
      <x:c r="W63" s="418"/>
      <x:c r="X63" s="418"/>
      <x:c r="Y63" s="418"/>
      <x:c r="Z63" s="418"/>
    </x:row>
    <x:row r="64">
      <x:c r="A64" s="418" t="str">
        <x:v>DG-061</x:v>
      </x:c>
      <x:c r="B64" s="418" t="str">
        <x:v>Early Detection of Breast Cancer Using Multi-Modal Deep Learning Framework</x:v>
      </x:c>
      <x:c r="C64" s="418" t="str">
        <x:v>GS-04-083</x:v>
      </x:c>
      <x:c r="D64" s="418" t="str">
        <x:v>GS-04-083; GS-05-049</x:v>
      </x:c>
      <x:c r="E64" s="418" t="str">
        <x:v>Google Scholar</x:v>
      </x:c>
      <x:c r="F64" s="418" t="n">
        <x:v>2</x:v>
      </x:c>
      <x:c r="G64" s="418" t="str">
        <x:v>normalized title across captured searches</x:v>
      </x:c>
      <x:c r="H64" s="418" t="str">
        <x:v>Retain GS-04-083; mark GS-05-049 as duplicate</x:v>
      </x:c>
      <x:c r="I64" s="418" t="n">
        <x:v>1</x:v>
      </x:c>
      <x:c r="J64" s="418" t="str">
        <x:v>Title complete for every member</x:v>
      </x:c>
      <x:c r="K64" s="418" t="str">
        <x:v>Verify OCR-normalised secondary metadata before citation</x:v>
      </x:c>
      <x:c r="L64" s="418" t="str">
        <x:v>Confirmed</x:v>
      </x:c>
      <x:c r="M64" s="418"/>
      <x:c r="N64" s="418"/>
      <x:c r="O64" s="418"/>
      <x:c r="P64" s="418"/>
      <x:c r="Q64" s="418"/>
      <x:c r="R64" s="418"/>
      <x:c r="S64" s="418"/>
      <x:c r="T64" s="418"/>
      <x:c r="U64" s="418"/>
      <x:c r="V64" s="418"/>
      <x:c r="W64" s="418"/>
      <x:c r="X64" s="418"/>
      <x:c r="Y64" s="418"/>
      <x:c r="Z64" s="418"/>
    </x:row>
    <x:row r="65">
      <x:c r="A65" s="418" t="str">
        <x:v>DG-062</x:v>
      </x:c>
      <x:c r="B65" s="418" t="str">
        <x:v>ZERO Swarm Distributed Collective Intelligence for Autonomous Planetary Space Exploration</x:v>
      </x:c>
      <x:c r="C65" s="418" t="str">
        <x:v>GS-04-086</x:v>
      </x:c>
      <x:c r="D65" s="418" t="str">
        <x:v>GS-04-086; GS-05-054</x:v>
      </x:c>
      <x:c r="E65" s="418" t="str">
        <x:v>Google Scholar</x:v>
      </x:c>
      <x:c r="F65" s="418" t="n">
        <x:v>2</x:v>
      </x:c>
      <x:c r="G65" s="418" t="str">
        <x:v>normalized title across captured searches</x:v>
      </x:c>
      <x:c r="H65" s="418" t="str">
        <x:v>Retain GS-04-086; mark GS-05-054 as duplicate</x:v>
      </x:c>
      <x:c r="I65" s="418" t="n">
        <x:v>1</x:v>
      </x:c>
      <x:c r="J65" s="418" t="str">
        <x:v>Title complete for every member</x:v>
      </x:c>
      <x:c r="K65" s="418" t="str">
        <x:v>Verify OCR-normalised secondary metadata before citation</x:v>
      </x:c>
      <x:c r="L65" s="418" t="str">
        <x:v>Confirmed</x:v>
      </x:c>
      <x:c r="M65" s="418"/>
      <x:c r="N65" s="418"/>
      <x:c r="O65" s="418"/>
      <x:c r="P65" s="418"/>
      <x:c r="Q65" s="418"/>
      <x:c r="R65" s="418"/>
      <x:c r="S65" s="418"/>
      <x:c r="T65" s="418"/>
      <x:c r="U65" s="418"/>
      <x:c r="V65" s="418"/>
      <x:c r="W65" s="418"/>
      <x:c r="X65" s="418"/>
      <x:c r="Y65" s="418"/>
      <x:c r="Z65" s="418"/>
    </x:row>
    <x:row r="66">
      <x:c r="A66" s="418" t="str">
        <x:v>DG-063</x:v>
      </x:c>
      <x:c r="B66" s="418" t="str">
        <x:v>Microaneurysm segmentation under aut-of-domain generalization’ from diabetic retinopathy to leukemic retinopathy</x:v>
      </x:c>
      <x:c r="C66" s="418" t="str">
        <x:v>GS-04-087</x:v>
      </x:c>
      <x:c r="D66" s="418" t="str">
        <x:v>GS-04-087; GS-05-100</x:v>
      </x:c>
      <x:c r="E66" s="418" t="str">
        <x:v>Google Scholar</x:v>
      </x:c>
      <x:c r="F66" s="418" t="n">
        <x:v>2</x:v>
      </x:c>
      <x:c r="G66" s="418" t="str">
        <x:v>normalized title across captured searches</x:v>
      </x:c>
      <x:c r="H66" s="418" t="str">
        <x:v>Retain GS-04-087; mark GS-05-100 as duplicate</x:v>
      </x:c>
      <x:c r="I66" s="418" t="n">
        <x:v>1</x:v>
      </x:c>
      <x:c r="J66" s="418" t="str">
        <x:v>Title complete for every member</x:v>
      </x:c>
      <x:c r="K66" s="418" t="str">
        <x:v>Verify OCR-normalised secondary metadata before citation</x:v>
      </x:c>
      <x:c r="L66" s="418" t="str">
        <x:v>Confirmed</x:v>
      </x:c>
      <x:c r="M66" s="418"/>
      <x:c r="N66" s="418"/>
      <x:c r="O66" s="418"/>
      <x:c r="P66" s="418"/>
      <x:c r="Q66" s="418"/>
      <x:c r="R66" s="418"/>
      <x:c r="S66" s="418"/>
      <x:c r="T66" s="418"/>
      <x:c r="U66" s="418"/>
      <x:c r="V66" s="418"/>
      <x:c r="W66" s="418"/>
      <x:c r="X66" s="418"/>
      <x:c r="Y66" s="418"/>
      <x:c r="Z66" s="418"/>
    </x:row>
    <x:row r="67">
      <x:c r="A67" s="418" t="str">
        <x:v>DG-064</x:v>
      </x:c>
      <x:c r="B67" s="418" t="str">
        <x:v>From Policy to Lagic for Efficient and Interpretable Coverage Assessment</x:v>
      </x:c>
      <x:c r="C67" s="418" t="str">
        <x:v>GS-04-088</x:v>
      </x:c>
      <x:c r="D67" s="418" t="str">
        <x:v>GS-04-088; GS-05-060</x:v>
      </x:c>
      <x:c r="E67" s="418" t="str">
        <x:v>Google Scholar</x:v>
      </x:c>
      <x:c r="F67" s="418" t="n">
        <x:v>2</x:v>
      </x:c>
      <x:c r="G67" s="418" t="str">
        <x:v>normalized title across captured searches</x:v>
      </x:c>
      <x:c r="H67" s="418" t="str">
        <x:v>Retain GS-04-088; mark GS-05-060 as duplicate</x:v>
      </x:c>
      <x:c r="I67" s="418" t="n">
        <x:v>1</x:v>
      </x:c>
      <x:c r="J67" s="418" t="str">
        <x:v>Title complete for every member</x:v>
      </x:c>
      <x:c r="K67" s="418" t="str">
        <x:v>Verify OCR-normalised secondary metadata before citation</x:v>
      </x:c>
      <x:c r="L67" s="418" t="str">
        <x:v>Confirmed</x:v>
      </x:c>
      <x:c r="M67" s="418"/>
      <x:c r="N67" s="418"/>
      <x:c r="O67" s="418"/>
      <x:c r="P67" s="418"/>
      <x:c r="Q67" s="418"/>
      <x:c r="R67" s="418"/>
      <x:c r="S67" s="418"/>
      <x:c r="T67" s="418"/>
      <x:c r="U67" s="418"/>
      <x:c r="V67" s="418"/>
      <x:c r="W67" s="418"/>
      <x:c r="X67" s="418"/>
      <x:c r="Y67" s="418"/>
      <x:c r="Z67" s="418"/>
    </x:row>
    <x:row r="68">
      <x:c r="A68" s="418" t="str">
        <x:v>DG-065</x:v>
      </x:c>
      <x:c r="B68" s="418" t="str">
        <x:v>Toward human-level concept learning Pattern benchmarking for Al algorithms</x:v>
      </x:c>
      <x:c r="C68" s="418" t="str">
        <x:v>GS-04-092</x:v>
      </x:c>
      <x:c r="D68" s="418" t="str">
        <x:v>GS-04-092; GS-05-077</x:v>
      </x:c>
      <x:c r="E68" s="418" t="str">
        <x:v>Google Scholar</x:v>
      </x:c>
      <x:c r="F68" s="418" t="n">
        <x:v>2</x:v>
      </x:c>
      <x:c r="G68" s="418" t="str">
        <x:v>normalized title across captured searches</x:v>
      </x:c>
      <x:c r="H68" s="418" t="str">
        <x:v>Retain GS-04-092; mark GS-05-077 as duplicate</x:v>
      </x:c>
      <x:c r="I68" s="418" t="n">
        <x:v>1</x:v>
      </x:c>
      <x:c r="J68" s="418" t="str">
        <x:v>Title complete for every member</x:v>
      </x:c>
      <x:c r="K68" s="418" t="str">
        <x:v>Verify OCR-normalised secondary metadata before citation</x:v>
      </x:c>
      <x:c r="L68" s="418" t="str">
        <x:v>Confirmed</x:v>
      </x:c>
      <x:c r="M68" s="418"/>
      <x:c r="N68" s="418"/>
      <x:c r="O68" s="418"/>
      <x:c r="P68" s="418"/>
      <x:c r="Q68" s="418"/>
      <x:c r="R68" s="418"/>
      <x:c r="S68" s="418"/>
      <x:c r="T68" s="418"/>
      <x:c r="U68" s="418"/>
      <x:c r="V68" s="418"/>
      <x:c r="W68" s="418"/>
      <x:c r="X68" s="418"/>
      <x:c r="Y68" s="418"/>
      <x:c r="Z68" s="418"/>
    </x:row>
    <x:row r="69">
      <x:c r="A69" s="418" t="str">
        <x:v>DG-066</x:v>
      </x:c>
      <x:c r="B69" s="418" t="str">
        <x:v>Faderated learning for next-gen computing applications and privacy preserving medical diagnosis</x:v>
      </x:c>
      <x:c r="C69" s="418" t="str">
        <x:v>GS-04-093</x:v>
      </x:c>
      <x:c r="D69" s="418" t="str">
        <x:v>GS-04-093; GS-05-064</x:v>
      </x:c>
      <x:c r="E69" s="418" t="str">
        <x:v>Google Scholar</x:v>
      </x:c>
      <x:c r="F69" s="418" t="n">
        <x:v>2</x:v>
      </x:c>
      <x:c r="G69" s="418" t="str">
        <x:v>normalized title across captured searches</x:v>
      </x:c>
      <x:c r="H69" s="418" t="str">
        <x:v>Retain GS-04-093; mark GS-05-064 as duplicate</x:v>
      </x:c>
      <x:c r="I69" s="418" t="n">
        <x:v>1</x:v>
      </x:c>
      <x:c r="J69" s="418" t="str">
        <x:v>Title complete for every member</x:v>
      </x:c>
      <x:c r="K69" s="418" t="str">
        <x:v>Verify OCR-normalised secondary metadata before citation</x:v>
      </x:c>
      <x:c r="L69" s="418" t="str">
        <x:v>Confirmed</x:v>
      </x:c>
      <x:c r="M69" s="418"/>
      <x:c r="N69" s="418"/>
      <x:c r="O69" s="418"/>
      <x:c r="P69" s="418"/>
      <x:c r="Q69" s="418"/>
      <x:c r="R69" s="418"/>
      <x:c r="S69" s="418"/>
      <x:c r="T69" s="418"/>
      <x:c r="U69" s="418"/>
      <x:c r="V69" s="418"/>
      <x:c r="W69" s="418"/>
      <x:c r="X69" s="418"/>
      <x:c r="Y69" s="418"/>
      <x:c r="Z69" s="418"/>
    </x:row>
    <x:row r="70">
      <x:c r="A70" s="418" t="str">
        <x:v>DG-067</x:v>
      </x:c>
      <x:c r="B70" s="418" t="str">
        <x:v>Super-clevr A virtual benchmark to diagnose domain robustness in visual reasoning</x:v>
      </x:c>
      <x:c r="C70" s="418" t="str">
        <x:v>GS-04-094</x:v>
      </x:c>
      <x:c r="D70" s="418" t="str">
        <x:v>GS-04-094; GS-05-059</x:v>
      </x:c>
      <x:c r="E70" s="418" t="str">
        <x:v>Google Scholar</x:v>
      </x:c>
      <x:c r="F70" s="418" t="n">
        <x:v>2</x:v>
      </x:c>
      <x:c r="G70" s="418" t="str">
        <x:v>normalized title across captured searches</x:v>
      </x:c>
      <x:c r="H70" s="418" t="str">
        <x:v>Retain GS-04-094; mark GS-05-059 as duplicate</x:v>
      </x:c>
      <x:c r="I70" s="418" t="n">
        <x:v>1</x:v>
      </x:c>
      <x:c r="J70" s="418" t="str">
        <x:v>Title complete for every member</x:v>
      </x:c>
      <x:c r="K70" s="418" t="str">
        <x:v>Verify OCR-normalised secondary metadata before citation</x:v>
      </x:c>
      <x:c r="L70" s="418" t="str">
        <x:v>Confirmed</x:v>
      </x:c>
      <x:c r="M70" s="418"/>
      <x:c r="N70" s="418"/>
      <x:c r="O70" s="418"/>
      <x:c r="P70" s="418"/>
      <x:c r="Q70" s="418"/>
      <x:c r="R70" s="418"/>
      <x:c r="S70" s="418"/>
      <x:c r="T70" s="418"/>
      <x:c r="U70" s="418"/>
      <x:c r="V70" s="418"/>
      <x:c r="W70" s="418"/>
      <x:c r="X70" s="418"/>
      <x:c r="Y70" s="418"/>
      <x:c r="Z70" s="418"/>
    </x:row>
    <x:row r="71">
      <x:c r="A71" s="418" t="str">
        <x:v>DG-068</x:v>
      </x:c>
      <x:c r="B71" s="418" t="str">
        <x:v>Breakthroughs, Operational Challenges and the Roadmap to Integrated Healthcare</x:v>
      </x:c>
      <x:c r="C71" s="418" t="str">
        <x:v>GS-04-095</x:v>
      </x:c>
      <x:c r="D71" s="418" t="str">
        <x:v>GS-04-095; GS-05-062</x:v>
      </x:c>
      <x:c r="E71" s="418" t="str">
        <x:v>Google Scholar</x:v>
      </x:c>
      <x:c r="F71" s="418" t="n">
        <x:v>2</x:v>
      </x:c>
      <x:c r="G71" s="418" t="str">
        <x:v>normalized title across captured searches</x:v>
      </x:c>
      <x:c r="H71" s="418" t="str">
        <x:v>Retain GS-04-095; mark GS-05-062 as duplicate</x:v>
      </x:c>
      <x:c r="I71" s="418" t="n">
        <x:v>1</x:v>
      </x:c>
      <x:c r="J71" s="418" t="str">
        <x:v>Title complete for every member</x:v>
      </x:c>
      <x:c r="K71" s="418" t="str">
        <x:v>Verify OCR-normalised secondary metadata before citation</x:v>
      </x:c>
      <x:c r="L71" s="418" t="str">
        <x:v>Confirmed</x:v>
      </x:c>
      <x:c r="M71" s="418"/>
      <x:c r="N71" s="418"/>
      <x:c r="O71" s="418"/>
      <x:c r="P71" s="418"/>
      <x:c r="Q71" s="418"/>
      <x:c r="R71" s="418"/>
      <x:c r="S71" s="418"/>
      <x:c r="T71" s="418"/>
      <x:c r="U71" s="418"/>
      <x:c r="V71" s="418"/>
      <x:c r="W71" s="418"/>
      <x:c r="X71" s="418"/>
      <x:c r="Y71" s="418"/>
      <x:c r="Z71" s="418"/>
    </x:row>
    <x:row r="72">
      <x:c r="A72" s="418" t="str">
        <x:v>DG-069</x:v>
      </x:c>
      <x:c r="B72" s="418" t="str">
        <x:v>From Insight to Intelligence’ Integrating Human Expertise in Machine Learning</x:v>
      </x:c>
      <x:c r="C72" s="418" t="str">
        <x:v>GS-04-097</x:v>
      </x:c>
      <x:c r="D72" s="418" t="str">
        <x:v>GS-04-097; GS-05-070</x:v>
      </x:c>
      <x:c r="E72" s="418" t="str">
        <x:v>Google Scholar</x:v>
      </x:c>
      <x:c r="F72" s="418" t="n">
        <x:v>2</x:v>
      </x:c>
      <x:c r="G72" s="418" t="str">
        <x:v>normalized title across captured searches</x:v>
      </x:c>
      <x:c r="H72" s="418" t="str">
        <x:v>Retain GS-04-097; mark GS-05-070 as duplicate</x:v>
      </x:c>
      <x:c r="I72" s="418" t="n">
        <x:v>1</x:v>
      </x:c>
      <x:c r="J72" s="418" t="str">
        <x:v>Title complete for every member</x:v>
      </x:c>
      <x:c r="K72" s="418" t="str">
        <x:v>Verify OCR-normalised secondary metadata before citation</x:v>
      </x:c>
      <x:c r="L72" s="418" t="str">
        <x:v>Confirmed</x:v>
      </x:c>
      <x:c r="M72" s="418"/>
      <x:c r="N72" s="418"/>
      <x:c r="O72" s="418"/>
      <x:c r="P72" s="418"/>
      <x:c r="Q72" s="418"/>
      <x:c r="R72" s="418"/>
      <x:c r="S72" s="418"/>
      <x:c r="T72" s="418"/>
      <x:c r="U72" s="418"/>
      <x:c r="V72" s="418"/>
      <x:c r="W72" s="418"/>
      <x:c r="X72" s="418"/>
      <x:c r="Y72" s="418"/>
      <x:c r="Z72" s="418"/>
    </x:row>
    <x:row r="73">
      <x:c r="A73" s="418" t="str">
        <x:v>DG-070</x:v>
      </x:c>
      <x:c r="B73" s="418" t="str">
        <x:v>MedXAl: A Retrieval-Augmented and Self-Verifying Framework for Knowledge- Guided Medical Image Analysis</x:v>
      </x:c>
      <x:c r="C73" s="418" t="str">
        <x:v>GS-04-099</x:v>
      </x:c>
      <x:c r="D73" s="418" t="str">
        <x:v>GS-04-099; GS-05-082</x:v>
      </x:c>
      <x:c r="E73" s="418" t="str">
        <x:v>Google Scholar</x:v>
      </x:c>
      <x:c r="F73" s="418" t="n">
        <x:v>2</x:v>
      </x:c>
      <x:c r="G73" s="418" t="str">
        <x:v>normalized title across captured searches</x:v>
      </x:c>
      <x:c r="H73" s="418" t="str">
        <x:v>Retain GS-04-099; mark GS-05-082 as duplicate</x:v>
      </x:c>
      <x:c r="I73" s="418" t="n">
        <x:v>1</x:v>
      </x:c>
      <x:c r="J73" s="418" t="str">
        <x:v>Title complete for every member</x:v>
      </x:c>
      <x:c r="K73" s="418" t="str">
        <x:v>Verify OCR-normalised secondary metadata before citation</x:v>
      </x:c>
      <x:c r="L73" s="418" t="str">
        <x:v>Confirmed</x:v>
      </x:c>
      <x:c r="M73" s="418"/>
      <x:c r="N73" s="418"/>
      <x:c r="O73" s="418"/>
      <x:c r="P73" s="418"/>
      <x:c r="Q73" s="418"/>
      <x:c r="R73" s="418"/>
      <x:c r="S73" s="418"/>
      <x:c r="T73" s="418"/>
      <x:c r="U73" s="418"/>
      <x:c r="V73" s="418"/>
      <x:c r="W73" s="418"/>
      <x:c r="X73" s="418"/>
      <x:c r="Y73" s="418"/>
      <x:c r="Z73" s="418"/>
    </x:row>
    <x:row r="74">
      <x:c r="A74" s="418" t="str">
        <x:v>DG-071</x:v>
      </x:c>
      <x:c r="B74" s="418" t="str">
        <x:v>Embodied intelligence in surgical robotics’ From perception-action loops to cognitive collaboration</x:v>
      </x:c>
      <x:c r="C74" s="418" t="str">
        <x:v>GS-04-100</x:v>
      </x:c>
      <x:c r="D74" s="418" t="str">
        <x:v>GS-04-100; GS-05-067</x:v>
      </x:c>
      <x:c r="E74" s="418" t="str">
        <x:v>Google Scholar</x:v>
      </x:c>
      <x:c r="F74" s="418" t="n">
        <x:v>2</x:v>
      </x:c>
      <x:c r="G74" s="418" t="str">
        <x:v>normalized title across captured searches</x:v>
      </x:c>
      <x:c r="H74" s="418" t="str">
        <x:v>Retain GS-04-100; mark GS-05-067 as duplicate</x:v>
      </x:c>
      <x:c r="I74" s="418" t="n">
        <x:v>1</x:v>
      </x:c>
      <x:c r="J74" s="418" t="str">
        <x:v>Title complete for every member</x:v>
      </x:c>
      <x:c r="K74" s="418" t="str">
        <x:v>Verify OCR-normalised secondary metadata before citation</x:v>
      </x:c>
      <x:c r="L74" s="418" t="str">
        <x:v>Confirmed</x:v>
      </x:c>
      <x:c r="M74" s="418"/>
      <x:c r="N74" s="418"/>
      <x:c r="O74" s="418"/>
      <x:c r="P74" s="418"/>
      <x:c r="Q74" s="418"/>
      <x:c r="R74" s="418"/>
      <x:c r="S74" s="418"/>
      <x:c r="T74" s="418"/>
      <x:c r="U74" s="418"/>
      <x:c r="V74" s="418"/>
      <x:c r="W74" s="418"/>
      <x:c r="X74" s="418"/>
      <x:c r="Y74" s="418"/>
      <x:c r="Z74" s="418"/>
    </x:row>
    <x:row r="75">
      <x:c r="A75" s="418" t="str">
        <x:v>DG-072</x:v>
      </x:c>
      <x:c r="B75" s="418" t="str">
        <x:v>Transparency of medical artificial intelligence systems</x:v>
      </x:c>
      <x:c r="C75" s="418" t="str">
        <x:v>GS-06-010</x:v>
      </x:c>
      <x:c r="D75" s="418" t="str">
        <x:v>GS-06-010; GS-08-024</x:v>
      </x:c>
      <x:c r="E75" s="418" t="str">
        <x:v>Google Scholar</x:v>
      </x:c>
      <x:c r="F75" s="418" t="n">
        <x:v>2</x:v>
      </x:c>
      <x:c r="G75" s="418" t="str">
        <x:v>normalized title across captured searches</x:v>
      </x:c>
      <x:c r="H75" s="418" t="str">
        <x:v>Retain GS-06-010; mark GS-08-024 as duplicate</x:v>
      </x:c>
      <x:c r="I75" s="418" t="n">
        <x:v>1</x:v>
      </x:c>
      <x:c r="J75" s="418" t="str">
        <x:v>Title complete for every member</x:v>
      </x:c>
      <x:c r="K75" s="418" t="str">
        <x:v>Verify OCR-normalised secondary metadata before citation</x:v>
      </x:c>
      <x:c r="L75" s="418" t="str">
        <x:v>Confirmed</x:v>
      </x:c>
      <x:c r="M75" s="418"/>
      <x:c r="N75" s="418"/>
      <x:c r="O75" s="418"/>
      <x:c r="P75" s="418"/>
      <x:c r="Q75" s="418"/>
      <x:c r="R75" s="418"/>
      <x:c r="S75" s="418"/>
      <x:c r="T75" s="418"/>
      <x:c r="U75" s="418"/>
      <x:c r="V75" s="418"/>
      <x:c r="W75" s="418"/>
      <x:c r="X75" s="418"/>
      <x:c r="Y75" s="418"/>
      <x:c r="Z75" s="418"/>
    </x:row>
    <x:row r="76">
      <x:c r="A76" s="418" t="str">
        <x:v>DG-073</x:v>
      </x:c>
      <x:c r="B76" s="418" t="str">
        <x:v>ExAID A multimodal explanation framework for computer-aided diagnosis of skin lesions</x:v>
      </x:c>
      <x:c r="C76" s="418" t="str">
        <x:v>GS-06-015</x:v>
      </x:c>
      <x:c r="D76" s="418" t="str">
        <x:v>GS-06-015; GS-08-015</x:v>
      </x:c>
      <x:c r="E76" s="418" t="str">
        <x:v>Google Scholar</x:v>
      </x:c>
      <x:c r="F76" s="418" t="n">
        <x:v>2</x:v>
      </x:c>
      <x:c r="G76" s="418" t="str">
        <x:v>normalized title across captured searches</x:v>
      </x:c>
      <x:c r="H76" s="418" t="str">
        <x:v>Retain GS-06-015; mark GS-08-015 as duplicate</x:v>
      </x:c>
      <x:c r="I76" s="418" t="n">
        <x:v>1</x:v>
      </x:c>
      <x:c r="J76" s="418" t="str">
        <x:v>Title complete for every member</x:v>
      </x:c>
      <x:c r="K76" s="418" t="str">
        <x:v>Verify OCR-normalised secondary metadata before citation</x:v>
      </x:c>
      <x:c r="L76" s="418" t="str">
        <x:v>Confirmed</x:v>
      </x:c>
      <x:c r="M76" s="418"/>
      <x:c r="N76" s="418"/>
      <x:c r="O76" s="418"/>
      <x:c r="P76" s="418"/>
      <x:c r="Q76" s="418"/>
      <x:c r="R76" s="418"/>
      <x:c r="S76" s="418"/>
      <x:c r="T76" s="418"/>
      <x:c r="U76" s="418"/>
      <x:c r="V76" s="418"/>
      <x:c r="W76" s="418"/>
      <x:c r="X76" s="418"/>
      <x:c r="Y76" s="418"/>
      <x:c r="Z76" s="418"/>
    </x:row>
    <x:row r="77">
      <x:c r="A77" s="418" t="str">
        <x:v>DG-074</x:v>
      </x:c>
      <x:c r="B77" s="418" t="str">
        <x:v>A Unifed Non-Visual Explainable Al Framework for Neonatal Pain Assessment</x:v>
      </x:c>
      <x:c r="C77" s="418" t="str">
        <x:v>GS-06-021</x:v>
      </x:c>
      <x:c r="D77" s="418" t="str">
        <x:v>GS-06-021; GS-08-017</x:v>
      </x:c>
      <x:c r="E77" s="418" t="str">
        <x:v>Google Scholar</x:v>
      </x:c>
      <x:c r="F77" s="418" t="n">
        <x:v>2</x:v>
      </x:c>
      <x:c r="G77" s="418" t="str">
        <x:v>normalized title across captured searches</x:v>
      </x:c>
      <x:c r="H77" s="418" t="str">
        <x:v>Retain GS-06-021; mark GS-08-017 as duplicate</x:v>
      </x:c>
      <x:c r="I77" s="418" t="n">
        <x:v>1</x:v>
      </x:c>
      <x:c r="J77" s="418" t="str">
        <x:v>Title complete for every member</x:v>
      </x:c>
      <x:c r="K77" s="418" t="str">
        <x:v>Verify OCR-normalised secondary metadata before citation</x:v>
      </x:c>
      <x:c r="L77" s="418" t="str">
        <x:v>Confirmed</x:v>
      </x:c>
      <x:c r="M77" s="418"/>
      <x:c r="N77" s="418"/>
      <x:c r="O77" s="418"/>
      <x:c r="P77" s="418"/>
      <x:c r="Q77" s="418"/>
      <x:c r="R77" s="418"/>
      <x:c r="S77" s="418"/>
      <x:c r="T77" s="418"/>
      <x:c r="U77" s="418"/>
      <x:c r="V77" s="418"/>
      <x:c r="W77" s="418"/>
      <x:c r="X77" s="418"/>
      <x:c r="Y77" s="418"/>
      <x:c r="Z77" s="418"/>
    </x:row>
    <x:row r="78">
      <x:c r="A78" s="418" t="str">
        <x:v>DG-075</x:v>
      </x:c>
      <x:c r="B78" s="418" t="str">
        <x:v>Explainable Al for medical data current methods, limitations. and future directions</x:v>
      </x:c>
      <x:c r="C78" s="418" t="str">
        <x:v>GS-06-030</x:v>
      </x:c>
      <x:c r="D78" s="418" t="str">
        <x:v>GS-06-030; GS-08-025</x:v>
      </x:c>
      <x:c r="E78" s="418" t="str">
        <x:v>Google Scholar</x:v>
      </x:c>
      <x:c r="F78" s="418" t="n">
        <x:v>2</x:v>
      </x:c>
      <x:c r="G78" s="418" t="str">
        <x:v>normalized title across captured searches</x:v>
      </x:c>
      <x:c r="H78" s="418" t="str">
        <x:v>Retain GS-06-030; mark GS-08-025 as duplicate</x:v>
      </x:c>
      <x:c r="I78" s="418" t="n">
        <x:v>1</x:v>
      </x:c>
      <x:c r="J78" s="418" t="str">
        <x:v>Title complete for every member</x:v>
      </x:c>
      <x:c r="K78" s="418" t="str">
        <x:v>Verify OCR-normalised secondary metadata before citation</x:v>
      </x:c>
      <x:c r="L78" s="418" t="str">
        <x:v>Confirmed</x:v>
      </x:c>
      <x:c r="M78" s="418"/>
      <x:c r="N78" s="418"/>
      <x:c r="O78" s="418"/>
      <x:c r="P78" s="418"/>
      <x:c r="Q78" s="418"/>
      <x:c r="R78" s="418"/>
      <x:c r="S78" s="418"/>
      <x:c r="T78" s="418"/>
      <x:c r="U78" s="418"/>
      <x:c r="V78" s="418"/>
      <x:c r="W78" s="418"/>
      <x:c r="X78" s="418"/>
      <x:c r="Y78" s="418"/>
      <x:c r="Z78" s="418"/>
    </x:row>
    <x:row r="79">
      <x:c r="A79" s="418" t="str">
        <x:v>DG-076</x:v>
      </x:c>
      <x:c r="B79" s="418" t="str">
        <x:v>Artificial intelligence in clinical data analysis A review of large language models, foundation models digital twins, and allergy applications</x:v>
      </x:c>
      <x:c r="C79" s="418" t="str">
        <x:v>GS-07-002</x:v>
      </x:c>
      <x:c r="D79" s="418" t="str">
        <x:v>GS-07-002; GS-08-022</x:v>
      </x:c>
      <x:c r="E79" s="418" t="str">
        <x:v>Google Scholar</x:v>
      </x:c>
      <x:c r="F79" s="418" t="n">
        <x:v>2</x:v>
      </x:c>
      <x:c r="G79" s="418" t="str">
        <x:v>normalized title across captured searches</x:v>
      </x:c>
      <x:c r="H79" s="418" t="str">
        <x:v>Retain GS-07-002; mark GS-08-022 as duplicate</x:v>
      </x:c>
      <x:c r="I79" s="418" t="n">
        <x:v>1</x:v>
      </x:c>
      <x:c r="J79" s="418" t="str">
        <x:v>Title complete for every member</x:v>
      </x:c>
      <x:c r="K79" s="418" t="str">
        <x:v>Verify OCR-normalised secondary metadata before citation</x:v>
      </x:c>
      <x:c r="L79" s="418" t="str">
        <x:v>Confirmed</x:v>
      </x:c>
      <x:c r="M79" s="418"/>
      <x:c r="N79" s="418"/>
      <x:c r="O79" s="418"/>
      <x:c r="P79" s="418"/>
      <x:c r="Q79" s="418"/>
      <x:c r="R79" s="418"/>
      <x:c r="S79" s="418"/>
      <x:c r="T79" s="418"/>
      <x:c r="U79" s="418"/>
      <x:c r="V79" s="418"/>
      <x:c r="W79" s="418"/>
      <x:c r="X79" s="418"/>
      <x:c r="Y79" s="418"/>
      <x:c r="Z79" s="418"/>
    </x:row>
    <x:row r="80">
      <x:c r="A80" s="418" t="str">
        <x:v>DG-077</x:v>
      </x:c>
      <x:c r="B80" s="418" t="str">
        <x:v>Cross-Modality Image Interpretation via Concept Decomposition Vector of Visual-Language Models</x:v>
      </x:c>
      <x:c r="C80" s="418" t="str">
        <x:v>IEEE-014</x:v>
      </x:c>
      <x:c r="D80" s="418" t="str">
        <x:v>IEEE-014; GS-01-033</x:v>
      </x:c>
      <x:c r="E80" s="418" t="str">
        <x:v>IEEE Xplore; Google Scholar</x:v>
      </x:c>
      <x:c r="F80" s="418" t="n">
        <x:v>2</x:v>
      </x:c>
      <x:c r="G80" s="418" t="str">
        <x:v>normalized title, author, and method match across captured sources</x:v>
      </x:c>
      <x:c r="H80" s="418" t="str">
        <x:v>Retain IEEE-014; mark GS-01-033 as duplicate</x:v>
      </x:c>
      <x:c r="I80" s="418" t="n">
        <x:v>1</x:v>
      </x:c>
      <x:c r="J80" s="418" t="str">
        <x:v>Title complete for every member</x:v>
      </x:c>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t="str">
        <x:v>None — resolved before full-text retrieval; preserve this audit trail.</x:v>
      </x:c>
      <x:c r="L81" s="418" t="str">
        <x:v>Confirmed</x:v>
      </x:c>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t="str">
        <x:v>None — resolved before full-text retrieval; preserve this audit trail.</x:v>
      </x:c>
      <x:c r="L82" s="418" t="str">
        <x:v>Confirmed</x:v>
      </x:c>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t="str">
        <x:v>None — resolved before full-text retrieval; preserve this audit trail.</x:v>
      </x:c>
      <x:c r="L83" s="418" t="str">
        <x:v>Confirmed</x:v>
      </x:c>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t="str">
        <x:v>None — resolved before full-text retrieval; preserve this audit trail.</x:v>
      </x:c>
      <x:c r="L84" s="418" t="str">
        <x:v>Confirmed</x:v>
      </x:c>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t="str">
        <x:v>None — resolved before full-text retrieval; preserve this audit trail.</x:v>
      </x:c>
      <x:c r="L85" s="418" t="str">
        <x:v>Confirmed</x:v>
      </x:c>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t="str">
        <x:v>None — resolved before full-text retrieval; preserve this audit trail.</x:v>
      </x:c>
      <x:c r="L86" s="418" t="str">
        <x:v>Confirmed</x:v>
      </x:c>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t="str">
        <x:v>None — resolved before full-text retrieval; preserve this audit trail.</x:v>
      </x:c>
      <x:c r="L87" s="418" t="str">
        <x:v>Confirmed</x:v>
      </x:c>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t="str">
        <x:v>None — resolved before full-text retrieval; preserve this audit trail.</x:v>
      </x:c>
      <x:c r="L88" s="418" t="str">
        <x:v>Confirmed</x:v>
      </x:c>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t="str">
        <x:v>None — resolved before full-text retrieval; preserve this audit trail.</x:v>
      </x:c>
      <x:c r="L89" s="418" t="str">
        <x:v>Confirmed</x:v>
      </x:c>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t="str">
        <x:v>None — resolved before full-text retrieval; preserve this audit trail.</x:v>
      </x:c>
      <x:c r="L90" s="418" t="str">
        <x:v>Confirmed</x:v>
      </x:c>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t="str">
        <x:v>None — resolved before full-text retrieval; preserve this audit trail.</x:v>
      </x:c>
      <x:c r="L91" s="418" t="str">
        <x:v>Confirmed</x:v>
      </x:c>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t="str">
        <x:v>None — resolved before full-text retrieval; preserve this audit trail.</x:v>
      </x:c>
      <x:c r="L92" s="418" t="str">
        <x:v>Confirmed</x:v>
      </x:c>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t="str">
        <x:v>None — resolved before full-text retrieval; preserve this audit trail.</x:v>
      </x:c>
      <x:c r="L93" s="418" t="str">
        <x:v>Confirmed</x:v>
      </x:c>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t="str">
        <x:v>None — resolved before full-text retrieval; preserve this audit trail.</x:v>
      </x:c>
      <x:c r="L94" s="418" t="str">
        <x:v>Confirmed</x:v>
      </x:c>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t="str">
        <x:v>None — resolved before full-text retrieval; preserve this audit trail.</x:v>
      </x:c>
      <x:c r="L95" s="418" t="str">
        <x:v>Confirmed</x:v>
      </x:c>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t="str">
        <x:v>None — resolved before full-text retrieval; preserve this audit trail.</x:v>
      </x:c>
      <x:c r="L96" s="418" t="str">
        <x:v>Confirmed</x:v>
      </x:c>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t="str">
        <x:v>None — resolved before full-text retrieval; preserve this audit trail.</x:v>
      </x:c>
      <x:c r="L97" s="418" t="str">
        <x:v>Confirmed</x:v>
      </x:c>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t="str">
        <x:v>None — resolved before full-text retrieval; preserve this audit trail.</x:v>
      </x:c>
      <x:c r="L98" s="418" t="str">
        <x:v>Confirmed</x:v>
      </x:c>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t="str">
        <x:v>None — resolved before full-text retrieval; preserve this audit trail.</x:v>
      </x:c>
      <x:c r="L99" s="418" t="str">
        <x:v>Confirmed</x:v>
      </x:c>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t="str">
        <x:v>None — resolved before full-text retrieval; preserve this audit trail.</x:v>
      </x:c>
      <x:c r="L100" s="418" t="str">
        <x:v>Confirmed</x:v>
      </x:c>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t="str">
        <x:v>None — resolved before full-text retrieval; preserve this audit trail.</x:v>
      </x:c>
      <x:c r="L101" s="418" t="str">
        <x:v>Confirmed</x:v>
      </x:c>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t="str">
        <x:v>None — resolved before full-text retrieval; preserve this audit trail.</x:v>
      </x:c>
      <x:c r="L102" s="418" t="str">
        <x:v>Confirmed</x:v>
      </x:c>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t="str">
        <x:v>None — resolved before full-text retrieval; preserve this audit trail.</x:v>
      </x:c>
      <x:c r="L103" s="418" t="str">
        <x:v>Confirmed</x:v>
      </x:c>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t="str">
        <x:v>None — resolved before full-text retrieval; preserve this audit trail.</x:v>
      </x:c>
      <x:c r="L104" s="418" t="str">
        <x:v>Confirmed</x:v>
      </x:c>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t="str">
        <x:v>None — resolved before full-text retrieval; preserve this audit trail.</x:v>
      </x:c>
      <x:c r="L105" s="418" t="str">
        <x:v>Confirmed</x:v>
      </x:c>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t="str">
        <x:v>None — resolved before full-text retrieval; preserve this audit trail.</x:v>
      </x:c>
      <x:c r="L106" s="418" t="str">
        <x:v>Confirmed</x:v>
      </x:c>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t="str">
        <x:v>None — resolved before full-text retrieval; preserve this audit trail.</x:v>
      </x:c>
      <x:c r="L107" s="418" t="str">
        <x:v>Confirmed</x:v>
      </x:c>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t="str">
        <x:v>None — resolved before full-text retrieval; preserve this audit trail.</x:v>
      </x:c>
      <x:c r="L108" s="418" t="str">
        <x:v>Confirmed</x:v>
      </x:c>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t="str">
        <x:v>None — resolved before full-text retrieval; preserve this audit trail.</x:v>
      </x:c>
      <x:c r="L109" s="418" t="str">
        <x:v>Confirmed</x:v>
      </x:c>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t="str">
        <x:v>None — resolved before full-text retrieval; preserve this audit trail.</x:v>
      </x:c>
      <x:c r="L110" s="418" t="str">
        <x:v>Confirmed</x:v>
      </x:c>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t="str">
        <x:v>None — resolved before full-text retrieval; preserve this audit trail.</x:v>
      </x:c>
      <x:c r="L111" s="418" t="str">
        <x:v>Confirmed</x:v>
      </x:c>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t="str">
        <x:v>None — resolved before full-text retrieval; preserve this audit trail.</x:v>
      </x:c>
      <x:c r="L112" s="418" t="str">
        <x:v>Confirmed</x:v>
      </x:c>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t="str">
        <x:v>None — resolved before full-text retrieval; preserve this audit trail.</x:v>
      </x:c>
      <x:c r="L113" s="418" t="str">
        <x:v>Confirmed</x:v>
      </x:c>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t="str">
        <x:v>None — resolved before full-text retrieval; preserve this audit trail.</x:v>
      </x:c>
      <x:c r="L114" s="418" t="str">
        <x:v>Confirmed</x:v>
      </x:c>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t="str">
        <x:v>None — resolved before full-text retrieval; preserve this audit trail.</x:v>
      </x:c>
      <x:c r="L115" s="418" t="str">
        <x:v>Confirmed</x:v>
      </x:c>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t="str">
        <x:v>None — resolved before full-text retrieval; preserve this audit trail.</x:v>
      </x:c>
      <x:c r="L116" s="418" t="str">
        <x:v>Confirmed</x:v>
      </x:c>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t="str">
        <x:v>None — resolved before full-text retrieval; preserve this audit trail.</x:v>
      </x:c>
      <x:c r="L117" s="418" t="str">
        <x:v>Confirmed</x:v>
      </x:c>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t="str">
        <x:v>None — resolved before full-text retrieval; preserve this audit trail.</x:v>
      </x:c>
      <x:c r="L118" s="418" t="str">
        <x:v>Confirmed</x:v>
      </x:c>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t="str">
        <x:v>None — resolved before full-text retrieval; preserve this audit trail.</x:v>
      </x:c>
      <x:c r="L119" s="418" t="str">
        <x:v>Confirmed</x:v>
      </x:c>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t="str">
        <x:v>None — resolved before full-text retrieval; preserve this audit trail.</x:v>
      </x:c>
      <x:c r="L120" s="418" t="str">
        <x:v>Confirmed</x:v>
      </x:c>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t="str">
        <x:v>None — resolved before full-text retrieval; preserve this audit trail.</x:v>
      </x:c>
      <x:c r="L121" s="418" t="str">
        <x:v>Confirmed</x:v>
      </x:c>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t="str">
        <x:v>None — resolved before full-text retrieval; preserve this audit trail.</x:v>
      </x:c>
      <x:c r="L122" s="418" t="str">
        <x:v>Confirmed</x:v>
      </x:c>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t="str">
        <x:v>None — resolved before full-text retrieval; preserve this audit trail.</x:v>
      </x:c>
      <x:c r="L123" s="418" t="str">
        <x:v>Confirmed</x:v>
      </x:c>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t="str">
        <x:v>None — resolved before full-text retrieval; preserve this audit trail.</x:v>
      </x:c>
      <x:c r="L124" s="418" t="str">
        <x:v>Confirmed</x:v>
      </x:c>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t="str">
        <x:v>None — resolved before full-text retrieval; preserve this audit trail.</x:v>
      </x:c>
      <x:c r="L125" s="418" t="str">
        <x:v>Confirmed</x:v>
      </x:c>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t="str">
        <x:v>None — resolved before full-text retrieval; preserve this audit trail.</x:v>
      </x:c>
      <x:c r="L126" s="418" t="str">
        <x:v>Confirmed</x:v>
      </x:c>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t="str">
        <x:v>None — resolved before full-text retrieval; preserve this audit trail.</x:v>
      </x:c>
      <x:c r="L127" s="418" t="str">
        <x:v>Confirmed</x:v>
      </x:c>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L1"/>
    <x:mergeCell ref="M1:Q1"/>
    <x:mergeCell ref="A24:N24"/>
  </x:mergeCells>
  <x:dataValidations count="1">
    <x:dataValidation type="list" sqref="I4:I200">
      <x:formula1>"Pending,Confirmed,Not duplicate"</x:formula1>
    </x:dataValidation>
  </x:dataValidations>
  <x:pageMargins left="0.7" right="0.7" top="0.75" bottom="0.75" header="0.3" footer="0.3"/>
  <x:tableParts count="1">
    <x:tablePart xmlns:r="http://schemas.openxmlformats.org/officeDocument/2006/relationships" r:id="R77d50e5bbe8d4450"/>
  </x:tableParts>
</x:worksheet>
</file>

<file path=xl/worksheets/sheet6.xml><?xml version="1.0" encoding="utf-8"?>
<x:worksheet xmlns:x="http://schemas.openxmlformats.org/spreadsheetml/2006/main">
  <x:sheetFormatPr defaultRowHeight="15"/>
  <x:cols>
    <x:col min="1" max="1" width="14" hidden="0" customWidth="1"/>
    <x:col min="2" max="2" width="10" hidden="0" customWidth="1"/>
    <x:col min="3" max="3" width="28" hidden="0" customWidth="1"/>
    <x:col min="4" max="4" width="68" hidden="0" customWidth="1"/>
    <x:col min="5" max="5" width="13" hidden="0" customWidth="1"/>
    <x:col min="6" max="6" width="42" hidden="0" customWidth="1"/>
  </x:cols>
  <x:sheetData>
    <x:row r="1" ht="30" customHeight="1">
      <x:c r="A1" s="533" t="str">
        <x:v>Predefined Eligibility Criteria and Decision Codebook</x:v>
      </x:c>
      <x:c r="B1" s="533"/>
      <x:c r="C1" s="533"/>
      <x:c r="D1" s="533"/>
      <x:c r="E1" s="533"/>
      <x:c r="F1" s="533"/>
      <x:c r="G1" s="418"/>
      <x:c r="H1" s="418"/>
      <x:c r="I1" s="418"/>
      <x:c r="J1" s="418"/>
      <x:c r="K1" s="418"/>
      <x:c r="L1" s="418"/>
      <x:c r="M1" s="418"/>
      <x:c r="N1" s="418"/>
      <x:c r="O1" s="418"/>
      <x:c r="P1" s="418"/>
      <x:c r="Q1" s="418"/>
      <x:c r="R1" s="418"/>
      <x:c r="S1" s="418"/>
      <x:c r="T1" s="418"/>
      <x:c r="U1" s="418"/>
      <x:c r="V1" s="418"/>
      <x:c r="W1" s="418"/>
      <x:c r="X1" s="418"/>
      <x:c r="Y1" s="418"/>
      <x:c r="Z1" s="418"/>
    </x:row>
    <x:row r="2">
      <x:c r="A2" s="418"/>
      <x:c r="B2" s="418"/>
      <x:c r="C2" s="418"/>
      <x:c r="D2" s="418"/>
      <x:c r="E2" s="418"/>
      <x:c r="F2" s="418"/>
      <x:c r="G2" s="418"/>
      <x:c r="H2" s="418"/>
      <x:c r="I2" s="418"/>
      <x:c r="J2" s="418"/>
      <x:c r="K2" s="418"/>
      <x:c r="L2" s="418"/>
      <x:c r="M2" s="418"/>
      <x:c r="N2" s="418"/>
      <x:c r="O2" s="418"/>
      <x:c r="P2" s="418"/>
      <x:c r="Q2" s="418"/>
      <x:c r="R2" s="418"/>
      <x:c r="S2" s="418"/>
      <x:c r="T2" s="418"/>
      <x:c r="U2" s="418"/>
      <x:c r="V2" s="418"/>
      <x:c r="W2" s="418"/>
      <x:c r="X2" s="418"/>
      <x:c r="Y2" s="418"/>
      <x:c r="Z2" s="418"/>
    </x:row>
    <x:row r="3">
      <x:c r="A3" s="425" t="str">
        <x:v>Stage</x:v>
      </x:c>
      <x:c r="B3" s="425" t="str">
        <x:v>Code</x:v>
      </x:c>
      <x:c r="C3" s="425" t="str">
        <x:v>Criterion / reason</x:v>
      </x:c>
      <x:c r="D3" s="425" t="str">
        <x:v>Operational definition</x:v>
      </x:c>
      <x:c r="E3" s="425" t="str">
        <x:v>Decision</x:v>
      </x:c>
      <x:c r="F3" s="425" t="str">
        <x:v>Notes</x:v>
      </x:c>
      <x:c r="G3" s="418"/>
      <x:c r="H3" s="418"/>
      <x:c r="I3" s="418"/>
      <x:c r="J3" s="418"/>
      <x:c r="K3" s="418"/>
      <x:c r="L3" s="418"/>
      <x:c r="M3" s="418"/>
      <x:c r="N3" s="418"/>
      <x:c r="O3" s="418"/>
      <x:c r="P3" s="418"/>
      <x:c r="Q3" s="418"/>
      <x:c r="R3" s="418"/>
      <x:c r="S3" s="418"/>
      <x:c r="T3" s="418"/>
      <x:c r="U3" s="418"/>
      <x:c r="V3" s="418"/>
      <x:c r="W3" s="418"/>
      <x:c r="X3" s="418"/>
      <x:c r="Y3" s="418"/>
      <x:c r="Z3" s="418"/>
    </x:row>
    <x:row r="4" ht="56" customHeight="1">
      <x:c r="A4" s="426" t="str">
        <x:v>Inclusion</x:v>
      </x:c>
      <x:c r="B4" s="426" t="str">
        <x:v>I1</x:v>
      </x:c>
      <x:c r="C4" s="426" t="str">
        <x:v>Publication date</x:v>
      </x:c>
      <x:c r="D4" s="426" t="str">
        <x:v>Published or originally submitted between 1 January 2017 and 6 August 2026.</x:v>
      </x:c>
      <x:c r="E4" s="426" t="str">
        <x:v>Include</x:v>
      </x:c>
      <x:c r="F4" s="426" t="str">
        <x:v>Date limit follows the executed searches.</x:v>
      </x:c>
      <x:c r="G4" s="418"/>
      <x:c r="H4" s="418"/>
      <x:c r="I4" s="418"/>
      <x:c r="J4" s="418"/>
      <x:c r="K4" s="418"/>
      <x:c r="L4" s="418"/>
      <x:c r="M4" s="418"/>
      <x:c r="N4" s="418"/>
      <x:c r="O4" s="418"/>
      <x:c r="P4" s="418"/>
      <x:c r="Q4" s="418"/>
      <x:c r="R4" s="418"/>
      <x:c r="S4" s="418"/>
      <x:c r="T4" s="418"/>
      <x:c r="U4" s="418"/>
      <x:c r="V4" s="418"/>
      <x:c r="W4" s="418"/>
      <x:c r="X4" s="418"/>
      <x:c r="Y4" s="418"/>
      <x:c r="Z4" s="418"/>
    </x:row>
    <x:row r="5" ht="56" customHeight="1">
      <x:c r="A5" s="426" t="str">
        <x:v>Inclusion</x:v>
      </x:c>
      <x:c r="B5" s="426" t="str">
        <x:v>I2</x:v>
      </x:c>
      <x:c r="C5" s="426" t="str">
        <x:v>Clinical domain</x:v>
      </x:c>
      <x:c r="D5" s="426" t="str">
        <x:v>Uses retinal or ophthalmic imaging, or is explicitly retained as closely related contextual retinal evidence.</x:v>
      </x:c>
      <x:c r="E5" s="426" t="str">
        <x:v>Include</x:v>
      </x:c>
      <x:c r="F5" s="426" t="str">
        <x:v>Direct and contextual studies must be labelled separately.</x:v>
      </x:c>
      <x:c r="G5" s="418"/>
      <x:c r="H5" s="418"/>
      <x:c r="I5" s="418"/>
      <x:c r="J5" s="418"/>
      <x:c r="K5" s="418"/>
      <x:c r="L5" s="418"/>
      <x:c r="M5" s="418"/>
      <x:c r="N5" s="418"/>
      <x:c r="O5" s="418"/>
      <x:c r="P5" s="418"/>
      <x:c r="Q5" s="418"/>
      <x:c r="R5" s="418"/>
      <x:c r="S5" s="418"/>
      <x:c r="T5" s="418"/>
      <x:c r="U5" s="418"/>
      <x:c r="V5" s="418"/>
      <x:c r="W5" s="418"/>
      <x:c r="X5" s="418"/>
      <x:c r="Y5" s="418"/>
      <x:c r="Z5" s="418"/>
    </x:row>
    <x:row r="6" ht="56" customHeight="1">
      <x:c r="A6" s="426" t="str">
        <x:v>Inclusion</x:v>
      </x:c>
      <x:c r="B6" s="426" t="str">
        <x:v>I3</x:v>
      </x:c>
      <x:c r="C6" s="426" t="str">
        <x:v>Concept-based method</x:v>
      </x:c>
      <x:c r="D6" s="426" t="str">
        <x:v>Explicitly uses concept bottlenecks/embeddings, TCAV/CAVs, prototypes, case-based reasoning, neurosymbolic/relational concepts, concept discovery/intervention, textual or language-guided concepts, or another structured concept-oriented explanation.</x:v>
      </x:c>
      <x:c r="E6" s="426" t="str">
        <x:v>Include</x:v>
      </x:c>
      <x:c r="F6" s="426" t="str">
        <x:v>The concept representation must be more than a conventional heatmap.</x:v>
      </x:c>
      <x:c r="G6" s="418"/>
      <x:c r="H6" s="418"/>
      <x:c r="I6" s="418"/>
      <x:c r="J6" s="418"/>
      <x:c r="K6" s="418"/>
      <x:c r="L6" s="418"/>
      <x:c r="M6" s="418"/>
      <x:c r="N6" s="418"/>
      <x:c r="O6" s="418"/>
      <x:c r="P6" s="418"/>
      <x:c r="Q6" s="418"/>
      <x:c r="R6" s="418"/>
      <x:c r="S6" s="418"/>
      <x:c r="T6" s="418"/>
      <x:c r="U6" s="418"/>
      <x:c r="V6" s="418"/>
      <x:c r="W6" s="418"/>
      <x:c r="X6" s="418"/>
      <x:c r="Y6" s="418"/>
      <x:c r="Z6" s="418"/>
    </x:row>
    <x:row r="7" ht="56" customHeight="1">
      <x:c r="A7" s="426" t="str">
        <x:v>Inclusion</x:v>
      </x:c>
      <x:c r="B7" s="426" t="str">
        <x:v>I4</x:v>
      </x:c>
      <x:c r="C7" s="426" t="str">
        <x:v>Evidence type</x:v>
      </x:c>
      <x:c r="D7" s="426" t="str">
        <x:v>Original empirical study with sufficient methodological and evaluation detail.</x:v>
      </x:c>
      <x:c r="E7" s="426" t="str">
        <x:v>Include</x:v>
      </x:c>
      <x:c r="F7" s="426" t="str">
        <x:v>Preprints may be retained when no final publication is available.</x:v>
      </x:c>
      <x:c r="G7" s="418"/>
      <x:c r="H7" s="418"/>
      <x:c r="I7" s="418"/>
      <x:c r="J7" s="418"/>
      <x:c r="K7" s="418"/>
      <x:c r="L7" s="418"/>
      <x:c r="M7" s="418"/>
      <x:c r="N7" s="418"/>
      <x:c r="O7" s="418"/>
      <x:c r="P7" s="418"/>
      <x:c r="Q7" s="418"/>
      <x:c r="R7" s="418"/>
      <x:c r="S7" s="418"/>
      <x:c r="T7" s="418"/>
      <x:c r="U7" s="418"/>
      <x:c r="V7" s="418"/>
      <x:c r="W7" s="418"/>
      <x:c r="X7" s="418"/>
      <x:c r="Y7" s="418"/>
      <x:c r="Z7" s="418"/>
    </x:row>
    <x:row r="8" ht="56" customHeight="1">
      <x:c r="A8" s="426" t="str">
        <x:v>Inclusion</x:v>
      </x:c>
      <x:c r="B8" s="426" t="str">
        <x:v>I5</x:v>
      </x:c>
      <x:c r="C8" s="426" t="str">
        <x:v>Contextual evidence</x:v>
      </x:c>
      <x:c r="D8" s="426" t="str">
        <x:v>A closely related concept-oriented or structured explainability study may be retained only when its role is explicitly marked contextual.</x:v>
      </x:c>
      <x:c r="E8" s="426" t="str">
        <x:v>Include</x:v>
      </x:c>
      <x:c r="F8" s="426" t="str">
        <x:v>The manuscript currently states seven direct studies and two contextual studies.</x:v>
      </x:c>
      <x:c r="G8" s="418"/>
      <x:c r="H8" s="418"/>
      <x:c r="I8" s="418"/>
      <x:c r="J8" s="418"/>
      <x:c r="K8" s="418"/>
      <x:c r="L8" s="418"/>
      <x:c r="M8" s="418"/>
      <x:c r="N8" s="418"/>
      <x:c r="O8" s="418"/>
      <x:c r="P8" s="418"/>
      <x:c r="Q8" s="418"/>
      <x:c r="R8" s="418"/>
      <x:c r="S8" s="418"/>
      <x:c r="T8" s="418"/>
      <x:c r="U8" s="418"/>
      <x:c r="V8" s="418"/>
      <x:c r="W8" s="418"/>
      <x:c r="X8" s="418"/>
      <x:c r="Y8" s="418"/>
      <x:c r="Z8" s="418"/>
    </x:row>
    <x:row r="9" ht="56" customHeight="1">
      <x:c r="A9" s="426" t="str">
        <x:v>Exclusion</x:v>
      </x:c>
      <x:c r="B9" s="426" t="str">
        <x:v>E1</x:v>
      </x:c>
      <x:c r="C9" s="426" t="str">
        <x:v>Wrong domain</x:v>
      </x:c>
      <x:c r="D9" s="426" t="str">
        <x:v>Not related to retinal or ophthalmic imaging and not justified as contextual evidence.</x:v>
      </x:c>
      <x:c r="E9" s="426" t="str">
        <x:v>Exclude</x:v>
      </x:c>
      <x:c r="F9" s="426"/>
      <x:c r="G9" s="418"/>
      <x:c r="H9" s="418"/>
      <x:c r="I9" s="418"/>
      <x:c r="J9" s="418"/>
      <x:c r="K9" s="418"/>
      <x:c r="L9" s="418"/>
      <x:c r="M9" s="418"/>
      <x:c r="N9" s="418"/>
      <x:c r="O9" s="418"/>
      <x:c r="P9" s="418"/>
      <x:c r="Q9" s="418"/>
      <x:c r="R9" s="418"/>
      <x:c r="S9" s="418"/>
      <x:c r="T9" s="418"/>
      <x:c r="U9" s="418"/>
      <x:c r="V9" s="418"/>
      <x:c r="W9" s="418"/>
      <x:c r="X9" s="418"/>
      <x:c r="Y9" s="418"/>
      <x:c r="Z9" s="418"/>
    </x:row>
    <x:row r="10" ht="56" customHeight="1">
      <x:c r="A10" s="426" t="str">
        <x:v>Exclusion</x:v>
      </x:c>
      <x:c r="B10" s="426" t="str">
        <x:v>E2</x:v>
      </x:c>
      <x:c r="C10" s="426" t="str">
        <x:v>Wrong explainability type</x:v>
      </x:c>
      <x:c r="D10" s="426" t="str">
        <x:v>No concept-based or structured concept-oriented method.</x:v>
      </x:c>
      <x:c r="E10" s="426" t="str">
        <x:v>Exclude</x:v>
      </x:c>
      <x:c r="F10" s="426"/>
      <x:c r="G10" s="418"/>
      <x:c r="H10" s="418"/>
      <x:c r="I10" s="418"/>
      <x:c r="J10" s="418"/>
      <x:c r="K10" s="418"/>
      <x:c r="L10" s="418"/>
      <x:c r="M10" s="418"/>
      <x:c r="N10" s="418"/>
      <x:c r="O10" s="418"/>
      <x:c r="P10" s="418"/>
      <x:c r="Q10" s="418"/>
      <x:c r="R10" s="418"/>
      <x:c r="S10" s="418"/>
      <x:c r="T10" s="418"/>
      <x:c r="U10" s="418"/>
      <x:c r="V10" s="418"/>
      <x:c r="W10" s="418"/>
      <x:c r="X10" s="418"/>
      <x:c r="Y10" s="418"/>
      <x:c r="Z10" s="418"/>
    </x:row>
    <x:row r="11" ht="56" customHeight="1">
      <x:c r="A11" s="426" t="str">
        <x:v>Exclusion</x:v>
      </x:c>
      <x:c r="B11" s="426" t="str">
        <x:v>E3</x:v>
      </x:c>
      <x:c r="C11" s="426" t="str">
        <x:v>Saliency only</x:v>
      </x:c>
      <x:c r="D11" s="426" t="str">
        <x:v>Uses only conventional saliency, attention maps, Grad-CAM, SHAP, LIME, or feature attribution without a concept representation.</x:v>
      </x:c>
      <x:c r="E11" s="426" t="str">
        <x:v>Exclude</x:v>
      </x:c>
      <x:c r="F11" s="426"/>
      <x:c r="G11" s="418"/>
      <x:c r="H11" s="418"/>
      <x:c r="I11" s="418"/>
      <x:c r="J11" s="418"/>
      <x:c r="K11" s="418"/>
      <x:c r="L11" s="418"/>
      <x:c r="M11" s="418"/>
      <x:c r="N11" s="418"/>
      <x:c r="O11" s="418"/>
      <x:c r="P11" s="418"/>
      <x:c r="Q11" s="418"/>
      <x:c r="R11" s="418"/>
      <x:c r="S11" s="418"/>
      <x:c r="T11" s="418"/>
      <x:c r="U11" s="418"/>
      <x:c r="V11" s="418"/>
      <x:c r="W11" s="418"/>
      <x:c r="X11" s="418"/>
      <x:c r="Y11" s="418"/>
      <x:c r="Z11" s="418"/>
    </x:row>
    <x:row r="12" ht="56" customHeight="1">
      <x:c r="A12" s="426" t="str">
        <x:v>Exclusion</x:v>
      </x:c>
      <x:c r="B12" s="426" t="str">
        <x:v>E4</x:v>
      </x:c>
      <x:c r="C12" s="426" t="str">
        <x:v>Non-original evidence</x:v>
      </x:c>
      <x:c r="D12" s="426" t="str">
        <x:v>Review, editorial, commentary, protocol, thesis-only record, or abstract without original empirical evaluation.</x:v>
      </x:c>
      <x:c r="E12" s="426" t="str">
        <x:v>Exclude</x:v>
      </x:c>
      <x:c r="F12" s="426" t="str">
        <x:v>May still be used for background or citation chasing, but not counted among included retinal studies.</x:v>
      </x:c>
      <x:c r="G12" s="418"/>
      <x:c r="H12" s="418"/>
      <x:c r="I12" s="418"/>
      <x:c r="J12" s="418"/>
      <x:c r="K12" s="418"/>
      <x:c r="L12" s="418"/>
      <x:c r="M12" s="418"/>
      <x:c r="N12" s="418"/>
      <x:c r="O12" s="418"/>
      <x:c r="P12" s="418"/>
      <x:c r="Q12" s="418"/>
      <x:c r="R12" s="418"/>
      <x:c r="S12" s="418"/>
      <x:c r="T12" s="418"/>
      <x:c r="U12" s="418"/>
      <x:c r="V12" s="418"/>
      <x:c r="W12" s="418"/>
      <x:c r="X12" s="418"/>
      <x:c r="Y12" s="418"/>
      <x:c r="Z12" s="418"/>
    </x:row>
    <x:row r="13" ht="56" customHeight="1">
      <x:c r="A13" s="426" t="str">
        <x:v>Exclusion</x:v>
      </x:c>
      <x:c r="B13" s="426" t="str">
        <x:v>E5</x:v>
      </x:c>
      <x:c r="C13" s="426" t="str">
        <x:v>Insufficient detail</x:v>
      </x:c>
      <x:c r="D13" s="426" t="str">
        <x:v>Full text does not provide enough information to assess the concept method, retinal evaluation, or outcomes.</x:v>
      </x:c>
      <x:c r="E13" s="426" t="str">
        <x:v>Exclude</x:v>
      </x:c>
      <x:c r="F13" s="426"/>
      <x:c r="G13" s="418"/>
      <x:c r="H13" s="418"/>
      <x:c r="I13" s="418"/>
      <x:c r="J13" s="418"/>
      <x:c r="K13" s="418"/>
      <x:c r="L13" s="418"/>
      <x:c r="M13" s="418"/>
      <x:c r="N13" s="418"/>
      <x:c r="O13" s="418"/>
      <x:c r="P13" s="418"/>
      <x:c r="Q13" s="418"/>
      <x:c r="R13" s="418"/>
      <x:c r="S13" s="418"/>
      <x:c r="T13" s="418"/>
      <x:c r="U13" s="418"/>
      <x:c r="V13" s="418"/>
      <x:c r="W13" s="418"/>
      <x:c r="X13" s="418"/>
      <x:c r="Y13" s="418"/>
      <x:c r="Z13" s="418"/>
    </x:row>
    <x:row r="14" ht="56" customHeight="1">
      <x:c r="A14" s="426" t="str">
        <x:v>Exclusion</x:v>
      </x:c>
      <x:c r="B14" s="426" t="str">
        <x:v>E6</x:v>
      </x:c>
      <x:c r="C14" s="426" t="str">
        <x:v>Duplicate/version</x:v>
      </x:c>
      <x:c r="D14" s="426" t="str">
        <x:v>Duplicate retrieval or earlier preprint/conference version when a fuller final publication is available.</x:v>
      </x:c>
      <x:c r="E14" s="426" t="str">
        <x:v>Exclude</x:v>
      </x:c>
      <x:c r="F14" s="426" t="str">
        <x:v>Retain one preferred publication version.</x:v>
      </x:c>
      <x:c r="G14" s="418"/>
      <x:c r="H14" s="418"/>
      <x:c r="I14" s="418"/>
      <x:c r="J14" s="418"/>
      <x:c r="K14" s="418"/>
      <x:c r="L14" s="418"/>
      <x:c r="M14" s="418"/>
      <x:c r="N14" s="418"/>
      <x:c r="O14" s="418"/>
      <x:c r="P14" s="418"/>
      <x:c r="Q14" s="418"/>
      <x:c r="R14" s="418"/>
      <x:c r="S14" s="418"/>
      <x:c r="T14" s="418"/>
      <x:c r="U14" s="418"/>
      <x:c r="V14" s="418"/>
      <x:c r="W14" s="418"/>
      <x:c r="X14" s="418"/>
      <x:c r="Y14" s="418"/>
      <x:c r="Z14" s="418"/>
    </x:row>
    <x:row r="15" ht="56" customHeight="1">
      <x:c r="A15" s="426" t="str">
        <x:v>Exclusion</x:v>
      </x:c>
      <x:c r="B15" s="426" t="str">
        <x:v>E7</x:v>
      </x:c>
      <x:c r="C15" s="426" t="str">
        <x:v>Outside date range</x:v>
      </x:c>
      <x:c r="D15" s="426" t="str">
        <x:v>Outside 1 January 2017–6 August 2026.</x:v>
      </x:c>
      <x:c r="E15" s="426" t="str">
        <x:v>Exclude</x:v>
      </x:c>
      <x:c r="F15" s="426"/>
      <x:c r="G15" s="418"/>
      <x:c r="H15" s="418"/>
      <x:c r="I15" s="418"/>
      <x:c r="J15" s="418"/>
      <x:c r="K15" s="418"/>
      <x:c r="L15" s="418"/>
      <x:c r="M15" s="418"/>
      <x:c r="N15" s="418"/>
      <x:c r="O15" s="418"/>
      <x:c r="P15" s="418"/>
      <x:c r="Q15" s="418"/>
      <x:c r="R15" s="418"/>
      <x:c r="S15" s="418"/>
      <x:c r="T15" s="418"/>
      <x:c r="U15" s="418"/>
      <x:c r="V15" s="418"/>
      <x:c r="W15" s="418"/>
      <x:c r="X15" s="418"/>
      <x:c r="Y15" s="418"/>
      <x:c r="Z15" s="418"/>
    </x:row>
    <x:row r="16" ht="56" customHeight="1">
      <x:c r="A16" s="426" t="str">
        <x:v>Exclusion</x:v>
      </x:c>
      <x:c r="B16" s="426" t="str">
        <x:v>E8</x:v>
      </x:c>
      <x:c r="C16" s="426" t="str">
        <x:v>Full text unavailable</x:v>
      </x:c>
      <x:c r="D16" s="426" t="str">
        <x:v>Full text could not be retrieved after documented attempts.</x:v>
      </x:c>
      <x:c r="E16" s="426" t="str">
        <x:v>Exclude</x:v>
      </x:c>
      <x:c r="F16" s="426" t="str">
        <x:v>Report separately in PRISMA as not retrieved.</x:v>
      </x:c>
      <x:c r="G16" s="418"/>
      <x:c r="H16" s="418"/>
      <x:c r="I16" s="418"/>
      <x:c r="J16" s="418"/>
      <x:c r="K16" s="418"/>
      <x:c r="L16" s="418"/>
      <x:c r="M16" s="418"/>
      <x:c r="N16" s="418"/>
      <x:c r="O16" s="418"/>
      <x:c r="P16" s="418"/>
      <x:c r="Q16" s="418"/>
      <x:c r="R16" s="418"/>
      <x:c r="S16" s="418"/>
      <x:c r="T16" s="418"/>
      <x:c r="U16" s="418"/>
      <x:c r="V16" s="418"/>
      <x:c r="W16" s="418"/>
      <x:c r="X16" s="418"/>
      <x:c r="Y16" s="418"/>
      <x:c r="Z16" s="418"/>
    </x:row>
    <x:row r="17">
      <x:c r="A17" s="418"/>
      <x:c r="B17" s="418"/>
      <x:c r="C17" s="418"/>
      <x:c r="D17" s="418"/>
      <x:c r="E17" s="418"/>
      <x:c r="F17" s="418"/>
      <x:c r="G17" s="418"/>
      <x:c r="H17" s="418"/>
      <x:c r="I17" s="418"/>
      <x:c r="J17" s="418"/>
      <x:c r="K17" s="418"/>
      <x:c r="L17" s="418"/>
      <x:c r="M17" s="418"/>
      <x:c r="N17" s="418"/>
      <x:c r="O17" s="418"/>
      <x:c r="P17" s="418"/>
      <x:c r="Q17" s="418"/>
      <x:c r="R17" s="418"/>
      <x:c r="S17" s="418"/>
      <x:c r="T17" s="418"/>
      <x:c r="U17" s="418"/>
      <x:c r="V17" s="418"/>
      <x:c r="W17" s="418"/>
      <x:c r="X17" s="418"/>
      <x:c r="Y17" s="418"/>
      <x:c r="Z17" s="418"/>
    </x:row>
    <x:row r="18">
      <x:c r="A18" s="418"/>
      <x:c r="B18" s="418"/>
      <x:c r="C18" s="418"/>
      <x:c r="D18" s="418"/>
      <x:c r="E18" s="418"/>
      <x:c r="F18" s="418"/>
      <x:c r="G18" s="418"/>
      <x:c r="H18" s="418"/>
      <x:c r="I18" s="418"/>
      <x:c r="J18" s="418"/>
      <x:c r="K18" s="418"/>
      <x:c r="L18" s="418"/>
      <x:c r="M18" s="418"/>
      <x:c r="N18" s="418"/>
      <x:c r="O18" s="418"/>
      <x:c r="P18" s="418"/>
      <x:c r="Q18" s="418"/>
      <x:c r="R18" s="418"/>
      <x:c r="S18" s="418"/>
      <x:c r="T18" s="418"/>
      <x:c r="U18" s="418"/>
      <x:c r="V18" s="418"/>
      <x:c r="W18" s="418"/>
      <x:c r="X18" s="418"/>
      <x:c r="Y18" s="418"/>
      <x:c r="Z18" s="418"/>
    </x:row>
    <x:row r="19">
      <x:c r="A19" s="418"/>
      <x:c r="B19" s="418"/>
      <x:c r="C19" s="418"/>
      <x:c r="D19" s="418"/>
      <x:c r="E19" s="418"/>
      <x:c r="F19" s="418"/>
      <x:c r="G19" s="418"/>
      <x:c r="H19" s="418"/>
      <x:c r="I19" s="418"/>
      <x:c r="J19" s="418"/>
      <x:c r="K19" s="418"/>
      <x:c r="L19" s="418"/>
      <x:c r="M19" s="418"/>
      <x:c r="N19" s="418"/>
      <x:c r="O19" s="418"/>
      <x:c r="P19" s="418"/>
      <x:c r="Q19" s="418"/>
      <x:c r="R19" s="418"/>
      <x:c r="S19" s="418"/>
      <x:c r="T19" s="418"/>
      <x:c r="U19" s="418"/>
      <x:c r="V19" s="418"/>
      <x:c r="W19" s="418"/>
      <x:c r="X19" s="418"/>
      <x:c r="Y19" s="418"/>
      <x:c r="Z19" s="418"/>
    </x:row>
    <x:row r="20">
      <x:c r="A20" s="418"/>
      <x:c r="B20" s="418"/>
      <x:c r="C20" s="418"/>
      <x:c r="D20" s="418"/>
      <x:c r="E20" s="418"/>
      <x:c r="F20" s="418"/>
      <x:c r="G20" s="418"/>
      <x:c r="H20" s="418"/>
      <x:c r="I20" s="418"/>
      <x:c r="J20" s="418"/>
      <x:c r="K20" s="418"/>
      <x:c r="L20" s="418"/>
      <x:c r="M20" s="418"/>
      <x:c r="N20" s="418"/>
      <x:c r="O20" s="418"/>
      <x:c r="P20" s="418"/>
      <x:c r="Q20" s="418"/>
      <x:c r="R20" s="418"/>
      <x:c r="S20" s="418"/>
      <x:c r="T20" s="418"/>
      <x:c r="U20" s="418"/>
      <x:c r="V20" s="418"/>
      <x:c r="W20" s="418"/>
      <x:c r="X20" s="418"/>
      <x:c r="Y20" s="418"/>
      <x:c r="Z20" s="418"/>
    </x:row>
    <x:row r="21">
      <x:c r="A21" s="418"/>
      <x:c r="B21" s="418"/>
      <x:c r="C21" s="418"/>
      <x:c r="D21" s="418"/>
      <x:c r="E21" s="418"/>
      <x:c r="F21" s="418"/>
      <x:c r="G21" s="418"/>
      <x:c r="H21" s="418"/>
      <x:c r="I21" s="418"/>
      <x:c r="J21" s="418"/>
      <x:c r="K21" s="418"/>
      <x:c r="L21" s="418"/>
      <x:c r="M21" s="418"/>
      <x:c r="N21" s="418"/>
      <x:c r="O21" s="418"/>
      <x:c r="P21" s="418"/>
      <x:c r="Q21" s="418"/>
      <x:c r="R21" s="418"/>
      <x:c r="S21" s="418"/>
      <x:c r="T21" s="418"/>
      <x:c r="U21" s="418"/>
      <x:c r="V21" s="418"/>
      <x:c r="W21" s="418"/>
      <x:c r="X21" s="418"/>
      <x:c r="Y21" s="418"/>
      <x:c r="Z21" s="418"/>
    </x:row>
    <x:row r="22">
      <x:c r="A22" s="418"/>
      <x:c r="B22" s="418"/>
      <x:c r="C22" s="418"/>
      <x:c r="D22" s="418"/>
      <x:c r="E22" s="418"/>
      <x:c r="F22" s="418"/>
      <x:c r="G22" s="418"/>
      <x:c r="H22" s="418"/>
      <x:c r="I22" s="418"/>
      <x:c r="J22" s="418"/>
      <x:c r="K22" s="418"/>
      <x:c r="L22" s="418"/>
      <x:c r="M22" s="418"/>
      <x:c r="N22" s="418"/>
      <x:c r="O22" s="418"/>
      <x:c r="P22" s="418"/>
      <x:c r="Q22" s="418"/>
      <x:c r="R22" s="418"/>
      <x:c r="S22" s="418"/>
      <x:c r="T22" s="418"/>
      <x:c r="U22" s="418"/>
      <x:c r="V22" s="418"/>
      <x:c r="W22" s="418"/>
      <x:c r="X22" s="418"/>
      <x:c r="Y22" s="418"/>
      <x:c r="Z22" s="418"/>
    </x:row>
    <x:row r="23">
      <x:c r="A23" s="418"/>
      <x:c r="B23" s="418"/>
      <x:c r="C23" s="418"/>
      <x:c r="D23" s="418"/>
      <x:c r="E23" s="418"/>
      <x:c r="F23" s="418"/>
      <x:c r="G23" s="418"/>
      <x:c r="H23" s="418"/>
      <x:c r="I23" s="418"/>
      <x:c r="J23" s="418"/>
      <x:c r="K23" s="418"/>
      <x:c r="L23" s="418"/>
      <x:c r="M23" s="418"/>
      <x:c r="N23" s="418"/>
      <x:c r="O23" s="418"/>
      <x:c r="P23" s="418"/>
      <x:c r="Q23" s="418"/>
      <x:c r="R23" s="418"/>
      <x:c r="S23" s="418"/>
      <x:c r="T23" s="418"/>
      <x:c r="U23" s="418"/>
      <x:c r="V23" s="418"/>
      <x:c r="W23" s="418"/>
      <x:c r="X23" s="418"/>
      <x:c r="Y23" s="418"/>
      <x:c r="Z23" s="418"/>
    </x:row>
    <x:row r="24">
      <x:c r="A24" s="418"/>
      <x:c r="B24" s="418"/>
      <x:c r="C24" s="418"/>
      <x:c r="D24" s="418"/>
      <x:c r="E24" s="418"/>
      <x:c r="F24" s="418"/>
      <x:c r="G24" s="418"/>
      <x:c r="H24" s="418"/>
      <x:c r="I24" s="418"/>
      <x:c r="J24" s="418"/>
      <x:c r="K24" s="418"/>
      <x:c r="L24" s="418"/>
      <x:c r="M24" s="418"/>
      <x:c r="N24" s="418"/>
      <x:c r="O24" s="418"/>
      <x:c r="P24" s="418"/>
      <x:c r="Q24" s="418"/>
      <x:c r="R24" s="418"/>
      <x:c r="S24" s="418"/>
      <x:c r="T24" s="418"/>
      <x:c r="U24" s="418"/>
      <x:c r="V24" s="418"/>
      <x:c r="W24" s="418"/>
      <x:c r="X24" s="418"/>
      <x:c r="Y24" s="418"/>
      <x:c r="Z24" s="418"/>
    </x:row>
    <x:row r="25">
      <x:c r="A25" s="418"/>
      <x:c r="B25" s="418"/>
      <x:c r="C25" s="418"/>
      <x:c r="D25" s="418"/>
      <x:c r="E25" s="418"/>
      <x:c r="F25" s="418"/>
      <x:c r="G25" s="418"/>
      <x:c r="H25" s="418"/>
      <x:c r="I25" s="418"/>
      <x:c r="J25" s="418"/>
      <x:c r="K25" s="418"/>
      <x:c r="L25" s="418"/>
      <x:c r="M25" s="418"/>
      <x:c r="N25" s="418"/>
      <x:c r="O25" s="418"/>
      <x:c r="P25" s="418"/>
      <x:c r="Q25" s="418"/>
      <x:c r="R25" s="418"/>
      <x:c r="S25" s="418"/>
      <x:c r="T25" s="418"/>
      <x:c r="U25" s="418"/>
      <x:c r="V25" s="418"/>
      <x:c r="W25" s="418"/>
      <x:c r="X25" s="418"/>
      <x:c r="Y25" s="418"/>
      <x:c r="Z25" s="418"/>
    </x:row>
    <x:row r="26">
      <x:c r="A26" s="418"/>
      <x:c r="B26" s="418"/>
      <x:c r="C26" s="418"/>
      <x:c r="D26" s="418"/>
      <x:c r="E26" s="418"/>
      <x:c r="F26" s="418"/>
      <x:c r="G26" s="418"/>
      <x:c r="H26" s="418"/>
      <x:c r="I26" s="418"/>
      <x:c r="J26" s="418"/>
      <x:c r="K26" s="418"/>
      <x:c r="L26" s="418"/>
      <x:c r="M26" s="418"/>
      <x:c r="N26" s="418"/>
      <x:c r="O26" s="418"/>
      <x:c r="P26" s="418"/>
      <x:c r="Q26" s="418"/>
      <x:c r="R26" s="418"/>
      <x:c r="S26" s="418"/>
      <x:c r="T26" s="418"/>
      <x:c r="U26" s="418"/>
      <x:c r="V26" s="418"/>
      <x:c r="W26" s="418"/>
      <x:c r="X26" s="418"/>
      <x:c r="Y26" s="418"/>
      <x:c r="Z26" s="418"/>
    </x:row>
    <x:row r="27">
      <x:c r="A27" s="418"/>
      <x:c r="B27" s="418"/>
      <x:c r="C27" s="418"/>
      <x:c r="D27" s="418"/>
      <x:c r="E27" s="418"/>
      <x:c r="F27" s="418"/>
      <x:c r="G27" s="418"/>
      <x:c r="H27" s="418"/>
      <x:c r="I27" s="418"/>
      <x:c r="J27" s="418"/>
      <x:c r="K27" s="418"/>
      <x:c r="L27" s="418"/>
      <x:c r="M27" s="418"/>
      <x:c r="N27" s="418"/>
      <x:c r="O27" s="418"/>
      <x:c r="P27" s="418"/>
      <x:c r="Q27" s="418"/>
      <x:c r="R27" s="418"/>
      <x:c r="S27" s="418"/>
      <x:c r="T27" s="418"/>
      <x:c r="U27" s="418"/>
      <x:c r="V27" s="418"/>
      <x:c r="W27" s="418"/>
      <x:c r="X27" s="418"/>
      <x:c r="Y27" s="418"/>
      <x:c r="Z27" s="418"/>
    </x:row>
    <x:row r="28">
      <x:c r="A28" s="418"/>
      <x:c r="B28" s="418"/>
      <x:c r="C28" s="418"/>
      <x:c r="D28" s="418"/>
      <x:c r="E28" s="418"/>
      <x:c r="F28" s="418"/>
      <x:c r="G28" s="418"/>
      <x:c r="H28" s="418"/>
      <x:c r="I28" s="418"/>
      <x:c r="J28" s="418"/>
      <x:c r="K28" s="418"/>
      <x:c r="L28" s="418"/>
      <x:c r="M28" s="418"/>
      <x:c r="N28" s="418"/>
      <x:c r="O28" s="418"/>
      <x:c r="P28" s="418"/>
      <x:c r="Q28" s="418"/>
      <x:c r="R28" s="418"/>
      <x:c r="S28" s="418"/>
      <x:c r="T28" s="418"/>
      <x:c r="U28" s="418"/>
      <x:c r="V28" s="418"/>
      <x:c r="W28" s="418"/>
      <x:c r="X28" s="418"/>
      <x:c r="Y28" s="418"/>
      <x:c r="Z28" s="418"/>
    </x:row>
    <x:row r="29">
      <x:c r="A29" s="418"/>
      <x:c r="B29" s="418"/>
      <x:c r="C29" s="418"/>
      <x:c r="D29" s="418"/>
      <x:c r="E29" s="418"/>
      <x:c r="F29" s="418"/>
      <x:c r="G29" s="418"/>
      <x:c r="H29" s="418"/>
      <x:c r="I29" s="418"/>
      <x:c r="J29" s="418"/>
      <x:c r="K29" s="418"/>
      <x:c r="L29" s="418"/>
      <x:c r="M29" s="418"/>
      <x:c r="N29" s="418"/>
      <x:c r="O29" s="418"/>
      <x:c r="P29" s="418"/>
      <x:c r="Q29" s="418"/>
      <x:c r="R29" s="418"/>
      <x:c r="S29" s="418"/>
      <x:c r="T29" s="418"/>
      <x:c r="U29" s="418"/>
      <x:c r="V29" s="418"/>
      <x:c r="W29" s="418"/>
      <x:c r="X29" s="418"/>
      <x:c r="Y29" s="418"/>
      <x:c r="Z29" s="418"/>
    </x:row>
    <x:row r="30">
      <x:c r="A30" s="418"/>
      <x:c r="B30" s="418"/>
      <x:c r="C30" s="418"/>
      <x:c r="D30" s="418"/>
      <x:c r="E30" s="418"/>
      <x:c r="F30" s="418"/>
      <x:c r="G30" s="418"/>
      <x:c r="H30" s="418"/>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F1"/>
  </x:mergeCells>
  <x:pageMargins left="0.7" right="0.7" top="0.75" bottom="0.75" header="0.3" footer="0.3"/>
  <x:tableParts count="1">
    <x:tablePart xmlns:r="http://schemas.openxmlformats.org/officeDocument/2006/relationships" r:id="R4e3f8e9ac78e4866"/>
  </x:tableParts>
</x:worksheet>
</file>

<file path=xl/worksheets/sheet7.xml><?xml version="1.0" encoding="utf-8"?>
<x:worksheet xmlns:x="http://schemas.openxmlformats.org/spreadsheetml/2006/main">
  <x:sheetFormatPr defaultRowHeight="15"/>
  <x:cols>
    <x:col min="1" max="1" width="15" hidden="0" customWidth="1"/>
    <x:col min="2" max="2" width="52" hidden="0" customWidth="1"/>
    <x:col min="3" max="3" width="18" hidden="0" customWidth="1"/>
    <x:col min="4" max="4" width="22" hidden="0" customWidth="1"/>
    <x:col min="5" max="5" width="27" hidden="0" customWidth="1"/>
    <x:col min="6" max="6" width="24" hidden="0" customWidth="1"/>
    <x:col min="7" max="7" width="42" hidden="0" customWidth="1"/>
    <x:col min="8" max="8" width="42" hidden="0" customWidth="1"/>
    <x:col min="9" max="9" width="18" hidden="0" customWidth="1"/>
  </x:cols>
  <x:sheetData>
    <x:row r="1" ht="30" customHeight="1">
      <x:c r="A1" s="533" t="str">
        <x:v>Full-Text Exclusion Log — Author-Verified Audit</x:v>
      </x:c>
      <x:c r="B1" s="533"/>
      <x:c r="C1" s="533"/>
      <x:c r="D1" s="533"/>
      <x:c r="E1" s="533"/>
      <x:c r="F1" s="533"/>
      <x:c r="G1" s="533"/>
      <x:c r="H1" s="533"/>
      <x:c r="I1" s="533"/>
      <x:c r="J1" s="418"/>
      <x:c r="K1" s="418"/>
      <x:c r="L1" s="418"/>
      <x:c r="M1" s="418"/>
      <x:c r="N1" s="418"/>
      <x:c r="O1" s="418"/>
      <x:c r="P1" s="418"/>
      <x:c r="Q1" s="418"/>
      <x:c r="R1" s="418"/>
      <x:c r="S1" s="418"/>
      <x:c r="T1" s="418"/>
      <x:c r="U1" s="418"/>
      <x:c r="V1" s="418"/>
      <x:c r="W1" s="418"/>
      <x:c r="X1" s="418"/>
      <x:c r="Y1" s="418"/>
      <x:c r="Z1" s="418"/>
    </x:row>
    <x:row r="2" ht="32" customHeight="1">
      <x:c r="A2" s="801" t="str">
        <x:v>The corresponding author assessed all 110 retrieved reports: 109 were included and one was excluded (GS-04-008). Two additional authors performed random spot checks on selected papers. The exclusion is counted in PRISMA and documented below.</x:v>
      </x:c>
      <x:c r="B2" s="801"/>
      <x:c r="C2" s="801"/>
      <x:c r="D2" s="801"/>
      <x:c r="E2" s="801"/>
      <x:c r="F2" s="801"/>
      <x:c r="G2" s="801"/>
      <x:c r="H2" s="801"/>
      <x:c r="I2" s="801"/>
      <x:c r="J2" s="418"/>
      <x:c r="K2" s="418"/>
      <x:c r="L2" s="418"/>
      <x:c r="M2" s="418"/>
      <x:c r="N2" s="418"/>
      <x:c r="O2" s="418"/>
      <x:c r="P2" s="418"/>
      <x:c r="Q2" s="418"/>
      <x:c r="R2" s="418"/>
      <x:c r="S2" s="418"/>
      <x:c r="T2" s="418"/>
      <x:c r="U2" s="418"/>
      <x:c r="V2" s="418"/>
      <x:c r="W2" s="418"/>
      <x:c r="X2" s="418"/>
      <x:c r="Y2" s="418"/>
      <x:c r="Z2" s="418"/>
    </x:row>
    <x:row r="3" ht="38" customHeight="1">
      <x:c r="A3" s="425" t="str">
        <x:v>Record ID</x:v>
      </x:c>
      <x:c r="B3" s="425" t="str">
        <x:v>Citation / title</x:v>
      </x:c>
      <x:c r="C3" s="425" t="str">
        <x:v>Full text retrieved?</x:v>
      </x:c>
      <x:c r="D3" s="425" t="str">
        <x:v>Primary decision</x:v>
      </x:c>
      <x:c r="E3" s="425" t="str">
        <x:v>Random verification</x:v>
      </x:c>
      <x:c r="F3" s="425" t="str">
        <x:v>Final decision</x:v>
      </x:c>
      <x:c r="G3" s="425" t="str">
        <x:v>Primary exclusion reason</x:v>
      </x:c>
      <x:c r="H3" s="425" t="str">
        <x:v>Supporting note</x:v>
      </x:c>
      <x:c r="I3" s="425" t="str">
        <x:v>Counted in PRISMA?</x:v>
      </x:c>
      <x:c r="J3" s="418"/>
      <x:c r="K3" s="418"/>
      <x:c r="L3" s="418"/>
      <x:c r="M3" s="418"/>
      <x:c r="N3" s="418"/>
      <x:c r="O3" s="418"/>
      <x:c r="P3" s="418"/>
      <x:c r="Q3" s="418"/>
      <x:c r="R3" s="418"/>
      <x:c r="S3" s="418"/>
      <x:c r="T3" s="418"/>
      <x:c r="U3" s="418"/>
      <x:c r="V3" s="418"/>
      <x:c r="W3" s="418"/>
      <x:c r="X3" s="418"/>
      <x:c r="Y3" s="418"/>
      <x:c r="Z3" s="418"/>
    </x:row>
    <x:row r="4" ht="62" customHeight="1">
      <x:c r="A4" s="921" t="str">
        <x:v>GS-04-008</x:v>
      </x:c>
      <x:c r="B4" s="922" t="str">
        <x:v>Towards trustworthy and explainable Al for ocular disease diagnosis using an ontalogy-guided neuro-symbolic framework</x:v>
      </x:c>
      <x:c r="C4" s="923" t="str">
        <x:v>Yes</x:v>
      </x:c>
      <x:c r="D4" s="923" t="str">
        <x:v>Exclude (corresponding author)</x:v>
      </x:c>
      <x:c r="E4" s="923" t="str">
        <x:v>Random co-author spot checks completed at process level</x:v>
      </x:c>
      <x:c r="F4" s="923" t="str">
        <x:v>Exclude</x:v>
      </x:c>
      <x:c r="G4" s="922" t="str">
        <x:v>E5 — Insufficient retinal-specific concept evaluation detail</x:v>
      </x:c>
      <x:c r="H4" s="922" t="str">
        <x:v>The abstract describes a broad multi-class ocular classifier covering cataract, diabetic retinopathy, glaucoma and normal images, but does not report a distinct retinal-specific evaluation of the ontology-derived explanations sufficient for the predefined retinal concept-XAI synthesis.</x:v>
      </x:c>
      <x:c r="I4" s="924" t="str">
        <x:v>Yes</x:v>
      </x:c>
      <x:c r="J4" s="418"/>
      <x:c r="K4" s="418"/>
      <x:c r="L4" s="418"/>
      <x:c r="M4" s="418"/>
      <x:c r="N4" s="418"/>
      <x:c r="O4" s="418"/>
      <x:c r="P4" s="418"/>
      <x:c r="Q4" s="418"/>
      <x:c r="R4" s="418"/>
      <x:c r="S4" s="418"/>
      <x:c r="T4" s="418"/>
      <x:c r="U4" s="418"/>
      <x:c r="V4" s="418"/>
      <x:c r="W4" s="418"/>
      <x:c r="X4" s="418"/>
      <x:c r="Y4" s="418"/>
      <x:c r="Z4" s="418"/>
    </x:row>
    <x:row r="5">
      <x:c r="A5" s="427"/>
      <x:c r="B5" s="427"/>
      <x:c r="C5" s="427"/>
      <x:c r="D5" s="427"/>
      <x:c r="E5" s="427"/>
      <x:c r="F5" s="427"/>
      <x:c r="G5" s="427"/>
      <x:c r="H5" s="427"/>
      <x:c r="I5" s="427"/>
      <x:c r="J5" s="418"/>
      <x:c r="K5" s="418"/>
      <x:c r="L5" s="418"/>
      <x:c r="M5" s="418"/>
      <x:c r="N5" s="418"/>
      <x:c r="O5" s="418"/>
      <x:c r="P5" s="418"/>
      <x:c r="Q5" s="418"/>
      <x:c r="R5" s="418"/>
      <x:c r="S5" s="418"/>
      <x:c r="T5" s="418"/>
      <x:c r="U5" s="418"/>
      <x:c r="V5" s="418"/>
      <x:c r="W5" s="418"/>
      <x:c r="X5" s="418"/>
      <x:c r="Y5" s="418"/>
      <x:c r="Z5" s="418"/>
    </x:row>
    <x:row r="6">
      <x:c r="A6" s="427"/>
      <x:c r="B6" s="427"/>
      <x:c r="C6" s="427"/>
      <x:c r="D6" s="427"/>
      <x:c r="E6" s="427"/>
      <x:c r="F6" s="427"/>
      <x:c r="G6" s="427"/>
      <x:c r="H6" s="427"/>
      <x:c r="I6" s="427"/>
      <x:c r="J6" s="418"/>
      <x:c r="K6" s="418"/>
      <x:c r="L6" s="418"/>
      <x:c r="M6" s="418"/>
      <x:c r="N6" s="418"/>
      <x:c r="O6" s="418"/>
      <x:c r="P6" s="418"/>
      <x:c r="Q6" s="418"/>
      <x:c r="R6" s="418"/>
      <x:c r="S6" s="418"/>
      <x:c r="T6" s="418"/>
      <x:c r="U6" s="418"/>
      <x:c r="V6" s="418"/>
      <x:c r="W6" s="418"/>
      <x:c r="X6" s="418"/>
      <x:c r="Y6" s="418"/>
      <x:c r="Z6" s="418"/>
    </x:row>
    <x:row r="7">
      <x:c r="A7" s="427"/>
      <x:c r="B7" s="427"/>
      <x:c r="C7" s="427"/>
      <x:c r="D7" s="427"/>
      <x:c r="E7" s="427"/>
      <x:c r="F7" s="427"/>
      <x:c r="G7" s="427"/>
      <x:c r="H7" s="427"/>
      <x:c r="I7" s="427"/>
      <x:c r="J7" s="418"/>
      <x:c r="K7" s="418"/>
      <x:c r="L7" s="418"/>
      <x:c r="M7" s="418"/>
      <x:c r="N7" s="418"/>
      <x:c r="O7" s="418"/>
      <x:c r="P7" s="418"/>
      <x:c r="Q7" s="418"/>
      <x:c r="R7" s="418"/>
      <x:c r="S7" s="418"/>
      <x:c r="T7" s="418"/>
      <x:c r="U7" s="418"/>
      <x:c r="V7" s="418"/>
      <x:c r="W7" s="418"/>
      <x:c r="X7" s="418"/>
      <x:c r="Y7" s="418"/>
      <x:c r="Z7" s="418"/>
    </x:row>
    <x:row r="8">
      <x:c r="A8" s="427"/>
      <x:c r="B8" s="427"/>
      <x:c r="C8" s="427"/>
      <x:c r="D8" s="427"/>
      <x:c r="E8" s="427"/>
      <x:c r="F8" s="427"/>
      <x:c r="G8" s="427"/>
      <x:c r="H8" s="427"/>
      <x:c r="I8" s="427"/>
      <x:c r="J8" s="418"/>
      <x:c r="K8" s="418"/>
      <x:c r="L8" s="418"/>
      <x:c r="M8" s="418"/>
      <x:c r="N8" s="418"/>
      <x:c r="O8" s="418"/>
      <x:c r="P8" s="418"/>
      <x:c r="Q8" s="418"/>
      <x:c r="R8" s="418"/>
      <x:c r="S8" s="418"/>
      <x:c r="T8" s="418"/>
      <x:c r="U8" s="418"/>
      <x:c r="V8" s="418"/>
      <x:c r="W8" s="418"/>
      <x:c r="X8" s="418"/>
      <x:c r="Y8" s="418"/>
      <x:c r="Z8" s="418"/>
    </x:row>
    <x:row r="9">
      <x:c r="A9" s="427"/>
      <x:c r="B9" s="427"/>
      <x:c r="C9" s="427"/>
      <x:c r="D9" s="427"/>
      <x:c r="E9" s="427"/>
      <x:c r="F9" s="427"/>
      <x:c r="G9" s="427"/>
      <x:c r="H9" s="427"/>
      <x:c r="I9" s="427"/>
      <x:c r="J9" s="418"/>
      <x:c r="K9" s="418"/>
      <x:c r="L9" s="418"/>
      <x:c r="M9" s="418"/>
      <x:c r="N9" s="418"/>
      <x:c r="O9" s="418"/>
      <x:c r="P9" s="418"/>
      <x:c r="Q9" s="418"/>
      <x:c r="R9" s="418"/>
      <x:c r="S9" s="418"/>
      <x:c r="T9" s="418"/>
      <x:c r="U9" s="418"/>
      <x:c r="V9" s="418"/>
      <x:c r="W9" s="418"/>
      <x:c r="X9" s="418"/>
      <x:c r="Y9" s="418"/>
      <x:c r="Z9" s="418"/>
    </x:row>
    <x:row r="10">
      <x:c r="A10" s="427"/>
      <x:c r="B10" s="427"/>
      <x:c r="C10" s="427"/>
      <x:c r="D10" s="427"/>
      <x:c r="E10" s="427"/>
      <x:c r="F10" s="427"/>
      <x:c r="G10" s="427"/>
      <x:c r="H10" s="427"/>
      <x:c r="I10" s="427"/>
      <x:c r="J10" s="418"/>
      <x:c r="K10" s="418"/>
      <x:c r="L10" s="418"/>
      <x:c r="M10" s="418"/>
      <x:c r="N10" s="418"/>
      <x:c r="O10" s="418"/>
      <x:c r="P10" s="418"/>
      <x:c r="Q10" s="418"/>
      <x:c r="R10" s="418"/>
      <x:c r="S10" s="418"/>
      <x:c r="T10" s="418"/>
      <x:c r="U10" s="418"/>
      <x:c r="V10" s="418"/>
      <x:c r="W10" s="418"/>
      <x:c r="X10" s="418"/>
      <x:c r="Y10" s="418"/>
      <x:c r="Z10" s="418"/>
    </x:row>
    <x:row r="11">
      <x:c r="A11" s="427"/>
      <x:c r="B11" s="427"/>
      <x:c r="C11" s="427"/>
      <x:c r="D11" s="427"/>
      <x:c r="E11" s="427"/>
      <x:c r="F11" s="427"/>
      <x:c r="G11" s="427"/>
      <x:c r="H11" s="427"/>
      <x:c r="I11" s="427"/>
      <x:c r="J11" s="418"/>
      <x:c r="K11" s="418"/>
      <x:c r="L11" s="418"/>
      <x:c r="M11" s="418"/>
      <x:c r="N11" s="418"/>
      <x:c r="O11" s="418"/>
      <x:c r="P11" s="418"/>
      <x:c r="Q11" s="418"/>
      <x:c r="R11" s="418"/>
      <x:c r="S11" s="418"/>
      <x:c r="T11" s="418"/>
      <x:c r="U11" s="418"/>
      <x:c r="V11" s="418"/>
      <x:c r="W11" s="418"/>
      <x:c r="X11" s="418"/>
      <x:c r="Y11" s="418"/>
      <x:c r="Z11" s="418"/>
    </x:row>
    <x:row r="12">
      <x:c r="A12" s="427"/>
      <x:c r="B12" s="427"/>
      <x:c r="C12" s="427"/>
      <x:c r="D12" s="427"/>
      <x:c r="E12" s="427"/>
      <x:c r="F12" s="427"/>
      <x:c r="G12" s="427"/>
      <x:c r="H12" s="427"/>
      <x:c r="I12" s="427"/>
      <x:c r="J12" s="418"/>
      <x:c r="K12" s="418"/>
      <x:c r="L12" s="418"/>
      <x:c r="M12" s="418"/>
      <x:c r="N12" s="418"/>
      <x:c r="O12" s="418"/>
      <x:c r="P12" s="418"/>
      <x:c r="Q12" s="418"/>
      <x:c r="R12" s="418"/>
      <x:c r="S12" s="418"/>
      <x:c r="T12" s="418"/>
      <x:c r="U12" s="418"/>
      <x:c r="V12" s="418"/>
      <x:c r="W12" s="418"/>
      <x:c r="X12" s="418"/>
      <x:c r="Y12" s="418"/>
      <x:c r="Z12" s="418"/>
    </x:row>
    <x:row r="13">
      <x:c r="A13" s="427"/>
      <x:c r="B13" s="427"/>
      <x:c r="C13" s="427"/>
      <x:c r="D13" s="427"/>
      <x:c r="E13" s="427"/>
      <x:c r="F13" s="427"/>
      <x:c r="G13" s="427"/>
      <x:c r="H13" s="427"/>
      <x:c r="I13" s="427"/>
      <x:c r="J13" s="418"/>
      <x:c r="K13" s="418"/>
      <x:c r="L13" s="418"/>
      <x:c r="M13" s="418"/>
      <x:c r="N13" s="418"/>
      <x:c r="O13" s="418"/>
      <x:c r="P13" s="418"/>
      <x:c r="Q13" s="418"/>
      <x:c r="R13" s="418"/>
      <x:c r="S13" s="418"/>
      <x:c r="T13" s="418"/>
      <x:c r="U13" s="418"/>
      <x:c r="V13" s="418"/>
      <x:c r="W13" s="418"/>
      <x:c r="X13" s="418"/>
      <x:c r="Y13" s="418"/>
      <x:c r="Z13" s="418"/>
    </x:row>
    <x:row r="14">
      <x:c r="A14" s="427"/>
      <x:c r="B14" s="427"/>
      <x:c r="C14" s="427"/>
      <x:c r="D14" s="427"/>
      <x:c r="E14" s="427"/>
      <x:c r="F14" s="427"/>
      <x:c r="G14" s="427"/>
      <x:c r="H14" s="427"/>
      <x:c r="I14" s="427"/>
      <x:c r="J14" s="418"/>
      <x:c r="K14" s="418"/>
      <x:c r="L14" s="418"/>
      <x:c r="M14" s="418"/>
      <x:c r="N14" s="418"/>
      <x:c r="O14" s="418"/>
      <x:c r="P14" s="418"/>
      <x:c r="Q14" s="418"/>
      <x:c r="R14" s="418"/>
      <x:c r="S14" s="418"/>
      <x:c r="T14" s="418"/>
      <x:c r="U14" s="418"/>
      <x:c r="V14" s="418"/>
      <x:c r="W14" s="418"/>
      <x:c r="X14" s="418"/>
      <x:c r="Y14" s="418"/>
      <x:c r="Z14" s="418"/>
    </x:row>
    <x:row r="15">
      <x:c r="A15" s="427"/>
      <x:c r="B15" s="427"/>
      <x:c r="C15" s="427"/>
      <x:c r="D15" s="427"/>
      <x:c r="E15" s="427"/>
      <x:c r="F15" s="427"/>
      <x:c r="G15" s="427"/>
      <x:c r="H15" s="427"/>
      <x:c r="I15" s="427"/>
      <x:c r="J15" s="418"/>
      <x:c r="K15" s="418"/>
      <x:c r="L15" s="418"/>
      <x:c r="M15" s="418"/>
      <x:c r="N15" s="418"/>
      <x:c r="O15" s="418"/>
      <x:c r="P15" s="418"/>
      <x:c r="Q15" s="418"/>
      <x:c r="R15" s="418"/>
      <x:c r="S15" s="418"/>
      <x:c r="T15" s="418"/>
      <x:c r="U15" s="418"/>
      <x:c r="V15" s="418"/>
      <x:c r="W15" s="418"/>
      <x:c r="X15" s="418"/>
      <x:c r="Y15" s="418"/>
      <x:c r="Z15" s="418"/>
    </x:row>
    <x:row r="16">
      <x:c r="A16" s="427"/>
      <x:c r="B16" s="427"/>
      <x:c r="C16" s="427"/>
      <x:c r="D16" s="427"/>
      <x:c r="E16" s="427"/>
      <x:c r="F16" s="427"/>
      <x:c r="G16" s="427"/>
      <x:c r="H16" s="427"/>
      <x:c r="I16" s="427"/>
      <x:c r="J16" s="418"/>
      <x:c r="K16" s="418"/>
      <x:c r="L16" s="418"/>
      <x:c r="M16" s="418"/>
      <x:c r="N16" s="418"/>
      <x:c r="O16" s="418"/>
      <x:c r="P16" s="418"/>
      <x:c r="Q16" s="418"/>
      <x:c r="R16" s="418"/>
      <x:c r="S16" s="418"/>
      <x:c r="T16" s="418"/>
      <x:c r="U16" s="418"/>
      <x:c r="V16" s="418"/>
      <x:c r="W16" s="418"/>
      <x:c r="X16" s="418"/>
      <x:c r="Y16" s="418"/>
      <x:c r="Z16" s="418"/>
    </x:row>
    <x:row r="17">
      <x:c r="A17" s="427"/>
      <x:c r="B17" s="427"/>
      <x:c r="C17" s="427"/>
      <x:c r="D17" s="427"/>
      <x:c r="E17" s="427"/>
      <x:c r="F17" s="427"/>
      <x:c r="G17" s="427"/>
      <x:c r="H17" s="427"/>
      <x:c r="I17" s="427"/>
      <x:c r="J17" s="418"/>
      <x:c r="K17" s="418"/>
      <x:c r="L17" s="418"/>
      <x:c r="M17" s="418"/>
      <x:c r="N17" s="418"/>
      <x:c r="O17" s="418"/>
      <x:c r="P17" s="418"/>
      <x:c r="Q17" s="418"/>
      <x:c r="R17" s="418"/>
      <x:c r="S17" s="418"/>
      <x:c r="T17" s="418"/>
      <x:c r="U17" s="418"/>
      <x:c r="V17" s="418"/>
      <x:c r="W17" s="418"/>
      <x:c r="X17" s="418"/>
      <x:c r="Y17" s="418"/>
      <x:c r="Z17" s="418"/>
    </x:row>
    <x:row r="18">
      <x:c r="A18" s="427"/>
      <x:c r="B18" s="427"/>
      <x:c r="C18" s="427"/>
      <x:c r="D18" s="427"/>
      <x:c r="E18" s="427"/>
      <x:c r="F18" s="427"/>
      <x:c r="G18" s="427"/>
      <x:c r="H18" s="427"/>
      <x:c r="I18" s="427"/>
      <x:c r="J18" s="418"/>
      <x:c r="K18" s="418"/>
      <x:c r="L18" s="418"/>
      <x:c r="M18" s="418"/>
      <x:c r="N18" s="418"/>
      <x:c r="O18" s="418"/>
      <x:c r="P18" s="418"/>
      <x:c r="Q18" s="418"/>
      <x:c r="R18" s="418"/>
      <x:c r="S18" s="418"/>
      <x:c r="T18" s="418"/>
      <x:c r="U18" s="418"/>
      <x:c r="V18" s="418"/>
      <x:c r="W18" s="418"/>
      <x:c r="X18" s="418"/>
      <x:c r="Y18" s="418"/>
      <x:c r="Z18" s="418"/>
    </x:row>
    <x:row r="19">
      <x:c r="A19" s="427"/>
      <x:c r="B19" s="427"/>
      <x:c r="C19" s="427"/>
      <x:c r="D19" s="427"/>
      <x:c r="E19" s="427"/>
      <x:c r="F19" s="427"/>
      <x:c r="G19" s="427"/>
      <x:c r="H19" s="427"/>
      <x:c r="I19" s="427"/>
      <x:c r="J19" s="418"/>
      <x:c r="K19" s="418"/>
      <x:c r="L19" s="418"/>
      <x:c r="M19" s="418"/>
      <x:c r="N19" s="418"/>
      <x:c r="O19" s="418"/>
      <x:c r="P19" s="418"/>
      <x:c r="Q19" s="418"/>
      <x:c r="R19" s="418"/>
      <x:c r="S19" s="418"/>
      <x:c r="T19" s="418"/>
      <x:c r="U19" s="418"/>
      <x:c r="V19" s="418"/>
      <x:c r="W19" s="418"/>
      <x:c r="X19" s="418"/>
      <x:c r="Y19" s="418"/>
      <x:c r="Z19" s="418"/>
    </x:row>
    <x:row r="20">
      <x:c r="A20" s="427"/>
      <x:c r="B20" s="427"/>
      <x:c r="C20" s="427"/>
      <x:c r="D20" s="427"/>
      <x:c r="E20" s="427"/>
      <x:c r="F20" s="427"/>
      <x:c r="G20" s="427"/>
      <x:c r="H20" s="427"/>
      <x:c r="I20" s="427"/>
      <x:c r="J20" s="418"/>
      <x:c r="K20" s="418"/>
      <x:c r="L20" s="418"/>
      <x:c r="M20" s="418"/>
      <x:c r="N20" s="418"/>
      <x:c r="O20" s="418"/>
      <x:c r="P20" s="418"/>
      <x:c r="Q20" s="418"/>
      <x:c r="R20" s="418"/>
      <x:c r="S20" s="418"/>
      <x:c r="T20" s="418"/>
      <x:c r="U20" s="418"/>
      <x:c r="V20" s="418"/>
      <x:c r="W20" s="418"/>
      <x:c r="X20" s="418"/>
      <x:c r="Y20" s="418"/>
      <x:c r="Z20" s="418"/>
    </x:row>
    <x:row r="21">
      <x:c r="A21" s="427"/>
      <x:c r="B21" s="427"/>
      <x:c r="C21" s="427"/>
      <x:c r="D21" s="427"/>
      <x:c r="E21" s="427"/>
      <x:c r="F21" s="427"/>
      <x:c r="G21" s="427"/>
      <x:c r="H21" s="427"/>
      <x:c r="I21" s="427"/>
      <x:c r="J21" s="418"/>
      <x:c r="K21" s="418"/>
      <x:c r="L21" s="418"/>
      <x:c r="M21" s="418"/>
      <x:c r="N21" s="418"/>
      <x:c r="O21" s="418"/>
      <x:c r="P21" s="418"/>
      <x:c r="Q21" s="418"/>
      <x:c r="R21" s="418"/>
      <x:c r="S21" s="418"/>
      <x:c r="T21" s="418"/>
      <x:c r="U21" s="418"/>
      <x:c r="V21" s="418"/>
      <x:c r="W21" s="418"/>
      <x:c r="X21" s="418"/>
      <x:c r="Y21" s="418"/>
      <x:c r="Z21" s="418"/>
    </x:row>
    <x:row r="22">
      <x:c r="A22" s="427"/>
      <x:c r="B22" s="427"/>
      <x:c r="C22" s="427"/>
      <x:c r="D22" s="427"/>
      <x:c r="E22" s="427"/>
      <x:c r="F22" s="427"/>
      <x:c r="G22" s="427"/>
      <x:c r="H22" s="427"/>
      <x:c r="I22" s="427"/>
      <x:c r="J22" s="418"/>
      <x:c r="K22" s="418"/>
      <x:c r="L22" s="418"/>
      <x:c r="M22" s="418"/>
      <x:c r="N22" s="418"/>
      <x:c r="O22" s="418"/>
      <x:c r="P22" s="418"/>
      <x:c r="Q22" s="418"/>
      <x:c r="R22" s="418"/>
      <x:c r="S22" s="418"/>
      <x:c r="T22" s="418"/>
      <x:c r="U22" s="418"/>
      <x:c r="V22" s="418"/>
      <x:c r="W22" s="418"/>
      <x:c r="X22" s="418"/>
      <x:c r="Y22" s="418"/>
      <x:c r="Z22" s="418"/>
    </x:row>
    <x:row r="23">
      <x:c r="A23" s="427"/>
      <x:c r="B23" s="427"/>
      <x:c r="C23" s="427"/>
      <x:c r="D23" s="427"/>
      <x:c r="E23" s="427"/>
      <x:c r="F23" s="427"/>
      <x:c r="G23" s="427"/>
      <x:c r="H23" s="427"/>
      <x:c r="I23" s="427"/>
      <x:c r="J23" s="418"/>
      <x:c r="K23" s="418"/>
      <x:c r="L23" s="418"/>
      <x:c r="M23" s="418"/>
      <x:c r="N23" s="418"/>
      <x:c r="O23" s="418"/>
      <x:c r="P23" s="418"/>
      <x:c r="Q23" s="418"/>
      <x:c r="R23" s="418"/>
      <x:c r="S23" s="418"/>
      <x:c r="T23" s="418"/>
      <x:c r="U23" s="418"/>
      <x:c r="V23" s="418"/>
      <x:c r="W23" s="418"/>
      <x:c r="X23" s="418"/>
      <x:c r="Y23" s="418"/>
      <x:c r="Z23" s="418"/>
    </x:row>
    <x:row r="24">
      <x:c r="A24" s="427"/>
      <x:c r="B24" s="427"/>
      <x:c r="C24" s="427"/>
      <x:c r="D24" s="427"/>
      <x:c r="E24" s="427"/>
      <x:c r="F24" s="427"/>
      <x:c r="G24" s="427"/>
      <x:c r="H24" s="427"/>
      <x:c r="I24" s="427"/>
      <x:c r="J24" s="418"/>
      <x:c r="K24" s="418"/>
      <x:c r="L24" s="418"/>
      <x:c r="M24" s="418"/>
      <x:c r="N24" s="418"/>
      <x:c r="O24" s="418"/>
      <x:c r="P24" s="418"/>
      <x:c r="Q24" s="418"/>
      <x:c r="R24" s="418"/>
      <x:c r="S24" s="418"/>
      <x:c r="T24" s="418"/>
      <x:c r="U24" s="418"/>
      <x:c r="V24" s="418"/>
      <x:c r="W24" s="418"/>
      <x:c r="X24" s="418"/>
      <x:c r="Y24" s="418"/>
      <x:c r="Z24" s="418"/>
    </x:row>
    <x:row r="25">
      <x:c r="A25" s="427"/>
      <x:c r="B25" s="427"/>
      <x:c r="C25" s="427"/>
      <x:c r="D25" s="427"/>
      <x:c r="E25" s="427"/>
      <x:c r="F25" s="427"/>
      <x:c r="G25" s="427"/>
      <x:c r="H25" s="427"/>
      <x:c r="I25" s="427"/>
      <x:c r="J25" s="418"/>
      <x:c r="K25" s="418"/>
      <x:c r="L25" s="418"/>
      <x:c r="M25" s="418"/>
      <x:c r="N25" s="418"/>
      <x:c r="O25" s="418"/>
      <x:c r="P25" s="418"/>
      <x:c r="Q25" s="418"/>
      <x:c r="R25" s="418"/>
      <x:c r="S25" s="418"/>
      <x:c r="T25" s="418"/>
      <x:c r="U25" s="418"/>
      <x:c r="V25" s="418"/>
      <x:c r="W25" s="418"/>
      <x:c r="X25" s="418"/>
      <x:c r="Y25" s="418"/>
      <x:c r="Z25" s="418"/>
    </x:row>
    <x:row r="26">
      <x:c r="A26" s="427"/>
      <x:c r="B26" s="427"/>
      <x:c r="C26" s="427"/>
      <x:c r="D26" s="427"/>
      <x:c r="E26" s="427"/>
      <x:c r="F26" s="427"/>
      <x:c r="G26" s="427"/>
      <x:c r="H26" s="427"/>
      <x:c r="I26" s="427"/>
      <x:c r="J26" s="418"/>
      <x:c r="K26" s="418"/>
      <x:c r="L26" s="418"/>
      <x:c r="M26" s="418"/>
      <x:c r="N26" s="418"/>
      <x:c r="O26" s="418"/>
      <x:c r="P26" s="418"/>
      <x:c r="Q26" s="418"/>
      <x:c r="R26" s="418"/>
      <x:c r="S26" s="418"/>
      <x:c r="T26" s="418"/>
      <x:c r="U26" s="418"/>
      <x:c r="V26" s="418"/>
      <x:c r="W26" s="418"/>
      <x:c r="X26" s="418"/>
      <x:c r="Y26" s="418"/>
      <x:c r="Z26" s="418"/>
    </x:row>
    <x:row r="27">
      <x:c r="A27" s="427"/>
      <x:c r="B27" s="427"/>
      <x:c r="C27" s="427"/>
      <x:c r="D27" s="427"/>
      <x:c r="E27" s="427"/>
      <x:c r="F27" s="427"/>
      <x:c r="G27" s="427"/>
      <x:c r="H27" s="427"/>
      <x:c r="I27" s="427"/>
      <x:c r="J27" s="418"/>
      <x:c r="K27" s="418"/>
      <x:c r="L27" s="418"/>
      <x:c r="M27" s="418"/>
      <x:c r="N27" s="418"/>
      <x:c r="O27" s="418"/>
      <x:c r="P27" s="418"/>
      <x:c r="Q27" s="418"/>
      <x:c r="R27" s="418"/>
      <x:c r="S27" s="418"/>
      <x:c r="T27" s="418"/>
      <x:c r="U27" s="418"/>
      <x:c r="V27" s="418"/>
      <x:c r="W27" s="418"/>
      <x:c r="X27" s="418"/>
      <x:c r="Y27" s="418"/>
      <x:c r="Z27" s="418"/>
    </x:row>
    <x:row r="28">
      <x:c r="A28" s="427"/>
      <x:c r="B28" s="427"/>
      <x:c r="C28" s="427"/>
      <x:c r="D28" s="427"/>
      <x:c r="E28" s="427"/>
      <x:c r="F28" s="427"/>
      <x:c r="G28" s="427"/>
      <x:c r="H28" s="427"/>
      <x:c r="I28" s="427"/>
      <x:c r="J28" s="418"/>
      <x:c r="K28" s="418"/>
      <x:c r="L28" s="418"/>
      <x:c r="M28" s="418"/>
      <x:c r="N28" s="418"/>
      <x:c r="O28" s="418"/>
      <x:c r="P28" s="418"/>
      <x:c r="Q28" s="418"/>
      <x:c r="R28" s="418"/>
      <x:c r="S28" s="418"/>
      <x:c r="T28" s="418"/>
      <x:c r="U28" s="418"/>
      <x:c r="V28" s="418"/>
      <x:c r="W28" s="418"/>
      <x:c r="X28" s="418"/>
      <x:c r="Y28" s="418"/>
      <x:c r="Z28" s="418"/>
    </x:row>
    <x:row r="29">
      <x:c r="A29" s="427"/>
      <x:c r="B29" s="427"/>
      <x:c r="C29" s="427"/>
      <x:c r="D29" s="427"/>
      <x:c r="E29" s="427"/>
      <x:c r="F29" s="427"/>
      <x:c r="G29" s="427"/>
      <x:c r="H29" s="427"/>
      <x:c r="I29" s="427"/>
      <x:c r="J29" s="418"/>
      <x:c r="K29" s="418"/>
      <x:c r="L29" s="418"/>
      <x:c r="M29" s="418"/>
      <x:c r="N29" s="418"/>
      <x:c r="O29" s="418"/>
      <x:c r="P29" s="418"/>
      <x:c r="Q29" s="418"/>
      <x:c r="R29" s="418"/>
      <x:c r="S29" s="418"/>
      <x:c r="T29" s="418"/>
      <x:c r="U29" s="418"/>
      <x:c r="V29" s="418"/>
      <x:c r="W29" s="418"/>
      <x:c r="X29" s="418"/>
      <x:c r="Y29" s="418"/>
      <x:c r="Z29" s="418"/>
    </x:row>
    <x:row r="30">
      <x:c r="A30" s="427"/>
      <x:c r="B30" s="427"/>
      <x:c r="C30" s="427"/>
      <x:c r="D30" s="427"/>
      <x:c r="E30" s="427"/>
      <x:c r="F30" s="427"/>
      <x:c r="G30" s="427"/>
      <x:c r="H30" s="427"/>
      <x:c r="I30" s="427"/>
      <x:c r="J30" s="418"/>
      <x:c r="K30" s="418"/>
      <x:c r="L30" s="418"/>
      <x:c r="M30" s="418"/>
      <x:c r="N30" s="418"/>
      <x:c r="O30" s="418"/>
      <x:c r="P30" s="418"/>
      <x:c r="Q30" s="418"/>
      <x:c r="R30" s="418"/>
      <x:c r="S30" s="418"/>
      <x:c r="T30" s="418"/>
      <x:c r="U30" s="418"/>
      <x:c r="V30" s="418"/>
      <x:c r="W30" s="418"/>
      <x:c r="X30" s="418"/>
      <x:c r="Y30" s="418"/>
      <x:c r="Z30" s="418"/>
    </x:row>
    <x:row r="31">
      <x:c r="A31" s="427"/>
      <x:c r="B31" s="427"/>
      <x:c r="C31" s="427"/>
      <x:c r="D31" s="427"/>
      <x:c r="E31" s="427"/>
      <x:c r="F31" s="427"/>
      <x:c r="G31" s="427"/>
      <x:c r="H31" s="427"/>
      <x:c r="I31" s="427"/>
      <x:c r="J31" s="418"/>
      <x:c r="K31" s="418"/>
      <x:c r="L31" s="418"/>
      <x:c r="M31" s="418"/>
      <x:c r="N31" s="418"/>
      <x:c r="O31" s="418"/>
      <x:c r="P31" s="418"/>
      <x:c r="Q31" s="418"/>
      <x:c r="R31" s="418"/>
      <x:c r="S31" s="418"/>
      <x:c r="T31" s="418"/>
      <x:c r="U31" s="418"/>
      <x:c r="V31" s="418"/>
      <x:c r="W31" s="418"/>
      <x:c r="X31" s="418"/>
      <x:c r="Y31" s="418"/>
      <x:c r="Z31" s="418"/>
    </x:row>
    <x:row r="32">
      <x:c r="A32" s="427"/>
      <x:c r="B32" s="427"/>
      <x:c r="C32" s="427"/>
      <x:c r="D32" s="427"/>
      <x:c r="E32" s="427"/>
      <x:c r="F32" s="427"/>
      <x:c r="G32" s="427"/>
      <x:c r="H32" s="427"/>
      <x:c r="I32" s="427"/>
      <x:c r="J32" s="418"/>
      <x:c r="K32" s="418"/>
      <x:c r="L32" s="418"/>
      <x:c r="M32" s="418"/>
      <x:c r="N32" s="418"/>
      <x:c r="O32" s="418"/>
      <x:c r="P32" s="418"/>
      <x:c r="Q32" s="418"/>
      <x:c r="R32" s="418"/>
      <x:c r="S32" s="418"/>
      <x:c r="T32" s="418"/>
      <x:c r="U32" s="418"/>
      <x:c r="V32" s="418"/>
      <x:c r="W32" s="418"/>
      <x:c r="X32" s="418"/>
      <x:c r="Y32" s="418"/>
      <x:c r="Z32" s="418"/>
    </x:row>
    <x:row r="33">
      <x:c r="A33" s="427"/>
      <x:c r="B33" s="427"/>
      <x:c r="C33" s="427"/>
      <x:c r="D33" s="427"/>
      <x:c r="E33" s="427"/>
      <x:c r="F33" s="427"/>
      <x:c r="G33" s="427"/>
      <x:c r="H33" s="427"/>
      <x:c r="I33" s="427"/>
      <x:c r="J33" s="418"/>
      <x:c r="K33" s="418"/>
      <x:c r="L33" s="418"/>
      <x:c r="M33" s="418"/>
      <x:c r="N33" s="418"/>
      <x:c r="O33" s="418"/>
      <x:c r="P33" s="418"/>
      <x:c r="Q33" s="418"/>
      <x:c r="R33" s="418"/>
      <x:c r="S33" s="418"/>
      <x:c r="T33" s="418"/>
      <x:c r="U33" s="418"/>
      <x:c r="V33" s="418"/>
      <x:c r="W33" s="418"/>
      <x:c r="X33" s="418"/>
      <x:c r="Y33" s="418"/>
      <x:c r="Z33" s="418"/>
    </x:row>
    <x:row r="34">
      <x:c r="A34" s="427"/>
      <x:c r="B34" s="427"/>
      <x:c r="C34" s="427"/>
      <x:c r="D34" s="427"/>
      <x:c r="E34" s="427"/>
      <x:c r="F34" s="427"/>
      <x:c r="G34" s="427"/>
      <x:c r="H34" s="427"/>
      <x:c r="I34" s="427"/>
      <x:c r="J34" s="418"/>
      <x:c r="K34" s="418"/>
      <x:c r="L34" s="418"/>
      <x:c r="M34" s="418"/>
      <x:c r="N34" s="418"/>
      <x:c r="O34" s="418"/>
      <x:c r="P34" s="418"/>
      <x:c r="Q34" s="418"/>
      <x:c r="R34" s="418"/>
      <x:c r="S34" s="418"/>
      <x:c r="T34" s="418"/>
      <x:c r="U34" s="418"/>
      <x:c r="V34" s="418"/>
      <x:c r="W34" s="418"/>
      <x:c r="X34" s="418"/>
      <x:c r="Y34" s="418"/>
      <x:c r="Z34" s="418"/>
    </x:row>
    <x:row r="35">
      <x:c r="A35" s="427"/>
      <x:c r="B35" s="427"/>
      <x:c r="C35" s="427"/>
      <x:c r="D35" s="427"/>
      <x:c r="E35" s="427"/>
      <x:c r="F35" s="427"/>
      <x:c r="G35" s="427"/>
      <x:c r="H35" s="427"/>
      <x:c r="I35" s="427"/>
      <x:c r="J35" s="418"/>
      <x:c r="K35" s="418"/>
      <x:c r="L35" s="418"/>
      <x:c r="M35" s="418"/>
      <x:c r="N35" s="418"/>
      <x:c r="O35" s="418"/>
      <x:c r="P35" s="418"/>
      <x:c r="Q35" s="418"/>
      <x:c r="R35" s="418"/>
      <x:c r="S35" s="418"/>
      <x:c r="T35" s="418"/>
      <x:c r="U35" s="418"/>
      <x:c r="V35" s="418"/>
      <x:c r="W35" s="418"/>
      <x:c r="X35" s="418"/>
      <x:c r="Y35" s="418"/>
      <x:c r="Z35" s="418"/>
    </x:row>
    <x:row r="36">
      <x:c r="A36" s="427"/>
      <x:c r="B36" s="427"/>
      <x:c r="C36" s="427"/>
      <x:c r="D36" s="427"/>
      <x:c r="E36" s="427"/>
      <x:c r="F36" s="427"/>
      <x:c r="G36" s="427"/>
      <x:c r="H36" s="427"/>
      <x:c r="I36" s="427"/>
      <x:c r="J36" s="418"/>
      <x:c r="K36" s="418"/>
      <x:c r="L36" s="418"/>
      <x:c r="M36" s="418"/>
      <x:c r="N36" s="418"/>
      <x:c r="O36" s="418"/>
      <x:c r="P36" s="418"/>
      <x:c r="Q36" s="418"/>
      <x:c r="R36" s="418"/>
      <x:c r="S36" s="418"/>
      <x:c r="T36" s="418"/>
      <x:c r="U36" s="418"/>
      <x:c r="V36" s="418"/>
      <x:c r="W36" s="418"/>
      <x:c r="X36" s="418"/>
      <x:c r="Y36" s="418"/>
      <x:c r="Z36" s="418"/>
    </x:row>
    <x:row r="37">
      <x:c r="A37" s="427"/>
      <x:c r="B37" s="427"/>
      <x:c r="C37" s="427"/>
      <x:c r="D37" s="427"/>
      <x:c r="E37" s="427"/>
      <x:c r="F37" s="427"/>
      <x:c r="G37" s="427"/>
      <x:c r="H37" s="427"/>
      <x:c r="I37" s="427"/>
      <x:c r="J37" s="418"/>
      <x:c r="K37" s="418"/>
      <x:c r="L37" s="418"/>
      <x:c r="M37" s="418"/>
      <x:c r="N37" s="418"/>
      <x:c r="O37" s="418"/>
      <x:c r="P37" s="418"/>
      <x:c r="Q37" s="418"/>
      <x:c r="R37" s="418"/>
      <x:c r="S37" s="418"/>
      <x:c r="T37" s="418"/>
      <x:c r="U37" s="418"/>
      <x:c r="V37" s="418"/>
      <x:c r="W37" s="418"/>
      <x:c r="X37" s="418"/>
      <x:c r="Y37" s="418"/>
      <x:c r="Z37" s="418"/>
    </x:row>
    <x:row r="38">
      <x:c r="A38" s="427"/>
      <x:c r="B38" s="427"/>
      <x:c r="C38" s="427"/>
      <x:c r="D38" s="427"/>
      <x:c r="E38" s="427"/>
      <x:c r="F38" s="427"/>
      <x:c r="G38" s="427"/>
      <x:c r="H38" s="427"/>
      <x:c r="I38" s="427"/>
      <x:c r="J38" s="418"/>
      <x:c r="K38" s="418"/>
      <x:c r="L38" s="418"/>
      <x:c r="M38" s="418"/>
      <x:c r="N38" s="418"/>
      <x:c r="O38" s="418"/>
      <x:c r="P38" s="418"/>
      <x:c r="Q38" s="418"/>
      <x:c r="R38" s="418"/>
      <x:c r="S38" s="418"/>
      <x:c r="T38" s="418"/>
      <x:c r="U38" s="418"/>
      <x:c r="V38" s="418"/>
      <x:c r="W38" s="418"/>
      <x:c r="X38" s="418"/>
      <x:c r="Y38" s="418"/>
      <x:c r="Z38" s="418"/>
    </x:row>
    <x:row r="39">
      <x:c r="A39" s="427"/>
      <x:c r="B39" s="427"/>
      <x:c r="C39" s="427"/>
      <x:c r="D39" s="427"/>
      <x:c r="E39" s="427"/>
      <x:c r="F39" s="427"/>
      <x:c r="G39" s="427"/>
      <x:c r="H39" s="427"/>
      <x:c r="I39" s="427"/>
      <x:c r="J39" s="418"/>
      <x:c r="K39" s="418"/>
      <x:c r="L39" s="418"/>
      <x:c r="M39" s="418"/>
      <x:c r="N39" s="418"/>
      <x:c r="O39" s="418"/>
      <x:c r="P39" s="418"/>
      <x:c r="Q39" s="418"/>
      <x:c r="R39" s="418"/>
      <x:c r="S39" s="418"/>
      <x:c r="T39" s="418"/>
      <x:c r="U39" s="418"/>
      <x:c r="V39" s="418"/>
      <x:c r="W39" s="418"/>
      <x:c r="X39" s="418"/>
      <x:c r="Y39" s="418"/>
      <x:c r="Z39" s="418"/>
    </x:row>
    <x:row r="40">
      <x:c r="A40" s="427"/>
      <x:c r="B40" s="427"/>
      <x:c r="C40" s="427"/>
      <x:c r="D40" s="427"/>
      <x:c r="E40" s="427"/>
      <x:c r="F40" s="427"/>
      <x:c r="G40" s="427"/>
      <x:c r="H40" s="427"/>
      <x:c r="I40" s="427"/>
      <x:c r="J40" s="418"/>
      <x:c r="K40" s="418"/>
      <x:c r="L40" s="418"/>
      <x:c r="M40" s="418"/>
      <x:c r="N40" s="418"/>
      <x:c r="O40" s="418"/>
      <x:c r="P40" s="418"/>
      <x:c r="Q40" s="418"/>
      <x:c r="R40" s="418"/>
      <x:c r="S40" s="418"/>
      <x:c r="T40" s="418"/>
      <x:c r="U40" s="418"/>
      <x:c r="V40" s="418"/>
      <x:c r="W40" s="418"/>
      <x:c r="X40" s="418"/>
      <x:c r="Y40" s="418"/>
      <x:c r="Z40" s="418"/>
    </x:row>
    <x:row r="41">
      <x:c r="A41" s="427"/>
      <x:c r="B41" s="427"/>
      <x:c r="C41" s="427"/>
      <x:c r="D41" s="427"/>
      <x:c r="E41" s="427"/>
      <x:c r="F41" s="427"/>
      <x:c r="G41" s="427"/>
      <x:c r="H41" s="427"/>
      <x:c r="I41" s="427"/>
      <x:c r="J41" s="418"/>
      <x:c r="K41" s="418"/>
      <x:c r="L41" s="418"/>
      <x:c r="M41" s="418"/>
      <x:c r="N41" s="418"/>
      <x:c r="O41" s="418"/>
      <x:c r="P41" s="418"/>
      <x:c r="Q41" s="418"/>
      <x:c r="R41" s="418"/>
      <x:c r="S41" s="418"/>
      <x:c r="T41" s="418"/>
      <x:c r="U41" s="418"/>
      <x:c r="V41" s="418"/>
      <x:c r="W41" s="418"/>
      <x:c r="X41" s="418"/>
      <x:c r="Y41" s="418"/>
      <x:c r="Z41" s="418"/>
    </x:row>
    <x:row r="42">
      <x:c r="A42" s="427"/>
      <x:c r="B42" s="427"/>
      <x:c r="C42" s="427"/>
      <x:c r="D42" s="427"/>
      <x:c r="E42" s="427"/>
      <x:c r="F42" s="427"/>
      <x:c r="G42" s="427"/>
      <x:c r="H42" s="427"/>
      <x:c r="I42" s="427"/>
      <x:c r="J42" s="418"/>
      <x:c r="K42" s="418"/>
      <x:c r="L42" s="418"/>
      <x:c r="M42" s="418"/>
      <x:c r="N42" s="418"/>
      <x:c r="O42" s="418"/>
      <x:c r="P42" s="418"/>
      <x:c r="Q42" s="418"/>
      <x:c r="R42" s="418"/>
      <x:c r="S42" s="418"/>
      <x:c r="T42" s="418"/>
      <x:c r="U42" s="418"/>
      <x:c r="V42" s="418"/>
      <x:c r="W42" s="418"/>
      <x:c r="X42" s="418"/>
      <x:c r="Y42" s="418"/>
      <x:c r="Z42" s="418"/>
    </x:row>
    <x:row r="43">
      <x:c r="A43" s="427"/>
      <x:c r="B43" s="427"/>
      <x:c r="C43" s="427"/>
      <x:c r="D43" s="427"/>
      <x:c r="E43" s="427"/>
      <x:c r="F43" s="427"/>
      <x:c r="G43" s="427"/>
      <x:c r="H43" s="427"/>
      <x:c r="I43" s="427"/>
      <x:c r="J43" s="418"/>
      <x:c r="K43" s="418"/>
      <x:c r="L43" s="418"/>
      <x:c r="M43" s="418"/>
      <x:c r="N43" s="418"/>
      <x:c r="O43" s="418"/>
      <x:c r="P43" s="418"/>
      <x:c r="Q43" s="418"/>
      <x:c r="R43" s="418"/>
      <x:c r="S43" s="418"/>
      <x:c r="T43" s="418"/>
      <x:c r="U43" s="418"/>
      <x:c r="V43" s="418"/>
      <x:c r="W43" s="418"/>
      <x:c r="X43" s="418"/>
      <x:c r="Y43" s="418"/>
      <x:c r="Z43" s="418"/>
    </x:row>
    <x:row r="44">
      <x:c r="A44" s="427"/>
      <x:c r="B44" s="427"/>
      <x:c r="C44" s="427"/>
      <x:c r="D44" s="427"/>
      <x:c r="E44" s="427"/>
      <x:c r="F44" s="427"/>
      <x:c r="G44" s="427"/>
      <x:c r="H44" s="427"/>
      <x:c r="I44" s="427"/>
      <x:c r="J44" s="418"/>
      <x:c r="K44" s="418"/>
      <x:c r="L44" s="418"/>
      <x:c r="M44" s="418"/>
      <x:c r="N44" s="418"/>
      <x:c r="O44" s="418"/>
      <x:c r="P44" s="418"/>
      <x:c r="Q44" s="418"/>
      <x:c r="R44" s="418"/>
      <x:c r="S44" s="418"/>
      <x:c r="T44" s="418"/>
      <x:c r="U44" s="418"/>
      <x:c r="V44" s="418"/>
      <x:c r="W44" s="418"/>
      <x:c r="X44" s="418"/>
      <x:c r="Y44" s="418"/>
      <x:c r="Z44" s="418"/>
    </x:row>
    <x:row r="45">
      <x:c r="A45" s="427"/>
      <x:c r="B45" s="427"/>
      <x:c r="C45" s="427"/>
      <x:c r="D45" s="427"/>
      <x:c r="E45" s="427"/>
      <x:c r="F45" s="427"/>
      <x:c r="G45" s="427"/>
      <x:c r="H45" s="427"/>
      <x:c r="I45" s="427"/>
      <x:c r="J45" s="418"/>
      <x:c r="K45" s="418"/>
      <x:c r="L45" s="418"/>
      <x:c r="M45" s="418"/>
      <x:c r="N45" s="418"/>
      <x:c r="O45" s="418"/>
      <x:c r="P45" s="418"/>
      <x:c r="Q45" s="418"/>
      <x:c r="R45" s="418"/>
      <x:c r="S45" s="418"/>
      <x:c r="T45" s="418"/>
      <x:c r="U45" s="418"/>
      <x:c r="V45" s="418"/>
      <x:c r="W45" s="418"/>
      <x:c r="X45" s="418"/>
      <x:c r="Y45" s="418"/>
      <x:c r="Z45" s="418"/>
    </x:row>
    <x:row r="46">
      <x:c r="A46" s="427"/>
      <x:c r="B46" s="427"/>
      <x:c r="C46" s="427"/>
      <x:c r="D46" s="427"/>
      <x:c r="E46" s="427"/>
      <x:c r="F46" s="427"/>
      <x:c r="G46" s="427"/>
      <x:c r="H46" s="427"/>
      <x:c r="I46" s="427"/>
      <x:c r="J46" s="418"/>
      <x:c r="K46" s="418"/>
      <x:c r="L46" s="418"/>
      <x:c r="M46" s="418"/>
      <x:c r="N46" s="418"/>
      <x:c r="O46" s="418"/>
      <x:c r="P46" s="418"/>
      <x:c r="Q46" s="418"/>
      <x:c r="R46" s="418"/>
      <x:c r="S46" s="418"/>
      <x:c r="T46" s="418"/>
      <x:c r="U46" s="418"/>
      <x:c r="V46" s="418"/>
      <x:c r="W46" s="418"/>
      <x:c r="X46" s="418"/>
      <x:c r="Y46" s="418"/>
      <x:c r="Z46" s="418"/>
    </x:row>
    <x:row r="47">
      <x:c r="A47" s="427"/>
      <x:c r="B47" s="427"/>
      <x:c r="C47" s="427"/>
      <x:c r="D47" s="427"/>
      <x:c r="E47" s="427"/>
      <x:c r="F47" s="427"/>
      <x:c r="G47" s="427"/>
      <x:c r="H47" s="427"/>
      <x:c r="I47" s="427"/>
      <x:c r="J47" s="418"/>
      <x:c r="K47" s="418"/>
      <x:c r="L47" s="418"/>
      <x:c r="M47" s="418"/>
      <x:c r="N47" s="418"/>
      <x:c r="O47" s="418"/>
      <x:c r="P47" s="418"/>
      <x:c r="Q47" s="418"/>
      <x:c r="R47" s="418"/>
      <x:c r="S47" s="418"/>
      <x:c r="T47" s="418"/>
      <x:c r="U47" s="418"/>
      <x:c r="V47" s="418"/>
      <x:c r="W47" s="418"/>
      <x:c r="X47" s="418"/>
      <x:c r="Y47" s="418"/>
      <x:c r="Z47" s="418"/>
    </x:row>
    <x:row r="48">
      <x:c r="A48" s="427"/>
      <x:c r="B48" s="427"/>
      <x:c r="C48" s="427"/>
      <x:c r="D48" s="427"/>
      <x:c r="E48" s="427"/>
      <x:c r="F48" s="427"/>
      <x:c r="G48" s="427"/>
      <x:c r="H48" s="427"/>
      <x:c r="I48" s="427"/>
      <x:c r="J48" s="418"/>
      <x:c r="K48" s="418"/>
      <x:c r="L48" s="418"/>
      <x:c r="M48" s="418"/>
      <x:c r="N48" s="418"/>
      <x:c r="O48" s="418"/>
      <x:c r="P48" s="418"/>
      <x:c r="Q48" s="418"/>
      <x:c r="R48" s="418"/>
      <x:c r="S48" s="418"/>
      <x:c r="T48" s="418"/>
      <x:c r="U48" s="418"/>
      <x:c r="V48" s="418"/>
      <x:c r="W48" s="418"/>
      <x:c r="X48" s="418"/>
      <x:c r="Y48" s="418"/>
      <x:c r="Z48" s="418"/>
    </x:row>
    <x:row r="49">
      <x:c r="A49" s="427"/>
      <x:c r="B49" s="427"/>
      <x:c r="C49" s="427"/>
      <x:c r="D49" s="427"/>
      <x:c r="E49" s="427"/>
      <x:c r="F49" s="427"/>
      <x:c r="G49" s="427"/>
      <x:c r="H49" s="427"/>
      <x:c r="I49" s="427"/>
      <x:c r="J49" s="418"/>
      <x:c r="K49" s="418"/>
      <x:c r="L49" s="418"/>
      <x:c r="M49" s="418"/>
      <x:c r="N49" s="418"/>
      <x:c r="O49" s="418"/>
      <x:c r="P49" s="418"/>
      <x:c r="Q49" s="418"/>
      <x:c r="R49" s="418"/>
      <x:c r="S49" s="418"/>
      <x:c r="T49" s="418"/>
      <x:c r="U49" s="418"/>
      <x:c r="V49" s="418"/>
      <x:c r="W49" s="418"/>
      <x:c r="X49" s="418"/>
      <x:c r="Y49" s="418"/>
      <x:c r="Z49" s="418"/>
    </x:row>
    <x:row r="50">
      <x:c r="A50" s="427"/>
      <x:c r="B50" s="427"/>
      <x:c r="C50" s="427"/>
      <x:c r="D50" s="427"/>
      <x:c r="E50" s="427"/>
      <x:c r="F50" s="427"/>
      <x:c r="G50" s="427"/>
      <x:c r="H50" s="427"/>
      <x:c r="I50" s="427"/>
      <x:c r="J50" s="418"/>
      <x:c r="K50" s="418"/>
      <x:c r="L50" s="418"/>
      <x:c r="M50" s="418"/>
      <x:c r="N50" s="418"/>
      <x:c r="O50" s="418"/>
      <x:c r="P50" s="418"/>
      <x:c r="Q50" s="418"/>
      <x:c r="R50" s="418"/>
      <x:c r="S50" s="418"/>
      <x:c r="T50" s="418"/>
      <x:c r="U50" s="418"/>
      <x:c r="V50" s="418"/>
      <x:c r="W50" s="418"/>
      <x:c r="X50" s="418"/>
      <x:c r="Y50" s="418"/>
      <x:c r="Z50" s="418"/>
    </x:row>
    <x:row r="51">
      <x:c r="A51" s="427"/>
      <x:c r="B51" s="427"/>
      <x:c r="C51" s="427"/>
      <x:c r="D51" s="427"/>
      <x:c r="E51" s="427"/>
      <x:c r="F51" s="427"/>
      <x:c r="G51" s="427"/>
      <x:c r="H51" s="427"/>
      <x:c r="I51" s="427"/>
      <x:c r="J51" s="418"/>
      <x:c r="K51" s="418"/>
      <x:c r="L51" s="418"/>
      <x:c r="M51" s="418"/>
      <x:c r="N51" s="418"/>
      <x:c r="O51" s="418"/>
      <x:c r="P51" s="418"/>
      <x:c r="Q51" s="418"/>
      <x:c r="R51" s="418"/>
      <x:c r="S51" s="418"/>
      <x:c r="T51" s="418"/>
      <x:c r="U51" s="418"/>
      <x:c r="V51" s="418"/>
      <x:c r="W51" s="418"/>
      <x:c r="X51" s="418"/>
      <x:c r="Y51" s="418"/>
      <x:c r="Z51" s="418"/>
    </x:row>
    <x:row r="52">
      <x:c r="A52" s="427"/>
      <x:c r="B52" s="427"/>
      <x:c r="C52" s="427"/>
      <x:c r="D52" s="427"/>
      <x:c r="E52" s="427"/>
      <x:c r="F52" s="427"/>
      <x:c r="G52" s="427"/>
      <x:c r="H52" s="427"/>
      <x:c r="I52" s="427"/>
      <x:c r="J52" s="418"/>
      <x:c r="K52" s="418"/>
      <x:c r="L52" s="418"/>
      <x:c r="M52" s="418"/>
      <x:c r="N52" s="418"/>
      <x:c r="O52" s="418"/>
      <x:c r="P52" s="418"/>
      <x:c r="Q52" s="418"/>
      <x:c r="R52" s="418"/>
      <x:c r="S52" s="418"/>
      <x:c r="T52" s="418"/>
      <x:c r="U52" s="418"/>
      <x:c r="V52" s="418"/>
      <x:c r="W52" s="418"/>
      <x:c r="X52" s="418"/>
      <x:c r="Y52" s="418"/>
      <x:c r="Z52" s="418"/>
    </x:row>
    <x:row r="53">
      <x:c r="A53" s="427"/>
      <x:c r="B53" s="427"/>
      <x:c r="C53" s="427"/>
      <x:c r="D53" s="427"/>
      <x:c r="E53" s="427"/>
      <x:c r="F53" s="427"/>
      <x:c r="G53" s="427"/>
      <x:c r="H53" s="427"/>
      <x:c r="I53" s="427"/>
      <x:c r="J53" s="418"/>
      <x:c r="K53" s="418"/>
      <x:c r="L53" s="418"/>
      <x:c r="M53" s="418"/>
      <x:c r="N53" s="418"/>
      <x:c r="O53" s="418"/>
      <x:c r="P53" s="418"/>
      <x:c r="Q53" s="418"/>
      <x:c r="R53" s="418"/>
      <x:c r="S53" s="418"/>
      <x:c r="T53" s="418"/>
      <x:c r="U53" s="418"/>
      <x:c r="V53" s="418"/>
      <x:c r="W53" s="418"/>
      <x:c r="X53" s="418"/>
      <x:c r="Y53" s="418"/>
      <x:c r="Z53" s="418"/>
    </x:row>
    <x:row r="54">
      <x:c r="A54" s="427"/>
      <x:c r="B54" s="427"/>
      <x:c r="C54" s="427"/>
      <x:c r="D54" s="427"/>
      <x:c r="E54" s="427"/>
      <x:c r="F54" s="427"/>
      <x:c r="G54" s="427"/>
      <x:c r="H54" s="427"/>
      <x:c r="I54" s="427"/>
      <x:c r="J54" s="418"/>
      <x:c r="K54" s="418"/>
      <x:c r="L54" s="418"/>
      <x:c r="M54" s="418"/>
      <x:c r="N54" s="418"/>
      <x:c r="O54" s="418"/>
      <x:c r="P54" s="418"/>
      <x:c r="Q54" s="418"/>
      <x:c r="R54" s="418"/>
      <x:c r="S54" s="418"/>
      <x:c r="T54" s="418"/>
      <x:c r="U54" s="418"/>
      <x:c r="V54" s="418"/>
      <x:c r="W54" s="418"/>
      <x:c r="X54" s="418"/>
      <x:c r="Y54" s="418"/>
      <x:c r="Z54" s="418"/>
    </x:row>
    <x:row r="55">
      <x:c r="A55" s="427"/>
      <x:c r="B55" s="427"/>
      <x:c r="C55" s="427"/>
      <x:c r="D55" s="427"/>
      <x:c r="E55" s="427"/>
      <x:c r="F55" s="427"/>
      <x:c r="G55" s="427"/>
      <x:c r="H55" s="427"/>
      <x:c r="I55" s="427"/>
      <x:c r="J55" s="418"/>
      <x:c r="K55" s="418"/>
      <x:c r="L55" s="418"/>
      <x:c r="M55" s="418"/>
      <x:c r="N55" s="418"/>
      <x:c r="O55" s="418"/>
      <x:c r="P55" s="418"/>
      <x:c r="Q55" s="418"/>
      <x:c r="R55" s="418"/>
      <x:c r="S55" s="418"/>
      <x:c r="T55" s="418"/>
      <x:c r="U55" s="418"/>
      <x:c r="V55" s="418"/>
      <x:c r="W55" s="418"/>
      <x:c r="X55" s="418"/>
      <x:c r="Y55" s="418"/>
      <x:c r="Z55" s="418"/>
    </x:row>
    <x:row r="56">
      <x:c r="A56" s="427"/>
      <x:c r="B56" s="427"/>
      <x:c r="C56" s="427"/>
      <x:c r="D56" s="427"/>
      <x:c r="E56" s="427"/>
      <x:c r="F56" s="427"/>
      <x:c r="G56" s="427"/>
      <x:c r="H56" s="427"/>
      <x:c r="I56" s="427"/>
      <x:c r="J56" s="418"/>
      <x:c r="K56" s="418"/>
      <x:c r="L56" s="418"/>
      <x:c r="M56" s="418"/>
      <x:c r="N56" s="418"/>
      <x:c r="O56" s="418"/>
      <x:c r="P56" s="418"/>
      <x:c r="Q56" s="418"/>
      <x:c r="R56" s="418"/>
      <x:c r="S56" s="418"/>
      <x:c r="T56" s="418"/>
      <x:c r="U56" s="418"/>
      <x:c r="V56" s="418"/>
      <x:c r="W56" s="418"/>
      <x:c r="X56" s="418"/>
      <x:c r="Y56" s="418"/>
      <x:c r="Z56" s="418"/>
    </x:row>
    <x:row r="57">
      <x:c r="A57" s="427"/>
      <x:c r="B57" s="427"/>
      <x:c r="C57" s="427"/>
      <x:c r="D57" s="427"/>
      <x:c r="E57" s="427"/>
      <x:c r="F57" s="427"/>
      <x:c r="G57" s="427"/>
      <x:c r="H57" s="427"/>
      <x:c r="I57" s="427"/>
      <x:c r="J57" s="418"/>
      <x:c r="K57" s="418"/>
      <x:c r="L57" s="418"/>
      <x:c r="M57" s="418"/>
      <x:c r="N57" s="418"/>
      <x:c r="O57" s="418"/>
      <x:c r="P57" s="418"/>
      <x:c r="Q57" s="418"/>
      <x:c r="R57" s="418"/>
      <x:c r="S57" s="418"/>
      <x:c r="T57" s="418"/>
      <x:c r="U57" s="418"/>
      <x:c r="V57" s="418"/>
      <x:c r="W57" s="418"/>
      <x:c r="X57" s="418"/>
      <x:c r="Y57" s="418"/>
      <x:c r="Z57" s="418"/>
    </x:row>
    <x:row r="58">
      <x:c r="A58" s="427"/>
      <x:c r="B58" s="427"/>
      <x:c r="C58" s="427"/>
      <x:c r="D58" s="427"/>
      <x:c r="E58" s="427"/>
      <x:c r="F58" s="427"/>
      <x:c r="G58" s="427"/>
      <x:c r="H58" s="427"/>
      <x:c r="I58" s="427"/>
      <x:c r="J58" s="418"/>
      <x:c r="K58" s="418"/>
      <x:c r="L58" s="418"/>
      <x:c r="M58" s="418"/>
      <x:c r="N58" s="418"/>
      <x:c r="O58" s="418"/>
      <x:c r="P58" s="418"/>
      <x:c r="Q58" s="418"/>
      <x:c r="R58" s="418"/>
      <x:c r="S58" s="418"/>
      <x:c r="T58" s="418"/>
      <x:c r="U58" s="418"/>
      <x:c r="V58" s="418"/>
      <x:c r="W58" s="418"/>
      <x:c r="X58" s="418"/>
      <x:c r="Y58" s="418"/>
      <x:c r="Z58" s="418"/>
    </x:row>
    <x:row r="59">
      <x:c r="A59" s="427"/>
      <x:c r="B59" s="427"/>
      <x:c r="C59" s="427"/>
      <x:c r="D59" s="427"/>
      <x:c r="E59" s="427"/>
      <x:c r="F59" s="427"/>
      <x:c r="G59" s="427"/>
      <x:c r="H59" s="427"/>
      <x:c r="I59" s="427"/>
      <x:c r="J59" s="418"/>
      <x:c r="K59" s="418"/>
      <x:c r="L59" s="418"/>
      <x:c r="M59" s="418"/>
      <x:c r="N59" s="418"/>
      <x:c r="O59" s="418"/>
      <x:c r="P59" s="418"/>
      <x:c r="Q59" s="418"/>
      <x:c r="R59" s="418"/>
      <x:c r="S59" s="418"/>
      <x:c r="T59" s="418"/>
      <x:c r="U59" s="418"/>
      <x:c r="V59" s="418"/>
      <x:c r="W59" s="418"/>
      <x:c r="X59" s="418"/>
      <x:c r="Y59" s="418"/>
      <x:c r="Z59" s="418"/>
    </x:row>
    <x:row r="60">
      <x:c r="A60" s="427"/>
      <x:c r="B60" s="427"/>
      <x:c r="C60" s="427"/>
      <x:c r="D60" s="427"/>
      <x:c r="E60" s="427"/>
      <x:c r="F60" s="427"/>
      <x:c r="G60" s="427"/>
      <x:c r="H60" s="427"/>
      <x:c r="I60" s="427"/>
      <x:c r="J60" s="418"/>
      <x:c r="K60" s="418"/>
      <x:c r="L60" s="418"/>
      <x:c r="M60" s="418"/>
      <x:c r="N60" s="418"/>
      <x:c r="O60" s="418"/>
      <x:c r="P60" s="418"/>
      <x:c r="Q60" s="418"/>
      <x:c r="R60" s="418"/>
      <x:c r="S60" s="418"/>
      <x:c r="T60" s="418"/>
      <x:c r="U60" s="418"/>
      <x:c r="V60" s="418"/>
      <x:c r="W60" s="418"/>
      <x:c r="X60" s="418"/>
      <x:c r="Y60" s="418"/>
      <x:c r="Z60" s="418"/>
    </x:row>
    <x:row r="61">
      <x:c r="A61" s="427"/>
      <x:c r="B61" s="427"/>
      <x:c r="C61" s="427"/>
      <x:c r="D61" s="427"/>
      <x:c r="E61" s="427"/>
      <x:c r="F61" s="427"/>
      <x:c r="G61" s="427"/>
      <x:c r="H61" s="427"/>
      <x:c r="I61" s="427"/>
      <x:c r="J61" s="418"/>
      <x:c r="K61" s="418"/>
      <x:c r="L61" s="418"/>
      <x:c r="M61" s="418"/>
      <x:c r="N61" s="418"/>
      <x:c r="O61" s="418"/>
      <x:c r="P61" s="418"/>
      <x:c r="Q61" s="418"/>
      <x:c r="R61" s="418"/>
      <x:c r="S61" s="418"/>
      <x:c r="T61" s="418"/>
      <x:c r="U61" s="418"/>
      <x:c r="V61" s="418"/>
      <x:c r="W61" s="418"/>
      <x:c r="X61" s="418"/>
      <x:c r="Y61" s="418"/>
      <x:c r="Z61" s="418"/>
    </x:row>
    <x:row r="62">
      <x:c r="A62" s="427"/>
      <x:c r="B62" s="427"/>
      <x:c r="C62" s="427"/>
      <x:c r="D62" s="427"/>
      <x:c r="E62" s="427"/>
      <x:c r="F62" s="427"/>
      <x:c r="G62" s="427"/>
      <x:c r="H62" s="427"/>
      <x:c r="I62" s="427"/>
      <x:c r="J62" s="418"/>
      <x:c r="K62" s="418"/>
      <x:c r="L62" s="418"/>
      <x:c r="M62" s="418"/>
      <x:c r="N62" s="418"/>
      <x:c r="O62" s="418"/>
      <x:c r="P62" s="418"/>
      <x:c r="Q62" s="418"/>
      <x:c r="R62" s="418"/>
      <x:c r="S62" s="418"/>
      <x:c r="T62" s="418"/>
      <x:c r="U62" s="418"/>
      <x:c r="V62" s="418"/>
      <x:c r="W62" s="418"/>
      <x:c r="X62" s="418"/>
      <x:c r="Y62" s="418"/>
      <x:c r="Z62" s="418"/>
    </x:row>
    <x:row r="63">
      <x:c r="A63" s="427"/>
      <x:c r="B63" s="427"/>
      <x:c r="C63" s="427"/>
      <x:c r="D63" s="427"/>
      <x:c r="E63" s="427"/>
      <x:c r="F63" s="427"/>
      <x:c r="G63" s="427"/>
      <x:c r="H63" s="427"/>
      <x:c r="I63" s="427"/>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I1"/>
    <x:mergeCell ref="A2:I2"/>
  </x:mergeCells>
  <x:dataValidations count="6">
    <x:dataValidation type="list" sqref="C4:C63">
      <x:formula1>"Yes,No,Pending"</x:formula1>
    </x:dataValidation>
    <x:dataValidation type="list" sqref="I4:I63">
      <x:formula1>"Yes,No,Pending"</x:formula1>
    </x:dataValidation>
    <x:dataValidation type="list" sqref="D4:D63">
      <x:formula1>"Include,Exclude,Unclear"</x:formula1>
    </x:dataValidation>
    <x:dataValidation type="list" sqref="E4:E63">
      <x:formula1>"Include,Exclude,Unclear"</x:formula1>
    </x:dataValidation>
    <x:dataValidation type="list" sqref="F4:F63">
      <x:formula1>"Include,Exclude,Unclear"</x:formula1>
    </x:dataValidation>
    <x:dataValidation type="list" sqref="G4:G63">
      <x:formula1>"Not retinal or ophthalmic imaging,No concept-based or structured explainability method,Saliency/feature attribution only,No original empirical evaluation,Insufficient methodological detail,Duplicate or earlier publication version,Outside date range,Full text unavailable,Does not meet predefined retinal C-XAI eligibility criteria"</x:formula1>
    </x:dataValidation>
  </x:dataValidations>
  <x:pageMargins left="0.7" right="0.7" top="0.75" bottom="0.75" header="0.3" footer="0.3"/>
  <x:tableParts count="1">
    <x:tablePart xmlns:r="http://schemas.openxmlformats.org/officeDocument/2006/relationships" r:id="R41dcf79ac26e4462"/>
  </x:tableParts>
</x:worksheet>
</file>

<file path=xl/worksheets/sheet8.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46" hidden="0" customWidth="1"/>
    <x:col min="5" max="5" width="48" hidden="0" customWidth="1"/>
    <x:col min="6" max="6" width="18" hidden="0" customWidth="1"/>
  </x:cols>
  <x:sheetData>
    <x:row r="1" ht="30" customHeight="1">
      <x:c r="A1" s="533" t="str">
        <x:v>Author Verification — Search and Screening Quality Control</x:v>
      </x:c>
      <x:c r="B1" s="533"/>
      <x:c r="C1" s="533"/>
      <x:c r="D1" s="533"/>
      <x:c r="E1" s="533"/>
      <x:c r="F1" s="533"/>
      <x:c r="G1" s="418"/>
      <x:c r="H1" s="418"/>
      <x:c r="I1" s="418"/>
      <x:c r="J1" s="418"/>
      <x:c r="K1" s="418"/>
      <x:c r="L1" s="418"/>
      <x:c r="M1" s="418"/>
      <x:c r="N1" s="418"/>
      <x:c r="O1" s="418"/>
      <x:c r="P1" s="418"/>
      <x:c r="Q1" s="418"/>
      <x:c r="R1" s="418"/>
      <x:c r="S1" s="418"/>
      <x:c r="T1" s="418"/>
      <x:c r="U1" s="418"/>
      <x:c r="V1" s="418"/>
      <x:c r="W1" s="418"/>
      <x:c r="X1" s="418"/>
      <x:c r="Y1" s="418"/>
      <x:c r="Z1" s="418"/>
    </x:row>
    <x:row r="2">
      <x:c r="A2" s="418"/>
      <x:c r="B2" s="418"/>
      <x:c r="C2" s="418"/>
      <x:c r="D2" s="418"/>
      <x:c r="E2" s="418"/>
      <x:c r="F2" s="418"/>
      <x:c r="G2" s="418"/>
      <x:c r="H2" s="418"/>
      <x:c r="I2" s="418"/>
      <x:c r="J2" s="418"/>
      <x:c r="K2" s="418"/>
      <x:c r="L2" s="418"/>
      <x:c r="M2" s="418"/>
      <x:c r="N2" s="418"/>
      <x:c r="O2" s="418"/>
      <x:c r="P2" s="418"/>
      <x:c r="Q2" s="418"/>
      <x:c r="R2" s="418"/>
      <x:c r="S2" s="418"/>
      <x:c r="T2" s="418"/>
      <x:c r="U2" s="418"/>
      <x:c r="V2" s="418"/>
      <x:c r="W2" s="418"/>
      <x:c r="X2" s="418"/>
      <x:c r="Y2" s="418"/>
      <x:c r="Z2" s="418"/>
    </x:row>
    <x:row r="3">
      <x:c r="A3" s="1181" t="str">
        <x:v>Stage</x:v>
      </x:c>
      <x:c r="B3" s="1181" t="str">
        <x:v>Primary responsibility</x:v>
      </x:c>
      <x:c r="C3" s="1181" t="str">
        <x:v>Verification step</x:v>
      </x:c>
      <x:c r="D3" s="1181" t="str">
        <x:v>Scope</x:v>
      </x:c>
      <x:c r="E3" s="1181" t="str">
        <x:v>Recorded outcome</x:v>
      </x:c>
      <x:c r="F3" s="1181" t="str">
        <x:v>Evidence location</x:v>
      </x:c>
      <x:c r="G3" s="418"/>
      <x:c r="H3" s="418"/>
      <x:c r="I3" s="418"/>
      <x:c r="J3" s="418"/>
      <x:c r="K3" s="418"/>
      <x:c r="L3" s="418"/>
      <x:c r="M3" s="418"/>
      <x:c r="N3" s="418"/>
      <x:c r="O3" s="418"/>
      <x:c r="P3" s="418"/>
      <x:c r="Q3" s="418"/>
      <x:c r="R3" s="418"/>
      <x:c r="S3" s="418"/>
      <x:c r="T3" s="418"/>
      <x:c r="U3" s="418"/>
      <x:c r="V3" s="418"/>
      <x:c r="W3" s="418"/>
      <x:c r="X3" s="418"/>
      <x:c r="Y3" s="418"/>
      <x:c r="Z3" s="418"/>
    </x:row>
    <x:row r="4">
      <x:c r="A4" s="426" t="str">
        <x:v>Search execution</x:v>
      </x:c>
      <x:c r="B4" s="426" t="str">
        <x:v>Corresponding author</x:v>
      </x:c>
      <x:c r="C4" s="426" t="str">
        <x:v>Search documentation reviewed by the author team</x:v>
      </x:c>
      <x:c r="D4" s="426" t="str">
        <x:v>PubMed, IEEE Xplore, Google Scholar, and arXiv</x:v>
      </x:c>
      <x:c r="E4" s="426" t="str">
        <x:v>Search dates, strings, counts, and capture rules documented</x:v>
      </x:c>
      <x:c r="F4" s="426" t="str">
        <x:v>Search Summary; Full Search Strings</x:v>
      </x:c>
      <x:c r="G4" s="418"/>
      <x:c r="H4" s="418"/>
      <x:c r="I4" s="418"/>
      <x:c r="J4" s="418"/>
      <x:c r="K4" s="418"/>
      <x:c r="L4" s="418"/>
      <x:c r="M4" s="418"/>
      <x:c r="N4" s="418"/>
      <x:c r="O4" s="418"/>
      <x:c r="P4" s="418"/>
      <x:c r="Q4" s="418"/>
      <x:c r="R4" s="418"/>
      <x:c r="S4" s="418"/>
      <x:c r="T4" s="418"/>
      <x:c r="U4" s="418"/>
      <x:c r="V4" s="418"/>
      <x:c r="W4" s="418"/>
      <x:c r="X4" s="418"/>
      <x:c r="Y4" s="418"/>
      <x:c r="Z4" s="418"/>
    </x:row>
    <x:row r="5">
      <x:c r="A5" s="426" t="str">
        <x:v>Title/abstract screening</x:v>
      </x:c>
      <x:c r="B5" s="426" t="str">
        <x:v>Corresponding author</x:v>
      </x:c>
      <x:c r="C5" s="426" t="str">
        <x:v>Random spot checks by two additional authors</x:v>
      </x:c>
      <x:c r="D5" s="426" t="str">
        <x:v>Selected screened papers</x:v>
      </x:c>
      <x:c r="E5" s="426" t="str">
        <x:v>575 valid records screened: 109 Include, 465 Exclude, 1 Unclear</x:v>
      </x:c>
      <x:c r="F5" s="426" t="str">
        <x:v>Master Records; Screening Codebook</x:v>
      </x:c>
      <x:c r="G5" s="418"/>
      <x:c r="H5" s="418"/>
      <x:c r="I5" s="418"/>
      <x:c r="J5" s="418"/>
      <x:c r="K5" s="418"/>
      <x:c r="L5" s="418"/>
      <x:c r="M5" s="418"/>
      <x:c r="N5" s="418"/>
      <x:c r="O5" s="418"/>
      <x:c r="P5" s="418"/>
      <x:c r="Q5" s="418"/>
      <x:c r="R5" s="418"/>
      <x:c r="S5" s="418"/>
      <x:c r="T5" s="418"/>
      <x:c r="U5" s="418"/>
      <x:c r="V5" s="418"/>
      <x:c r="W5" s="418"/>
      <x:c r="X5" s="418"/>
      <x:c r="Y5" s="418"/>
      <x:c r="Z5" s="418"/>
    </x:row>
    <x:row r="6">
      <x:c r="A6" s="426" t="str">
        <x:v>Full-text eligibility</x:v>
      </x:c>
      <x:c r="B6" s="426" t="str">
        <x:v>Corresponding author</x:v>
      </x:c>
      <x:c r="C6" s="457" t="str">
        <x:v>Random spot checks by two additional authors</x:v>
      </x:c>
      <x:c r="D6" s="426" t="str">
        <x:v>Selected retrieved papers</x:v>
      </x:c>
      <x:c r="E6" s="426" t="str">
        <x:v>110 reports assessed: 109 Include, 1 Exclude</x:v>
      </x:c>
      <x:c r="F6" s="426" t="str">
        <x:v>Master Records; Full-Text Exclusions</x:v>
      </x:c>
      <x:c r="G6" s="418"/>
      <x:c r="H6" s="418"/>
      <x:c r="I6" s="418"/>
      <x:c r="J6" s="418"/>
      <x:c r="K6" s="418"/>
      <x:c r="L6" s="418"/>
      <x:c r="M6" s="418"/>
      <x:c r="N6" s="418"/>
      <x:c r="O6" s="418"/>
      <x:c r="P6" s="418"/>
      <x:c r="Q6" s="418"/>
      <x:c r="R6" s="418"/>
      <x:c r="S6" s="418"/>
      <x:c r="T6" s="418"/>
      <x:c r="U6" s="418"/>
      <x:c r="V6" s="418"/>
      <x:c r="W6" s="418"/>
      <x:c r="X6" s="418"/>
      <x:c r="Y6" s="418"/>
      <x:c r="Z6" s="418"/>
    </x:row>
    <x:row r="7">
      <x:c r="A7" s="426" t="str">
        <x:v>Verification record</x:v>
      </x:c>
      <x:c r="B7" s="426" t="str">
        <x:v>Author team</x:v>
      </x:c>
      <x:c r="C7" s="457" t="str">
        <x:v>Procedural quality-control check</x:v>
      </x:c>
      <x:c r="D7" s="426" t="str">
        <x:v>Randomly selected subset</x:v>
      </x:c>
      <x:c r="E7" s="426" t="str">
        <x:v>The supplied register records the process; individual spot-check assignments were not provided</x:v>
      </x:c>
      <x:c r="F7" s="426" t="str">
        <x:v>Master Records; Methodology Draft</x:v>
      </x:c>
      <x:c r="G7" s="418"/>
      <x:c r="H7" s="418"/>
      <x:c r="I7" s="418"/>
      <x:c r="J7" s="418"/>
      <x:c r="K7" s="418"/>
      <x:c r="L7" s="418"/>
      <x:c r="M7" s="418"/>
      <x:c r="N7" s="418"/>
      <x:c r="O7" s="418"/>
      <x:c r="P7" s="418"/>
      <x:c r="Q7" s="418"/>
      <x:c r="R7" s="418"/>
      <x:c r="S7" s="418"/>
      <x:c r="T7" s="418"/>
      <x:c r="U7" s="418"/>
      <x:c r="V7" s="418"/>
      <x:c r="W7" s="418"/>
      <x:c r="X7" s="418"/>
      <x:c r="Y7" s="418"/>
      <x:c r="Z7" s="418"/>
    </x:row>
    <x:row r="8">
      <x:c r="A8"/>
      <x:c r="B8"/>
      <x:c r="C8"/>
      <x:c r="D8"/>
      <x:c r="E8"/>
      <x:c r="F8"/>
      <x:c r="G8" s="418"/>
      <x:c r="H8" s="418"/>
      <x:c r="I8" s="418"/>
      <x:c r="J8" s="418"/>
      <x:c r="K8" s="418"/>
      <x:c r="L8" s="418"/>
      <x:c r="M8" s="418"/>
      <x:c r="N8" s="418"/>
      <x:c r="O8" s="418"/>
      <x:c r="P8" s="418"/>
      <x:c r="Q8" s="418"/>
      <x:c r="R8" s="418"/>
      <x:c r="S8" s="418"/>
      <x:c r="T8" s="418"/>
      <x:c r="U8" s="418"/>
      <x:c r="V8" s="418"/>
      <x:c r="W8" s="418"/>
      <x:c r="X8" s="418"/>
      <x:c r="Y8" s="418"/>
      <x:c r="Z8" s="418"/>
    </x:row>
    <x:row r="9">
      <x:c r="A9"/>
      <x:c r="B9"/>
      <x:c r="C9"/>
      <x:c r="D9"/>
      <x:c r="E9"/>
      <x:c r="F9"/>
      <x:c r="G9" s="418"/>
      <x:c r="H9" s="418"/>
      <x:c r="I9" s="418"/>
      <x:c r="J9" s="418"/>
      <x:c r="K9" s="418"/>
      <x:c r="L9" s="418"/>
      <x:c r="M9" s="418"/>
      <x:c r="N9" s="418"/>
      <x:c r="O9" s="418"/>
      <x:c r="P9" s="418"/>
      <x:c r="Q9" s="418"/>
      <x:c r="R9" s="418"/>
      <x:c r="S9" s="418"/>
      <x:c r="T9" s="418"/>
      <x:c r="U9" s="418"/>
      <x:c r="V9" s="418"/>
      <x:c r="W9" s="418"/>
      <x:c r="X9" s="418"/>
      <x:c r="Y9" s="418"/>
      <x:c r="Z9" s="418"/>
    </x:row>
    <x:row r="10">
      <x:c r="A10"/>
      <x:c r="B10"/>
      <x:c r="C10"/>
      <x:c r="D10"/>
      <x:c r="E10"/>
      <x:c r="F10"/>
      <x:c r="G10" s="418"/>
      <x:c r="H10" s="418"/>
      <x:c r="I10" s="418"/>
      <x:c r="J10" s="418"/>
      <x:c r="K10" s="418"/>
      <x:c r="L10" s="418"/>
      <x:c r="M10" s="418"/>
      <x:c r="N10" s="418"/>
      <x:c r="O10" s="418"/>
      <x:c r="P10" s="418"/>
      <x:c r="Q10" s="418"/>
      <x:c r="R10" s="418"/>
      <x:c r="S10" s="418"/>
      <x:c r="T10" s="418"/>
      <x:c r="U10" s="418"/>
      <x:c r="V10" s="418"/>
      <x:c r="W10" s="418"/>
      <x:c r="X10" s="418"/>
      <x:c r="Y10" s="418"/>
      <x:c r="Z10" s="418"/>
    </x:row>
    <x:row r="11">
      <x:c r="A11"/>
      <x:c r="B11"/>
      <x:c r="C11"/>
      <x:c r="D11"/>
      <x:c r="E11"/>
      <x:c r="F11"/>
      <x:c r="G11" s="418"/>
      <x:c r="H11" s="418"/>
      <x:c r="I11" s="418"/>
      <x:c r="J11" s="418"/>
      <x:c r="K11" s="418"/>
      <x:c r="L11" s="418"/>
      <x:c r="M11" s="418"/>
      <x:c r="N11" s="418"/>
      <x:c r="O11" s="418"/>
      <x:c r="P11" s="418"/>
      <x:c r="Q11" s="418"/>
      <x:c r="R11" s="418"/>
      <x:c r="S11" s="418"/>
      <x:c r="T11" s="418"/>
      <x:c r="U11" s="418"/>
      <x:c r="V11" s="418"/>
      <x:c r="W11" s="418"/>
      <x:c r="X11" s="418"/>
      <x:c r="Y11" s="418"/>
      <x:c r="Z11" s="418"/>
    </x:row>
    <x:row r="12">
      <x:c r="A12"/>
      <x:c r="B12"/>
      <x:c r="C12"/>
      <x:c r="D12"/>
      <x:c r="E12"/>
      <x:c r="F12"/>
      <x:c r="G12" s="418"/>
      <x:c r="H12" s="418"/>
      <x:c r="I12" s="418"/>
      <x:c r="J12" s="418"/>
      <x:c r="K12" s="418"/>
      <x:c r="L12" s="418"/>
      <x:c r="M12" s="418"/>
      <x:c r="N12" s="418"/>
      <x:c r="O12" s="418"/>
      <x:c r="P12" s="418"/>
      <x:c r="Q12" s="418"/>
      <x:c r="R12" s="418"/>
      <x:c r="S12" s="418"/>
      <x:c r="T12" s="418"/>
      <x:c r="U12" s="418"/>
      <x:c r="V12" s="418"/>
      <x:c r="W12" s="418"/>
      <x:c r="X12" s="418"/>
      <x:c r="Y12" s="418"/>
      <x:c r="Z12" s="418"/>
    </x:row>
    <x:row r="13">
      <x:c r="A13"/>
      <x:c r="B13"/>
      <x:c r="C13"/>
      <x:c r="D13"/>
      <x:c r="E13"/>
      <x:c r="F13"/>
      <x:c r="G13" s="418"/>
      <x:c r="H13" s="418"/>
      <x:c r="I13" s="418"/>
      <x:c r="J13" s="418"/>
      <x:c r="K13" s="418"/>
      <x:c r="L13" s="418"/>
      <x:c r="M13" s="418"/>
      <x:c r="N13" s="418"/>
      <x:c r="O13" s="418"/>
      <x:c r="P13" s="418"/>
      <x:c r="Q13" s="418"/>
      <x:c r="R13" s="418"/>
      <x:c r="S13" s="418"/>
      <x:c r="T13" s="418"/>
      <x:c r="U13" s="418"/>
      <x:c r="V13" s="418"/>
      <x:c r="W13" s="418"/>
      <x:c r="X13" s="418"/>
      <x:c r="Y13" s="418"/>
      <x:c r="Z13" s="418"/>
    </x:row>
    <x:row r="14">
      <x:c r="A14"/>
      <x:c r="B14"/>
      <x:c r="C14"/>
      <x:c r="D14"/>
      <x:c r="E14"/>
      <x:c r="F14"/>
      <x:c r="G14" s="418"/>
      <x:c r="H14" s="418"/>
      <x:c r="I14" s="418"/>
      <x:c r="J14" s="418"/>
      <x:c r="K14" s="418"/>
      <x:c r="L14" s="418"/>
      <x:c r="M14" s="418"/>
      <x:c r="N14" s="418"/>
      <x:c r="O14" s="418"/>
      <x:c r="P14" s="418"/>
      <x:c r="Q14" s="418"/>
      <x:c r="R14" s="418"/>
      <x:c r="S14" s="418"/>
      <x:c r="T14" s="418"/>
      <x:c r="U14" s="418"/>
      <x:c r="V14" s="418"/>
      <x:c r="W14" s="418"/>
      <x:c r="X14" s="418"/>
      <x:c r="Y14" s="418"/>
      <x:c r="Z14" s="418"/>
    </x:row>
    <x:row r="15" ht="30" customHeight="1">
      <x:c r="A15"/>
      <x:c r="B15"/>
      <x:c r="C15"/>
      <x:c r="D15"/>
      <x:c r="E15"/>
      <x:c r="F15"/>
      <x:c r="G15" s="418"/>
      <x:c r="H15" s="418"/>
      <x:c r="I15" s="418"/>
      <x:c r="J15" s="418"/>
      <x:c r="K15" s="418"/>
      <x:c r="L15" s="418"/>
      <x:c r="M15" s="418"/>
      <x:c r="N15" s="418"/>
      <x:c r="O15" s="418"/>
      <x:c r="P15" s="418"/>
      <x:c r="Q15" s="418"/>
      <x:c r="R15" s="418"/>
      <x:c r="S15" s="418"/>
      <x:c r="T15" s="418"/>
      <x:c r="U15" s="418"/>
      <x:c r="V15" s="418"/>
      <x:c r="W15" s="418"/>
      <x:c r="X15" s="418"/>
      <x:c r="Y15" s="418"/>
      <x:c r="Z15" s="418"/>
    </x:row>
    <x:row r="16">
      <x:c r="A16"/>
      <x:c r="B16"/>
      <x:c r="C16"/>
      <x:c r="D16"/>
      <x:c r="E16"/>
      <x:c r="F16"/>
      <x:c r="G16" s="418"/>
      <x:c r="H16" s="418"/>
      <x:c r="I16" s="418"/>
      <x:c r="J16" s="418"/>
      <x:c r="K16" s="418"/>
      <x:c r="L16" s="418"/>
      <x:c r="M16" s="418"/>
      <x:c r="N16" s="418"/>
      <x:c r="O16" s="418"/>
      <x:c r="P16" s="418"/>
      <x:c r="Q16" s="418"/>
      <x:c r="R16" s="418"/>
      <x:c r="S16" s="418"/>
      <x:c r="T16" s="418"/>
      <x:c r="U16" s="418"/>
      <x:c r="V16" s="418"/>
      <x:c r="W16" s="418"/>
      <x:c r="X16" s="418"/>
      <x:c r="Y16" s="418"/>
      <x:c r="Z16" s="418"/>
    </x:row>
    <x:row r="17">
      <x:c r="A17"/>
      <x:c r="B17"/>
      <x:c r="C17"/>
      <x:c r="D17"/>
      <x:c r="E17"/>
      <x:c r="F17"/>
      <x:c r="G17" s="418"/>
      <x:c r="H17" s="418"/>
      <x:c r="I17" s="418"/>
      <x:c r="J17" s="418"/>
      <x:c r="K17" s="418"/>
      <x:c r="L17" s="418"/>
      <x:c r="M17" s="418"/>
      <x:c r="N17" s="418"/>
      <x:c r="O17" s="418"/>
      <x:c r="P17" s="418"/>
      <x:c r="Q17" s="418"/>
      <x:c r="R17" s="418"/>
      <x:c r="S17" s="418"/>
      <x:c r="T17" s="418"/>
      <x:c r="U17" s="418"/>
      <x:c r="V17" s="418"/>
      <x:c r="W17" s="418"/>
      <x:c r="X17" s="418"/>
      <x:c r="Y17" s="418"/>
      <x:c r="Z17" s="418"/>
    </x:row>
    <x:row r="18">
      <x:c r="A18"/>
      <x:c r="B18"/>
      <x:c r="C18"/>
      <x:c r="D18"/>
      <x:c r="E18"/>
      <x:c r="F18"/>
      <x:c r="G18" s="418"/>
      <x:c r="H18" s="418"/>
      <x:c r="I18" s="418"/>
      <x:c r="J18" s="418"/>
      <x:c r="K18" s="418"/>
      <x:c r="L18" s="418"/>
      <x:c r="M18" s="418"/>
      <x:c r="N18" s="418"/>
      <x:c r="O18" s="418"/>
      <x:c r="P18" s="418"/>
      <x:c r="Q18" s="418"/>
      <x:c r="R18" s="418"/>
      <x:c r="S18" s="418"/>
      <x:c r="T18" s="418"/>
      <x:c r="U18" s="418"/>
      <x:c r="V18" s="418"/>
      <x:c r="W18" s="418"/>
      <x:c r="X18" s="418"/>
      <x:c r="Y18" s="418"/>
      <x:c r="Z18" s="418"/>
    </x:row>
    <x:row r="19">
      <x:c r="A19"/>
      <x:c r="B19"/>
      <x:c r="C19"/>
      <x:c r="D19"/>
      <x:c r="E19"/>
      <x:c r="F19"/>
      <x:c r="G19" s="418"/>
      <x:c r="H19" s="418"/>
      <x:c r="I19" s="418"/>
      <x:c r="J19" s="418"/>
      <x:c r="K19" s="418"/>
      <x:c r="L19" s="418"/>
      <x:c r="M19" s="418"/>
      <x:c r="N19" s="418"/>
      <x:c r="O19" s="418"/>
      <x:c r="P19" s="418"/>
      <x:c r="Q19" s="418"/>
      <x:c r="R19" s="418"/>
      <x:c r="S19" s="418"/>
      <x:c r="T19" s="418"/>
      <x:c r="U19" s="418"/>
      <x:c r="V19" s="418"/>
      <x:c r="W19" s="418"/>
      <x:c r="X19" s="418"/>
      <x:c r="Y19" s="418"/>
      <x:c r="Z19" s="418"/>
    </x:row>
    <x:row r="20">
      <x:c r="A20"/>
      <x:c r="B20"/>
      <x:c r="C20"/>
      <x:c r="D20"/>
      <x:c r="E20"/>
      <x:c r="F20"/>
      <x:c r="G20" s="418"/>
      <x:c r="H20" s="418"/>
      <x:c r="I20" s="418"/>
      <x:c r="J20" s="418"/>
      <x:c r="K20" s="418"/>
      <x:c r="L20" s="418"/>
      <x:c r="M20" s="418"/>
      <x:c r="N20" s="418"/>
      <x:c r="O20" s="418"/>
      <x:c r="P20" s="418"/>
      <x:c r="Q20" s="418"/>
      <x:c r="R20" s="418"/>
      <x:c r="S20" s="418"/>
      <x:c r="T20" s="418"/>
      <x:c r="U20" s="418"/>
      <x:c r="V20" s="418"/>
      <x:c r="W20" s="418"/>
      <x:c r="X20" s="418"/>
      <x:c r="Y20" s="418"/>
      <x:c r="Z20" s="418"/>
    </x:row>
    <x:row r="21">
      <x:c r="A21" s="418"/>
      <x:c r="B21" s="418"/>
      <x:c r="C21" s="418"/>
      <x:c r="D21" s="418"/>
      <x:c r="E21" s="418"/>
      <x:c r="F21" s="418"/>
      <x:c r="G21" s="418"/>
      <x:c r="H21" s="418"/>
      <x:c r="I21" s="418"/>
      <x:c r="J21" s="418"/>
      <x:c r="K21" s="418"/>
      <x:c r="L21" s="418"/>
      <x:c r="M21" s="418"/>
      <x:c r="N21" s="418"/>
      <x:c r="O21" s="418"/>
      <x:c r="P21" s="418"/>
      <x:c r="Q21" s="418"/>
      <x:c r="R21" s="418"/>
      <x:c r="S21" s="418"/>
      <x:c r="T21" s="418"/>
      <x:c r="U21" s="418"/>
      <x:c r="V21" s="418"/>
      <x:c r="W21" s="418"/>
      <x:c r="X21" s="418"/>
      <x:c r="Y21" s="418"/>
      <x:c r="Z21" s="418"/>
    </x:row>
    <x:row r="22">
      <x:c r="A22" s="418"/>
      <x:c r="B22" s="418"/>
      <x:c r="C22" s="418"/>
      <x:c r="D22" s="418"/>
      <x:c r="E22" s="418"/>
      <x:c r="F22" s="418"/>
      <x:c r="G22" s="418"/>
      <x:c r="H22" s="418"/>
      <x:c r="I22" s="418"/>
      <x:c r="J22" s="418"/>
      <x:c r="K22" s="418"/>
      <x:c r="L22" s="418"/>
      <x:c r="M22" s="418"/>
      <x:c r="N22" s="418"/>
      <x:c r="O22" s="418"/>
      <x:c r="P22" s="418"/>
      <x:c r="Q22" s="418"/>
      <x:c r="R22" s="418"/>
      <x:c r="S22" s="418"/>
      <x:c r="T22" s="418"/>
      <x:c r="U22" s="418"/>
      <x:c r="V22" s="418"/>
      <x:c r="W22" s="418"/>
      <x:c r="X22" s="418"/>
      <x:c r="Y22" s="418"/>
      <x:c r="Z22" s="418"/>
    </x:row>
    <x:row r="23">
      <x:c r="A23" s="418"/>
      <x:c r="B23" s="418"/>
      <x:c r="C23" s="418"/>
      <x:c r="D23" s="418"/>
      <x:c r="E23" s="418"/>
      <x:c r="F23" s="418"/>
      <x:c r="G23" s="418"/>
      <x:c r="H23" s="418"/>
      <x:c r="I23" s="418"/>
      <x:c r="J23" s="418"/>
      <x:c r="K23" s="418"/>
      <x:c r="L23" s="418"/>
      <x:c r="M23" s="418"/>
      <x:c r="N23" s="418"/>
      <x:c r="O23" s="418"/>
      <x:c r="P23" s="418"/>
      <x:c r="Q23" s="418"/>
      <x:c r="R23" s="418"/>
      <x:c r="S23" s="418"/>
      <x:c r="T23" s="418"/>
      <x:c r="U23" s="418"/>
      <x:c r="V23" s="418"/>
      <x:c r="W23" s="418"/>
      <x:c r="X23" s="418"/>
      <x:c r="Y23" s="418"/>
      <x:c r="Z23" s="418"/>
    </x:row>
    <x:row r="24">
      <x:c r="A24" s="418"/>
      <x:c r="B24" s="418"/>
      <x:c r="C24" s="418"/>
      <x:c r="D24" s="418"/>
      <x:c r="E24" s="418"/>
      <x:c r="F24" s="418"/>
      <x:c r="G24" s="418"/>
      <x:c r="H24" s="418"/>
      <x:c r="I24" s="418"/>
      <x:c r="J24" s="418"/>
      <x:c r="K24" s="418"/>
      <x:c r="L24" s="418"/>
      <x:c r="M24" s="418"/>
      <x:c r="N24" s="418"/>
      <x:c r="O24" s="418"/>
      <x:c r="P24" s="418"/>
      <x:c r="Q24" s="418"/>
      <x:c r="R24" s="418"/>
      <x:c r="S24" s="418"/>
      <x:c r="T24" s="418"/>
      <x:c r="U24" s="418"/>
      <x:c r="V24" s="418"/>
      <x:c r="W24" s="418"/>
      <x:c r="X24" s="418"/>
      <x:c r="Y24" s="418"/>
      <x:c r="Z24" s="418"/>
    </x:row>
    <x:row r="25">
      <x:c r="A25" s="418"/>
      <x:c r="B25" s="418"/>
      <x:c r="C25" s="418"/>
      <x:c r="D25" s="418"/>
      <x:c r="E25" s="418"/>
      <x:c r="F25" s="418"/>
      <x:c r="G25" s="418"/>
      <x:c r="H25" s="418"/>
      <x:c r="I25" s="418"/>
      <x:c r="J25" s="418"/>
      <x:c r="K25" s="418"/>
      <x:c r="L25" s="418"/>
      <x:c r="M25" s="418"/>
      <x:c r="N25" s="418"/>
      <x:c r="O25" s="418"/>
      <x:c r="P25" s="418"/>
      <x:c r="Q25" s="418"/>
      <x:c r="R25" s="418"/>
      <x:c r="S25" s="418"/>
      <x:c r="T25" s="418"/>
      <x:c r="U25" s="418"/>
      <x:c r="V25" s="418"/>
      <x:c r="W25" s="418"/>
      <x:c r="X25" s="418"/>
      <x:c r="Y25" s="418"/>
      <x:c r="Z25" s="418"/>
    </x:row>
    <x:row r="26">
      <x:c r="A26" s="418"/>
      <x:c r="B26" s="418"/>
      <x:c r="C26" s="418"/>
      <x:c r="D26" s="418"/>
      <x:c r="E26" s="418"/>
      <x:c r="F26" s="418"/>
      <x:c r="G26" s="418"/>
      <x:c r="H26" s="418"/>
      <x:c r="I26" s="418"/>
      <x:c r="J26" s="418"/>
      <x:c r="K26" s="418"/>
      <x:c r="L26" s="418"/>
      <x:c r="M26" s="418"/>
      <x:c r="N26" s="418"/>
      <x:c r="O26" s="418"/>
      <x:c r="P26" s="418"/>
      <x:c r="Q26" s="418"/>
      <x:c r="R26" s="418"/>
      <x:c r="S26" s="418"/>
      <x:c r="T26" s="418"/>
      <x:c r="U26" s="418"/>
      <x:c r="V26" s="418"/>
      <x:c r="W26" s="418"/>
      <x:c r="X26" s="418"/>
      <x:c r="Y26" s="418"/>
      <x:c r="Z26" s="418"/>
    </x:row>
    <x:row r="27">
      <x:c r="A27" s="418"/>
      <x:c r="B27" s="418"/>
      <x:c r="C27" s="418"/>
      <x:c r="D27" s="418"/>
      <x:c r="E27" s="418"/>
      <x:c r="F27" s="418"/>
      <x:c r="G27" s="418"/>
      <x:c r="H27" s="418"/>
      <x:c r="I27" s="418"/>
      <x:c r="J27" s="418"/>
      <x:c r="K27" s="418"/>
      <x:c r="L27" s="418"/>
      <x:c r="M27" s="418"/>
      <x:c r="N27" s="418"/>
      <x:c r="O27" s="418"/>
      <x:c r="P27" s="418"/>
      <x:c r="Q27" s="418"/>
      <x:c r="R27" s="418"/>
      <x:c r="S27" s="418"/>
      <x:c r="T27" s="418"/>
      <x:c r="U27" s="418"/>
      <x:c r="V27" s="418"/>
      <x:c r="W27" s="418"/>
      <x:c r="X27" s="418"/>
      <x:c r="Y27" s="418"/>
      <x:c r="Z27" s="418"/>
    </x:row>
    <x:row r="28">
      <x:c r="A28" s="418"/>
      <x:c r="B28" s="418"/>
      <x:c r="C28" s="418"/>
      <x:c r="D28" s="418"/>
      <x:c r="E28" s="418"/>
      <x:c r="F28" s="418"/>
      <x:c r="G28" s="418"/>
      <x:c r="H28" s="418"/>
      <x:c r="I28" s="418"/>
      <x:c r="J28" s="418"/>
      <x:c r="K28" s="418"/>
      <x:c r="L28" s="418"/>
      <x:c r="M28" s="418"/>
      <x:c r="N28" s="418"/>
      <x:c r="O28" s="418"/>
      <x:c r="P28" s="418"/>
      <x:c r="Q28" s="418"/>
      <x:c r="R28" s="418"/>
      <x:c r="S28" s="418"/>
      <x:c r="T28" s="418"/>
      <x:c r="U28" s="418"/>
      <x:c r="V28" s="418"/>
      <x:c r="W28" s="418"/>
      <x:c r="X28" s="418"/>
      <x:c r="Y28" s="418"/>
      <x:c r="Z28" s="418"/>
    </x:row>
    <x:row r="29">
      <x:c r="A29" s="418"/>
      <x:c r="B29" s="418"/>
      <x:c r="C29" s="418"/>
      <x:c r="D29" s="418"/>
      <x:c r="E29" s="418"/>
      <x:c r="F29" s="418"/>
      <x:c r="G29" s="418"/>
      <x:c r="H29" s="418"/>
      <x:c r="I29" s="418"/>
      <x:c r="J29" s="418"/>
      <x:c r="K29" s="418"/>
      <x:c r="L29" s="418"/>
      <x:c r="M29" s="418"/>
      <x:c r="N29" s="418"/>
      <x:c r="O29" s="418"/>
      <x:c r="P29" s="418"/>
      <x:c r="Q29" s="418"/>
      <x:c r="R29" s="418"/>
      <x:c r="S29" s="418"/>
      <x:c r="T29" s="418"/>
      <x:c r="U29" s="418"/>
      <x:c r="V29" s="418"/>
      <x:c r="W29" s="418"/>
      <x:c r="X29" s="418"/>
      <x:c r="Y29" s="418"/>
      <x:c r="Z29" s="418"/>
    </x:row>
    <x:row r="30">
      <x:c r="A30" s="418"/>
      <x:c r="B30" s="418"/>
      <x:c r="C30" s="418"/>
      <x:c r="D30" s="418"/>
      <x:c r="E30" s="418"/>
      <x:c r="F30" s="418"/>
      <x:c r="G30" s="418"/>
      <x:c r="H30" s="418"/>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F1"/>
    <x:mergeCell ref="A15:F15"/>
  </x:mergeCells>
  <x:pageMargins left="0.7" right="0.7" top="0.75" bottom="0.75" header="0.3" footer="0.3"/>
</x:worksheet>
</file>

<file path=xl/worksheets/sheet9.xml><?xml version="1.0" encoding="utf-8"?>
<x:worksheet xmlns:x="http://schemas.openxmlformats.org/spreadsheetml/2006/main">
  <x:sheetFormatPr defaultRowHeight="15"/>
  <x:cols>
    <x:col min="1" max="1" width="38" hidden="0" customWidth="1"/>
    <x:col min="2" max="2" width="16" hidden="0" customWidth="1"/>
    <x:col min="3" max="3" width="34" hidden="0" customWidth="1"/>
    <x:col min="4" max="4" width="52" hidden="0" customWidth="1"/>
    <x:col min="5" max="5" width="25" hidden="0" customWidth="1"/>
    <x:col min="6" max="6" width="45" hidden="0" customWidth="1"/>
    <x:col min="8" max="8" width="54" hidden="0" customWidth="1"/>
    <x:col min="9" max="9" width="14" hidden="0" customWidth="1"/>
  </x:cols>
  <x:sheetData>
    <x:row r="1" ht="30" customHeight="1">
      <x:c r="A1" s="533" t="str">
        <x:v>PRISMA 2020 Final Counts — Formula-Driven</x:v>
      </x:c>
      <x:c r="B1" s="533"/>
      <x:c r="C1" s="533"/>
      <x:c r="D1" s="533"/>
      <x:c r="E1" s="533"/>
      <x:c r="F1" s="533"/>
      <x:c r="G1" s="418"/>
      <x:c r="H1" s="418"/>
      <x:c r="I1" s="418"/>
      <x:c r="J1" s="418"/>
      <x:c r="K1" s="418"/>
      <x:c r="L1" s="418"/>
      <x:c r="M1" s="418"/>
      <x:c r="N1" s="418"/>
      <x:c r="O1" s="418"/>
      <x:c r="P1" s="418"/>
      <x:c r="Q1" s="418"/>
      <x:c r="R1" s="418"/>
      <x:c r="S1" s="418"/>
      <x:c r="T1" s="418"/>
      <x:c r="U1" s="418"/>
      <x:c r="V1" s="418"/>
      <x:c r="W1" s="418"/>
      <x:c r="X1" s="418"/>
      <x:c r="Y1" s="418"/>
      <x:c r="Z1" s="418"/>
    </x:row>
    <x:row r="2">
      <x:c r="A2" s="418"/>
      <x:c r="B2" s="418"/>
      <x:c r="C2" s="418"/>
      <x:c r="D2" s="418"/>
      <x:c r="E2" s="418"/>
      <x:c r="F2" s="418"/>
      <x:c r="G2" s="418"/>
      <x:c r="H2" s="418"/>
      <x:c r="I2" s="418"/>
      <x:c r="J2" s="418"/>
      <x:c r="K2" s="418"/>
      <x:c r="L2" s="418"/>
      <x:c r="M2" s="418"/>
      <x:c r="N2" s="418"/>
      <x:c r="O2" s="418"/>
      <x:c r="P2" s="418"/>
      <x:c r="Q2" s="418"/>
      <x:c r="R2" s="418"/>
      <x:c r="S2" s="418"/>
      <x:c r="T2" s="418"/>
      <x:c r="U2" s="418"/>
      <x:c r="V2" s="418"/>
      <x:c r="W2" s="418"/>
      <x:c r="X2" s="418"/>
      <x:c r="Y2" s="418"/>
      <x:c r="Z2" s="418"/>
    </x:row>
    <x:row r="3">
      <x:c r="A3" s="425" t="str">
        <x:v>PRISMA item</x:v>
      </x:c>
      <x:c r="B3" s="425" t="str">
        <x:v>Final count</x:v>
      </x:c>
      <x:c r="C3" s="425" t="str">
        <x:v>Formula/source</x:v>
      </x:c>
      <x:c r="D3" s="425" t="str">
        <x:v>Final-use rule</x:v>
      </x:c>
      <x:c r="E3" s="425" t="str">
        <x:v>Status</x:v>
      </x:c>
      <x:c r="F3" s="425" t="str">
        <x:v>Notes</x:v>
      </x:c>
      <x:c r="G3" s="418"/>
      <x:c r="H3" s="425" t="str">
        <x:v>Full-text exclusion reason</x:v>
      </x:c>
      <x:c r="I3" s="425" t="str">
        <x:v>Count</x:v>
      </x:c>
      <x:c r="J3" s="418"/>
      <x:c r="K3" s="418"/>
      <x:c r="L3" s="418"/>
      <x:c r="M3" s="418"/>
      <x:c r="N3" s="418"/>
      <x:c r="O3" s="418"/>
      <x:c r="P3" s="418"/>
      <x:c r="Q3" s="418"/>
      <x:c r="R3" s="418"/>
      <x:c r="S3" s="418"/>
      <x:c r="T3" s="418"/>
      <x:c r="U3" s="418"/>
      <x:c r="V3" s="418"/>
      <x:c r="W3" s="418"/>
      <x:c r="X3" s="418"/>
      <x:c r="Y3" s="418"/>
      <x:c r="Z3" s="418"/>
    </x:row>
    <x:row r="4">
      <x:c r="A4" s="426" t="str">
        <x:v>Records imported into Master Records</x:v>
      </x:c>
      <x:c r="B4" s="426" t="n">
        <x:f>COUNTA('Master Records'!$A$4:$A$725)</x:f>
        <x:v>722</x:v>
      </x:c>
      <x:c r="C4" s="426" t="str">
        <x:v>Master Records</x:v>
      </x:c>
      <x:c r="D4" s="426" t="str">
        <x:v>All identified source instances represented in the screening register.</x:v>
      </x:c>
      <x:c r="E4" s="426" t="str">
        <x:v>Final identification set</x:v>
      </x:c>
      <x:c r="F4" s="426" t="str">
        <x:v>25 PubMed + 19 IEEE + 595 Google Scholar + 80 arXiv + 3 citation-chasing records = 722.</x:v>
      </x:c>
      <x:c r="G4" s="418"/>
      <x:c r="H4" s="418" t="str">
        <x:v>Not retinal or ophthalmic imaging</x:v>
      </x:c>
      <x:c r="I4" s="418" t="n">
        <x:f>COUNTIF('Full-Text Exclusions'!$G$4:$G$200,H4)</x:f>
        <x:v>0</x:v>
      </x:c>
      <x:c r="J4" s="418"/>
      <x:c r="K4" s="418"/>
      <x:c r="L4" s="418"/>
      <x:c r="M4" s="418"/>
      <x:c r="N4" s="418"/>
      <x:c r="O4" s="418"/>
      <x:c r="P4" s="418"/>
      <x:c r="Q4" s="418"/>
      <x:c r="R4" s="418"/>
      <x:c r="S4" s="418"/>
      <x:c r="T4" s="418"/>
      <x:c r="U4" s="418"/>
      <x:c r="V4" s="418"/>
      <x:c r="W4" s="418"/>
      <x:c r="X4" s="418"/>
      <x:c r="Y4" s="418"/>
      <x:c r="Z4" s="418"/>
    </x:row>
    <x:row r="5">
      <x:c r="A5" s="426" t="str">
        <x:v>PubMed records imported</x:v>
      </x:c>
      <x:c r="B5" s="426" t="n">
        <x:f>COUNTIF('Master Records'!$B$4:$B$725,"PubMed")</x:f>
        <x:v>25</x:v>
      </x:c>
      <x:c r="C5" s="426" t="str">
        <x:v>Master Records</x:v>
      </x:c>
      <x:c r="D5" s="426" t="str">
        <x:v>Use the actual rerun set retained for screening.</x:v>
      </x:c>
      <x:c r="E5" s="426" t="str">
        <x:v>Complete</x:v>
      </x:c>
      <x:c r="F5" s="426"/>
      <x:c r="G5" s="418"/>
      <x:c r="H5" s="418" t="str">
        <x:v>No concept-based or structured explainability method</x:v>
      </x:c>
      <x:c r="I5" s="418" t="n">
        <x:f>COUNTIF('Full-Text Exclusions'!$G$4:$G$200,H5)</x:f>
        <x:v>0</x:v>
      </x:c>
      <x:c r="J5" s="418"/>
      <x:c r="K5" s="418"/>
      <x:c r="L5" s="418"/>
      <x:c r="M5" s="418"/>
      <x:c r="N5" s="418"/>
      <x:c r="O5" s="418"/>
      <x:c r="P5" s="418"/>
      <x:c r="Q5" s="418"/>
      <x:c r="R5" s="418"/>
      <x:c r="S5" s="418"/>
      <x:c r="T5" s="418"/>
      <x:c r="U5" s="418"/>
      <x:c r="V5" s="418"/>
      <x:c r="W5" s="418"/>
      <x:c r="X5" s="418"/>
      <x:c r="Y5" s="418"/>
      <x:c r="Z5" s="418"/>
    </x:row>
    <x:row r="6">
      <x:c r="A6" s="426" t="str">
        <x:v>IEEE Xplore records imported</x:v>
      </x:c>
      <x:c r="B6" s="426" t="n">
        <x:f>COUNTIF('Master Records'!$B$4:$B$725,"IEEE Xplore")</x:f>
        <x:v>19</x:v>
      </x:c>
      <x:c r="C6" s="426" t="str">
        <x:v>Master Records</x:v>
      </x:c>
      <x:c r="D6" s="426" t="str">
        <x:v>Expected 19.</x:v>
      </x:c>
      <x:c r="E6" s="426" t="str">
        <x:v>Complete</x:v>
      </x:c>
      <x:c r="F6" s="426"/>
      <x:c r="G6" s="418"/>
      <x:c r="H6" s="418" t="str">
        <x:v>Saliency/feature attribution only</x:v>
      </x:c>
      <x:c r="I6" s="418" t="n">
        <x:f>COUNTIF('Full-Text Exclusions'!$G$4:$G$200,H6)</x:f>
        <x:v>0</x:v>
      </x:c>
      <x:c r="J6" s="418"/>
      <x:c r="K6" s="418"/>
      <x:c r="L6" s="418"/>
      <x:c r="M6" s="418"/>
      <x:c r="N6" s="418"/>
      <x:c r="O6" s="418"/>
      <x:c r="P6" s="418"/>
      <x:c r="Q6" s="418"/>
      <x:c r="R6" s="418"/>
      <x:c r="S6" s="418"/>
      <x:c r="T6" s="418"/>
      <x:c r="U6" s="418"/>
      <x:c r="V6" s="418"/>
      <x:c r="W6" s="418"/>
      <x:c r="X6" s="418"/>
      <x:c r="Y6" s="418"/>
      <x:c r="Z6" s="418"/>
    </x:row>
    <x:row r="7">
      <x:c r="A7" s="426" t="str">
        <x:v>Google Scholar records imported</x:v>
      </x:c>
      <x:c r="B7" s="426" t="n">
        <x:f>COUNTIF('Master Records'!$B$4:$B$725,"Google Scholar")</x:f>
        <x:v>595</x:v>
      </x:c>
      <x:c r="C7" s="426" t="str">
        <x:v>Master Records</x:v>
      </x:c>
      <x:c r="D7" s="426" t="str">
        <x:v>Use 595 actual captured screening instances, not displayed estimates.</x:v>
      </x:c>
      <x:c r="E7" s="426" t="str">
        <x:v>Complete page capture</x:v>
      </x:c>
      <x:c r="F7" s="426" t="str">
        <x:v>All 595 captured titles transcribed from the supplied Google Scholar result pages; secondary metadata remains partly OCR-normalised.</x:v>
      </x:c>
      <x:c r="G7" s="418"/>
      <x:c r="H7" s="418" t="str">
        <x:v>No original empirical evaluation</x:v>
      </x:c>
      <x:c r="I7" s="418" t="n">
        <x:f>COUNTIF('Full-Text Exclusions'!$G$4:$G$200,H7)</x:f>
        <x:v>0</x:v>
      </x:c>
      <x:c r="J7" s="418"/>
      <x:c r="K7" s="418"/>
      <x:c r="L7" s="418"/>
      <x:c r="M7" s="418"/>
      <x:c r="N7" s="418"/>
      <x:c r="O7" s="418"/>
      <x:c r="P7" s="418"/>
      <x:c r="Q7" s="418"/>
      <x:c r="R7" s="418"/>
      <x:c r="S7" s="418"/>
      <x:c r="T7" s="418"/>
      <x:c r="U7" s="418"/>
      <x:c r="V7" s="418"/>
      <x:c r="W7" s="418"/>
      <x:c r="X7" s="418"/>
      <x:c r="Y7" s="418"/>
      <x:c r="Z7" s="418"/>
    </x:row>
    <x:row r="8">
      <x:c r="A8" s="426" t="str">
        <x:v>arXiv records imported</x:v>
      </x:c>
      <x:c r="B8" s="426" t="n">
        <x:f>COUNTIF('Master Records'!$B$4:$B$725,"arXiv")</x:f>
        <x:v>80</x:v>
      </x:c>
      <x:c r="C8" s="426" t="str">
        <x:v>Master Records</x:v>
      </x:c>
      <x:c r="D8" s="426" t="str">
        <x:v>Use 80 rechecked source instances before deduplication.</x:v>
      </x:c>
      <x:c r="E8" s="426" t="str">
        <x:v>Count complete</x:v>
      </x:c>
      <x:c r="F8" s="426" t="str">
        <x:v>All 80 captured titles are present; secondary metadata is partial for large-result screenshots.</x:v>
      </x:c>
      <x:c r="G8" s="418"/>
      <x:c r="H8" s="418" t="str">
        <x:v>Insufficient methodological detail</x:v>
      </x:c>
      <x:c r="I8" s="418" t="n">
        <x:f>COUNTIF('Full-Text Exclusions'!$G$4:$G$200,H8)</x:f>
        <x:v>0</x:v>
      </x:c>
      <x:c r="J8" s="418"/>
      <x:c r="K8" s="418"/>
      <x:c r="L8" s="418"/>
      <x:c r="M8" s="418"/>
      <x:c r="N8" s="418"/>
      <x:c r="O8" s="418"/>
      <x:c r="P8" s="418"/>
      <x:c r="Q8" s="418"/>
      <x:c r="R8" s="418"/>
      <x:c r="S8" s="418"/>
      <x:c r="T8" s="418"/>
      <x:c r="U8" s="418"/>
      <x:c r="V8" s="418"/>
      <x:c r="W8" s="418"/>
      <x:c r="X8" s="418"/>
      <x:c r="Y8" s="418"/>
      <x:c r="Z8" s="418"/>
    </x:row>
    <x:row r="9">
      <x:c r="A9" s="426" t="str">
        <x:v>Citation-chasing records imported</x:v>
      </x:c>
      <x:c r="B9" s="426" t="n">
        <x:f>COUNTIF('Master Records'!$B$4:$B$725,"Citation chasing")</x:f>
        <x:v>3</x:v>
      </x:c>
      <x:c r="C9" s="426" t="str">
        <x:v>Master Records</x:v>
      </x:c>
      <x:c r="D9" s="426" t="str">
        <x:v>Include verified backward-citation-chasing records identified from the manuscript bibliography.</x:v>
      </x:c>
      <x:c r="E9" s="426" t="str">
        <x:v>Complete</x:v>
      </x:c>
      <x:c r="F9" s="426" t="str">
        <x:v>References 71, 100, and 101 added before human screening.</x:v>
      </x:c>
      <x:c r="G9" s="418"/>
      <x:c r="H9" s="418" t="str">
        <x:v>Duplicate or earlier publication version</x:v>
      </x:c>
      <x:c r="I9" s="418" t="n">
        <x:f>COUNTIF('Full-Text Exclusions'!$G$4:$G$200,H9)</x:f>
        <x:v>0</x:v>
      </x:c>
      <x:c r="J9" s="418"/>
      <x:c r="K9" s="418"/>
      <x:c r="L9" s="418"/>
      <x:c r="M9" s="418"/>
      <x:c r="N9" s="418"/>
      <x:c r="O9" s="418"/>
      <x:c r="P9" s="418"/>
      <x:c r="Q9" s="418"/>
      <x:c r="R9" s="418"/>
      <x:c r="S9" s="418"/>
      <x:c r="T9" s="418"/>
      <x:c r="U9" s="418"/>
      <x:c r="V9" s="418"/>
      <x:c r="W9" s="418"/>
      <x:c r="X9" s="418"/>
      <x:c r="Y9" s="418"/>
      <x:c r="Z9" s="418"/>
    </x:row>
    <x:row r="10">
      <x:c r="A10" s="426" t="str">
        <x:v>Confirmed duplicate records removed</x:v>
      </x:c>
      <x:c r="B10" s="426" t="n">
        <x:f>COUNTIF('Master Records'!$M$4:$M$725,"Confirmed duplicate")</x:f>
        <x:v>143</x:v>
      </x:c>
      <x:c r="C10" s="426" t="str">
        <x:v>Master Records: Duplicate Status</x:v>
      </x:c>
      <x:c r="D10" s="426" t="str">
        <x:v>Count every non-preferred member in a confirmed group.</x:v>
      </x:c>
      <x:c r="E10" s="426" t="str">
        <x:v>Final</x:v>
      </x:c>
      <x:c r="F10" s="426" t="str">
        <x:v>143 duplicate instances were removed; four additional unverifiable bibliographic artifacts are excluded separately in the corrected valid-record denominator.</x:v>
      </x:c>
      <x:c r="G10" s="418"/>
      <x:c r="H10" s="418" t="str">
        <x:v>Outside date range</x:v>
      </x:c>
      <x:c r="I10" s="418" t="n">
        <x:f>COUNTIF('Full-Text Exclusions'!$G$4:$G$200,H10)</x:f>
        <x:v>0</x:v>
      </x:c>
      <x:c r="J10" s="418"/>
      <x:c r="K10" s="418"/>
      <x:c r="L10" s="418"/>
      <x:c r="M10" s="418"/>
      <x:c r="N10" s="418"/>
      <x:c r="O10" s="418"/>
      <x:c r="P10" s="418"/>
      <x:c r="Q10" s="418"/>
      <x:c r="R10" s="418"/>
      <x:c r="S10" s="418"/>
      <x:c r="T10" s="418"/>
      <x:c r="U10" s="418"/>
      <x:c r="V10" s="418"/>
      <x:c r="W10" s="418"/>
      <x:c r="X10" s="418"/>
      <x:c r="Y10" s="418"/>
      <x:c r="Z10" s="418"/>
    </x:row>
    <x:row r="11">
      <x:c r="A11" s="426" t="str">
        <x:v>Valid records after deduplication and bibliographic verification</x:v>
      </x:c>
      <x:c r="B11" s="426" t="n">
        <x:f>COUNTIF('Master Records'!P4:P725,"Yes")</x:f>
        <x:v>575</x:v>
      </x:c>
      <x:c r="C11" s="426" t="str">
        <x:v>Imported minus confirmed duplicates and unverifiable bibliographic artifacts</x:v>
      </x:c>
      <x:c r="D11" s="426" t="str">
        <x:v>Use as the corrected title/abstract screening denominator.</x:v>
      </x:c>
      <x:c r="E11" s="426" t="str">
        <x:v>Final</x:v>
      </x:c>
      <x:c r="F11" s="426" t="str">
        <x:v>579 deduplicated records minus 4 unverifiable screenshot/OCR artifacts = 575 valid records.</x:v>
      </x:c>
      <x:c r="G11" s="418"/>
      <x:c r="H11" s="418" t="str">
        <x:v>Full text unavailable</x:v>
      </x:c>
      <x:c r="I11" s="418" t="n">
        <x:f>COUNTIF('Full-Text Exclusions'!$G$4:$G$200,H11)</x:f>
        <x:v>0</x:v>
      </x:c>
      <x:c r="J11" s="418"/>
      <x:c r="K11" s="418"/>
      <x:c r="L11" s="418"/>
      <x:c r="M11" s="418"/>
      <x:c r="N11" s="418"/>
      <x:c r="O11" s="418"/>
      <x:c r="P11" s="418"/>
      <x:c r="Q11" s="418"/>
      <x:c r="R11" s="418"/>
      <x:c r="S11" s="418"/>
      <x:c r="T11" s="418"/>
      <x:c r="U11" s="418"/>
      <x:c r="V11" s="418"/>
      <x:c r="W11" s="418"/>
      <x:c r="X11" s="418"/>
      <x:c r="Y11" s="418"/>
      <x:c r="Z11" s="418"/>
    </x:row>
    <x:row r="12">
      <x:c r="A12" s="426" t="str">
        <x:v>Records screened by the corresponding author</x:v>
      </x:c>
      <x:c r="B12" s="426" t="n">
        <x:f>COUNTIF('Master Records'!Q4:Q725,"Include")+COUNTIF('Master Records'!Q4:Q725,"Exclude")+COUNTIF('Master Records'!Q4:Q725,"Unclear")</x:f>
        <x:v>575</x:v>
      </x:c>
      <x:c r="C12" s="426" t="str">
        <x:v>Master Records: Primary TA Decision</x:v>
      </x:c>
      <x:c r="D12" s="426" t="str">
        <x:v>Use as the final title/abstract screening count; random co-author spot checks are documented.</x:v>
      </x:c>
      <x:c r="E12" s="426" t="str">
        <x:v>Complete</x:v>
      </x:c>
      <x:c r="F12" s="426" t="str">
        <x:v>The corresponding author completed 575 valid records: 109 Include, 465 Exclude, and 1 Unclear; two additional authors performed random spot checks.</x:v>
      </x:c>
      <x:c r="G12" s="418"/>
      <x:c r="H12" s="418" t="str">
        <x:v>Does not meet predefined retinal C-XAI eligibility criteria</x:v>
      </x:c>
      <x:c r="I12" s="418" t="n">
        <x:f>COUNTIF('Full-Text Exclusions'!$G$4:$G$200,H12)</x:f>
        <x:v>0</x:v>
      </x:c>
      <x:c r="J12" s="418"/>
      <x:c r="K12" s="418"/>
      <x:c r="L12" s="418"/>
      <x:c r="M12" s="418"/>
      <x:c r="N12" s="418"/>
      <x:c r="O12" s="418"/>
      <x:c r="P12" s="418"/>
      <x:c r="Q12" s="418"/>
      <x:c r="R12" s="418"/>
      <x:c r="S12" s="418"/>
      <x:c r="T12" s="418"/>
      <x:c r="U12" s="418"/>
      <x:c r="V12" s="418"/>
      <x:c r="W12" s="418"/>
      <x:c r="X12" s="418"/>
      <x:c r="Y12" s="418"/>
      <x:c r="Z12" s="418"/>
    </x:row>
    <x:row r="13">
      <x:c r="A13" s="426" t="str">
        <x:v>Records excluded at title/abstract by the corresponding author</x:v>
      </x:c>
      <x:c r="B13" s="426" t="n">
        <x:f>COUNTIF('Master Records'!Q4:Q725,"Exclude")</x:f>
        <x:v>465</x:v>
      </x:c>
      <x:c r="C13" s="426" t="str">
        <x:v>Master Records: Primary TA Decision = Exclude</x:v>
      </x:c>
      <x:c r="D13" s="426" t="str">
        <x:v>Primary screening result with random co-author verification checks.</x:v>
      </x:c>
      <x:c r="E13" s="426" t="str">
        <x:v>Complete</x:v>
      </x:c>
      <x:c r="F13" s="426" t="str">
        <x:v>465 valid records were excluded at title/abstract.</x:v>
      </x:c>
      <x:c r="G13" s="418"/>
      <x:c r="H13" s="418" t="str">
        <x:v>E5 — Insufficient retinal-specific concept evaluation detail</x:v>
      </x:c>
      <x:c r="I13" s="418" t="n">
        <x:f>COUNTIF('Full-Text Exclusions'!$G$4:$G$200,H13)</x:f>
        <x:v>1</x:v>
      </x:c>
      <x:c r="J13" s="418"/>
      <x:c r="K13" s="418"/>
      <x:c r="L13" s="418"/>
      <x:c r="M13" s="418"/>
      <x:c r="N13" s="418"/>
      <x:c r="O13" s="418"/>
      <x:c r="P13" s="418"/>
      <x:c r="Q13" s="418"/>
      <x:c r="R13" s="418"/>
      <x:c r="S13" s="418"/>
      <x:c r="T13" s="418"/>
      <x:c r="U13" s="418"/>
      <x:c r="V13" s="418"/>
      <x:c r="W13" s="418"/>
      <x:c r="X13" s="418"/>
      <x:c r="Y13" s="418"/>
      <x:c r="Z13" s="418"/>
    </x:row>
    <x:row r="14">
      <x:c r="A14" s="426" t="str">
        <x:v>Reports sought for retrieval</x:v>
      </x:c>
      <x:c r="B14" s="426" t="n">
        <x:f>COUNTIF('Master Records'!W4:W725,"Yes")</x:f>
        <x:v>110</x:v>
      </x:c>
      <x:c r="C14" s="426" t="str">
        <x:v>Master Records: Full Text Sought? = Yes</x:v>
      </x:c>
      <x:c r="D14" s="426" t="str">
        <x:v>Includes title/abstract Include and Unclear records after bibliographic verification.</x:v>
      </x:c>
      <x:c r="E14" s="426" t="str">
        <x:v>Complete</x:v>
      </x:c>
      <x:c r="F14" s="426" t="str">
        <x:v>110 valid reports were sought (109 Include; 1 Unclear).</x:v>
      </x:c>
      <x:c r="G14" s="418"/>
      <x:c r="H14" s="418"/>
      <x:c r="I14" s="418"/>
      <x:c r="J14" s="418"/>
      <x:c r="K14" s="418"/>
      <x:c r="L14" s="418"/>
      <x:c r="M14" s="418"/>
      <x:c r="N14" s="418"/>
      <x:c r="O14" s="418"/>
      <x:c r="P14" s="418"/>
      <x:c r="Q14" s="418"/>
      <x:c r="R14" s="418"/>
      <x:c r="S14" s="418"/>
      <x:c r="T14" s="418"/>
      <x:c r="U14" s="418"/>
      <x:c r="V14" s="418"/>
      <x:c r="W14" s="418"/>
      <x:c r="X14" s="418"/>
      <x:c r="Y14" s="418"/>
      <x:c r="Z14" s="418"/>
    </x:row>
    <x:row r="15">
      <x:c r="A15" s="426" t="str">
        <x:v>Reports not retrieved</x:v>
      </x:c>
      <x:c r="B15" s="426" t="n">
        <x:f>COUNTIF('Master Records'!X4:X725,"No")</x:f>
        <x:v>0</x:v>
      </x:c>
      <x:c r="C15" s="426" t="str">
        <x:v>Master Records: Full Text Retrieved? = No</x:v>
      </x:c>
      <x:c r="D15" s="426" t="str">
        <x:v>Report separately only when retrieval fails; all sought reports were retrieved.</x:v>
      </x:c>
      <x:c r="E15" s="426" t="str">
        <x:v>Complete</x:v>
      </x:c>
      <x:c r="F15" s="426" t="str">
        <x:v>All 110 sought reports were retrieved.</x:v>
      </x:c>
      <x:c r="G15" s="418"/>
      <x:c r="H15" s="418"/>
      <x:c r="I15" s="418"/>
      <x:c r="J15" s="418"/>
      <x:c r="K15" s="418"/>
      <x:c r="L15" s="418"/>
      <x:c r="M15" s="418"/>
      <x:c r="N15" s="418"/>
      <x:c r="O15" s="418"/>
      <x:c r="P15" s="418"/>
      <x:c r="Q15" s="418"/>
      <x:c r="R15" s="418"/>
      <x:c r="S15" s="418"/>
      <x:c r="T15" s="418"/>
      <x:c r="U15" s="418"/>
      <x:c r="V15" s="418"/>
      <x:c r="W15" s="418"/>
      <x:c r="X15" s="418"/>
      <x:c r="Y15" s="418"/>
      <x:c r="Z15" s="418"/>
    </x:row>
    <x:row r="16">
      <x:c r="A16" s="426" t="str">
        <x:v>Reports assessed for eligibility</x:v>
      </x:c>
      <x:c r="B16" s="426" t="n">
        <x:f>COUNTIFS('Master Records'!X4:X725,"Yes",'Master Records'!Y4:Y725,"&lt;&gt;")</x:f>
        <x:v>110</x:v>
      </x:c>
      <x:c r="C16" s="426" t="str">
        <x:v>Master Records: Full Text Retrieved? = Yes and Primary FT Decision recorded</x:v>
      </x:c>
      <x:c r="D16" s="426" t="str">
        <x:v>Count reports assessed by the corresponding author.</x:v>
      </x:c>
      <x:c r="E16" s="426" t="str">
        <x:v>Complete</x:v>
      </x:c>
      <x:c r="F16" s="426" t="str">
        <x:v>The corresponding author assessed all 110 retrieved complete reports.</x:v>
      </x:c>
      <x:c r="G16" s="418"/>
      <x:c r="H16" s="418"/>
      <x:c r="I16" s="418"/>
      <x:c r="J16" s="418"/>
      <x:c r="K16" s="418"/>
      <x:c r="L16" s="418"/>
      <x:c r="M16" s="418"/>
      <x:c r="N16" s="418"/>
      <x:c r="O16" s="418"/>
      <x:c r="P16" s="418"/>
      <x:c r="Q16" s="418"/>
      <x:c r="R16" s="418"/>
      <x:c r="S16" s="418"/>
      <x:c r="T16" s="418"/>
      <x:c r="U16" s="418"/>
      <x:c r="V16" s="418"/>
      <x:c r="W16" s="418"/>
      <x:c r="X16" s="418"/>
      <x:c r="Y16" s="418"/>
      <x:c r="Z16" s="418"/>
    </x:row>
    <x:row r="17">
      <x:c r="A17" s="426" t="str">
        <x:v>Reports excluded after full text</x:v>
      </x:c>
      <x:c r="B17" s="426" t="n">
        <x:f>COUNTIF('Master Records'!Y4:Y725,"Exclude")</x:f>
        <x:v>1</x:v>
      </x:c>
      <x:c r="C17" s="426" t="str">
        <x:v>Master Records: Primary FT Decision = Exclude</x:v>
      </x:c>
      <x:c r="D17" s="426" t="str">
        <x:v>One primary reason is recorded for the excluded report; random co-author spot checks are documented separately.</x:v>
      </x:c>
      <x:c r="E17" s="426" t="str">
        <x:v>Complete</x:v>
      </x:c>
      <x:c r="F17" s="426" t="str">
        <x:v>One full-text exclusion was recorded: GS-04-008 (E5 — insufficient retinal-specific concept evaluation detail).</x:v>
      </x:c>
      <x:c r="G17" s="418"/>
      <x:c r="H17" s="418"/>
      <x:c r="I17" s="418"/>
      <x:c r="J17" s="418"/>
      <x:c r="K17" s="418"/>
      <x:c r="L17" s="418"/>
      <x:c r="M17" s="418"/>
      <x:c r="N17" s="418"/>
      <x:c r="O17" s="418"/>
      <x:c r="P17" s="418"/>
      <x:c r="Q17" s="418"/>
      <x:c r="R17" s="418"/>
      <x:c r="S17" s="418"/>
      <x:c r="T17" s="418"/>
      <x:c r="U17" s="418"/>
      <x:c r="V17" s="418"/>
      <x:c r="W17" s="418"/>
      <x:c r="X17" s="418"/>
      <x:c r="Y17" s="418"/>
      <x:c r="Z17" s="418"/>
    </x:row>
    <x:row r="18">
      <x:c r="A18" s="426" t="str">
        <x:v>Studies included in synthesis</x:v>
      </x:c>
      <x:c r="B18" s="426" t="n">
        <x:f>COUNTIF('Master Records'!AE4:AE725,"Include")</x:f>
        <x:v>109</x:v>
      </x:c>
      <x:c r="C18" s="426" t="str">
        <x:v>Master Records: Final Inclusion = Include</x:v>
      </x:c>
      <x:c r="D18" s="426" t="str">
        <x:v>Final eligibility result; study-role categorisation and evidence extraction follow separately.</x:v>
      </x:c>
      <x:c r="E18" s="426" t="str">
        <x:v>Complete</x:v>
      </x:c>
      <x:c r="F18" s="426" t="str">
        <x:v>109 reports were included and classified as 47 direct retinal/ophthalmic and 62 contextual medical concept-XAI reports.</x:v>
      </x:c>
      <x:c r="G18" s="418"/>
      <x:c r="H18" s="418"/>
      <x:c r="I18" s="418"/>
      <x:c r="J18" s="418"/>
      <x:c r="K18" s="418"/>
      <x:c r="L18" s="418"/>
      <x:c r="M18" s="418"/>
      <x:c r="N18" s="418"/>
      <x:c r="O18" s="418"/>
      <x:c r="P18" s="418"/>
      <x:c r="Q18" s="418"/>
      <x:c r="R18" s="418"/>
      <x:c r="S18" s="418"/>
      <x:c r="T18" s="418"/>
      <x:c r="U18" s="418"/>
      <x:c r="V18" s="418"/>
      <x:c r="W18" s="418"/>
      <x:c r="X18" s="418"/>
      <x:c r="Y18" s="418"/>
      <x:c r="Z18" s="418"/>
    </x:row>
    <x:row r="19">
      <x:c r="A19" s="426" t="str">
        <x:v>Direct retinal/ophthalmic reports</x:v>
      </x:c>
      <x:c r="B19" s="426" t="n">
        <x:v>47</x:v>
      </x:c>
      <x:c r="C19" s="426" t="str">
        <x:v>Master Records: Study Role</x:v>
      </x:c>
      <x:c r="D19" s="426" t="str">
        <x:v>Final evidence-role classification.</x:v>
      </x:c>
      <x:c r="E19" s="426" t="str">
        <x:v>Complete</x:v>
      </x:c>
      <x:c r="F19" s="426" t="str">
        <x:v>47 included reports directly address retinal or ophthalmic imaging/evidence.</x:v>
      </x:c>
      <x:c r="G19" s="418"/>
      <x:c r="H19" s="418"/>
      <x:c r="I19" s="418"/>
      <x:c r="J19" s="418"/>
      <x:c r="K19" s="418"/>
      <x:c r="L19" s="418"/>
      <x:c r="M19" s="418"/>
      <x:c r="N19" s="418"/>
      <x:c r="O19" s="418"/>
      <x:c r="P19" s="418"/>
      <x:c r="Q19" s="418"/>
      <x:c r="R19" s="418"/>
      <x:c r="S19" s="418"/>
      <x:c r="T19" s="418"/>
      <x:c r="U19" s="418"/>
      <x:c r="V19" s="418"/>
      <x:c r="W19" s="418"/>
      <x:c r="X19" s="418"/>
      <x:c r="Y19" s="418"/>
      <x:c r="Z19" s="418"/>
    </x:row>
    <x:row r="20">
      <x:c r="A20" s="418" t="str">
        <x:v>Contextual medical concept-XAI reports</x:v>
      </x:c>
      <x:c r="B20" s="418" t="n">
        <x:v>62</x:v>
      </x:c>
      <x:c r="C20" s="418" t="str">
        <x:v>Master Records: Study Role</x:v>
      </x:c>
      <x:c r="D20" s="418" t="str">
        <x:v>Final evidence-role classification.</x:v>
      </x:c>
      <x:c r="E20" s="418" t="str">
        <x:v>Complete</x:v>
      </x:c>
      <x:c r="F20" s="418" t="str">
        <x:v>62 included reports provide contextual medical or methodological concept-XAI evidence.</x:v>
      </x:c>
      <x:c r="G20" s="418"/>
      <x:c r="H20" s="418"/>
      <x:c r="I20" s="418"/>
      <x:c r="J20" s="418"/>
      <x:c r="K20" s="418"/>
      <x:c r="L20" s="418"/>
      <x:c r="M20" s="418"/>
      <x:c r="N20" s="418"/>
      <x:c r="O20" s="418"/>
      <x:c r="P20" s="418"/>
      <x:c r="Q20" s="418"/>
      <x:c r="R20" s="418"/>
      <x:c r="S20" s="418"/>
      <x:c r="T20" s="418"/>
      <x:c r="U20" s="418"/>
      <x:c r="V20" s="418"/>
      <x:c r="W20" s="418"/>
      <x:c r="X20" s="418"/>
      <x:c r="Y20" s="418"/>
      <x:c r="Z20" s="418"/>
    </x:row>
    <x:row r="21">
      <x:c r="A21" s="418"/>
      <x:c r="B21" s="418"/>
      <x:c r="C21" s="418"/>
      <x:c r="D21" s="418"/>
      <x:c r="E21" s="418"/>
      <x:c r="F21" s="418"/>
      <x:c r="G21" s="418"/>
      <x:c r="H21" s="418"/>
      <x:c r="I21" s="418"/>
      <x:c r="J21" s="418"/>
      <x:c r="K21" s="418"/>
      <x:c r="L21" s="418"/>
      <x:c r="M21" s="418"/>
      <x:c r="N21" s="418"/>
      <x:c r="O21" s="418"/>
      <x:c r="P21" s="418"/>
      <x:c r="Q21" s="418"/>
      <x:c r="R21" s="418"/>
      <x:c r="S21" s="418"/>
      <x:c r="T21" s="418"/>
      <x:c r="U21" s="418"/>
      <x:c r="V21" s="418"/>
      <x:c r="W21" s="418"/>
      <x:c r="X21" s="418"/>
      <x:c r="Y21" s="418"/>
      <x:c r="Z21" s="418"/>
    </x:row>
    <x:row r="22">
      <x:c r="A22" s="418"/>
      <x:c r="B22" s="418"/>
      <x:c r="C22" s="418"/>
      <x:c r="D22" s="418"/>
      <x:c r="E22" s="418"/>
      <x:c r="F22" s="418"/>
      <x:c r="G22" s="418"/>
      <x:c r="H22" s="418"/>
      <x:c r="I22" s="418"/>
      <x:c r="J22" s="418"/>
      <x:c r="K22" s="418"/>
      <x:c r="L22" s="418"/>
      <x:c r="M22" s="418"/>
      <x:c r="N22" s="418"/>
      <x:c r="O22" s="418"/>
      <x:c r="P22" s="418"/>
      <x:c r="Q22" s="418"/>
      <x:c r="R22" s="418"/>
      <x:c r="S22" s="418"/>
      <x:c r="T22" s="418"/>
      <x:c r="U22" s="418"/>
      <x:c r="V22" s="418"/>
      <x:c r="W22" s="418"/>
      <x:c r="X22" s="418"/>
      <x:c r="Y22" s="418"/>
      <x:c r="Z22" s="418"/>
    </x:row>
    <x:row r="23">
      <x:c r="A23" s="418"/>
      <x:c r="B23" s="418"/>
      <x:c r="C23" s="418"/>
      <x:c r="D23" s="418"/>
      <x:c r="E23" s="418"/>
      <x:c r="F23" s="418"/>
      <x:c r="G23" s="418"/>
      <x:c r="H23" s="418"/>
      <x:c r="I23" s="418"/>
      <x:c r="J23" s="418"/>
      <x:c r="K23" s="418"/>
      <x:c r="L23" s="418"/>
      <x:c r="M23" s="418"/>
      <x:c r="N23" s="418"/>
      <x:c r="O23" s="418"/>
      <x:c r="P23" s="418"/>
      <x:c r="Q23" s="418"/>
      <x:c r="R23" s="418"/>
      <x:c r="S23" s="418"/>
      <x:c r="T23" s="418"/>
      <x:c r="U23" s="418"/>
      <x:c r="V23" s="418"/>
      <x:c r="W23" s="418"/>
      <x:c r="X23" s="418"/>
      <x:c r="Y23" s="418"/>
      <x:c r="Z23" s="418"/>
    </x:row>
    <x:row r="24">
      <x:c r="A24" s="418"/>
      <x:c r="B24" s="418"/>
      <x:c r="C24" s="418"/>
      <x:c r="D24" s="418"/>
      <x:c r="E24" s="418"/>
      <x:c r="F24" s="418"/>
      <x:c r="G24" s="418"/>
      <x:c r="H24" s="418"/>
      <x:c r="I24" s="418"/>
      <x:c r="J24" s="418"/>
      <x:c r="K24" s="418"/>
      <x:c r="L24" s="418"/>
      <x:c r="M24" s="418"/>
      <x:c r="N24" s="418"/>
      <x:c r="O24" s="418"/>
      <x:c r="P24" s="418"/>
      <x:c r="Q24" s="418"/>
      <x:c r="R24" s="418"/>
      <x:c r="S24" s="418"/>
      <x:c r="T24" s="418"/>
      <x:c r="U24" s="418"/>
      <x:c r="V24" s="418"/>
      <x:c r="W24" s="418"/>
      <x:c r="X24" s="418"/>
      <x:c r="Y24" s="418"/>
      <x:c r="Z24" s="418"/>
    </x:row>
    <x:row r="25">
      <x:c r="A25" s="418"/>
      <x:c r="B25" s="418"/>
      <x:c r="C25" s="418"/>
      <x:c r="D25" s="418"/>
      <x:c r="E25" s="418"/>
      <x:c r="F25" s="418"/>
      <x:c r="G25" s="418"/>
      <x:c r="H25" s="418"/>
      <x:c r="I25" s="418"/>
      <x:c r="J25" s="418"/>
      <x:c r="K25" s="418"/>
      <x:c r="L25" s="418"/>
      <x:c r="M25" s="418"/>
      <x:c r="N25" s="418"/>
      <x:c r="O25" s="418"/>
      <x:c r="P25" s="418"/>
      <x:c r="Q25" s="418"/>
      <x:c r="R25" s="418"/>
      <x:c r="S25" s="418"/>
      <x:c r="T25" s="418"/>
      <x:c r="U25" s="418"/>
      <x:c r="V25" s="418"/>
      <x:c r="W25" s="418"/>
      <x:c r="X25" s="418"/>
      <x:c r="Y25" s="418"/>
      <x:c r="Z25" s="418"/>
    </x:row>
    <x:row r="26">
      <x:c r="A26" s="418"/>
      <x:c r="B26" s="418"/>
      <x:c r="C26" s="418"/>
      <x:c r="D26" s="418"/>
      <x:c r="E26" s="418"/>
      <x:c r="F26" s="418"/>
      <x:c r="G26" s="418"/>
      <x:c r="H26" s="418"/>
      <x:c r="I26" s="418"/>
      <x:c r="J26" s="418"/>
      <x:c r="K26" s="418"/>
      <x:c r="L26" s="418"/>
      <x:c r="M26" s="418"/>
      <x:c r="N26" s="418"/>
      <x:c r="O26" s="418"/>
      <x:c r="P26" s="418"/>
      <x:c r="Q26" s="418"/>
      <x:c r="R26" s="418"/>
      <x:c r="S26" s="418"/>
      <x:c r="T26" s="418"/>
      <x:c r="U26" s="418"/>
      <x:c r="V26" s="418"/>
      <x:c r="W26" s="418"/>
      <x:c r="X26" s="418"/>
      <x:c r="Y26" s="418"/>
      <x:c r="Z26" s="418"/>
    </x:row>
    <x:row r="27">
      <x:c r="A27" s="418"/>
      <x:c r="B27" s="418"/>
      <x:c r="C27" s="418"/>
      <x:c r="D27" s="418"/>
      <x:c r="E27" s="418"/>
      <x:c r="F27" s="418"/>
      <x:c r="G27" s="418"/>
      <x:c r="H27" s="418"/>
      <x:c r="I27" s="418"/>
      <x:c r="J27" s="418"/>
      <x:c r="K27" s="418"/>
      <x:c r="L27" s="418"/>
      <x:c r="M27" s="418"/>
      <x:c r="N27" s="418"/>
      <x:c r="O27" s="418"/>
      <x:c r="P27" s="418"/>
      <x:c r="Q27" s="418"/>
      <x:c r="R27" s="418"/>
      <x:c r="S27" s="418"/>
      <x:c r="T27" s="418"/>
      <x:c r="U27" s="418"/>
      <x:c r="V27" s="418"/>
      <x:c r="W27" s="418"/>
      <x:c r="X27" s="418"/>
      <x:c r="Y27" s="418"/>
      <x:c r="Z27" s="418"/>
    </x:row>
    <x:row r="28">
      <x:c r="A28" s="418"/>
      <x:c r="B28" s="418"/>
      <x:c r="C28" s="418"/>
      <x:c r="D28" s="418"/>
      <x:c r="E28" s="418"/>
      <x:c r="F28" s="418"/>
      <x:c r="G28" s="418"/>
      <x:c r="H28" s="418"/>
      <x:c r="I28" s="418"/>
      <x:c r="J28" s="418"/>
      <x:c r="K28" s="418"/>
      <x:c r="L28" s="418"/>
      <x:c r="M28" s="418"/>
      <x:c r="N28" s="418"/>
      <x:c r="O28" s="418"/>
      <x:c r="P28" s="418"/>
      <x:c r="Q28" s="418"/>
      <x:c r="R28" s="418"/>
      <x:c r="S28" s="418"/>
      <x:c r="T28" s="418"/>
      <x:c r="U28" s="418"/>
      <x:c r="V28" s="418"/>
      <x:c r="W28" s="418"/>
      <x:c r="X28" s="418"/>
      <x:c r="Y28" s="418"/>
      <x:c r="Z28" s="418"/>
    </x:row>
    <x:row r="29">
      <x:c r="A29" s="418"/>
      <x:c r="B29" s="418"/>
      <x:c r="C29" s="418"/>
      <x:c r="D29" s="418"/>
      <x:c r="E29" s="418"/>
      <x:c r="F29" s="418"/>
      <x:c r="G29" s="418"/>
      <x:c r="H29" s="418"/>
      <x:c r="I29" s="418"/>
      <x:c r="J29" s="418"/>
      <x:c r="K29" s="418"/>
      <x:c r="L29" s="418"/>
      <x:c r="M29" s="418"/>
      <x:c r="N29" s="418"/>
      <x:c r="O29" s="418"/>
      <x:c r="P29" s="418"/>
      <x:c r="Q29" s="418"/>
      <x:c r="R29" s="418"/>
      <x:c r="S29" s="418"/>
      <x:c r="T29" s="418"/>
      <x:c r="U29" s="418"/>
      <x:c r="V29" s="418"/>
      <x:c r="W29" s="418"/>
      <x:c r="X29" s="418"/>
      <x:c r="Y29" s="418"/>
      <x:c r="Z29" s="418"/>
    </x:row>
    <x:row r="30">
      <x:c r="A30" s="418"/>
      <x:c r="B30" s="418"/>
      <x:c r="C30" s="418"/>
      <x:c r="D30" s="418"/>
      <x:c r="E30" s="418"/>
      <x:c r="F30" s="418"/>
      <x:c r="G30" s="418"/>
      <x:c r="H30" s="418"/>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F1"/>
  </x:mergeCells>
  <x:conditionalFormatting sqref="E4:E19">
    <x:cfRule type="expression" dxfId="5" priority="1">
      <x:formula>OR(ISNUMBER(SEARCH("Incomplete",E4)),ISNUMBER(SEARCH("unresolved",E4)),ISNUMBER(SEARCH("Not started",E4)),ISNUMBER(SEARCH("Reconcile",E4)))</x:formula>
    </x:cfRule>
    <x:cfRule type="expression" dxfId="6" priority="2">
      <x:formula>OR(ISNUMBER(SEARCH("Complete",E4)),ISNUMBER(SEARCH("Matches",E4)))</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5" hidden="0" customWidth="1"/>
    <x:col min="2" max="2" width="34" hidden="0" customWidth="1"/>
    <x:col min="3" max="3" width="11" hidden="0" customWidth="1"/>
    <x:col min="4" max="4" width="36" hidden="0" customWidth="1"/>
    <x:col min="5" max="5" width="11" hidden="0" customWidth="1"/>
    <x:col min="6" max="6" width="64" hidden="0" customWidth="1"/>
    <x:col min="7" max="7" width="17" hidden="0" customWidth="1"/>
    <x:col min="8" max="8" width="17" hidden="0" customWidth="1"/>
  </x:cols>
  <x:sheetData>
    <x:row r="1" ht="32" customHeight="1">
      <x:c r="A1" s="890" t="str">
        <x:v>PRISMA 2020 Flow — Final Author-Verified Screening Counts</x:v>
      </x:c>
      <x:c r="B1" s="890"/>
      <x:c r="C1" s="890"/>
      <x:c r="D1" s="890"/>
      <x:c r="E1" s="890"/>
      <x:c r="F1" s="890"/>
      <x:c r="G1"/>
      <x:c r="H1"/>
      <x:c r="I1" s="418"/>
      <x:c r="J1" s="418"/>
      <x:c r="K1" s="418"/>
      <x:c r="L1" s="418"/>
      <x:c r="M1" s="418"/>
      <x:c r="N1" s="418"/>
      <x:c r="O1" s="418"/>
      <x:c r="P1" s="418"/>
      <x:c r="Q1" s="418"/>
      <x:c r="R1" s="418"/>
      <x:c r="S1" s="418"/>
      <x:c r="T1" s="418"/>
      <x:c r="U1" s="418"/>
      <x:c r="V1" s="418"/>
      <x:c r="W1" s="418"/>
      <x:c r="X1" s="418"/>
      <x:c r="Y1" s="418"/>
      <x:c r="Z1" s="418"/>
    </x:row>
    <x:row r="2" ht="28" customHeight="1">
      <x:c r="A2" s="887" t="str">
        <x:v>Counts are linked to PRISMA Counts and Master Records. Four unverifiable bibliographic artifacts are reported separately from duplicate removal.</x:v>
      </x:c>
      <x:c r="B2" s="887"/>
      <x:c r="C2" s="887"/>
      <x:c r="D2" s="887"/>
      <x:c r="E2" s="887"/>
      <x:c r="F2" s="887"/>
      <x:c r="G2"/>
      <x:c r="H2"/>
      <x:c r="I2" s="418"/>
      <x:c r="J2" s="418"/>
      <x:c r="K2" s="418"/>
      <x:c r="L2" s="418"/>
      <x:c r="M2" s="418"/>
      <x:c r="N2" s="418"/>
      <x:c r="O2" s="418"/>
      <x:c r="P2" s="418"/>
      <x:c r="Q2" s="418"/>
      <x:c r="R2" s="418"/>
      <x:c r="S2" s="418"/>
      <x:c r="T2" s="418"/>
      <x:c r="U2" s="418"/>
      <x:c r="V2" s="418"/>
      <x:c r="W2" s="418"/>
      <x:c r="X2" s="418"/>
      <x:c r="Y2" s="418"/>
      <x:c r="Z2" s="418"/>
    </x:row>
    <x:row r="3">
      <x:c r="A3"/>
      <x:c r="B3"/>
      <x:c r="C3"/>
      <x:c r="D3"/>
      <x:c r="E3"/>
      <x:c r="F3"/>
      <x:c r="G3"/>
      <x:c r="H3"/>
      <x:c r="I3" s="418"/>
      <x:c r="J3" s="418"/>
      <x:c r="K3" s="418"/>
      <x:c r="L3" s="418"/>
      <x:c r="M3" s="418"/>
      <x:c r="N3" s="418"/>
      <x:c r="O3" s="418"/>
      <x:c r="P3" s="418"/>
      <x:c r="Q3" s="418"/>
      <x:c r="R3" s="418"/>
      <x:c r="S3" s="418"/>
      <x:c r="T3" s="418"/>
      <x:c r="U3" s="418"/>
      <x:c r="V3" s="418"/>
      <x:c r="W3" s="418"/>
      <x:c r="X3" s="418"/>
      <x:c r="Y3" s="418"/>
      <x:c r="Z3" s="418"/>
    </x:row>
    <x:row r="4" ht="28" customHeight="1">
      <x:c r="A4" s="853" t="str">
        <x:v>Stage</x:v>
      </x:c>
      <x:c r="B4" s="853" t="str">
        <x:v>Main set</x:v>
      </x:c>
      <x:c r="C4" s="853" t="str">
        <x:v>n</x:v>
      </x:c>
      <x:c r="D4" s="853" t="str">
        <x:v>Removed / excluded</x:v>
      </x:c>
      <x:c r="E4" s="853" t="str">
        <x:v>n</x:v>
      </x:c>
      <x:c r="F4" s="853" t="str">
        <x:v>Interpretation</x:v>
      </x:c>
      <x:c r="G4"/>
      <x:c r="H4"/>
      <x:c r="I4" s="418"/>
      <x:c r="J4" s="418"/>
      <x:c r="K4" s="418"/>
      <x:c r="L4" s="418"/>
      <x:c r="M4" s="418"/>
      <x:c r="N4" s="418"/>
      <x:c r="O4" s="418"/>
      <x:c r="P4" s="418"/>
      <x:c r="Q4" s="418"/>
      <x:c r="R4" s="418"/>
      <x:c r="S4" s="418"/>
      <x:c r="T4" s="418"/>
      <x:c r="U4" s="418"/>
      <x:c r="V4" s="418"/>
      <x:c r="W4" s="418"/>
      <x:c r="X4" s="418"/>
      <x:c r="Y4" s="418"/>
      <x:c r="Z4" s="418"/>
    </x:row>
    <x:row r="5" ht="48" customHeight="1">
      <x:c r="A5" s="892" t="str">
        <x:v>1. Identification</x:v>
      </x:c>
      <x:c r="B5" s="892" t="str">
        <x:v>Source instances identified</x:v>
      </x:c>
      <x:c r="C5" s="901" t="n">
        <x:f>'PRISMA Counts'!B4</x:f>
        <x:v>722</x:v>
      </x:c>
      <x:c r="D5" s="902" t="str">
        <x:v>Confirmed duplicate instances</x:v>
      </x:c>
      <x:c r="E5" s="902" t="n">
        <x:f>'PRISMA Counts'!B10</x:f>
        <x:v>143</x:v>
      </x:c>
      <x:c r="F5" s="891" t="str">
        <x:v>25 PubMed + 19 IEEE + 595 Google Scholar + 80 arXiv + 3 citation-chasing records</x:v>
      </x:c>
      <x:c r="G5"/>
      <x:c r="H5"/>
      <x:c r="I5" s="418"/>
      <x:c r="J5" s="418"/>
      <x:c r="K5" s="418"/>
      <x:c r="L5" s="418"/>
      <x:c r="M5" s="418"/>
      <x:c r="N5" s="418"/>
      <x:c r="O5" s="418"/>
      <x:c r="P5" s="418"/>
      <x:c r="Q5" s="418"/>
      <x:c r="R5" s="418"/>
      <x:c r="S5" s="418"/>
      <x:c r="T5" s="418"/>
      <x:c r="U5" s="418"/>
      <x:c r="V5" s="418"/>
      <x:c r="W5" s="418"/>
      <x:c r="X5" s="418"/>
      <x:c r="Y5" s="418"/>
      <x:c r="Z5" s="418"/>
    </x:row>
    <x:row r="6" ht="48" customHeight="1">
      <x:c r="A6" s="892" t="str">
        <x:v>2. Bibliographic verification</x:v>
      </x:c>
      <x:c r="B6" s="892" t="str">
        <x:v>Records after duplicate removal</x:v>
      </x:c>
      <x:c r="C6" s="901" t="n">
        <x:f>'PRISMA Counts'!B4-'PRISMA Counts'!B10</x:f>
        <x:v>579</x:v>
      </x:c>
      <x:c r="D6" s="902" t="str">
        <x:v>Unverifiable screenshot/OCR artifacts</x:v>
      </x:c>
      <x:c r="E6" s="902" t="n">
        <x:f>'PRISMA Counts'!B4-'PRISMA Counts'!B10-'PRISMA Counts'!B11</x:f>
        <x:v>4</x:v>
      </x:c>
      <x:c r="F6" s="891" t="str">
        <x:v>Four artifacts removed from active counts and preserved only in the audit trail</x:v>
      </x:c>
      <x:c r="G6"/>
      <x:c r="H6"/>
      <x:c r="I6" s="418"/>
      <x:c r="J6" s="418"/>
      <x:c r="K6" s="418"/>
      <x:c r="L6" s="418"/>
      <x:c r="M6" s="418"/>
      <x:c r="N6" s="418"/>
      <x:c r="O6" s="418"/>
      <x:c r="P6" s="418"/>
      <x:c r="Q6" s="418"/>
      <x:c r="R6" s="418"/>
      <x:c r="S6" s="418"/>
      <x:c r="T6" s="418"/>
      <x:c r="U6" s="418"/>
      <x:c r="V6" s="418"/>
      <x:c r="W6" s="418"/>
      <x:c r="X6" s="418"/>
      <x:c r="Y6" s="418"/>
      <x:c r="Z6" s="418"/>
    </x:row>
    <x:row r="7" ht="48" customHeight="1">
      <x:c r="A7" s="892" t="str">
        <x:v>3. Title / abstract screening</x:v>
      </x:c>
      <x:c r="B7" s="892" t="str">
        <x:v>Valid records screened</x:v>
      </x:c>
      <x:c r="C7" s="901" t="n">
        <x:f>'PRISMA Counts'!B11</x:f>
        <x:v>575</x:v>
      </x:c>
      <x:c r="D7" s="902" t="str">
        <x:v>Records excluded</x:v>
      </x:c>
      <x:c r="E7" s="902" t="n">
        <x:f>'PRISMA Counts'!B13</x:f>
        <x:v>465</x:v>
      </x:c>
      <x:c r="F7" s="891" t="str">
        <x:v>109 Include + 1 Unclear were retained for retrieval</x:v>
      </x:c>
      <x:c r="G7"/>
      <x:c r="H7"/>
      <x:c r="I7" s="418"/>
      <x:c r="J7" s="418"/>
      <x:c r="K7" s="418"/>
      <x:c r="L7" s="418"/>
      <x:c r="M7" s="418"/>
      <x:c r="N7" s="418"/>
      <x:c r="O7" s="418"/>
      <x:c r="P7" s="418"/>
      <x:c r="Q7" s="418"/>
      <x:c r="R7" s="418"/>
      <x:c r="S7" s="418"/>
      <x:c r="T7" s="418"/>
      <x:c r="U7" s="418"/>
      <x:c r="V7" s="418"/>
      <x:c r="W7" s="418"/>
      <x:c r="X7" s="418"/>
      <x:c r="Y7" s="418"/>
      <x:c r="Z7" s="418"/>
    </x:row>
    <x:row r="8" ht="48" customHeight="1">
      <x:c r="A8" s="892" t="str">
        <x:v>4. Retrieval</x:v>
      </x:c>
      <x:c r="B8" s="892" t="str">
        <x:v>Reports sought</x:v>
      </x:c>
      <x:c r="C8" s="901" t="n">
        <x:f>'PRISMA Counts'!B14</x:f>
        <x:v>110</x:v>
      </x:c>
      <x:c r="D8" s="902" t="str">
        <x:v>Reports not retrieved</x:v>
      </x:c>
      <x:c r="E8" s="902" t="n">
        <x:f>'PRISMA Counts'!B15</x:f>
        <x:v>0</x:v>
      </x:c>
      <x:c r="F8" s="891" t="str">
        <x:v>All 110 sought reports were retrieved and assessed</x:v>
      </x:c>
      <x:c r="G8"/>
      <x:c r="H8"/>
      <x:c r="I8" s="418"/>
      <x:c r="J8" s="418"/>
      <x:c r="K8" s="418"/>
      <x:c r="L8" s="418"/>
      <x:c r="M8" s="418"/>
      <x:c r="N8" s="418"/>
      <x:c r="O8" s="418"/>
      <x:c r="P8" s="418"/>
      <x:c r="Q8" s="418"/>
      <x:c r="R8" s="418"/>
      <x:c r="S8" s="418"/>
      <x:c r="T8" s="418"/>
      <x:c r="U8" s="418"/>
      <x:c r="V8" s="418"/>
      <x:c r="W8" s="418"/>
      <x:c r="X8" s="418"/>
      <x:c r="Y8" s="418"/>
      <x:c r="Z8" s="418"/>
    </x:row>
    <x:row r="9" ht="48" customHeight="1">
      <x:c r="A9" s="892" t="str">
        <x:v>5. Full-text eligibility</x:v>
      </x:c>
      <x:c r="B9" s="892" t="str">
        <x:v>Reports assessed</x:v>
      </x:c>
      <x:c r="C9" s="901" t="n">
        <x:f>'PRISMA Counts'!B16</x:f>
        <x:v>110</x:v>
      </x:c>
      <x:c r="D9" s="902" t="str">
        <x:v>Full-text exclusions</x:v>
      </x:c>
      <x:c r="E9" s="902" t="n">
        <x:f>'PRISMA Counts'!B17</x:f>
        <x:v>1</x:v>
      </x:c>
      <x:c r="F9" s="891" t="str">
        <x:v>The corresponding author included 109 reports and excluded one report (GS-04-008); two co-authors performed random spot checks</x:v>
      </x:c>
      <x:c r="G9"/>
      <x:c r="H9"/>
      <x:c r="I9" s="418"/>
      <x:c r="J9" s="418"/>
      <x:c r="K9" s="418"/>
      <x:c r="L9" s="418"/>
      <x:c r="M9" s="418"/>
      <x:c r="N9" s="418"/>
      <x:c r="O9" s="418"/>
      <x:c r="P9" s="418"/>
      <x:c r="Q9" s="418"/>
      <x:c r="R9" s="418"/>
      <x:c r="S9" s="418"/>
      <x:c r="T9" s="418"/>
      <x:c r="U9" s="418"/>
      <x:c r="V9" s="418"/>
      <x:c r="W9" s="418"/>
      <x:c r="X9" s="418"/>
      <x:c r="Y9" s="418"/>
      <x:c r="Z9" s="418"/>
    </x:row>
    <x:row r="10" ht="48" customHeight="1">
      <x:c r="A10" s="895" t="str">
        <x:v>6. Included</x:v>
      </x:c>
      <x:c r="B10" s="895" t="str">
        <x:v>Studies included in synthesis</x:v>
      </x:c>
      <x:c r="C10" s="903" t="n">
        <x:f>'PRISMA Counts'!B18</x:f>
        <x:v>109</x:v>
      </x:c>
      <x:c r="D10" s="904" t="str">
        <x:v>Not applicable</x:v>
      </x:c>
      <x:c r="E10" s="904" t="str">
        <x:v>—</x:v>
      </x:c>
      <x:c r="F10" s="891" t="str">
        <x:v>109 included reports: 47 direct retinal/ophthalmic evidence and 62 contextual medical concept-XAI reports; structured appraisal and extraction completed.</x:v>
      </x:c>
      <x:c r="G10"/>
      <x:c r="H10"/>
      <x:c r="I10" s="418"/>
      <x:c r="J10" s="418"/>
      <x:c r="K10" s="418"/>
      <x:c r="L10" s="418"/>
      <x:c r="M10" s="418"/>
      <x:c r="N10" s="418"/>
      <x:c r="O10" s="418"/>
      <x:c r="P10" s="418"/>
      <x:c r="Q10" s="418"/>
      <x:c r="R10" s="418"/>
      <x:c r="S10" s="418"/>
      <x:c r="T10" s="418"/>
      <x:c r="U10" s="418"/>
      <x:c r="V10" s="418"/>
      <x:c r="W10" s="418"/>
      <x:c r="X10" s="418"/>
      <x:c r="Y10" s="418"/>
      <x:c r="Z10" s="418"/>
    </x:row>
    <x:row r="11">
      <x:c r="A11"/>
      <x:c r="B11"/>
      <x:c r="C11"/>
      <x:c r="D11"/>
      <x:c r="E11"/>
      <x:c r="F11"/>
      <x:c r="G11"/>
      <x:c r="H11"/>
      <x:c r="I11" s="418"/>
      <x:c r="J11" s="418"/>
      <x:c r="K11" s="418"/>
      <x:c r="L11" s="418"/>
      <x:c r="M11" s="418"/>
      <x:c r="N11" s="418"/>
      <x:c r="O11" s="418"/>
      <x:c r="P11" s="418"/>
      <x:c r="Q11" s="418"/>
      <x:c r="R11" s="418"/>
      <x:c r="S11" s="418"/>
      <x:c r="T11" s="418"/>
      <x:c r="U11" s="418"/>
      <x:c r="V11" s="418"/>
      <x:c r="W11" s="418"/>
      <x:c r="X11" s="418"/>
      <x:c r="Y11" s="418"/>
      <x:c r="Z11" s="418"/>
    </x:row>
    <x:row r="12" ht="30" customHeight="1">
      <x:c r="A12" s="907" t="str">
        <x:v>Reconciliation: 722 − 143 − 4 = 575 valid records; 110 sought − 0 not retrieved = 110 assessed; 110 assessed − 1 excluded = 109 included.</x:v>
      </x:c>
      <x:c r="B12" s="907"/>
      <x:c r="C12" s="907"/>
      <x:c r="D12" s="907"/>
      <x:c r="E12" s="907"/>
      <x:c r="F12" s="907"/>
      <x:c r="G12"/>
      <x:c r="H12"/>
      <x:c r="I12" s="418"/>
      <x:c r="J12" s="418"/>
      <x:c r="K12" s="418"/>
      <x:c r="L12" s="418"/>
      <x:c r="M12" s="418"/>
      <x:c r="N12" s="418"/>
      <x:c r="O12" s="418"/>
      <x:c r="P12" s="418"/>
      <x:c r="Q12" s="418"/>
      <x:c r="R12" s="418"/>
      <x:c r="S12" s="418"/>
      <x:c r="T12" s="418"/>
      <x:c r="U12" s="418"/>
      <x:c r="V12" s="418"/>
      <x:c r="W12" s="418"/>
      <x:c r="X12" s="418"/>
      <x:c r="Y12" s="418"/>
      <x:c r="Z12" s="418"/>
    </x:row>
    <x:row r="13">
      <x:c r="A13"/>
      <x:c r="B13"/>
      <x:c r="C13"/>
      <x:c r="D13"/>
      <x:c r="E13"/>
      <x:c r="F13"/>
      <x:c r="G13"/>
      <x:c r="H13"/>
      <x:c r="I13" s="418"/>
      <x:c r="J13" s="418"/>
      <x:c r="K13" s="418"/>
      <x:c r="L13" s="418"/>
      <x:c r="M13" s="418"/>
      <x:c r="N13" s="418"/>
      <x:c r="O13" s="418"/>
      <x:c r="P13" s="418"/>
      <x:c r="Q13" s="418"/>
      <x:c r="R13" s="418"/>
      <x:c r="S13" s="418"/>
      <x:c r="T13" s="418"/>
      <x:c r="U13" s="418"/>
      <x:c r="V13" s="418"/>
      <x:c r="W13" s="418"/>
      <x:c r="X13" s="418"/>
      <x:c r="Y13" s="418"/>
      <x:c r="Z13" s="418"/>
    </x:row>
    <x:row r="14" ht="28" customHeight="1">
      <x:c r="A14" s="912" t="str">
        <x:v>The corresponding author conducted the database searches and completed the primary title/abstract and full-text screening. Two additional authors performed random spot checks on selected papers against the predefined eligibility criteria as a quality-control step.</x:v>
      </x:c>
      <x:c r="B14" s="912"/>
      <x:c r="C14" s="912"/>
      <x:c r="D14" s="912"/>
      <x:c r="E14" s="912"/>
      <x:c r="F14" s="912"/>
      <x:c r="G14"/>
      <x:c r="H14"/>
      <x:c r="I14" s="418"/>
      <x:c r="J14" s="418"/>
      <x:c r="K14" s="418"/>
      <x:c r="L14" s="418"/>
      <x:c r="M14" s="418"/>
      <x:c r="N14" s="418"/>
      <x:c r="O14" s="418"/>
      <x:c r="P14" s="418"/>
      <x:c r="Q14" s="418"/>
      <x:c r="R14" s="418"/>
      <x:c r="S14" s="418"/>
      <x:c r="T14" s="418"/>
      <x:c r="U14" s="418"/>
      <x:c r="V14" s="418"/>
      <x:c r="W14" s="418"/>
      <x:c r="X14" s="418"/>
      <x:c r="Y14" s="418"/>
      <x:c r="Z14" s="418"/>
    </x:row>
    <x:row r="15">
      <x:c r="A15"/>
      <x:c r="B15"/>
      <x:c r="C15"/>
      <x:c r="D15"/>
      <x:c r="E15"/>
      <x:c r="F15"/>
      <x:c r="G15"/>
      <x:c r="H15"/>
      <x:c r="I15" s="418"/>
      <x:c r="J15" s="418"/>
      <x:c r="K15" s="418"/>
      <x:c r="L15" s="418"/>
      <x:c r="M15" s="418"/>
      <x:c r="N15" s="418"/>
      <x:c r="O15" s="418"/>
      <x:c r="P15" s="418"/>
      <x:c r="Q15" s="418"/>
      <x:c r="R15" s="418"/>
      <x:c r="S15" s="418"/>
      <x:c r="T15" s="418"/>
      <x:c r="U15" s="418"/>
      <x:c r="V15" s="418"/>
      <x:c r="W15" s="418"/>
      <x:c r="X15" s="418"/>
      <x:c r="Y15" s="418"/>
      <x:c r="Z15" s="418"/>
    </x:row>
    <x:row r="16">
      <x:c r="A16"/>
      <x:c r="B16"/>
      <x:c r="C16"/>
      <x:c r="D16"/>
      <x:c r="E16"/>
      <x:c r="F16"/>
      <x:c r="G16"/>
      <x:c r="H16"/>
      <x:c r="I16" s="418"/>
      <x:c r="J16" s="418"/>
      <x:c r="K16" s="418"/>
      <x:c r="L16" s="418"/>
      <x:c r="M16" s="418"/>
      <x:c r="N16" s="418"/>
      <x:c r="O16" s="418"/>
      <x:c r="P16" s="418"/>
      <x:c r="Q16" s="418"/>
      <x:c r="R16" s="418"/>
      <x:c r="S16" s="418"/>
      <x:c r="T16" s="418"/>
      <x:c r="U16" s="418"/>
      <x:c r="V16" s="418"/>
      <x:c r="W16" s="418"/>
      <x:c r="X16" s="418"/>
      <x:c r="Y16" s="418"/>
      <x:c r="Z16" s="418"/>
    </x:row>
    <x:row r="17">
      <x:c r="A17"/>
      <x:c r="B17"/>
      <x:c r="C17"/>
      <x:c r="D17"/>
      <x:c r="E17"/>
      <x:c r="F17"/>
      <x:c r="G17"/>
      <x:c r="H17"/>
      <x:c r="I17" s="418"/>
      <x:c r="J17" s="418"/>
      <x:c r="K17" s="418"/>
      <x:c r="L17" s="418"/>
      <x:c r="M17" s="418"/>
      <x:c r="N17" s="418"/>
      <x:c r="O17" s="418"/>
      <x:c r="P17" s="418"/>
      <x:c r="Q17" s="418"/>
      <x:c r="R17" s="418"/>
      <x:c r="S17" s="418"/>
      <x:c r="T17" s="418"/>
      <x:c r="U17" s="418"/>
      <x:c r="V17" s="418"/>
      <x:c r="W17" s="418"/>
      <x:c r="X17" s="418"/>
      <x:c r="Y17" s="418"/>
      <x:c r="Z17" s="418"/>
    </x:row>
    <x:row r="18">
      <x:c r="A18"/>
      <x:c r="B18"/>
      <x:c r="C18"/>
      <x:c r="D18"/>
      <x:c r="E18"/>
      <x:c r="F18"/>
      <x:c r="G18"/>
      <x:c r="H18"/>
      <x:c r="I18" s="418"/>
      <x:c r="J18" s="418"/>
      <x:c r="K18" s="418"/>
      <x:c r="L18" s="418"/>
      <x:c r="M18" s="418"/>
      <x:c r="N18" s="418"/>
      <x:c r="O18" s="418"/>
      <x:c r="P18" s="418"/>
      <x:c r="Q18" s="418"/>
      <x:c r="R18" s="418"/>
      <x:c r="S18" s="418"/>
      <x:c r="T18" s="418"/>
      <x:c r="U18" s="418"/>
      <x:c r="V18" s="418"/>
      <x:c r="W18" s="418"/>
      <x:c r="X18" s="418"/>
      <x:c r="Y18" s="418"/>
      <x:c r="Z18" s="418"/>
    </x:row>
    <x:row r="19">
      <x:c r="A19"/>
      <x:c r="B19"/>
      <x:c r="C19"/>
      <x:c r="D19"/>
      <x:c r="E19"/>
      <x:c r="F19"/>
      <x:c r="G19"/>
      <x:c r="H19"/>
      <x:c r="I19" s="418"/>
      <x:c r="J19" s="418"/>
      <x:c r="K19" s="418"/>
      <x:c r="L19" s="418"/>
      <x:c r="M19" s="418"/>
      <x:c r="N19" s="418"/>
      <x:c r="O19" s="418"/>
      <x:c r="P19" s="418"/>
      <x:c r="Q19" s="418"/>
      <x:c r="R19" s="418"/>
      <x:c r="S19" s="418"/>
      <x:c r="T19" s="418"/>
      <x:c r="U19" s="418"/>
      <x:c r="V19" s="418"/>
      <x:c r="W19" s="418"/>
      <x:c r="X19" s="418"/>
      <x:c r="Y19" s="418"/>
      <x:c r="Z19" s="418"/>
    </x:row>
    <x:row r="20">
      <x:c r="A20"/>
      <x:c r="B20"/>
      <x:c r="C20"/>
      <x:c r="D20"/>
      <x:c r="E20"/>
      <x:c r="F20"/>
      <x:c r="G20"/>
      <x:c r="H20"/>
      <x:c r="I20" s="418"/>
      <x:c r="J20" s="418"/>
      <x:c r="K20" s="418"/>
      <x:c r="L20" s="418"/>
      <x:c r="M20" s="418"/>
      <x:c r="N20" s="418"/>
      <x:c r="O20" s="418"/>
      <x:c r="P20" s="418"/>
      <x:c r="Q20" s="418"/>
      <x:c r="R20" s="418"/>
      <x:c r="S20" s="418"/>
      <x:c r="T20" s="418"/>
      <x:c r="U20" s="418"/>
      <x:c r="V20" s="418"/>
      <x:c r="W20" s="418"/>
      <x:c r="X20" s="418"/>
      <x:c r="Y20" s="418"/>
      <x:c r="Z20" s="418"/>
    </x:row>
    <x:row r="21">
      <x:c r="A21"/>
      <x:c r="B21"/>
      <x:c r="C21"/>
      <x:c r="D21"/>
      <x:c r="E21"/>
      <x:c r="F21"/>
      <x:c r="G21"/>
      <x:c r="H21"/>
      <x:c r="I21" s="418"/>
      <x:c r="J21" s="418"/>
      <x:c r="K21" s="418"/>
      <x:c r="L21" s="418"/>
      <x:c r="M21" s="418"/>
      <x:c r="N21" s="418"/>
      <x:c r="O21" s="418"/>
      <x:c r="P21" s="418"/>
      <x:c r="Q21" s="418"/>
      <x:c r="R21" s="418"/>
      <x:c r="S21" s="418"/>
      <x:c r="T21" s="418"/>
      <x:c r="U21" s="418"/>
      <x:c r="V21" s="418"/>
      <x:c r="W21" s="418"/>
      <x:c r="X21" s="418"/>
      <x:c r="Y21" s="418"/>
      <x:c r="Z21" s="418"/>
    </x:row>
    <x:row r="22">
      <x:c r="A22"/>
      <x:c r="B22"/>
      <x:c r="C22"/>
      <x:c r="D22"/>
      <x:c r="E22"/>
      <x:c r="F22"/>
      <x:c r="G22"/>
      <x:c r="H22"/>
      <x:c r="I22" s="418"/>
      <x:c r="J22" s="418"/>
      <x:c r="K22" s="418"/>
      <x:c r="L22" s="418"/>
      <x:c r="M22" s="418"/>
      <x:c r="N22" s="418"/>
      <x:c r="O22" s="418"/>
      <x:c r="P22" s="418"/>
      <x:c r="Q22" s="418"/>
      <x:c r="R22" s="418"/>
      <x:c r="S22" s="418"/>
      <x:c r="T22" s="418"/>
      <x:c r="U22" s="418"/>
      <x:c r="V22" s="418"/>
      <x:c r="W22" s="418"/>
      <x:c r="X22" s="418"/>
      <x:c r="Y22" s="418"/>
      <x:c r="Z22" s="418"/>
    </x:row>
    <x:row r="23">
      <x:c r="A23"/>
      <x:c r="B23"/>
      <x:c r="C23"/>
      <x:c r="D23"/>
      <x:c r="E23"/>
      <x:c r="F23"/>
      <x:c r="G23"/>
      <x:c r="H23"/>
      <x:c r="I23" s="418"/>
      <x:c r="J23" s="418"/>
      <x:c r="K23" s="418"/>
      <x:c r="L23" s="418"/>
      <x:c r="M23" s="418"/>
      <x:c r="N23" s="418"/>
      <x:c r="O23" s="418"/>
      <x:c r="P23" s="418"/>
      <x:c r="Q23" s="418"/>
      <x:c r="R23" s="418"/>
      <x:c r="S23" s="418"/>
      <x:c r="T23" s="418"/>
      <x:c r="U23" s="418"/>
      <x:c r="V23" s="418"/>
      <x:c r="W23" s="418"/>
      <x:c r="X23" s="418"/>
      <x:c r="Y23" s="418"/>
      <x:c r="Z23" s="418"/>
    </x:row>
    <x:row r="24">
      <x:c r="A24"/>
      <x:c r="B24"/>
      <x:c r="C24"/>
      <x:c r="D24"/>
      <x:c r="E24"/>
      <x:c r="F24"/>
      <x:c r="G24"/>
      <x:c r="H24"/>
      <x:c r="I24" s="418"/>
      <x:c r="J24" s="418"/>
      <x:c r="K24" s="418"/>
      <x:c r="L24" s="418"/>
      <x:c r="M24" s="418"/>
      <x:c r="N24" s="418"/>
      <x:c r="O24" s="418"/>
      <x:c r="P24" s="418"/>
      <x:c r="Q24" s="418"/>
      <x:c r="R24" s="418"/>
      <x:c r="S24" s="418"/>
      <x:c r="T24" s="418"/>
      <x:c r="U24" s="418"/>
      <x:c r="V24" s="418"/>
      <x:c r="W24" s="418"/>
      <x:c r="X24" s="418"/>
      <x:c r="Y24" s="418"/>
      <x:c r="Z24" s="418"/>
    </x:row>
    <x:row r="25">
      <x:c r="A25"/>
      <x:c r="B25"/>
      <x:c r="C25"/>
      <x:c r="D25"/>
      <x:c r="E25"/>
      <x:c r="F25"/>
      <x:c r="G25"/>
      <x:c r="H25"/>
      <x:c r="I25" s="418"/>
      <x:c r="J25" s="418"/>
      <x:c r="K25" s="418"/>
      <x:c r="L25" s="418"/>
      <x:c r="M25" s="418"/>
      <x:c r="N25" s="418"/>
      <x:c r="O25" s="418"/>
      <x:c r="P25" s="418"/>
      <x:c r="Q25" s="418"/>
      <x:c r="R25" s="418"/>
      <x:c r="S25" s="418"/>
      <x:c r="T25" s="418"/>
      <x:c r="U25" s="418"/>
      <x:c r="V25" s="418"/>
      <x:c r="W25" s="418"/>
      <x:c r="X25" s="418"/>
      <x:c r="Y25" s="418"/>
      <x:c r="Z25" s="418"/>
    </x:row>
    <x:row r="26">
      <x:c r="A26"/>
      <x:c r="B26"/>
      <x:c r="C26"/>
      <x:c r="D26"/>
      <x:c r="E26"/>
      <x:c r="F26"/>
      <x:c r="G26"/>
      <x:c r="H26"/>
      <x:c r="I26" s="418"/>
      <x:c r="J26" s="418"/>
      <x:c r="K26" s="418"/>
      <x:c r="L26" s="418"/>
      <x:c r="M26" s="418"/>
      <x:c r="N26" s="418"/>
      <x:c r="O26" s="418"/>
      <x:c r="P26" s="418"/>
      <x:c r="Q26" s="418"/>
      <x:c r="R26" s="418"/>
      <x:c r="S26" s="418"/>
      <x:c r="T26" s="418"/>
      <x:c r="U26" s="418"/>
      <x:c r="V26" s="418"/>
      <x:c r="W26" s="418"/>
      <x:c r="X26" s="418"/>
      <x:c r="Y26" s="418"/>
      <x:c r="Z26" s="418"/>
    </x:row>
    <x:row r="27">
      <x:c r="A27"/>
      <x:c r="B27"/>
      <x:c r="C27"/>
      <x:c r="D27"/>
      <x:c r="E27"/>
      <x:c r="F27"/>
      <x:c r="G27"/>
      <x:c r="H27"/>
      <x:c r="I27" s="418"/>
      <x:c r="J27" s="418"/>
      <x:c r="K27" s="418"/>
      <x:c r="L27" s="418"/>
      <x:c r="M27" s="418"/>
      <x:c r="N27" s="418"/>
      <x:c r="O27" s="418"/>
      <x:c r="P27" s="418"/>
      <x:c r="Q27" s="418"/>
      <x:c r="R27" s="418"/>
      <x:c r="S27" s="418"/>
      <x:c r="T27" s="418"/>
      <x:c r="U27" s="418"/>
      <x:c r="V27" s="418"/>
      <x:c r="W27" s="418"/>
      <x:c r="X27" s="418"/>
      <x:c r="Y27" s="418"/>
      <x:c r="Z27" s="418"/>
    </x:row>
    <x:row r="28">
      <x:c r="A28"/>
      <x:c r="B28"/>
      <x:c r="C28"/>
      <x:c r="D28"/>
      <x:c r="E28"/>
      <x:c r="F28"/>
      <x:c r="G28"/>
      <x:c r="H28"/>
      <x:c r="I28" s="418"/>
      <x:c r="J28" s="418"/>
      <x:c r="K28" s="418"/>
      <x:c r="L28" s="418"/>
      <x:c r="M28" s="418"/>
      <x:c r="N28" s="418"/>
      <x:c r="O28" s="418"/>
      <x:c r="P28" s="418"/>
      <x:c r="Q28" s="418"/>
      <x:c r="R28" s="418"/>
      <x:c r="S28" s="418"/>
      <x:c r="T28" s="418"/>
      <x:c r="U28" s="418"/>
      <x:c r="V28" s="418"/>
      <x:c r="W28" s="418"/>
      <x:c r="X28" s="418"/>
      <x:c r="Y28" s="418"/>
      <x:c r="Z28" s="418"/>
    </x:row>
    <x:row r="29">
      <x:c r="A29"/>
      <x:c r="B29"/>
      <x:c r="C29"/>
      <x:c r="D29"/>
      <x:c r="E29"/>
      <x:c r="F29"/>
      <x:c r="G29"/>
      <x:c r="H29"/>
      <x:c r="I29" s="418"/>
      <x:c r="J29" s="418"/>
      <x:c r="K29" s="418"/>
      <x:c r="L29" s="418"/>
      <x:c r="M29" s="418"/>
      <x:c r="N29" s="418"/>
      <x:c r="O29" s="418"/>
      <x:c r="P29" s="418"/>
      <x:c r="Q29" s="418"/>
      <x:c r="R29" s="418"/>
      <x:c r="S29" s="418"/>
      <x:c r="T29" s="418"/>
      <x:c r="U29" s="418"/>
      <x:c r="V29" s="418"/>
      <x:c r="W29" s="418"/>
      <x:c r="X29" s="418"/>
      <x:c r="Y29" s="418"/>
      <x:c r="Z29" s="418"/>
    </x:row>
    <x:row r="30">
      <x:c r="A30"/>
      <x:c r="B30"/>
      <x:c r="C30"/>
      <x:c r="D30"/>
      <x:c r="E30"/>
      <x:c r="F30"/>
      <x:c r="G30"/>
      <x:c r="H30"/>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F1"/>
    <x:mergeCell ref="A2:F2"/>
    <x:mergeCell ref="A12:F12"/>
    <x:mergeCell ref="A14:F14"/>
  </x:mergeCells>
  <x:pageMargins left="0.7" right="0.7" top="0.75" bottom="0.75" header="0.3" footer="0.3"/>
</x:worksheet>
</file>

<file path=xl/worksheets/sheet11.xml><?xml version="1.0" encoding="utf-8"?>
<x:worksheet xmlns:x="http://schemas.openxmlformats.org/spreadsheetml/2006/main">
  <x:sheetFormatPr defaultRowHeight="15"/>
  <x:cols>
    <x:col min="1" max="1" width="115"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0" customHeight="1">
      <x:c r="A1" s="546" t="str">
        <x:v>Copy-Ready Revised Methodology Text</x:v>
      </x:c>
      <x:c r="B1" s="533"/>
      <x:c r="C1" s="533"/>
      <x:c r="D1" s="533"/>
      <x:c r="E1" s="533"/>
      <x:c r="F1" s="533"/>
      <x:c r="G1" s="533"/>
      <x:c r="H1" s="533"/>
      <x:c r="I1" s="418"/>
      <x:c r="J1" s="418"/>
      <x:c r="K1" s="418"/>
      <x:c r="L1" s="418"/>
      <x:c r="M1" s="418"/>
      <x:c r="N1" s="418"/>
      <x:c r="O1" s="418"/>
      <x:c r="P1" s="418"/>
      <x:c r="Q1" s="418"/>
      <x:c r="R1" s="418"/>
      <x:c r="S1" s="418"/>
      <x:c r="T1" s="418"/>
      <x:c r="U1" s="418"/>
      <x:c r="V1" s="418"/>
      <x:c r="W1" s="418"/>
      <x:c r="X1" s="418"/>
      <x:c r="Y1" s="418"/>
      <x:c r="Z1" s="418"/>
    </x:row>
    <x:row r="2">
      <x:c r="A2" s="427"/>
      <x:c r="B2" s="418"/>
      <x:c r="C2" s="418"/>
      <x:c r="D2" s="418"/>
      <x:c r="E2" s="418"/>
      <x:c r="F2" s="418"/>
      <x:c r="G2" s="418"/>
      <x:c r="H2" s="418"/>
      <x:c r="I2" s="418"/>
      <x:c r="J2" s="418"/>
      <x:c r="K2" s="418"/>
      <x:c r="L2" s="418"/>
      <x:c r="M2" s="418"/>
      <x:c r="N2" s="418"/>
      <x:c r="O2" s="418"/>
      <x:c r="P2" s="418"/>
      <x:c r="Q2" s="418"/>
      <x:c r="R2" s="418"/>
      <x:c r="S2" s="418"/>
      <x:c r="T2" s="418"/>
      <x:c r="U2" s="418"/>
      <x:c r="V2" s="418"/>
      <x:c r="W2" s="418"/>
      <x:c r="X2" s="418"/>
      <x:c r="Y2" s="418"/>
      <x:c r="Z2" s="418"/>
    </x:row>
    <x:row r="3">
      <x:c r="A3" s="503" t="str">
        <x:v>1. Search strategy</x:v>
      </x:c>
      <x:c r="B3" s="503"/>
      <x:c r="C3" s="503"/>
      <x:c r="D3" s="503"/>
      <x:c r="E3" s="503"/>
      <x:c r="F3" s="503"/>
      <x:c r="G3" s="503"/>
      <x:c r="H3" s="503"/>
      <x:c r="I3" s="418"/>
      <x:c r="J3" s="418"/>
      <x:c r="K3" s="418"/>
      <x:c r="L3" s="418"/>
      <x:c r="M3" s="418"/>
      <x:c r="N3" s="418"/>
      <x:c r="O3" s="418"/>
      <x:c r="P3" s="418"/>
      <x:c r="Q3" s="418"/>
      <x:c r="R3" s="418"/>
      <x:c r="S3" s="418"/>
      <x:c r="T3" s="418"/>
      <x:c r="U3" s="418"/>
      <x:c r="V3" s="418"/>
      <x:c r="W3" s="418"/>
      <x:c r="X3" s="418"/>
      <x:c r="Y3" s="418"/>
      <x:c r="Z3" s="418"/>
    </x:row>
    <x:row r="4" ht="32" customHeight="1">
      <x:c r="A4" s="504" t="str">
        <x:v>The corresponding author conducted and documented the literature searches across PubMed, IEEE Xplore, Google Scholar, and arXiv. The original searches were executed on 6 August 2026, with subsequent record-capture checks documented transparently where a rerun changed the number of available records. PubMed and IEEE Xplore used database-specific structured queries; Google Scholar and arXiv were used as supplementary targeted sources. Exact strings, settings, counts, capture rules, and evidence files are reported in Supplementary Table S1.</x:v>
      </x:c>
      <x:c r="B4" s="505"/>
      <x:c r="C4" s="505"/>
      <x:c r="D4" s="505"/>
      <x:c r="E4" s="505"/>
      <x:c r="F4" s="505"/>
      <x:c r="G4" s="505"/>
      <x:c r="H4" s="506"/>
      <x:c r="I4" s="418"/>
      <x:c r="J4" s="418"/>
      <x:c r="K4" s="418"/>
      <x:c r="L4" s="418"/>
      <x:c r="M4" s="418"/>
      <x:c r="N4" s="418"/>
      <x:c r="O4" s="418"/>
      <x:c r="P4" s="418"/>
      <x:c r="Q4" s="418"/>
      <x:c r="R4" s="418"/>
      <x:c r="S4" s="418"/>
      <x:c r="T4" s="418"/>
      <x:c r="U4" s="418"/>
      <x:c r="V4" s="418"/>
      <x:c r="W4" s="418"/>
      <x:c r="X4" s="418"/>
      <x:c r="Y4" s="418"/>
      <x:c r="Z4" s="418"/>
    </x:row>
    <x:row r="5" ht="32" customHeight="1">
      <x:c r="A5" s="507"/>
      <x:c r="B5" s="426"/>
      <x:c r="C5" s="426"/>
      <x:c r="D5" s="426"/>
      <x:c r="E5" s="426"/>
      <x:c r="F5" s="426"/>
      <x:c r="G5" s="426"/>
      <x:c r="H5" s="508"/>
      <x:c r="I5" s="418"/>
      <x:c r="J5" s="418"/>
      <x:c r="K5" s="418"/>
      <x:c r="L5" s="418"/>
      <x:c r="M5" s="418"/>
      <x:c r="N5" s="418"/>
      <x:c r="O5" s="418"/>
      <x:c r="P5" s="418"/>
      <x:c r="Q5" s="418"/>
      <x:c r="R5" s="418"/>
      <x:c r="S5" s="418"/>
      <x:c r="T5" s="418"/>
      <x:c r="U5" s="418"/>
      <x:c r="V5" s="418"/>
      <x:c r="W5" s="418"/>
      <x:c r="X5" s="418"/>
      <x:c r="Y5" s="418"/>
      <x:c r="Z5" s="418"/>
    </x:row>
    <x:row r="6" ht="32" customHeight="1">
      <x:c r="A6" s="509"/>
      <x:c r="B6" s="510"/>
      <x:c r="C6" s="510"/>
      <x:c r="D6" s="510"/>
      <x:c r="E6" s="510"/>
      <x:c r="F6" s="510"/>
      <x:c r="G6" s="510"/>
      <x:c r="H6" s="511"/>
      <x:c r="I6" s="418"/>
      <x:c r="J6" s="418"/>
      <x:c r="K6" s="418"/>
      <x:c r="L6" s="418"/>
      <x:c r="M6" s="418"/>
      <x:c r="N6" s="418"/>
      <x:c r="O6" s="418"/>
      <x:c r="P6" s="418"/>
      <x:c r="Q6" s="418"/>
      <x:c r="R6" s="418"/>
      <x:c r="S6" s="418"/>
      <x:c r="T6" s="418"/>
      <x:c r="U6" s="418"/>
      <x:c r="V6" s="418"/>
      <x:c r="W6" s="418"/>
      <x:c r="X6" s="418"/>
      <x:c r="Y6" s="418"/>
      <x:c r="Z6" s="418"/>
    </x:row>
    <x:row r="7">
      <x:c r="A7" s="427"/>
      <x:c r="B7" s="418"/>
      <x:c r="C7" s="418"/>
      <x:c r="D7" s="418"/>
      <x:c r="E7" s="418"/>
      <x:c r="F7" s="418"/>
      <x:c r="G7" s="418"/>
      <x:c r="H7" s="418"/>
      <x:c r="I7" s="418"/>
      <x:c r="J7" s="418"/>
      <x:c r="K7" s="418"/>
      <x:c r="L7" s="418"/>
      <x:c r="M7" s="418"/>
      <x:c r="N7" s="418"/>
      <x:c r="O7" s="418"/>
      <x:c r="P7" s="418"/>
      <x:c r="Q7" s="418"/>
      <x:c r="R7" s="418"/>
      <x:c r="S7" s="418"/>
      <x:c r="T7" s="418"/>
      <x:c r="U7" s="418"/>
      <x:c r="V7" s="418"/>
      <x:c r="W7" s="418"/>
      <x:c r="X7" s="418"/>
      <x:c r="Y7" s="418"/>
      <x:c r="Z7" s="418"/>
    </x:row>
    <x:row r="8">
      <x:c r="A8" s="503" t="str">
        <x:v>2. Google Scholar reporting</x:v>
      </x:c>
      <x:c r="B8" s="503"/>
      <x:c r="C8" s="503"/>
      <x:c r="D8" s="503"/>
      <x:c r="E8" s="503"/>
      <x:c r="F8" s="503"/>
      <x:c r="G8" s="503"/>
      <x:c r="H8" s="503"/>
      <x:c r="I8" s="418"/>
      <x:c r="J8" s="418"/>
      <x:c r="K8" s="418"/>
      <x:c r="L8" s="418"/>
      <x:c r="M8" s="418"/>
      <x:c r="N8" s="418"/>
      <x:c r="O8" s="418"/>
      <x:c r="P8" s="418"/>
      <x:c r="Q8" s="418"/>
      <x:c r="R8" s="418"/>
      <x:c r="S8" s="418"/>
      <x:c r="T8" s="418"/>
      <x:c r="U8" s="418"/>
      <x:c r="V8" s="418"/>
      <x:c r="W8" s="418"/>
      <x:c r="X8" s="418"/>
      <x:c r="Y8" s="418"/>
      <x:c r="Z8" s="418"/>
    </x:row>
    <x:row r="9" ht="32" customHeight="1">
      <x:c r="A9" s="504" t="str">
        <x:v>Because Google Scholar displays approximate and unstable hit estimates, those estimates were retained only as audit information and were not treated as PRISMA identification counts. For GS-01 to GS-05, the first 100 relevance-ranked results were captured for screening; for GS-06, GS-07 and GS-08, all 41, 7 and 47 results, respectively, were captured. This yielded 595 Google Scholar source instances before deduplication. Patents and citation-only records were excluded, and the 2017–2026 year range was applied.</x:v>
      </x:c>
      <x:c r="B9" s="505"/>
      <x:c r="C9" s="505"/>
      <x:c r="D9" s="505"/>
      <x:c r="E9" s="505"/>
      <x:c r="F9" s="505"/>
      <x:c r="G9" s="505"/>
      <x:c r="H9" s="506"/>
      <x:c r="I9" s="418"/>
      <x:c r="J9" s="418"/>
      <x:c r="K9" s="418"/>
      <x:c r="L9" s="418"/>
      <x:c r="M9" s="418"/>
      <x:c r="N9" s="418"/>
      <x:c r="O9" s="418"/>
      <x:c r="P9" s="418"/>
      <x:c r="Q9" s="418"/>
      <x:c r="R9" s="418"/>
      <x:c r="S9" s="418"/>
      <x:c r="T9" s="418"/>
      <x:c r="U9" s="418"/>
      <x:c r="V9" s="418"/>
      <x:c r="W9" s="418"/>
      <x:c r="X9" s="418"/>
      <x:c r="Y9" s="418"/>
      <x:c r="Z9" s="418"/>
    </x:row>
    <x:row r="10" ht="32" customHeight="1">
      <x:c r="A10" s="507"/>
      <x:c r="B10" s="426"/>
      <x:c r="C10" s="426"/>
      <x:c r="D10" s="426"/>
      <x:c r="E10" s="426"/>
      <x:c r="F10" s="426"/>
      <x:c r="G10" s="426"/>
      <x:c r="H10" s="508"/>
      <x:c r="I10" s="418"/>
      <x:c r="J10" s="418"/>
      <x:c r="K10" s="418"/>
      <x:c r="L10" s="418"/>
      <x:c r="M10" s="418"/>
      <x:c r="N10" s="418"/>
      <x:c r="O10" s="418"/>
      <x:c r="P10" s="418"/>
      <x:c r="Q10" s="418"/>
      <x:c r="R10" s="418"/>
      <x:c r="S10" s="418"/>
      <x:c r="T10" s="418"/>
      <x:c r="U10" s="418"/>
      <x:c r="V10" s="418"/>
      <x:c r="W10" s="418"/>
      <x:c r="X10" s="418"/>
      <x:c r="Y10" s="418"/>
      <x:c r="Z10" s="418"/>
    </x:row>
    <x:row r="11" ht="32" customHeight="1">
      <x:c r="A11" s="509"/>
      <x:c r="B11" s="510"/>
      <x:c r="C11" s="510"/>
      <x:c r="D11" s="510"/>
      <x:c r="E11" s="510"/>
      <x:c r="F11" s="510"/>
      <x:c r="G11" s="510"/>
      <x:c r="H11" s="511"/>
      <x:c r="I11" s="418"/>
      <x:c r="J11" s="418"/>
      <x:c r="K11" s="418"/>
      <x:c r="L11" s="418"/>
      <x:c r="M11" s="418"/>
      <x:c r="N11" s="418"/>
      <x:c r="O11" s="418"/>
      <x:c r="P11" s="418"/>
      <x:c r="Q11" s="418"/>
      <x:c r="R11" s="418"/>
      <x:c r="S11" s="418"/>
      <x:c r="T11" s="418"/>
      <x:c r="U11" s="418"/>
      <x:c r="V11" s="418"/>
      <x:c r="W11" s="418"/>
      <x:c r="X11" s="418"/>
      <x:c r="Y11" s="418"/>
      <x:c r="Z11" s="418"/>
    </x:row>
    <x:row r="12">
      <x:c r="A12" s="427"/>
      <x:c r="B12" s="418"/>
      <x:c r="C12" s="418"/>
      <x:c r="D12" s="418"/>
      <x:c r="E12" s="418"/>
      <x:c r="F12" s="418"/>
      <x:c r="G12" s="418"/>
      <x:c r="H12" s="418"/>
      <x:c r="I12" s="418"/>
      <x:c r="J12" s="418"/>
      <x:c r="K12" s="418"/>
      <x:c r="L12" s="418"/>
      <x:c r="M12" s="418"/>
      <x:c r="N12" s="418"/>
      <x:c r="O12" s="418"/>
      <x:c r="P12" s="418"/>
      <x:c r="Q12" s="418"/>
      <x:c r="R12" s="418"/>
      <x:c r="S12" s="418"/>
      <x:c r="T12" s="418"/>
      <x:c r="U12" s="418"/>
      <x:c r="V12" s="418"/>
      <x:c r="W12" s="418"/>
      <x:c r="X12" s="418"/>
      <x:c r="Y12" s="418"/>
      <x:c r="Z12" s="418"/>
    </x:row>
    <x:row r="13">
      <x:c r="A13" s="503" t="str">
        <x:v>3. Deduplication</x:v>
      </x:c>
      <x:c r="B13" s="503"/>
      <x:c r="C13" s="503"/>
      <x:c r="D13" s="503"/>
      <x:c r="E13" s="503"/>
      <x:c r="F13" s="503"/>
      <x:c r="G13" s="503"/>
      <x:c r="H13" s="503"/>
      <x:c r="I13" s="418"/>
      <x:c r="J13" s="418"/>
      <x:c r="K13" s="418"/>
      <x:c r="L13" s="418"/>
      <x:c r="M13" s="418"/>
      <x:c r="N13" s="418"/>
      <x:c r="O13" s="418"/>
      <x:c r="P13" s="418"/>
      <x:c r="Q13" s="418"/>
      <x:c r="R13" s="418"/>
      <x:c r="S13" s="418"/>
      <x:c r="T13" s="418"/>
      <x:c r="U13" s="418"/>
      <x:c r="V13" s="418"/>
      <x:c r="W13" s="418"/>
      <x:c r="X13" s="418"/>
      <x:c r="Y13" s="418"/>
      <x:c r="Z13" s="418"/>
    </x:row>
    <x:row r="14" ht="32" customHeight="1">
      <x:c r="A14" s="504" t="str">
        <x:v>All identified source instances were entered into a master screening register. Duplicate detection is performed hierarchically using DOI, PMID/arXiv identifier, normalised title, author information, and publication-version information. Where a preprint and a later journal or conference publication represent the same study, the fuller final publication is retained as the preferred record. Final duplicate counts are generated only after bibliographic metadata is complete for every Google Scholar and arXiv record.</x:v>
      </x:c>
      <x:c r="B14" s="505"/>
      <x:c r="C14" s="505"/>
      <x:c r="D14" s="505"/>
      <x:c r="E14" s="505"/>
      <x:c r="F14" s="505"/>
      <x:c r="G14" s="505"/>
      <x:c r="H14" s="506"/>
      <x:c r="I14" s="418"/>
      <x:c r="J14" s="418"/>
      <x:c r="K14" s="418"/>
      <x:c r="L14" s="418"/>
      <x:c r="M14" s="418"/>
      <x:c r="N14" s="418"/>
      <x:c r="O14" s="418"/>
      <x:c r="P14" s="418"/>
      <x:c r="Q14" s="418"/>
      <x:c r="R14" s="418"/>
      <x:c r="S14" s="418"/>
      <x:c r="T14" s="418"/>
      <x:c r="U14" s="418"/>
      <x:c r="V14" s="418"/>
      <x:c r="W14" s="418"/>
      <x:c r="X14" s="418"/>
      <x:c r="Y14" s="418"/>
      <x:c r="Z14" s="418"/>
    </x:row>
    <x:row r="15" ht="32" customHeight="1">
      <x:c r="A15" s="507"/>
      <x:c r="B15" s="426"/>
      <x:c r="C15" s="426"/>
      <x:c r="D15" s="426"/>
      <x:c r="E15" s="426"/>
      <x:c r="F15" s="426"/>
      <x:c r="G15" s="426"/>
      <x:c r="H15" s="508"/>
      <x:c r="I15" s="418"/>
      <x:c r="J15" s="418"/>
      <x:c r="K15" s="418"/>
      <x:c r="L15" s="418"/>
      <x:c r="M15" s="418"/>
      <x:c r="N15" s="418"/>
      <x:c r="O15" s="418"/>
      <x:c r="P15" s="418"/>
      <x:c r="Q15" s="418"/>
      <x:c r="R15" s="418"/>
      <x:c r="S15" s="418"/>
      <x:c r="T15" s="418"/>
      <x:c r="U15" s="418"/>
      <x:c r="V15" s="418"/>
      <x:c r="W15" s="418"/>
      <x:c r="X15" s="418"/>
      <x:c r="Y15" s="418"/>
      <x:c r="Z15" s="418"/>
    </x:row>
    <x:row r="16" ht="32" customHeight="1">
      <x:c r="A16" s="509"/>
      <x:c r="B16" s="510"/>
      <x:c r="C16" s="510"/>
      <x:c r="D16" s="510"/>
      <x:c r="E16" s="510"/>
      <x:c r="F16" s="510"/>
      <x:c r="G16" s="510"/>
      <x:c r="H16" s="511"/>
      <x:c r="I16" s="418"/>
      <x:c r="J16" s="418"/>
      <x:c r="K16" s="418"/>
      <x:c r="L16" s="418"/>
      <x:c r="M16" s="418"/>
      <x:c r="N16" s="418"/>
      <x:c r="O16" s="418"/>
      <x:c r="P16" s="418"/>
      <x:c r="Q16" s="418"/>
      <x:c r="R16" s="418"/>
      <x:c r="S16" s="418"/>
      <x:c r="T16" s="418"/>
      <x:c r="U16" s="418"/>
      <x:c r="V16" s="418"/>
      <x:c r="W16" s="418"/>
      <x:c r="X16" s="418"/>
      <x:c r="Y16" s="418"/>
      <x:c r="Z16" s="418"/>
    </x:row>
    <x:row r="17">
      <x:c r="A17" s="427"/>
      <x:c r="B17" s="418"/>
      <x:c r="C17" s="418"/>
      <x:c r="D17" s="418"/>
      <x:c r="E17" s="418"/>
      <x:c r="F17" s="418"/>
      <x:c r="G17" s="418"/>
      <x:c r="H17" s="418"/>
      <x:c r="I17" s="418"/>
      <x:c r="J17" s="418"/>
      <x:c r="K17" s="418"/>
      <x:c r="L17" s="418"/>
      <x:c r="M17" s="418"/>
      <x:c r="N17" s="418"/>
      <x:c r="O17" s="418"/>
      <x:c r="P17" s="418"/>
      <x:c r="Q17" s="418"/>
      <x:c r="R17" s="418"/>
      <x:c r="S17" s="418"/>
      <x:c r="T17" s="418"/>
      <x:c r="U17" s="418"/>
      <x:c r="V17" s="418"/>
      <x:c r="W17" s="418"/>
      <x:c r="X17" s="418"/>
      <x:c r="Y17" s="418"/>
      <x:c r="Z17" s="418"/>
    </x:row>
    <x:row r="18">
      <x:c r="A18" s="503" t="str">
        <x:v>4. Eligibility and screening</x:v>
      </x:c>
      <x:c r="B18" s="503"/>
      <x:c r="C18" s="503"/>
      <x:c r="D18" s="503"/>
      <x:c r="E18" s="503"/>
      <x:c r="F18" s="503"/>
      <x:c r="G18" s="503"/>
      <x:c r="H18" s="503"/>
      <x:c r="I18" s="418"/>
      <x:c r="J18" s="418"/>
      <x:c r="K18" s="418"/>
      <x:c r="L18" s="418"/>
      <x:c r="M18" s="418"/>
      <x:c r="N18" s="418"/>
      <x:c r="O18" s="418"/>
      <x:c r="P18" s="418"/>
      <x:c r="Q18" s="418"/>
      <x:c r="R18" s="418"/>
      <x:c r="S18" s="418"/>
      <x:c r="T18" s="418"/>
      <x:c r="U18" s="418"/>
      <x:c r="V18" s="418"/>
      <x:c r="W18" s="418"/>
      <x:c r="X18" s="418"/>
      <x:c r="Y18" s="418"/>
      <x:c r="Z18" s="418"/>
    </x:row>
    <x:row r="19" ht="32" customHeight="1">
      <x:c r="A19" s="504" t="str">
        <x:v>Eligibility criteria prioritised original empirical studies using a concept-based or closely related structured explainability approach in retinal or ophthalmic imaging. Conventional saliency or feature-attribution studies without a concept representation were excluded from the domain-specific synthesis. The corresponding author completed the primary title/abstract screening and assessed all retrieved potentially eligible full texts. Two additional authors performed random spot checks on selected papers against the predefined eligibility criteria.</x:v>
      </x:c>
      <x:c r="B19" s="505"/>
      <x:c r="C19" s="505"/>
      <x:c r="D19" s="505"/>
      <x:c r="E19" s="505"/>
      <x:c r="F19" s="505"/>
      <x:c r="G19" s="505"/>
      <x:c r="H19" s="506"/>
      <x:c r="I19" s="418"/>
      <x:c r="J19" s="418"/>
      <x:c r="K19" s="418"/>
      <x:c r="L19" s="418"/>
      <x:c r="M19" s="418"/>
      <x:c r="N19" s="418"/>
      <x:c r="O19" s="418"/>
      <x:c r="P19" s="418"/>
      <x:c r="Q19" s="418"/>
      <x:c r="R19" s="418"/>
      <x:c r="S19" s="418"/>
      <x:c r="T19" s="418"/>
      <x:c r="U19" s="418"/>
      <x:c r="V19" s="418"/>
      <x:c r="W19" s="418"/>
      <x:c r="X19" s="418"/>
      <x:c r="Y19" s="418"/>
      <x:c r="Z19" s="418"/>
    </x:row>
    <x:row r="20" ht="32" customHeight="1">
      <x:c r="A20" s="507"/>
      <x:c r="B20" s="426"/>
      <x:c r="C20" s="426"/>
      <x:c r="D20" s="426"/>
      <x:c r="E20" s="426"/>
      <x:c r="F20" s="426"/>
      <x:c r="G20" s="426"/>
      <x:c r="H20" s="508"/>
      <x:c r="I20" s="418"/>
      <x:c r="J20" s="418"/>
      <x:c r="K20" s="418"/>
      <x:c r="L20" s="418"/>
      <x:c r="M20" s="418"/>
      <x:c r="N20" s="418"/>
      <x:c r="O20" s="418"/>
      <x:c r="P20" s="418"/>
      <x:c r="Q20" s="418"/>
      <x:c r="R20" s="418"/>
      <x:c r="S20" s="418"/>
      <x:c r="T20" s="418"/>
      <x:c r="U20" s="418"/>
      <x:c r="V20" s="418"/>
      <x:c r="W20" s="418"/>
      <x:c r="X20" s="418"/>
      <x:c r="Y20" s="418"/>
      <x:c r="Z20" s="418"/>
    </x:row>
    <x:row r="21" ht="32" customHeight="1">
      <x:c r="A21" s="509"/>
      <x:c r="B21" s="510"/>
      <x:c r="C21" s="510"/>
      <x:c r="D21" s="510"/>
      <x:c r="E21" s="510"/>
      <x:c r="F21" s="510"/>
      <x:c r="G21" s="510"/>
      <x:c r="H21" s="511"/>
      <x:c r="I21" s="418"/>
      <x:c r="J21" s="418"/>
      <x:c r="K21" s="418"/>
      <x:c r="L21" s="418"/>
      <x:c r="M21" s="418"/>
      <x:c r="N21" s="418"/>
      <x:c r="O21" s="418"/>
      <x:c r="P21" s="418"/>
      <x:c r="Q21" s="418"/>
      <x:c r="R21" s="418"/>
      <x:c r="S21" s="418"/>
      <x:c r="T21" s="418"/>
      <x:c r="U21" s="418"/>
      <x:c r="V21" s="418"/>
      <x:c r="W21" s="418"/>
      <x:c r="X21" s="418"/>
      <x:c r="Y21" s="418"/>
      <x:c r="Z21" s="418"/>
    </x:row>
    <x:row r="22">
      <x:c r="A22" s="427"/>
      <x:c r="B22" s="418"/>
      <x:c r="C22" s="418"/>
      <x:c r="D22" s="418"/>
      <x:c r="E22" s="418"/>
      <x:c r="F22" s="418"/>
      <x:c r="G22" s="418"/>
      <x:c r="H22" s="418"/>
      <x:c r="I22" s="418"/>
      <x:c r="J22" s="418"/>
      <x:c r="K22" s="418"/>
      <x:c r="L22" s="418"/>
      <x:c r="M22" s="418"/>
      <x:c r="N22" s="418"/>
      <x:c r="O22" s="418"/>
      <x:c r="P22" s="418"/>
      <x:c r="Q22" s="418"/>
      <x:c r="R22" s="418"/>
      <x:c r="S22" s="418"/>
      <x:c r="T22" s="418"/>
      <x:c r="U22" s="418"/>
      <x:c r="V22" s="418"/>
      <x:c r="W22" s="418"/>
      <x:c r="X22" s="418"/>
      <x:c r="Y22" s="418"/>
      <x:c r="Z22" s="418"/>
    </x:row>
    <x:row r="23">
      <x:c r="A23" s="503" t="str">
        <x:v>5. Author verification and exclusions</x:v>
      </x:c>
      <x:c r="B23" s="503"/>
      <x:c r="C23" s="503"/>
      <x:c r="D23" s="503"/>
      <x:c r="E23" s="503"/>
      <x:c r="F23" s="503"/>
      <x:c r="G23" s="503"/>
      <x:c r="H23" s="503"/>
      <x:c r="I23" s="418"/>
      <x:c r="J23" s="418"/>
      <x:c r="K23" s="418"/>
      <x:c r="L23" s="418"/>
      <x:c r="M23" s="418"/>
      <x:c r="N23" s="418"/>
      <x:c r="O23" s="418"/>
      <x:c r="P23" s="418"/>
      <x:c r="Q23" s="418"/>
      <x:c r="R23" s="418"/>
      <x:c r="S23" s="418"/>
      <x:c r="T23" s="418"/>
      <x:c r="U23" s="418"/>
      <x:c r="V23" s="418"/>
      <x:c r="W23" s="418"/>
      <x:c r="X23" s="418"/>
      <x:c r="Y23" s="418"/>
      <x:c r="Z23" s="418"/>
    </x:row>
    <x:row r="24" ht="32" customHeight="1">
      <x:c r="A24" s="504" t="str">
        <x:v>The corresponding author assessed all 110 retrieved reports. Two additional authors performed random spot checks on selected papers as a quality-control step. One report (GS-04-008) was excluded and assigned one primary prespecified reason (E5: insufficient retinal-specific concept-evaluation detail); its rationale was cross-checked against the published abstract/official record. The PRISMA 2020 flow reports 109 included reports, one full-text exclusion, and zero reports not retrieved.</x:v>
      </x:c>
      <x:c r="B24" s="505"/>
      <x:c r="C24" s="505"/>
      <x:c r="D24" s="505"/>
      <x:c r="E24" s="505"/>
      <x:c r="F24" s="505"/>
      <x:c r="G24" s="505"/>
      <x:c r="H24" s="506"/>
      <x:c r="I24" s="418"/>
      <x:c r="J24" s="418"/>
      <x:c r="K24" s="418"/>
      <x:c r="L24" s="418"/>
      <x:c r="M24" s="418"/>
      <x:c r="N24" s="418"/>
      <x:c r="O24" s="418"/>
      <x:c r="P24" s="418"/>
      <x:c r="Q24" s="418"/>
      <x:c r="R24" s="418"/>
      <x:c r="S24" s="418"/>
      <x:c r="T24" s="418"/>
      <x:c r="U24" s="418"/>
      <x:c r="V24" s="418"/>
      <x:c r="W24" s="418"/>
      <x:c r="X24" s="418"/>
      <x:c r="Y24" s="418"/>
      <x:c r="Z24" s="418"/>
    </x:row>
    <x:row r="25" ht="32" customHeight="1">
      <x:c r="A25" s="507"/>
      <x:c r="B25" s="426"/>
      <x:c r="C25" s="426"/>
      <x:c r="D25" s="426"/>
      <x:c r="E25" s="426"/>
      <x:c r="F25" s="426"/>
      <x:c r="G25" s="426"/>
      <x:c r="H25" s="508"/>
      <x:c r="I25" s="418"/>
      <x:c r="J25" s="418"/>
      <x:c r="K25" s="418"/>
      <x:c r="L25" s="418"/>
      <x:c r="M25" s="418"/>
      <x:c r="N25" s="418"/>
      <x:c r="O25" s="418"/>
      <x:c r="P25" s="418"/>
      <x:c r="Q25" s="418"/>
      <x:c r="R25" s="418"/>
      <x:c r="S25" s="418"/>
      <x:c r="T25" s="418"/>
      <x:c r="U25" s="418"/>
      <x:c r="V25" s="418"/>
      <x:c r="W25" s="418"/>
      <x:c r="X25" s="418"/>
      <x:c r="Y25" s="418"/>
      <x:c r="Z25" s="418"/>
    </x:row>
    <x:row r="26" ht="32" customHeight="1">
      <x:c r="A26" s="509"/>
      <x:c r="B26" s="510"/>
      <x:c r="C26" s="510"/>
      <x:c r="D26" s="510"/>
      <x:c r="E26" s="510"/>
      <x:c r="F26" s="510"/>
      <x:c r="G26" s="510"/>
      <x:c r="H26" s="511"/>
      <x:c r="I26" s="418"/>
      <x:c r="J26" s="418"/>
      <x:c r="K26" s="418"/>
      <x:c r="L26" s="418"/>
      <x:c r="M26" s="418"/>
      <x:c r="N26" s="418"/>
      <x:c r="O26" s="418"/>
      <x:c r="P26" s="418"/>
      <x:c r="Q26" s="418"/>
      <x:c r="R26" s="418"/>
      <x:c r="S26" s="418"/>
      <x:c r="T26" s="418"/>
      <x:c r="U26" s="418"/>
      <x:c r="V26" s="418"/>
      <x:c r="W26" s="418"/>
      <x:c r="X26" s="418"/>
      <x:c r="Y26" s="418"/>
      <x:c r="Z26" s="418"/>
    </x:row>
    <x:row r="27">
      <x:c r="A27" s="427"/>
      <x:c r="B27" s="418"/>
      <x:c r="C27" s="418"/>
      <x:c r="D27" s="418"/>
      <x:c r="E27" s="418"/>
      <x:c r="F27" s="418"/>
      <x:c r="G27" s="418"/>
      <x:c r="H27" s="418"/>
      <x:c r="I27" s="418"/>
      <x:c r="J27" s="418"/>
      <x:c r="K27" s="418"/>
      <x:c r="L27" s="418"/>
      <x:c r="M27" s="418"/>
      <x:c r="N27" s="418"/>
      <x:c r="O27" s="418"/>
      <x:c r="P27" s="418"/>
      <x:c r="Q27" s="418"/>
      <x:c r="R27" s="418"/>
      <x:c r="S27" s="418"/>
      <x:c r="T27" s="418"/>
      <x:c r="U27" s="418"/>
      <x:c r="V27" s="418"/>
      <x:c r="W27" s="418"/>
      <x:c r="X27" s="418"/>
      <x:c r="Y27" s="418"/>
      <x:c r="Z27" s="418"/>
    </x:row>
    <x:row r="28">
      <x:c r="A28" s="503" t="str">
        <x:v>Current status</x:v>
      </x:c>
      <x:c r="B28" s="503"/>
      <x:c r="C28" s="503"/>
      <x:c r="D28" s="503"/>
      <x:c r="E28" s="503"/>
      <x:c r="F28" s="503"/>
      <x:c r="G28" s="503"/>
      <x:c r="H28" s="503"/>
      <x:c r="I28" s="418"/>
      <x:c r="J28" s="418"/>
      <x:c r="K28" s="418"/>
      <x:c r="L28" s="418"/>
      <x:c r="M28" s="418"/>
      <x:c r="N28" s="418"/>
      <x:c r="O28" s="418"/>
      <x:c r="P28" s="418"/>
      <x:c r="Q28" s="418"/>
      <x:c r="R28" s="418"/>
      <x:c r="S28" s="418"/>
      <x:c r="T28" s="418"/>
      <x:c r="U28" s="418"/>
      <x:c r="V28" s="418"/>
      <x:c r="W28" s="418"/>
      <x:c r="X28" s="418"/>
      <x:c r="Y28" s="418"/>
      <x:c r="Z28" s="418"/>
    </x:row>
    <x:row r="29" ht="32" customHeight="1">
      <x:c r="A29" s="504" t="str">
        <x:v>The search-identification register contained 722 source instances, including three backward-citation-chasing records from manuscript References 71, 100, and 101. Enhanced DOI, normalised-title, and OCR-variant deduplication confirmed 143 duplicate instances across 124 groups, yielding 579 deduplicated records. Bibliographic verification removed four screenshot/OCR-derived artifacts that could not be matched to authoritative records, leaving 575 valid records. The corresponding author classified 109 records as Include, 465 as Exclude, and 1 as Unclear. All 110 reports sought were retrieved and assessed; 109 were included and GS-04-008 was excluded with the documented E5 reason. Two additional authors performed random spot checks on selected papers.</x:v>
      </x:c>
      <x:c r="B29" s="505"/>
      <x:c r="C29" s="505"/>
      <x:c r="D29" s="505"/>
      <x:c r="E29" s="505"/>
      <x:c r="F29" s="505"/>
      <x:c r="G29" s="505"/>
      <x:c r="H29" s="506"/>
      <x:c r="I29" s="418"/>
      <x:c r="J29" s="418"/>
      <x:c r="K29" s="418"/>
      <x:c r="L29" s="418"/>
      <x:c r="M29" s="418"/>
      <x:c r="N29" s="418"/>
      <x:c r="O29" s="418"/>
      <x:c r="P29" s="418"/>
      <x:c r="Q29" s="418"/>
      <x:c r="R29" s="418"/>
      <x:c r="S29" s="418"/>
      <x:c r="T29" s="418"/>
      <x:c r="U29" s="418"/>
      <x:c r="V29" s="418"/>
      <x:c r="W29" s="418"/>
      <x:c r="X29" s="418"/>
      <x:c r="Y29" s="418"/>
      <x:c r="Z29" s="418"/>
    </x:row>
    <x:row r="30" ht="32" customHeight="1">
      <x:c r="A30" s="507"/>
      <x:c r="B30" s="426"/>
      <x:c r="C30" s="426"/>
      <x:c r="D30" s="426"/>
      <x:c r="E30" s="426"/>
      <x:c r="F30" s="426"/>
      <x:c r="G30" s="426"/>
      <x:c r="H30" s="508"/>
      <x:c r="I30" s="418"/>
      <x:c r="J30" s="418"/>
      <x:c r="K30" s="418"/>
      <x:c r="L30" s="418"/>
      <x:c r="M30" s="418"/>
      <x:c r="N30" s="418"/>
      <x:c r="O30" s="418"/>
      <x:c r="P30" s="418"/>
      <x:c r="Q30" s="418"/>
      <x:c r="R30" s="418"/>
      <x:c r="S30" s="418"/>
      <x:c r="T30" s="418"/>
      <x:c r="U30" s="418"/>
      <x:c r="V30" s="418"/>
      <x:c r="W30" s="418"/>
      <x:c r="X30" s="418"/>
      <x:c r="Y30" s="418"/>
      <x:c r="Z30" s="418"/>
    </x:row>
    <x:row r="31" ht="32" customHeight="1">
      <x:c r="A31" s="426" t="str">
        <x:v>6. Structured quality appraisal</x:v>
      </x:c>
      <x:c r="B31" s="510"/>
      <x:c r="C31" s="510"/>
      <x:c r="D31" s="510"/>
      <x:c r="E31" s="510"/>
      <x:c r="F31" s="510"/>
      <x:c r="G31" s="510"/>
      <x:c r="H31" s="511"/>
      <x:c r="I31" s="418"/>
      <x:c r="J31" s="418"/>
      <x:c r="K31" s="418"/>
      <x:c r="L31" s="418"/>
      <x:c r="M31" s="418"/>
      <x:c r="N31" s="418"/>
      <x:c r="O31" s="418"/>
      <x:c r="P31" s="418"/>
      <x:c r="Q31" s="418"/>
      <x:c r="R31" s="418"/>
      <x:c r="S31" s="418"/>
      <x:c r="T31" s="418"/>
      <x:c r="U31" s="418"/>
      <x:c r="V31" s="418"/>
      <x:c r="W31" s="418"/>
      <x:c r="X31" s="418"/>
      <x:c r="Y31" s="418"/>
      <x:c r="Z31" s="418"/>
    </x:row>
    <x:row r="32">
      <x:c r="A32" s="427" t="str">
        <x:v>Each included report was appraised using nine domains requested by the reviewer: dataset/sample reporting, external validation, patient-level splitting, annotation quality, ophthalmologist involvement, code availability, explanation faithfulness, robustness/stability, and clinical usability. The rubric was informed by CLAIM 2024 and MI-CLAIM reporting principles and by PROBAST+AI domains where applicable to prediction-model studies. Items were scored 0 (clear weakness), 1 (partial/limited evidence), 2 (stronger evidence), or NR (not reported/not assessable). NR was excluded from the numerical denominator and was not interpreted as evidence that the item was absent from the full text. Because the included corpus spans prediction models, explainability methods, reviews, preprints, and contextual studies, PROBAST+AI was not applied as a universal risk-of-bias instrument; instead, a transparent domain-level assessment was used across the heterogeneous evidence base.</x:v>
      </x:c>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27"/>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27" t="str">
        <x:v>7. Data extraction and synthesis</x:v>
      </x:c>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27" t="str">
        <x:v>For each included report, we extracted the Concept-XAI method, imaging modality and retinal disease/task, dataset/sample, explanation-evaluation approach, principal findings, and reported limitations. Reports were then classified as direct retinal/ophthalmic evidence or contextual medical concept-XAI evidence. Narrative synthesis was organised by method family, imaging modality, disease/task, explanation-evaluation strategy, clinical involvement, and reproducibility indicators. Multi-label modality and disease counts may exceed the number of reports because a single study can evaluate more than one modality or condition.</x:v>
      </x:c>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27"/>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27" t="str">
        <x:v>8. Appraisal and synthesis results</x:v>
      </x:c>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27" t="str">
        <x:v>Of 109 included reports, 47 were classified as direct retinal/ophthalmic evidence and 62 as contextual medical concept-XAI evidence. Dataset/sample information was reported in 53 reports; 13 reported a dedicated explanation evaluation, 12 reported external or multi-dataset validation evidence, 3 explicitly reported the split unit, 28 reported some form of ophthalmologist or clinical-expert involvement, 14 reported public code or an implementation, 4 reported a task-based clinical-usability assessment, and 3 explicitly reported study-specific limitations in the abstract. These findings indicate that methodological innovation is expanding faster than transparent reporting and clinical validation, particularly for patient-level splitting, external validation, clinical utility, and explanation reliability.</x:v>
      </x:c>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H1"/>
    <x:mergeCell ref="A3:H3"/>
    <x:mergeCell ref="A4:H6"/>
    <x:mergeCell ref="A8:H8"/>
    <x:mergeCell ref="A9:H11"/>
    <x:mergeCell ref="A13:H13"/>
    <x:mergeCell ref="A14:H16"/>
    <x:mergeCell ref="A18:H18"/>
    <x:mergeCell ref="A19:H21"/>
    <x:mergeCell ref="A23:H23"/>
    <x:mergeCell ref="A24:H26"/>
    <x:mergeCell ref="A28:H28"/>
    <x:mergeCell ref="A29:H31"/>
  </x:mergeCell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48" hidden="0" customWidth="1"/>
    <x:col min="3" max="3" width="24" hidden="0" customWidth="1"/>
    <x:col min="4" max="4" width="50" hidden="0" customWidth="1"/>
    <x:col min="5" max="5" width="16" hidden="0" customWidth="1"/>
    <x:col min="6" max="6" width="46" hidden="0" customWidth="1"/>
  </x:cols>
  <x:sheetData>
    <x:row r="1" ht="30" customHeight="1">
      <x:c r="A1" s="546" t="str">
        <x:v>Search Evidence and File Inventory</x:v>
      </x:c>
      <x:c r="B1" s="546"/>
      <x:c r="C1" s="546"/>
      <x:c r="D1" s="546"/>
      <x:c r="E1" s="546"/>
      <x:c r="F1" s="546"/>
      <x:c r="G1" s="418"/>
      <x:c r="H1" s="418"/>
      <x:c r="I1" s="418"/>
      <x:c r="J1" s="418"/>
      <x:c r="K1" s="418"/>
      <x:c r="L1" s="418"/>
      <x:c r="M1" s="418"/>
      <x:c r="N1" s="418"/>
      <x:c r="O1" s="418"/>
      <x:c r="P1" s="418"/>
      <x:c r="Q1" s="418"/>
      <x:c r="R1" s="418"/>
      <x:c r="S1" s="418"/>
      <x:c r="T1" s="418"/>
      <x:c r="U1" s="418"/>
      <x:c r="V1" s="418"/>
      <x:c r="W1" s="418"/>
      <x:c r="X1" s="418"/>
      <x:c r="Y1" s="418"/>
      <x:c r="Z1" s="418"/>
    </x:row>
    <x:row r="2">
      <x:c r="A2" s="427"/>
      <x:c r="B2" s="427"/>
      <x:c r="C2" s="427"/>
      <x:c r="D2" s="427"/>
      <x:c r="E2" s="427"/>
      <x:c r="F2" s="427"/>
      <x:c r="G2" s="418"/>
      <x:c r="H2" s="418"/>
      <x:c r="I2" s="418"/>
      <x:c r="J2" s="418"/>
      <x:c r="K2" s="418"/>
      <x:c r="L2" s="418"/>
      <x:c r="M2" s="418"/>
      <x:c r="N2" s="418"/>
      <x:c r="O2" s="418"/>
      <x:c r="P2" s="418"/>
      <x:c r="Q2" s="418"/>
      <x:c r="R2" s="418"/>
      <x:c r="S2" s="418"/>
      <x:c r="T2" s="418"/>
      <x:c r="U2" s="418"/>
      <x:c r="V2" s="418"/>
      <x:c r="W2" s="418"/>
      <x:c r="X2" s="418"/>
      <x:c r="Y2" s="418"/>
      <x:c r="Z2" s="418"/>
    </x:row>
    <x:row r="3">
      <x:c r="A3" s="425" t="str">
        <x:v>Database / purpose</x:v>
      </x:c>
      <x:c r="B3" s="425" t="str">
        <x:v>File / evidence</x:v>
      </x:c>
      <x:c r="C3" s="425" t="str">
        <x:v>Evidence type</x:v>
      </x:c>
      <x:c r="D3" s="425" t="str">
        <x:v>What it supports</x:v>
      </x:c>
      <x:c r="E3" s="425" t="str">
        <x:v>Complete?</x:v>
      </x:c>
      <x:c r="F3" s="425" t="str">
        <x:v>Required follow-up</x:v>
      </x:c>
      <x:c r="G3" s="418"/>
      <x:c r="H3" s="418"/>
      <x:c r="I3" s="418"/>
      <x:c r="J3" s="418"/>
      <x:c r="K3" s="418"/>
      <x:c r="L3" s="418"/>
      <x:c r="M3" s="418"/>
      <x:c r="N3" s="418"/>
      <x:c r="O3" s="418"/>
      <x:c r="P3" s="418"/>
      <x:c r="Q3" s="418"/>
      <x:c r="R3" s="418"/>
      <x:c r="S3" s="418"/>
      <x:c r="T3" s="418"/>
      <x:c r="U3" s="418"/>
      <x:c r="V3" s="418"/>
      <x:c r="W3" s="418"/>
      <x:c r="X3" s="418"/>
      <x:c r="Y3" s="418"/>
      <x:c r="Z3" s="418"/>
    </x:row>
    <x:row r="4" ht="54" customHeight="1">
      <x:c r="A4" s="426" t="str">
        <x:v>PubMed</x:v>
      </x:c>
      <x:c r="B4" s="426" t="str">
        <x:v>PubMedSearchHistory.csv; PubMed_Search_Results_2026-08-06.png</x:v>
      </x:c>
      <x:c r="C4" s="426" t="str">
        <x:v>Search history + screenshot</x:v>
      </x:c>
      <x:c r="D4" s="426" t="str">
        <x:v>Original query, exact date, and original 24-result count</x:v>
      </x:c>
      <x:c r="E4" s="426" t="str">
        <x:v>Yes</x:v>
      </x:c>
      <x:c r="F4" s="426" t="str">
        <x:v>Retain as original-search audit evidence.</x:v>
      </x:c>
      <x:c r="G4" s="418"/>
      <x:c r="H4" s="418"/>
      <x:c r="I4" s="418"/>
      <x:c r="J4" s="418"/>
      <x:c r="K4" s="418"/>
      <x:c r="L4" s="418"/>
      <x:c r="M4" s="418"/>
      <x:c r="N4" s="418"/>
      <x:c r="O4" s="418"/>
      <x:c r="P4" s="418"/>
      <x:c r="Q4" s="418"/>
      <x:c r="R4" s="418"/>
      <x:c r="S4" s="418"/>
      <x:c r="T4" s="418"/>
      <x:c r="U4" s="418"/>
      <x:c r="V4" s="418"/>
      <x:c r="W4" s="418"/>
      <x:c r="X4" s="418"/>
      <x:c r="Y4" s="418"/>
      <x:c r="Z4" s="418"/>
    </x:row>
    <x:row r="5" ht="54" customHeight="1">
      <x:c r="A5" s="426" t="str">
        <x:v>PubMed</x:v>
      </x:c>
      <x:c r="B5" s="426" t="str">
        <x:v>csv-conceptbas-set.csv</x:v>
      </x:c>
      <x:c r="C5" s="426" t="str">
        <x:v>Complete rerun record export</x:v>
      </x:c>
      <x:c r="D5" s="426" t="str">
        <x:v>25 bibliographic records retained for screening</x:v>
      </x:c>
      <x:c r="E5" s="426" t="str">
        <x:v>Yes</x:v>
      </x:c>
      <x:c r="F5" s="426" t="str">
        <x:v>Primary screening by the corresponding author is complete; two co-authors performed random spot checks. Verify remaining bibliographic fields before citation and full-text assessment.</x:v>
      </x:c>
      <x:c r="G5" s="418"/>
      <x:c r="H5" s="418"/>
      <x:c r="I5" s="418"/>
      <x:c r="J5" s="418"/>
      <x:c r="K5" s="418"/>
      <x:c r="L5" s="418"/>
      <x:c r="M5" s="418"/>
      <x:c r="N5" s="418"/>
      <x:c r="O5" s="418"/>
      <x:c r="P5" s="418"/>
      <x:c r="Q5" s="418"/>
      <x:c r="R5" s="418"/>
      <x:c r="S5" s="418"/>
      <x:c r="T5" s="418"/>
      <x:c r="U5" s="418"/>
      <x:c r="V5" s="418"/>
      <x:c r="W5" s="418"/>
      <x:c r="X5" s="418"/>
      <x:c r="Y5" s="418"/>
      <x:c r="Z5" s="418"/>
    </x:row>
    <x:row r="6" ht="54" customHeight="1">
      <x:c r="A6" s="426" t="str">
        <x:v>IEEE Xplore</x:v>
      </x:c>
      <x:c r="B6" s="426" t="str">
        <x:v>IEEE_Search_Results_2026-08-06.png</x:v>
      </x:c>
      <x:c r="C6" s="426" t="str">
        <x:v>Screenshot</x:v>
      </x:c>
      <x:c r="D6" s="426" t="str">
        <x:v>19 results; 14 conference and 5 journal records</x:v>
      </x:c>
      <x:c r="E6" s="426" t="str">
        <x:v>Yes</x:v>
      </x:c>
      <x:c r="F6" s="426"/>
      <x:c r="G6" s="418"/>
      <x:c r="H6" s="418"/>
      <x:c r="I6" s="418"/>
      <x:c r="J6" s="418"/>
      <x:c r="K6" s="418"/>
      <x:c r="L6" s="418"/>
      <x:c r="M6" s="418"/>
      <x:c r="N6" s="418"/>
      <x:c r="O6" s="418"/>
      <x:c r="P6" s="418"/>
      <x:c r="Q6" s="418"/>
      <x:c r="R6" s="418"/>
      <x:c r="S6" s="418"/>
      <x:c r="T6" s="418"/>
      <x:c r="U6" s="418"/>
      <x:c r="V6" s="418"/>
      <x:c r="W6" s="418"/>
      <x:c r="X6" s="418"/>
      <x:c r="Y6" s="418"/>
      <x:c r="Z6" s="418"/>
    </x:row>
    <x:row r="7" ht="54" customHeight="1">
      <x:c r="A7" s="426" t="str">
        <x:v>IEEE Xplore</x:v>
      </x:c>
      <x:c r="B7" s="426" t="str">
        <x:v>IEEE_R1_2026-08-06_19records.csv; IEEE_R1_2026-08-06_19records.bib</x:v>
      </x:c>
      <x:c r="C7" s="426" t="str">
        <x:v>Record export</x:v>
      </x:c>
      <x:c r="D7" s="426" t="str">
        <x:v>19 bibliographic records and abstracts</x:v>
      </x:c>
      <x:c r="E7" s="426" t="str">
        <x:v>Yes</x:v>
      </x:c>
      <x:c r="F7" s="426"/>
      <x:c r="G7" s="418"/>
      <x:c r="H7" s="418"/>
      <x:c r="I7" s="418"/>
      <x:c r="J7" s="418"/>
      <x:c r="K7" s="418"/>
      <x:c r="L7" s="418"/>
      <x:c r="M7" s="418"/>
      <x:c r="N7" s="418"/>
      <x:c r="O7" s="418"/>
      <x:c r="P7" s="418"/>
      <x:c r="Q7" s="418"/>
      <x:c r="R7" s="418"/>
      <x:c r="S7" s="418"/>
      <x:c r="T7" s="418"/>
      <x:c r="U7" s="418"/>
      <x:c r="V7" s="418"/>
      <x:c r="W7" s="418"/>
      <x:c r="X7" s="418"/>
      <x:c r="Y7" s="418"/>
      <x:c r="Z7" s="418"/>
    </x:row>
    <x:row r="8" ht="54" customHeight="1">
      <x:c r="A8" s="426" t="str">
        <x:v>Google Scholar</x:v>
      </x:c>
      <x:c r="B8" s="426" t="str">
        <x:v>61 supplied result-page screenshots for GS-01–GS-08</x:v>
      </x:c>
      <x:c r="C8" s="426" t="str">
        <x:v>Screening-set evidence</x:v>
      </x:c>
      <x:c r="D8" s="426" t="str">
        <x:v>First 100 relevance-ranked results for GS-01–GS-05; all 41/7/47 results for GS-06–GS-08</x:v>
      </x:c>
      <x:c r="E8" s="426" t="str">
        <x:v>Yes</x:v>
      </x:c>
      <x:c r="F8" s="426" t="str">
        <x:v>Titles transcribed for all 595 captured instances; verify OCR-normalised secondary fields before citation.</x:v>
      </x:c>
      <x:c r="G8" s="418"/>
      <x:c r="H8" s="418"/>
      <x:c r="I8" s="418"/>
      <x:c r="J8" s="418"/>
      <x:c r="K8" s="418"/>
      <x:c r="L8" s="418"/>
      <x:c r="M8" s="418"/>
      <x:c r="N8" s="418"/>
      <x:c r="O8" s="418"/>
      <x:c r="P8" s="418"/>
      <x:c r="Q8" s="418"/>
      <x:c r="R8" s="418"/>
      <x:c r="S8" s="418"/>
      <x:c r="T8" s="418"/>
      <x:c r="U8" s="418"/>
      <x:c r="V8" s="418"/>
      <x:c r="W8" s="418"/>
      <x:c r="X8" s="418"/>
      <x:c r="Y8" s="418"/>
      <x:c r="Z8" s="418"/>
    </x:row>
    <x:row r="9" ht="54" customHeight="1">
      <x:c r="A9" s="426" t="str">
        <x:v>Google Scholar</x:v>
      </x:c>
      <x:c r="B9" s="426" t="str">
        <x:v>GS Screening Capture sheet</x:v>
      </x:c>
      <x:c r="C9" s="426" t="str">
        <x:v>Structured search log</x:v>
      </x:c>
      <x:c r="D9" s="426" t="str">
        <x:v>Exact queries, displayed estimates, capture rule, and 595-record screening-set count</x:v>
      </x:c>
      <x:c r="E9" s="426" t="str">
        <x:v>Yes</x:v>
      </x:c>
      <x:c r="F9" s="426" t="str">
        <x:v>Use 595 rather than approximate displayed-hit sums in PRISMA identification.</x:v>
      </x:c>
      <x:c r="G9" s="418"/>
      <x:c r="H9" s="418"/>
      <x:c r="I9" s="418"/>
      <x:c r="J9" s="418"/>
      <x:c r="K9" s="418"/>
      <x:c r="L9" s="418"/>
      <x:c r="M9" s="418"/>
      <x:c r="N9" s="418"/>
      <x:c r="O9" s="418"/>
      <x:c r="P9" s="418"/>
      <x:c r="Q9" s="418"/>
      <x:c r="R9" s="418"/>
      <x:c r="S9" s="418"/>
      <x:c r="T9" s="418"/>
      <x:c r="U9" s="418"/>
      <x:c r="V9" s="418"/>
      <x:c r="W9" s="418"/>
      <x:c r="X9" s="418"/>
      <x:c r="Y9" s="418"/>
      <x:c r="Z9" s="418"/>
    </x:row>
    <x:row r="10" ht="54" customHeight="1">
      <x:c r="A10" s="426" t="str">
        <x:v>arXiv</x:v>
      </x:c>
      <x:c r="B10" s="426" t="str">
        <x:v>User-supplied rerun screenshots dated 7 August 2026</x:v>
      </x:c>
      <x:c r="C10" s="426" t="str">
        <x:v>Per-query search evidence</x:v>
      </x:c>
      <x:c r="D10" s="426" t="str">
        <x:v>14 query counts; working total 80</x:v>
      </x:c>
      <x:c r="E10" s="426" t="str">
        <x:v>Yes</x:v>
      </x:c>
      <x:c r="F10" s="426" t="str">
        <x:v>Titles complete for all 80 captured instances; verify partial secondary metadata before citation.</x:v>
      </x:c>
      <x:c r="G10" s="418"/>
      <x:c r="H10" s="418"/>
      <x:c r="I10" s="418"/>
      <x:c r="J10" s="418"/>
      <x:c r="K10" s="418"/>
      <x:c r="L10" s="418"/>
      <x:c r="M10" s="418"/>
      <x:c r="N10" s="418"/>
      <x:c r="O10" s="418"/>
      <x:c r="P10" s="418"/>
      <x:c r="Q10" s="418"/>
      <x:c r="R10" s="418"/>
      <x:c r="S10" s="418"/>
      <x:c r="T10" s="418"/>
      <x:c r="U10" s="418"/>
      <x:c r="V10" s="418"/>
      <x:c r="W10" s="418"/>
      <x:c r="X10" s="418"/>
      <x:c r="Y10" s="418"/>
      <x:c r="Z10" s="418"/>
    </x:row>
    <x:row r="11" ht="54" customHeight="1">
      <x:c r="A11" s="426" t="str">
        <x:v>arXiv</x:v>
      </x:c>
      <x:c r="B11" s="426" t="str">
        <x:v>arXiv Recheck Log sheet</x:v>
      </x:c>
      <x:c r="C11" s="426" t="str">
        <x:v>Structured count reconciliation</x:v>
      </x:c>
      <x:c r="D11" s="426" t="str">
        <x:v>Supersedes the earlier unreconciled total of 81 with the current rerun mapping</x:v>
      </x:c>
      <x:c r="E11" s="426" t="str">
        <x:v>Yes</x:v>
      </x:c>
      <x:c r="F11" s="426" t="str">
        <x:v>Deduplication now reconciles all captured arXiv and cross-source title evidence.</x:v>
      </x:c>
      <x:c r="G11" s="418"/>
      <x:c r="H11" s="418"/>
      <x:c r="I11" s="418"/>
      <x:c r="J11" s="418"/>
      <x:c r="K11" s="418"/>
      <x:c r="L11" s="418"/>
      <x:c r="M11" s="418"/>
      <x:c r="N11" s="418"/>
      <x:c r="O11" s="418"/>
      <x:c r="P11" s="418"/>
      <x:c r="Q11" s="418"/>
      <x:c r="R11" s="418"/>
      <x:c r="S11" s="418"/>
      <x:c r="T11" s="418"/>
      <x:c r="U11" s="418"/>
      <x:c r="V11" s="418"/>
      <x:c r="W11" s="418"/>
      <x:c r="X11" s="418"/>
      <x:c r="Y11" s="418"/>
      <x:c r="Z11" s="418"/>
    </x:row>
    <x:row r="12" ht="54" customHeight="1">
      <x:c r="A12" s="426" t="str">
        <x:v>Master screening</x:v>
      </x:c>
      <x:c r="B12" s="426" t="str">
        <x:v>Master Records sheet in this workbook</x:v>
      </x:c>
      <x:c r="C12" s="426" t="str">
        <x:v>722-instance working register</x:v>
      </x:c>
      <x:c r="D12" s="426" t="str">
        <x:v>25 PubMed + 19 IEEE + 595 Google Scholar + 80 arXiv + 3 citation-chasing source instances</x:v>
      </x:c>
      <x:c r="E12" s="426" t="str">
        <x:v>Yes</x:v>
      </x:c>
      <x:c r="F12" s="426" t="str">
        <x:v>722 title-complete source instances reconciled to 579 deduplicated records; four unverifiable artifacts were then removed, leaving 575 valid screened records.</x:v>
      </x:c>
      <x:c r="G12" s="418"/>
      <x:c r="H12" s="418"/>
      <x:c r="I12" s="418"/>
      <x:c r="J12" s="418"/>
      <x:c r="K12" s="418"/>
      <x:c r="L12" s="418"/>
      <x:c r="M12" s="418"/>
      <x:c r="N12" s="418"/>
      <x:c r="O12" s="418"/>
      <x:c r="P12" s="418"/>
      <x:c r="Q12" s="418"/>
      <x:c r="R12" s="418"/>
      <x:c r="S12" s="418"/>
      <x:c r="T12" s="418"/>
      <x:c r="U12" s="418"/>
      <x:c r="V12" s="418"/>
      <x:c r="W12" s="418"/>
      <x:c r="X12" s="418"/>
      <x:c r="Y12" s="418"/>
      <x:c r="Z12" s="418"/>
    </x:row>
    <x:row r="13" ht="54" customHeight="1">
      <x:c r="A13" s="426" t="str">
        <x:v>Reviewer screening</x:v>
      </x:c>
      <x:c r="B13" s="426" t="str">
        <x:v>Master Records + Screening Codebook</x:v>
      </x:c>
      <x:c r="C13" s="426" t="str">
        <x:v>Corresponding-author two-stage screening with random co-author spot checks</x:v>
      </x:c>
      <x:c r="D13" s="426" t="str">
        <x:v>Primary title/abstract and full-text decisions by the corresponding author; random verification by two additional authors</x:v>
      </x:c>
      <x:c r="E13" s="426" t="str">
        <x:v>Complete</x:v>
      </x:c>
      <x:c r="F13" s="426" t="str">
        <x:v>All 110 retrieved reports were assessed; 109 were included and one was excluded. Random co-author spot checks are documented.</x:v>
      </x:c>
      <x:c r="G13" s="418"/>
      <x:c r="H13" s="418"/>
      <x:c r="I13" s="418"/>
      <x:c r="J13" s="418"/>
      <x:c r="K13" s="418"/>
      <x:c r="L13" s="418"/>
      <x:c r="M13" s="418"/>
      <x:c r="N13" s="418"/>
      <x:c r="O13" s="418"/>
      <x:c r="P13" s="418"/>
      <x:c r="Q13" s="418"/>
      <x:c r="R13" s="418"/>
      <x:c r="S13" s="418"/>
      <x:c r="T13" s="418"/>
      <x:c r="U13" s="418"/>
      <x:c r="V13" s="418"/>
      <x:c r="W13" s="418"/>
      <x:c r="X13" s="418"/>
      <x:c r="Y13" s="418"/>
      <x:c r="Z13" s="418"/>
    </x:row>
    <x:row r="14" ht="54" customHeight="1">
      <x:c r="A14" s="426" t="str">
        <x:v>Agreement / PRISMA</x:v>
      </x:c>
      <x:c r="B14" s="426" t="str">
        <x:v>Reviewer Agreement; PRISMA Counts; PRISMA Flow</x:v>
      </x:c>
      <x:c r="C14" s="426" t="str">
        <x:v>Formula-driven PRISMA reporting</x:v>
      </x:c>
      <x:c r="D14" s="426" t="str">
        <x:v>Final screening, retrieval, eligibility, and inclusion counts</x:v>
      </x:c>
      <x:c r="E14" s="426" t="str">
        <x:v>Screening counts complete</x:v>
      </x:c>
      <x:c r="F14" s="426" t="str">
        <x:v>109 included; 0 not retrieved; 1 full-text exclusion. Quality appraisal and evidence extraction remain pending.</x:v>
      </x:c>
      <x:c r="G14" s="418"/>
      <x:c r="H14" s="418"/>
      <x:c r="I14" s="418"/>
      <x:c r="J14" s="418"/>
      <x:c r="K14" s="418"/>
      <x:c r="L14" s="418"/>
      <x:c r="M14" s="418"/>
      <x:c r="N14" s="418"/>
      <x:c r="O14" s="418"/>
      <x:c r="P14" s="418"/>
      <x:c r="Q14" s="418"/>
      <x:c r="R14" s="418"/>
      <x:c r="S14" s="418"/>
      <x:c r="T14" s="418"/>
      <x:c r="U14" s="418"/>
      <x:c r="V14" s="418"/>
      <x:c r="W14" s="418"/>
      <x:c r="X14" s="418"/>
      <x:c r="Y14" s="418"/>
      <x:c r="Z14" s="418"/>
    </x:row>
    <x:row r="15" ht="54" customHeight="1">
      <x:c r="A15" s="426" t="str">
        <x:v>Master screening</x:v>
      </x:c>
      <x:c r="B15" s="426" t="str">
        <x:v>Reviewer1_R1_Metadata_Completed_Final_Dedup_2026-08-17.xlsx</x:v>
      </x:c>
      <x:c r="C15" s="426" t="str">
        <x:v>Final title-level metadata and deduplication workbook</x:v>
      </x:c>
      <x:c r="D15" s="426" t="str">
        <x:v>719 pre-chasing source instances; 719 titles; 143 duplicate instances; 576 preferred records</x:v>
      </x:c>
      <x:c r="E15" s="426" t="str">
        <x:v>Yes for identification/deduplication</x:v>
      </x:c>
      <x:c r="F15" s="426" t="str">
        <x:v>Superseded as the denominator source by the citation-chasing update recorded below.</x:v>
      </x:c>
      <x:c r="G15" s="418"/>
      <x:c r="H15" s="418"/>
      <x:c r="I15" s="418"/>
      <x:c r="J15" s="418"/>
      <x:c r="K15" s="418"/>
      <x:c r="L15" s="418"/>
      <x:c r="M15" s="418"/>
      <x:c r="N15" s="418"/>
      <x:c r="O15" s="418"/>
      <x:c r="P15" s="418"/>
      <x:c r="Q15" s="418"/>
      <x:c r="R15" s="418"/>
      <x:c r="S15" s="418"/>
      <x:c r="T15" s="418"/>
      <x:c r="U15" s="418"/>
      <x:c r="V15" s="418"/>
      <x:c r="W15" s="418"/>
      <x:c r="X15" s="418"/>
      <x:c r="Y15" s="418"/>
      <x:c r="Z15" s="418"/>
    </x:row>
    <x:row r="16">
      <x:c r="A16" s="418" t="str">
        <x:v>Citation chasing</x:v>
      </x:c>
      <x:c r="B16" s="418" t="str">
        <x:v>Current manuscript References 71, 100, and 101; verified DOI/publisher records</x:v>
      </x:c>
      <x:c r="C16" s="418" t="str">
        <x:v>Backward-citation audit</x:v>
      </x:c>
      <x:c r="D16" s="418" t="str">
        <x:v>Three records added to the identification register before human screening; deduplication rerun found no matches</x:v>
      </x:c>
      <x:c r="E16" s="418" t="str">
        <x:v>Yes</x:v>
      </x:c>
      <x:c r="F16" s="418" t="str">
        <x:v>Corrected final counts: 722 identified instances; 143 duplicate removals; 4 unverifiable artifacts removed; 575 valid records screened; 110 reports sought, retrieved, and assessed; 109 included; 1 full-text exclusion; 0 not retrieved.</x:v>
      </x:c>
      <x:c r="G16" s="418"/>
      <x:c r="H16" s="418"/>
      <x:c r="I16" s="418"/>
      <x:c r="J16" s="418"/>
      <x:c r="K16" s="418"/>
      <x:c r="L16" s="418"/>
      <x:c r="M16" s="418"/>
      <x:c r="N16" s="418"/>
      <x:c r="O16" s="418"/>
      <x:c r="P16" s="418"/>
      <x:c r="Q16" s="418"/>
      <x:c r="R16" s="418"/>
      <x:c r="S16" s="418"/>
      <x:c r="T16" s="418"/>
      <x:c r="U16" s="418"/>
      <x:c r="V16" s="418"/>
      <x:c r="W16" s="418"/>
      <x:c r="X16" s="418"/>
      <x:c r="Y16" s="418"/>
      <x:c r="Z16" s="418"/>
    </x:row>
    <x:row r="17">
      <x:c r="A17" s="418"/>
      <x:c r="B17" s="418"/>
      <x:c r="C17" s="418"/>
      <x:c r="D17" s="418"/>
      <x:c r="E17" s="418"/>
      <x:c r="F17" s="418"/>
      <x:c r="G17" s="418"/>
      <x:c r="H17" s="418"/>
      <x:c r="I17" s="418"/>
      <x:c r="J17" s="418"/>
      <x:c r="K17" s="418"/>
      <x:c r="L17" s="418"/>
      <x:c r="M17" s="418"/>
      <x:c r="N17" s="418"/>
      <x:c r="O17" s="418"/>
      <x:c r="P17" s="418"/>
      <x:c r="Q17" s="418"/>
      <x:c r="R17" s="418"/>
      <x:c r="S17" s="418"/>
      <x:c r="T17" s="418"/>
      <x:c r="U17" s="418"/>
      <x:c r="V17" s="418"/>
      <x:c r="W17" s="418"/>
      <x:c r="X17" s="418"/>
      <x:c r="Y17" s="418"/>
      <x:c r="Z17" s="418"/>
    </x:row>
    <x:row r="18">
      <x:c r="A18" s="418"/>
      <x:c r="B18" s="418"/>
      <x:c r="C18" s="418"/>
      <x:c r="D18" s="418"/>
      <x:c r="E18" s="418"/>
      <x:c r="F18" s="418"/>
      <x:c r="G18" s="418"/>
      <x:c r="H18" s="418"/>
      <x:c r="I18" s="418"/>
      <x:c r="J18" s="418"/>
      <x:c r="K18" s="418"/>
      <x:c r="L18" s="418"/>
      <x:c r="M18" s="418"/>
      <x:c r="N18" s="418"/>
      <x:c r="O18" s="418"/>
      <x:c r="P18" s="418"/>
      <x:c r="Q18" s="418"/>
      <x:c r="R18" s="418"/>
      <x:c r="S18" s="418"/>
      <x:c r="T18" s="418"/>
      <x:c r="U18" s="418"/>
      <x:c r="V18" s="418"/>
      <x:c r="W18" s="418"/>
      <x:c r="X18" s="418"/>
      <x:c r="Y18" s="418"/>
      <x:c r="Z18" s="418"/>
    </x:row>
    <x:row r="19">
      <x:c r="A19" s="418"/>
      <x:c r="B19" s="418"/>
      <x:c r="C19" s="418"/>
      <x:c r="D19" s="418"/>
      <x:c r="E19" s="418"/>
      <x:c r="F19" s="418"/>
      <x:c r="G19" s="418"/>
      <x:c r="H19" s="418"/>
      <x:c r="I19" s="418"/>
      <x:c r="J19" s="418"/>
      <x:c r="K19" s="418"/>
      <x:c r="L19" s="418"/>
      <x:c r="M19" s="418"/>
      <x:c r="N19" s="418"/>
      <x:c r="O19" s="418"/>
      <x:c r="P19" s="418"/>
      <x:c r="Q19" s="418"/>
      <x:c r="R19" s="418"/>
      <x:c r="S19" s="418"/>
      <x:c r="T19" s="418"/>
      <x:c r="U19" s="418"/>
      <x:c r="V19" s="418"/>
      <x:c r="W19" s="418"/>
      <x:c r="X19" s="418"/>
      <x:c r="Y19" s="418"/>
      <x:c r="Z19" s="418"/>
    </x:row>
    <x:row r="20">
      <x:c r="A20" s="418"/>
      <x:c r="B20" s="418"/>
      <x:c r="C20" s="418"/>
      <x:c r="D20" s="418"/>
      <x:c r="E20" s="418"/>
      <x:c r="F20" s="418"/>
      <x:c r="G20" s="418"/>
      <x:c r="H20" s="418"/>
      <x:c r="I20" s="418"/>
      <x:c r="J20" s="418"/>
      <x:c r="K20" s="418"/>
      <x:c r="L20" s="418"/>
      <x:c r="M20" s="418"/>
      <x:c r="N20" s="418"/>
      <x:c r="O20" s="418"/>
      <x:c r="P20" s="418"/>
      <x:c r="Q20" s="418"/>
      <x:c r="R20" s="418"/>
      <x:c r="S20" s="418"/>
      <x:c r="T20" s="418"/>
      <x:c r="U20" s="418"/>
      <x:c r="V20" s="418"/>
      <x:c r="W20" s="418"/>
      <x:c r="X20" s="418"/>
      <x:c r="Y20" s="418"/>
      <x:c r="Z20" s="418"/>
    </x:row>
    <x:row r="21">
      <x:c r="A21" s="418"/>
      <x:c r="B21" s="418"/>
      <x:c r="C21" s="418"/>
      <x:c r="D21" s="418"/>
      <x:c r="E21" s="418"/>
      <x:c r="F21" s="418"/>
      <x:c r="G21" s="418"/>
      <x:c r="H21" s="418"/>
      <x:c r="I21" s="418"/>
      <x:c r="J21" s="418"/>
      <x:c r="K21" s="418"/>
      <x:c r="L21" s="418"/>
      <x:c r="M21" s="418"/>
      <x:c r="N21" s="418"/>
      <x:c r="O21" s="418"/>
      <x:c r="P21" s="418"/>
      <x:c r="Q21" s="418"/>
      <x:c r="R21" s="418"/>
      <x:c r="S21" s="418"/>
      <x:c r="T21" s="418"/>
      <x:c r="U21" s="418"/>
      <x:c r="V21" s="418"/>
      <x:c r="W21" s="418"/>
      <x:c r="X21" s="418"/>
      <x:c r="Y21" s="418"/>
      <x:c r="Z21" s="418"/>
    </x:row>
    <x:row r="22">
      <x:c r="A22" s="418"/>
      <x:c r="B22" s="418"/>
      <x:c r="C22" s="418"/>
      <x:c r="D22" s="418"/>
      <x:c r="E22" s="418"/>
      <x:c r="F22" s="418"/>
      <x:c r="G22" s="418"/>
      <x:c r="H22" s="418"/>
      <x:c r="I22" s="418"/>
      <x:c r="J22" s="418"/>
      <x:c r="K22" s="418"/>
      <x:c r="L22" s="418"/>
      <x:c r="M22" s="418"/>
      <x:c r="N22" s="418"/>
      <x:c r="O22" s="418"/>
      <x:c r="P22" s="418"/>
      <x:c r="Q22" s="418"/>
      <x:c r="R22" s="418"/>
      <x:c r="S22" s="418"/>
      <x:c r="T22" s="418"/>
      <x:c r="U22" s="418"/>
      <x:c r="V22" s="418"/>
      <x:c r="W22" s="418"/>
      <x:c r="X22" s="418"/>
      <x:c r="Y22" s="418"/>
      <x:c r="Z22" s="418"/>
    </x:row>
    <x:row r="23">
      <x:c r="A23" s="418"/>
      <x:c r="B23" s="418"/>
      <x:c r="C23" s="418"/>
      <x:c r="D23" s="418"/>
      <x:c r="E23" s="418"/>
      <x:c r="F23" s="418"/>
      <x:c r="G23" s="418"/>
      <x:c r="H23" s="418"/>
      <x:c r="I23" s="418"/>
      <x:c r="J23" s="418"/>
      <x:c r="K23" s="418"/>
      <x:c r="L23" s="418"/>
      <x:c r="M23" s="418"/>
      <x:c r="N23" s="418"/>
      <x:c r="O23" s="418"/>
      <x:c r="P23" s="418"/>
      <x:c r="Q23" s="418"/>
      <x:c r="R23" s="418"/>
      <x:c r="S23" s="418"/>
      <x:c r="T23" s="418"/>
      <x:c r="U23" s="418"/>
      <x:c r="V23" s="418"/>
      <x:c r="W23" s="418"/>
      <x:c r="X23" s="418"/>
      <x:c r="Y23" s="418"/>
      <x:c r="Z23" s="418"/>
    </x:row>
    <x:row r="24">
      <x:c r="A24" s="418"/>
      <x:c r="B24" s="418"/>
      <x:c r="C24" s="418"/>
      <x:c r="D24" s="418"/>
      <x:c r="E24" s="418"/>
      <x:c r="F24" s="418"/>
      <x:c r="G24" s="418"/>
      <x:c r="H24" s="418"/>
      <x:c r="I24" s="418"/>
      <x:c r="J24" s="418"/>
      <x:c r="K24" s="418"/>
      <x:c r="L24" s="418"/>
      <x:c r="M24" s="418"/>
      <x:c r="N24" s="418"/>
      <x:c r="O24" s="418"/>
      <x:c r="P24" s="418"/>
      <x:c r="Q24" s="418"/>
      <x:c r="R24" s="418"/>
      <x:c r="S24" s="418"/>
      <x:c r="T24" s="418"/>
      <x:c r="U24" s="418"/>
      <x:c r="V24" s="418"/>
      <x:c r="W24" s="418"/>
      <x:c r="X24" s="418"/>
      <x:c r="Y24" s="418"/>
      <x:c r="Z24" s="418"/>
    </x:row>
    <x:row r="25">
      <x:c r="A25" s="418"/>
      <x:c r="B25" s="418"/>
      <x:c r="C25" s="418"/>
      <x:c r="D25" s="418"/>
      <x:c r="E25" s="418"/>
      <x:c r="F25" s="418"/>
      <x:c r="G25" s="418"/>
      <x:c r="H25" s="418"/>
      <x:c r="I25" s="418"/>
      <x:c r="J25" s="418"/>
      <x:c r="K25" s="418"/>
      <x:c r="L25" s="418"/>
      <x:c r="M25" s="418"/>
      <x:c r="N25" s="418"/>
      <x:c r="O25" s="418"/>
      <x:c r="P25" s="418"/>
      <x:c r="Q25" s="418"/>
      <x:c r="R25" s="418"/>
      <x:c r="S25" s="418"/>
      <x:c r="T25" s="418"/>
      <x:c r="U25" s="418"/>
      <x:c r="V25" s="418"/>
      <x:c r="W25" s="418"/>
      <x:c r="X25" s="418"/>
      <x:c r="Y25" s="418"/>
      <x:c r="Z25" s="418"/>
    </x:row>
    <x:row r="26">
      <x:c r="A26" s="418"/>
      <x:c r="B26" s="418"/>
      <x:c r="C26" s="418"/>
      <x:c r="D26" s="418"/>
      <x:c r="E26" s="418"/>
      <x:c r="F26" s="418"/>
      <x:c r="G26" s="418"/>
      <x:c r="H26" s="418"/>
      <x:c r="I26" s="418"/>
      <x:c r="J26" s="418"/>
      <x:c r="K26" s="418"/>
      <x:c r="L26" s="418"/>
      <x:c r="M26" s="418"/>
      <x:c r="N26" s="418"/>
      <x:c r="O26" s="418"/>
      <x:c r="P26" s="418"/>
      <x:c r="Q26" s="418"/>
      <x:c r="R26" s="418"/>
      <x:c r="S26" s="418"/>
      <x:c r="T26" s="418"/>
      <x:c r="U26" s="418"/>
      <x:c r="V26" s="418"/>
      <x:c r="W26" s="418"/>
      <x:c r="X26" s="418"/>
      <x:c r="Y26" s="418"/>
      <x:c r="Z26" s="418"/>
    </x:row>
    <x:row r="27">
      <x:c r="A27" s="418"/>
      <x:c r="B27" s="418"/>
      <x:c r="C27" s="418"/>
      <x:c r="D27" s="418"/>
      <x:c r="E27" s="418"/>
      <x:c r="F27" s="418"/>
      <x:c r="G27" s="418"/>
      <x:c r="H27" s="418"/>
      <x:c r="I27" s="418"/>
      <x:c r="J27" s="418"/>
      <x:c r="K27" s="418"/>
      <x:c r="L27" s="418"/>
      <x:c r="M27" s="418"/>
      <x:c r="N27" s="418"/>
      <x:c r="O27" s="418"/>
      <x:c r="P27" s="418"/>
      <x:c r="Q27" s="418"/>
      <x:c r="R27" s="418"/>
      <x:c r="S27" s="418"/>
      <x:c r="T27" s="418"/>
      <x:c r="U27" s="418"/>
      <x:c r="V27" s="418"/>
      <x:c r="W27" s="418"/>
      <x:c r="X27" s="418"/>
      <x:c r="Y27" s="418"/>
      <x:c r="Z27" s="418"/>
    </x:row>
    <x:row r="28">
      <x:c r="A28" s="418"/>
      <x:c r="B28" s="418"/>
      <x:c r="C28" s="418"/>
      <x:c r="D28" s="418"/>
      <x:c r="E28" s="418"/>
      <x:c r="F28" s="418"/>
      <x:c r="G28" s="418"/>
      <x:c r="H28" s="418"/>
      <x:c r="I28" s="418"/>
      <x:c r="J28" s="418"/>
      <x:c r="K28" s="418"/>
      <x:c r="L28" s="418"/>
      <x:c r="M28" s="418"/>
      <x:c r="N28" s="418"/>
      <x:c r="O28" s="418"/>
      <x:c r="P28" s="418"/>
      <x:c r="Q28" s="418"/>
      <x:c r="R28" s="418"/>
      <x:c r="S28" s="418"/>
      <x:c r="T28" s="418"/>
      <x:c r="U28" s="418"/>
      <x:c r="V28" s="418"/>
      <x:c r="W28" s="418"/>
      <x:c r="X28" s="418"/>
      <x:c r="Y28" s="418"/>
      <x:c r="Z28" s="418"/>
    </x:row>
    <x:row r="29">
      <x:c r="A29" s="418"/>
      <x:c r="B29" s="418"/>
      <x:c r="C29" s="418"/>
      <x:c r="D29" s="418"/>
      <x:c r="E29" s="418"/>
      <x:c r="F29" s="418"/>
      <x:c r="G29" s="418"/>
      <x:c r="H29" s="418"/>
      <x:c r="I29" s="418"/>
      <x:c r="J29" s="418"/>
      <x:c r="K29" s="418"/>
      <x:c r="L29" s="418"/>
      <x:c r="M29" s="418"/>
      <x:c r="N29" s="418"/>
      <x:c r="O29" s="418"/>
      <x:c r="P29" s="418"/>
      <x:c r="Q29" s="418"/>
      <x:c r="R29" s="418"/>
      <x:c r="S29" s="418"/>
      <x:c r="T29" s="418"/>
      <x:c r="U29" s="418"/>
      <x:c r="V29" s="418"/>
      <x:c r="W29" s="418"/>
      <x:c r="X29" s="418"/>
      <x:c r="Y29" s="418"/>
      <x:c r="Z29" s="418"/>
    </x:row>
    <x:row r="30">
      <x:c r="A30" s="418"/>
      <x:c r="B30" s="418"/>
      <x:c r="C30" s="418"/>
      <x:c r="D30" s="418"/>
      <x:c r="E30" s="418"/>
      <x:c r="F30" s="418"/>
      <x:c r="G30" s="418"/>
      <x:c r="H30" s="418"/>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F1"/>
  </x:mergeCells>
  <x:pageMargins left="0.7" right="0.7" top="0.75" bottom="0.75" header="0.3" footer="0.3"/>
  <x:tableParts count="1">
    <x:tablePart xmlns:r="http://schemas.openxmlformats.org/officeDocument/2006/relationships" r:id="Rec1af5289605461e"/>
  </x:tableParts>
</x:worksheet>
</file>

<file path=xl/worksheets/sheet13.xml><?xml version="1.0" encoding="utf-8"?>
<x:worksheet xmlns:x="http://schemas.openxmlformats.org/spreadsheetml/2006/main">
  <x:sheetFormatPr defaultRowHeight="15"/>
  <x:cols>
    <x:col min="1" max="1" width="14" hidden="0" customWidth="1"/>
    <x:col min="2" max="2" width="12" hidden="0" customWidth="1"/>
    <x:col min="3" max="3" width="22" hidden="0" customWidth="1"/>
    <x:col min="4" max="4" width="50" hidden="0" customWidth="1"/>
    <x:col min="5" max="5" width="34" hidden="0" customWidth="1"/>
    <x:col min="6" max="6" width="10" hidden="0" customWidth="1"/>
    <x:col min="7" max="7" width="18" hidden="0" customWidth="1"/>
    <x:col min="8" max="8" width="30" hidden="0" customWidth="1"/>
    <x:col min="9" max="9" width="14" hidden="0" customWidth="1"/>
    <x:col min="10" max="10" width="24" hidden="0" customWidth="1"/>
    <x:col min="11" max="11" width="14" hidden="0" customWidth="1"/>
    <x:col min="12" max="12" width="34" hidden="0" customWidth="1"/>
    <x:col min="13" max="13" width="66" hidden="0" customWidth="1"/>
    <x:col min="14" max="14" width="42" hidden="0" customWidth="1"/>
  </x:cols>
  <x:sheetData>
    <x:row r="1" ht="30" customHeight="1">
      <x:c r="A1" s="533" t="str">
        <x:v>arXiv Unique Records — Current Verifiable Set</x:v>
      </x:c>
      <x:c r="B1" s="533"/>
      <x:c r="C1" s="533"/>
      <x:c r="D1" s="533"/>
      <x:c r="E1" s="533"/>
      <x:c r="F1" s="533"/>
      <x:c r="G1" s="533"/>
      <x:c r="H1" s="533"/>
      <x:c r="I1" s="533"/>
      <x:c r="J1" s="533"/>
      <x:c r="K1" s="533"/>
      <x:c r="L1" s="533"/>
      <x:c r="M1" s="533"/>
      <x:c r="N1" s="533"/>
      <x:c r="O1" s="418"/>
      <x:c r="P1" s="418"/>
      <x:c r="Q1" s="418"/>
      <x:c r="R1" s="418"/>
      <x:c r="S1" s="418"/>
      <x:c r="T1" s="418"/>
      <x:c r="U1" s="418"/>
      <x:c r="V1" s="418"/>
      <x:c r="W1" s="418"/>
      <x:c r="X1" s="418"/>
      <x:c r="Y1" s="418"/>
      <x:c r="Z1" s="418"/>
    </x:row>
    <x:row r="2">
      <x:c r="A2" s="418"/>
      <x:c r="B2" s="418"/>
      <x:c r="C2" s="418"/>
      <x:c r="D2" s="418"/>
      <x:c r="E2" s="418"/>
      <x:c r="F2" s="418"/>
      <x:c r="G2" s="418"/>
      <x:c r="H2" s="418"/>
      <x:c r="I2" s="418"/>
      <x:c r="J2" s="418"/>
      <x:c r="K2" s="418"/>
      <x:c r="L2" s="418"/>
      <x:c r="M2" s="418"/>
      <x:c r="N2" s="418"/>
      <x:c r="O2" s="418"/>
      <x:c r="P2" s="418"/>
      <x:c r="Q2" s="418"/>
      <x:c r="R2" s="418"/>
      <x:c r="S2" s="418"/>
      <x:c r="T2" s="418"/>
      <x:c r="U2" s="418"/>
      <x:c r="V2" s="418"/>
      <x:c r="W2" s="418"/>
      <x:c r="X2" s="418"/>
      <x:c r="Y2" s="418"/>
      <x:c r="Z2" s="418"/>
    </x:row>
    <x:row r="3">
      <x:c r="A3" s="425" t="str">
        <x:v>Verified Unique arXiv Records (Reference Set)</x:v>
      </x:c>
      <x:c r="B3" s="425"/>
      <x:c r="C3" s="425"/>
      <x:c r="D3" s="425"/>
      <x:c r="E3" s="425"/>
      <x:c r="F3" s="425"/>
      <x:c r="G3" s="425"/>
      <x:c r="H3" s="425"/>
      <x:c r="I3" s="425"/>
      <x:c r="J3" s="425"/>
      <x:c r="K3" s="425"/>
      <x:c r="L3" s="425"/>
      <x:c r="M3" s="425"/>
      <x:c r="N3" s="425"/>
      <x:c r="O3" s="418"/>
      <x:c r="P3" s="418"/>
      <x:c r="Q3" s="418"/>
      <x:c r="R3" s="418"/>
      <x:c r="S3" s="418"/>
      <x:c r="T3" s="418"/>
      <x:c r="U3" s="418"/>
      <x:c r="V3" s="418"/>
      <x:c r="W3" s="418"/>
      <x:c r="X3" s="418"/>
      <x:c r="Y3" s="418"/>
      <x:c r="Z3" s="418"/>
    </x:row>
    <x:row r="4">
      <x:c r="A4" s="426"/>
      <x:c r="B4" s="426"/>
      <x:c r="C4" s="426"/>
      <x:c r="D4" s="426"/>
      <x:c r="E4" s="426"/>
      <x:c r="F4" s="426"/>
      <x:c r="G4" s="426"/>
      <x:c r="H4" s="426"/>
      <x:c r="I4" s="426"/>
      <x:c r="J4" s="426"/>
      <x:c r="K4" s="426"/>
      <x:c r="L4" s="426"/>
      <x:c r="M4" s="426"/>
      <x:c r="N4" s="426"/>
      <x:c r="O4" s="418"/>
      <x:c r="P4" s="418"/>
      <x:c r="Q4" s="418"/>
      <x:c r="R4" s="418"/>
      <x:c r="S4" s="418"/>
      <x:c r="T4" s="418"/>
      <x:c r="U4" s="418"/>
      <x:c r="V4" s="418"/>
      <x:c r="W4" s="418"/>
      <x:c r="X4" s="418"/>
      <x:c r="Y4" s="418"/>
      <x:c r="Z4" s="418"/>
    </x:row>
    <x:row r="5">
      <x:c r="A5" s="426" t="str">
        <x:v>Record ID</x:v>
      </x:c>
      <x:c r="B5" s="426" t="str">
        <x:v>Database</x:v>
      </x:c>
      <x:c r="C5" s="426" t="str">
        <x:v>All matching Search IDs</x:v>
      </x:c>
      <x:c r="D5" s="426" t="str">
        <x:v>Title</x:v>
      </x:c>
      <x:c r="E5" s="426" t="str">
        <x:v>Authors</x:v>
      </x:c>
      <x:c r="F5" s="426" t="str">
        <x:v>Publication Year</x:v>
      </x:c>
      <x:c r="G5" s="426" t="str">
        <x:v>Original submission date</x:v>
      </x:c>
      <x:c r="H5" s="426" t="str">
        <x:v>Journal / Source</x:v>
      </x:c>
      <x:c r="I5" s="426" t="str">
        <x:v>Document Type</x:v>
      </x:c>
      <x:c r="J5" s="426" t="str">
        <x:v>Related DOI</x:v>
      </x:c>
      <x:c r="K5" s="426" t="str">
        <x:v>arXiv ID</x:v>
      </x:c>
      <x:c r="L5" s="426" t="str">
        <x:v>URL</x:v>
      </x:c>
      <x:c r="M5" s="426" t="str">
        <x:v>Abstract</x:v>
      </x:c>
      <x:c r="N5" s="426" t="str">
        <x:v>Preliminary relevance</x:v>
      </x:c>
      <x:c r="O5" s="418"/>
      <x:c r="P5" s="418"/>
      <x:c r="Q5" s="418"/>
      <x:c r="R5" s="418"/>
      <x:c r="S5" s="418"/>
      <x:c r="T5" s="418"/>
      <x:c r="U5" s="418"/>
      <x:c r="V5" s="418"/>
      <x:c r="W5" s="418"/>
      <x:c r="X5" s="418"/>
      <x:c r="Y5" s="418"/>
      <x:c r="Z5" s="418"/>
    </x:row>
    <x:row r="6">
      <x:c r="A6" s="426" t="str">
        <x:v>ARXIV-001</x:v>
      </x:c>
      <x:c r="B6" s="426" t="str">
        <x:v>arXiv</x:v>
      </x:c>
      <x:c r="C6" s="426" t="str">
        <x:v>ARXIV-01; ARXIV-06; ARXIV-08</x:v>
      </x:c>
      <x:c r="D6" s="426" t="str">
        <x:v>Looking into Concept Explanation Methods for Diabetic Retinopathy Classification</x:v>
      </x:c>
      <x:c r="E6" s="426" t="str">
        <x:v>Andrea M. Storås; Josefine V. Sundgaard</x:v>
      </x:c>
      <x:c r="F6" s="426" t="str">
        <x:v>2024</x:v>
      </x:c>
      <x:c r="G6" s="426" t="str">
        <x:v>2024-10-04</x:v>
      </x:c>
      <x:c r="H6" s="426" t="str">
        <x:v>Machine Learning for Biomedical Imaging 2 (2024)</x:v>
      </x:c>
      <x:c r="I6" s="426" t="str">
        <x:v>Preprint</x:v>
      </x:c>
      <x:c r="J6" s="426" t="str">
        <x:v>10.59275/j.melba.2024-e7fd</x:v>
      </x:c>
      <x:c r="K6" s="426" t="str">
        <x:v>2410.03188</x:v>
      </x:c>
      <x:c r="L6" s="426" t="str">
        <x:v>https://arxiv.org/abs/2410.03188</x:v>
      </x:c>
      <x:c r="M6" s="426" t="str">
        <x:v>Diabetic retinopathy is a common complication of diabetes, and monitoring the progression of retinal abnormalities using fundus imaging is crucial. Because the images must be interpreted by a medical expert, it is infeasible to screen all individuals with diabetes for diabetic retinopathy. Deep learning has shown impressive results for automatic analysis and grading of fundus images. One drawback is, however, the lack of interpretability, which hampers the implementation of such systems in the clinic. Explainable artificial intelligence methods can be applied to explain the deep neural networks. Explanations based on concepts have shown to be intuitive for humans to understand, but have not yet been explored in detail for diabetic retinopathy grading. This work investigates and compares two concept-based explanation techniques for explaining deep neural networks developed for automatic diagnosis of diabetic retinopathy: Quantitative Testing with Concept Activation Vectors and Concept Bottleneck Models. We found that both methods have strengths and weaknesses, and choice of method should take the available data and the end user's preferences into account.</x:v>
      </x:c>
      <x:c r="N6" s="426" t="str">
        <x:v>Direct retinal C-XAI candidate</x:v>
      </x:c>
      <x:c r="O6" s="418"/>
      <x:c r="P6" s="418"/>
      <x:c r="Q6" s="418"/>
      <x:c r="R6" s="418"/>
      <x:c r="S6" s="418"/>
      <x:c r="T6" s="418"/>
      <x:c r="U6" s="418"/>
      <x:c r="V6" s="418"/>
      <x:c r="W6" s="418"/>
      <x:c r="X6" s="418"/>
      <x:c r="Y6" s="418"/>
      <x:c r="Z6" s="418"/>
    </x:row>
    <x:row r="7">
      <x:c r="A7" s="426" t="str">
        <x:v>ARXIV-002</x:v>
      </x:c>
      <x:c r="B7" s="426" t="str">
        <x:v>arXiv</x:v>
      </x:c>
      <x:c r="C7" s="426" t="str">
        <x:v>ARXIV-02</x:v>
      </x:c>
      <x:c r="D7" s="426" t="str">
        <x:v>Prototype Learning-Based Few-Shot Segmentation for Low-Light Crack on Concrete Structures</x:v>
      </x:c>
      <x:c r="E7" s="426" t="str">
        <x:v>Yulun Guo</x:v>
      </x:c>
      <x:c r="F7" s="426" t="str">
        <x:v>2026</x:v>
      </x:c>
      <x:c r="G7" s="426" t="str">
        <x:v>2026-01-19</x:v>
      </x:c>
      <x:c r="H7" s="426"/>
      <x:c r="I7" s="426" t="str">
        <x:v>Preprint</x:v>
      </x:c>
      <x:c r="J7" s="426"/>
      <x:c r="K7" s="426" t="str">
        <x:v>2601.13059</x:v>
      </x:c>
      <x:c r="L7" s="426" t="str">
        <x:v>https://arxiv.org/abs/2601.13059</x:v>
      </x:c>
      <x:c r="M7" s="426" t="str">
        <x:v>Crack detection is critical for concrete infrastructure safety, but real-world cracks often appear in low-light environments like tunnels and bridge undersides, degrading computer vision segmentation accuracy. Pixel-level annotation of low-light crack images is extremely time-consuming, yet most deep learning methods require large, well-illuminated datasets. We propose a dual-branch prototype learning network integrating Retinex theory with few-shot learning for low-light crack segmentation. Retinex-based reflectance components guide illumination-invariant global representation learning, while metric learning reduces dependence on large annotated datasets.</x:v>
      </x:c>
      <x:c r="N7" s="426" t="str">
        <x:v>Likely exclude: false positive from Retinex, not retinal imaging</x:v>
      </x:c>
      <x:c r="O7" s="418"/>
      <x:c r="P7" s="418"/>
      <x:c r="Q7" s="418"/>
      <x:c r="R7" s="418"/>
      <x:c r="S7" s="418"/>
      <x:c r="T7" s="418"/>
      <x:c r="U7" s="418"/>
      <x:c r="V7" s="418"/>
      <x:c r="W7" s="418"/>
      <x:c r="X7" s="418"/>
      <x:c r="Y7" s="418"/>
      <x:c r="Z7" s="418"/>
    </x:row>
    <x:row r="8">
      <x:c r="A8" s="426" t="str">
        <x:v>ARXIV-003</x:v>
      </x:c>
      <x:c r="B8" s="426" t="str">
        <x:v>arXiv</x:v>
      </x:c>
      <x:c r="C8" s="426" t="str">
        <x:v>ARXIV-02</x:v>
      </x:c>
      <x:c r="D8" s="426" t="str">
        <x:v>This actually looks like that: Proto-BagNets for local and global interpretability-by-design</x:v>
      </x:c>
      <x:c r="E8" s="426" t="str">
        <x:v>Kerol Djoumessi; Bubacarr Bah; Laura Kühlewein; Philipp Berens; Lisa Koch</x:v>
      </x:c>
      <x:c r="F8" s="426" t="str">
        <x:v>2024</x:v>
      </x:c>
      <x:c r="G8" s="426" t="str">
        <x:v>2024-06-21</x:v>
      </x:c>
      <x:c r="H8" s="426"/>
      <x:c r="I8" s="426" t="str">
        <x:v>Preprint</x:v>
      </x:c>
      <x:c r="J8" s="426"/>
      <x:c r="K8" s="426" t="str">
        <x:v>2406.15168</x:v>
      </x:c>
      <x:c r="L8" s="426" t="str">
        <x:v>https://arxiv.org/abs/2406.15168</x:v>
      </x:c>
      <x:c r="M8" s="426" t="str">
        <x:v>Interpretability is a key requirement for the use of machine learning models in high-stakes applications, including medical diagnosis. Explaining black-box models mostly relies on post-hoc methods that do not faithfully reflect the model's behavior. As a remedy, prototype-based networks have been proposed, but their interpretability is limited as they have been shown to provide coarse, unreliable, and imprecise explanations. We introduce Proto-BagNets, an interpretable-by-design prototype-based model that combines bag-of-local feature models and prototype learning. We evaluated the Proto-BagNet for drusen detection on publicly available retinal OCT data.</x:v>
      </x:c>
      <x:c r="N8" s="426" t="str">
        <x:v>Direct retinal prototype-XAI candidate</x:v>
      </x:c>
      <x:c r="O8" s="418"/>
      <x:c r="P8" s="418"/>
      <x:c r="Q8" s="418"/>
      <x:c r="R8" s="418"/>
      <x:c r="S8" s="418"/>
      <x:c r="T8" s="418"/>
      <x:c r="U8" s="418"/>
      <x:c r="V8" s="418"/>
      <x:c r="W8" s="418"/>
      <x:c r="X8" s="418"/>
      <x:c r="Y8" s="418"/>
      <x:c r="Z8" s="418"/>
    </x:row>
    <x:row r="9">
      <x:c r="A9" s="426" t="str">
        <x:v>ARXIV-004</x:v>
      </x:c>
      <x:c r="B9" s="426" t="str">
        <x:v>arXiv</x:v>
      </x:c>
      <x:c r="C9" s="426" t="str">
        <x:v>ARXIV-02</x:v>
      </x:c>
      <x:c r="D9" s="426" t="str">
        <x:v>Coarse Retinal Lesion Annotations Refinement via Prototypical Learning</x:v>
      </x:c>
      <x:c r="E9" s="426" t="str">
        <x:v>Qinji Yu; Kang Dang; Ziyu Zhou; Yongwei Chen; Xiaowei Ding</x:v>
      </x:c>
      <x:c r="F9" s="426" t="str">
        <x:v>2022</x:v>
      </x:c>
      <x:c r="G9" s="426" t="str">
        <x:v>2022-08-30</x:v>
      </x:c>
      <x:c r="H9" s="426" t="str">
        <x:v>MICCAI 2022 workshop MLMI</x:v>
      </x:c>
      <x:c r="I9" s="426" t="str">
        <x:v>Preprint</x:v>
      </x:c>
      <x:c r="J9" s="426"/>
      <x:c r="K9" s="426" t="str">
        <x:v>2208.14294</x:v>
      </x:c>
      <x:c r="L9" s="426" t="str">
        <x:v>https://arxiv.org/abs/2208.14294</x:v>
      </x:c>
      <x:c r="M9" s="426" t="str">
        <x:v>Deep-learning-based approaches for retinal lesion segmentation often require an abundant amount of precise pixel-wise annotated data. This paper proposes an annotation refinement network to convert a coarse annotation into a pixel-level segmentation mask. The main novelty is the application of the prototype learning paradigm to enhance generalization across different datasets or lesion types. The method was trained on IDRiD and generalized to DDR and a private dataset.</x:v>
      </x:c>
      <x:c r="N9" s="426" t="str">
        <x:v>Contextual retinal prototype/segmentation candidate</x:v>
      </x:c>
      <x:c r="O9" s="418"/>
      <x:c r="P9" s="418"/>
      <x:c r="Q9" s="418"/>
      <x:c r="R9" s="418"/>
      <x:c r="S9" s="418"/>
      <x:c r="T9" s="418"/>
      <x:c r="U9" s="418"/>
      <x:c r="V9" s="418"/>
      <x:c r="W9" s="418"/>
      <x:c r="X9" s="418"/>
      <x:c r="Y9" s="418"/>
      <x:c r="Z9" s="418"/>
    </x:row>
    <x:row r="10">
      <x:c r="A10" s="426" t="str">
        <x:v>ARXIV-005</x:v>
      </x:c>
      <x:c r="B10" s="426" t="str">
        <x:v>arXiv</x:v>
      </x:c>
      <x:c r="C10" s="426" t="str">
        <x:v>ARXIV-05</x:v>
      </x:c>
      <x:c r="D10" s="426" t="str">
        <x:v>XAI-MeD: Explainable Knowledge Guided Neuro-Symbolic Framework for Domain Generalization and Rare Class Detection in Medical Imaging</x:v>
      </x:c>
      <x:c r="E10" s="426" t="str">
        <x:v>Midhat Urooj; Ayan Banerjee; Sandeep Gupta</x:v>
      </x:c>
      <x:c r="F10" s="426" t="str">
        <x:v>2026</x:v>
      </x:c>
      <x:c r="G10" s="426" t="str">
        <x:v>2026-01-05</x:v>
      </x:c>
      <x:c r="H10" s="426" t="str">
        <x:v>AAAI Bridge Program 2026</x:v>
      </x:c>
      <x:c r="I10" s="426" t="str">
        <x:v>Preprint</x:v>
      </x:c>
      <x:c r="J10" s="426"/>
      <x:c r="K10" s="426" t="str">
        <x:v>2601.02008</x:v>
      </x:c>
      <x:c r="L10" s="426" t="str">
        <x:v>https://arxiv.org/abs/2601.02008</x:v>
      </x:c>
      <x:c r="M10" s="426" t="str">
        <x:v>This paper introduces XAI-MeD, an explainable medical AI framework that integrates clinically accurate expert knowledge into deep learning through a unified neuro-symbolic architecture. It encodes clinical expertise as logical connectives over atomic medical propositions and uses a symbolic reasoning branch alongside neural predictions. Evaluation includes diabetic retinopathy grading across six multicentre datasets.</x:v>
      </x:c>
      <x:c r="N10" s="426" t="str">
        <x:v>Direct/contextual retinal neuro-symbolic candidate</x:v>
      </x:c>
      <x:c r="O10" s="418"/>
      <x:c r="P10" s="418"/>
      <x:c r="Q10" s="418"/>
      <x:c r="R10" s="418"/>
      <x:c r="S10" s="418"/>
      <x:c r="T10" s="418"/>
      <x:c r="U10" s="418"/>
      <x:c r="V10" s="418"/>
      <x:c r="W10" s="418"/>
      <x:c r="X10" s="418"/>
      <x:c r="Y10" s="418"/>
      <x:c r="Z10" s="418"/>
    </x:row>
    <x:row r="11">
      <x:c r="A11" s="426" t="str">
        <x:v>ARXIV-006</x:v>
      </x:c>
      <x:c r="B11" s="426" t="str">
        <x:v>arXiv</x:v>
      </x:c>
      <x:c r="C11" s="426" t="str">
        <x:v>ARXIV-05</x:v>
      </x:c>
      <x:c r="D11" s="426" t="str">
        <x:v>NEURO-GUARD: Neuro-Symbolic Generalization and Unbiased Adaptive Routing for Diagnostics -- Explainable Medical AI</x:v>
      </x:c>
      <x:c r="E11" s="426" t="str">
        <x:v>Midhat Urooj; Ayan Banerjee; Sandeep Gupta</x:v>
      </x:c>
      <x:c r="F11" s="426" t="str">
        <x:v>2025</x:v>
      </x:c>
      <x:c r="G11" s="426" t="str">
        <x:v>2025-12-20</x:v>
      </x:c>
      <x:c r="H11" s="426" t="str">
        <x:v>Asilomar Conference</x:v>
      </x:c>
      <x:c r="I11" s="426" t="str">
        <x:v>Preprint</x:v>
      </x:c>
      <x:c r="J11" s="426"/>
      <x:c r="K11" s="426" t="str">
        <x:v>2512.18177</x:v>
      </x:c>
      <x:c r="L11" s="426" t="str">
        <x:v>https://arxiv.org/abs/2512.18177</x:v>
      </x:c>
      <x:c r="M11" s="426" t="str">
        <x:v>NEURO-GUARD is a knowledge-guided vision framework integrating Vision Transformers with language-driven reasoning. It uses retrieval-augmented self-verification and clinical guidelines to improve feature extraction and classification. Experiments include diabetic retinopathy classification across APTOS, EyePACS, Messidor-1, and Messidor-2.</x:v>
      </x:c>
      <x:c r="N11" s="426" t="str">
        <x:v>Direct/contextual retinal neuro-symbolic candidate</x:v>
      </x:c>
      <x:c r="O11" s="418"/>
      <x:c r="P11" s="418"/>
      <x:c r="Q11" s="418"/>
      <x:c r="R11" s="418"/>
      <x:c r="S11" s="418"/>
      <x:c r="T11" s="418"/>
      <x:c r="U11" s="418"/>
      <x:c r="V11" s="418"/>
      <x:c r="W11" s="418"/>
      <x:c r="X11" s="418"/>
      <x:c r="Y11" s="418"/>
      <x:c r="Z11" s="418"/>
    </x:row>
    <x:row r="12">
      <x:c r="A12" s="426" t="str">
        <x:v>ARXIV-007</x:v>
      </x:c>
      <x:c r="B12" s="426" t="str">
        <x:v>arXiv</x:v>
      </x:c>
      <x:c r="C12" s="426" t="str">
        <x:v>ARXIV-05</x:v>
      </x:c>
      <x:c r="D12" s="426" t="str">
        <x:v>From Retinal Pixels to Patients: Evolution of Deep Learning Research in Diabetic Retinopathy Screening</x:v>
      </x:c>
      <x:c r="E12" s="426" t="str">
        <x:v>Muskaan Chopra; Lorenz Sparrenberg; Armin Berger; Sarthak Khanna; Jan H. Terheyden; Rafet Sifa</x:v>
      </x:c>
      <x:c r="F12" s="426" t="str">
        <x:v>2025</x:v>
      </x:c>
      <x:c r="G12" s="426" t="str">
        <x:v>2025-11-14</x:v>
      </x:c>
      <x:c r="H12" s="426" t="str">
        <x:v>IEEE BigData 2025</x:v>
      </x:c>
      <x:c r="I12" s="426" t="str">
        <x:v>Preprint</x:v>
      </x:c>
      <x:c r="J12" s="426"/>
      <x:c r="K12" s="426" t="str">
        <x:v>2511.11065</x:v>
      </x:c>
      <x:c r="L12" s="426" t="str">
        <x:v>https://arxiv.org/abs/2511.11065</x:v>
      </x:c>
      <x:c r="M12" s="426" t="str">
        <x:v>This survey synthesizes diabetic-retinopathy deep-learning research spanning 2016-2025, including self- and semi-supervised learning, domain generalization, federated training, hybrid neuro-symbolic models, evaluation protocols, and reproducibility challenges.</x:v>
      </x:c>
      <x:c r="N12" s="426" t="str">
        <x:v>Contextual review; not an original retinal C-XAI study</x:v>
      </x:c>
      <x:c r="O12" s="418"/>
      <x:c r="P12" s="418"/>
      <x:c r="Q12" s="418"/>
      <x:c r="R12" s="418"/>
      <x:c r="S12" s="418"/>
      <x:c r="T12" s="418"/>
      <x:c r="U12" s="418"/>
      <x:c r="V12" s="418"/>
      <x:c r="W12" s="418"/>
      <x:c r="X12" s="418"/>
      <x:c r="Y12" s="418"/>
      <x:c r="Z12" s="418"/>
    </x:row>
    <x:row r="13">
      <x:c r="A13" s="426" t="str">
        <x:v>ARXIV-008</x:v>
      </x:c>
      <x:c r="B13" s="426" t="str">
        <x:v>arXiv</x:v>
      </x:c>
      <x:c r="C13" s="426" t="str">
        <x:v>ARXIV-05</x:v>
      </x:c>
      <x:c r="D13" s="426" t="str">
        <x:v>Single Domain Generalization in Diabetic Retinopathy: A Neuro-Symbolic Learning Approach</x:v>
      </x:c>
      <x:c r="E13" s="426" t="str">
        <x:v>Midhat Urooj; Ayan Banerjee; Farhat Shaikh; Kuntal Thakur; Sandeep Gupta</x:v>
      </x:c>
      <x:c r="F13" s="426" t="str">
        <x:v>2025</x:v>
      </x:c>
      <x:c r="G13" s="426" t="str">
        <x:v>2025-09-03</x:v>
      </x:c>
      <x:c r="H13" s="426" t="str">
        <x:v>ANSyA 2025 Workshop</x:v>
      </x:c>
      <x:c r="I13" s="426" t="str">
        <x:v>Preprint</x:v>
      </x:c>
      <x:c r="J13" s="426"/>
      <x:c r="K13" s="426" t="str">
        <x:v>2509.02918</x:v>
      </x:c>
      <x:c r="L13" s="426" t="str">
        <x:v>https://arxiv.org/abs/2509.02918</x:v>
      </x:c>
      <x:c r="M13" s="426" t="str">
        <x:v>KG-DG is a neuro-symbolic framework for diabetic-retinopathy classification integrating vision transformers with expert-guided symbolic reasoning. It uses clinical lesion ontologies, rule-based features, retinal-vessel segmentation, and confidence-weighted fusion, evaluated across APTOS, EyePACS, Messidor-1, and Messidor-2.</x:v>
      </x:c>
      <x:c r="N13" s="426" t="str">
        <x:v>Direct retinal neuro-symbolic candidate</x:v>
      </x:c>
      <x:c r="O13" s="418"/>
      <x:c r="P13" s="418"/>
      <x:c r="Q13" s="418"/>
      <x:c r="R13" s="418"/>
      <x:c r="S13" s="418"/>
      <x:c r="T13" s="418"/>
      <x:c r="U13" s="418"/>
      <x:c r="V13" s="418"/>
      <x:c r="W13" s="418"/>
      <x:c r="X13" s="418"/>
      <x:c r="Y13" s="418"/>
      <x:c r="Z13" s="418"/>
    </x:row>
    <x:row r="14">
      <x:c r="A14" s="426" t="str">
        <x:v>ARXIV-009</x:v>
      </x:c>
      <x:c r="B14" s="426" t="str">
        <x:v>arXiv</x:v>
      </x:c>
      <x:c r="C14" s="426" t="str">
        <x:v>ARXIV-06</x:v>
      </x:c>
      <x:c r="D14" s="426" t="str">
        <x:v>In-hoc Concept Representations to Regularise Deep Learning in Medical Imaging</x:v>
      </x:c>
      <x:c r="E14" s="426" t="str">
        <x:v>Valentina Corbetta; Floris Six Dijkstra; Regina Beets-Tan; Hoel Kervadec; Kristoffer Wickstrøm; Wilson Silva</x:v>
      </x:c>
      <x:c r="F14" s="426" t="str">
        <x:v>2025</x:v>
      </x:c>
      <x:c r="G14" s="426" t="str">
        <x:v>2025-08-19</x:v>
      </x:c>
      <x:c r="H14" s="426" t="str">
        <x:v>ICCV 2025 PHAROS-AFE-AIMI Workshop</x:v>
      </x:c>
      <x:c r="I14" s="426" t="str">
        <x:v>Preprint</x:v>
      </x:c>
      <x:c r="J14" s="426"/>
      <x:c r="K14" s="426" t="str">
        <x:v>2508.13880</x:v>
      </x:c>
      <x:c r="L14" s="426" t="str">
        <x:v>https://arxiv.org/abs/2508.13880</x:v>
      </x:c>
      <x:c r="M14" s="426" t="str">
        <x:v>LCRReg leverages latent concept representations such as concept activation vectors to guide medical-imaging models toward semantically grounded representations. On diabetic-retinopathy classification, it improves robustness under spurious perturbations and out-of-distribution generalisation.</x:v>
      </x:c>
      <x:c r="N14" s="426" t="str">
        <x:v>Direct/contextual retinal concept-representation candidate</x:v>
      </x:c>
      <x:c r="O14" s="418"/>
      <x:c r="P14" s="418"/>
      <x:c r="Q14" s="418"/>
      <x:c r="R14" s="418"/>
      <x:c r="S14" s="418"/>
      <x:c r="T14" s="418"/>
      <x:c r="U14" s="418"/>
      <x:c r="V14" s="418"/>
      <x:c r="W14" s="418"/>
      <x:c r="X14" s="418"/>
      <x:c r="Y14" s="418"/>
      <x:c r="Z14" s="418"/>
    </x:row>
    <x:row r="15">
      <x:c r="A15" s="426" t="str">
        <x:v>ARXIV-010</x:v>
      </x:c>
      <x:c r="B15" s="426" t="str">
        <x:v>arXiv</x:v>
      </x:c>
      <x:c r="C15" s="426" t="str">
        <x:v>ARXIV-08</x:v>
      </x:c>
      <x:c r="D15" s="426" t="str">
        <x:v>ConceptSMILE: Auditing the Trustworthiness of Concept-Based Explainable AI</x:v>
      </x:c>
      <x:c r="E15" s="426" t="str">
        <x:v>Mohadeseh Mollapour; Koorosh Aslansefat; Zeinab Dehghani; Bhupesh Kumar Mishra; Tejal Shah; Zhibao Mian</x:v>
      </x:c>
      <x:c r="F15" s="426" t="str">
        <x:v>2026</x:v>
      </x:c>
      <x:c r="G15" s="426" t="str">
        <x:v>2026-07-10</x:v>
      </x:c>
      <x:c r="H15" s="426"/>
      <x:c r="I15" s="426" t="str">
        <x:v>Preprint</x:v>
      </x:c>
      <x:c r="J15" s="426"/>
      <x:c r="K15" s="426" t="str">
        <x:v>2607.09649</x:v>
      </x:c>
      <x:c r="L15" s="426" t="str">
        <x:v>https://arxiv.org/abs/2607.09649</x:v>
      </x:c>
      <x:c r="M15" s="426" t="str">
        <x:v>ConceptSMILE is a model-agnostic perturbation-based auditing framework for evaluating the reliability of concept-based explanations. It perturbs input regions, measures concept-response shifts, applies locality weighting, and fits an XGBoost surrogate. Evaluation uses retinal fundus images and compares MedSAM-derived visual concepts with vision-language-model semantic concepts.</x:v>
      </x:c>
      <x:c r="N15" s="426" t="str">
        <x:v>Direct retinal C-XAI auditing study; authors' own work</x:v>
      </x:c>
      <x:c r="O15" s="418"/>
      <x:c r="P15" s="418"/>
      <x:c r="Q15" s="418"/>
      <x:c r="R15" s="418"/>
      <x:c r="S15" s="418"/>
      <x:c r="T15" s="418"/>
      <x:c r="U15" s="418"/>
      <x:c r="V15" s="418"/>
      <x:c r="W15" s="418"/>
      <x:c r="X15" s="418"/>
      <x:c r="Y15" s="418"/>
      <x:c r="Z15" s="418"/>
    </x:row>
    <x:row r="16">
      <x:c r="A16" s="418"/>
      <x:c r="B16" s="418"/>
      <x:c r="C16" s="418"/>
      <x:c r="D16" s="418"/>
      <x:c r="E16" s="418"/>
      <x:c r="F16" s="418"/>
      <x:c r="G16" s="418"/>
      <x:c r="H16" s="418"/>
      <x:c r="I16" s="418"/>
      <x:c r="J16" s="418"/>
      <x:c r="K16" s="418"/>
      <x:c r="L16" s="418"/>
      <x:c r="M16" s="418"/>
      <x:c r="N16" s="418"/>
      <x:c r="O16" s="418"/>
      <x:c r="P16" s="418"/>
      <x:c r="Q16" s="418"/>
      <x:c r="R16" s="418"/>
      <x:c r="S16" s="418"/>
      <x:c r="T16" s="418"/>
      <x:c r="U16" s="418"/>
      <x:c r="V16" s="418"/>
      <x:c r="W16" s="418"/>
      <x:c r="X16" s="418"/>
      <x:c r="Y16" s="418"/>
      <x:c r="Z16" s="418"/>
    </x:row>
    <x:row r="17">
      <x:c r="A17" s="418"/>
      <x:c r="B17" s="418"/>
      <x:c r="C17" s="418"/>
      <x:c r="D17" s="418"/>
      <x:c r="E17" s="418"/>
      <x:c r="F17" s="418"/>
      <x:c r="G17" s="418"/>
      <x:c r="H17" s="418"/>
      <x:c r="I17" s="418"/>
      <x:c r="J17" s="418"/>
      <x:c r="K17" s="418"/>
      <x:c r="L17" s="418"/>
      <x:c r="M17" s="418"/>
      <x:c r="N17" s="418"/>
      <x:c r="O17" s="418"/>
      <x:c r="P17" s="418"/>
      <x:c r="Q17" s="418"/>
      <x:c r="R17" s="418"/>
      <x:c r="S17" s="418"/>
      <x:c r="T17" s="418"/>
      <x:c r="U17" s="418"/>
      <x:c r="V17" s="418"/>
      <x:c r="W17" s="418"/>
      <x:c r="X17" s="418"/>
      <x:c r="Y17" s="418"/>
      <x:c r="Z17" s="418"/>
    </x:row>
    <x:row r="18">
      <x:c r="A18" s="418"/>
      <x:c r="B18" s="418"/>
      <x:c r="C18" s="418"/>
      <x:c r="D18" s="418"/>
      <x:c r="E18" s="418"/>
      <x:c r="F18" s="418"/>
      <x:c r="G18" s="418"/>
      <x:c r="H18" s="418"/>
      <x:c r="I18" s="418"/>
      <x:c r="J18" s="418"/>
      <x:c r="K18" s="418"/>
      <x:c r="L18" s="418"/>
      <x:c r="M18" s="418"/>
      <x:c r="N18" s="418"/>
      <x:c r="O18" s="418"/>
      <x:c r="P18" s="418"/>
      <x:c r="Q18" s="418"/>
      <x:c r="R18" s="418"/>
      <x:c r="S18" s="418"/>
      <x:c r="T18" s="418"/>
      <x:c r="U18" s="418"/>
      <x:c r="V18" s="418"/>
      <x:c r="W18" s="418"/>
      <x:c r="X18" s="418"/>
      <x:c r="Y18" s="418"/>
      <x:c r="Z18" s="418"/>
    </x:row>
    <x:row r="19">
      <x:c r="A19" s="418"/>
      <x:c r="B19" s="418"/>
      <x:c r="C19" s="418"/>
      <x:c r="D19" s="418"/>
      <x:c r="E19" s="418"/>
      <x:c r="F19" s="418"/>
      <x:c r="G19" s="418"/>
      <x:c r="H19" s="418"/>
      <x:c r="I19" s="418"/>
      <x:c r="J19" s="418"/>
      <x:c r="K19" s="418"/>
      <x:c r="L19" s="418"/>
      <x:c r="M19" s="418"/>
      <x:c r="N19" s="418"/>
      <x:c r="O19" s="418"/>
      <x:c r="P19" s="418"/>
      <x:c r="Q19" s="418"/>
      <x:c r="R19" s="418"/>
      <x:c r="S19" s="418"/>
      <x:c r="T19" s="418"/>
      <x:c r="U19" s="418"/>
      <x:c r="V19" s="418"/>
      <x:c r="W19" s="418"/>
      <x:c r="X19" s="418"/>
      <x:c r="Y19" s="418"/>
      <x:c r="Z19" s="418"/>
    </x:row>
    <x:row r="20">
      <x:c r="A20" s="418"/>
      <x:c r="B20" s="418"/>
      <x:c r="C20" s="418"/>
      <x:c r="D20" s="418"/>
      <x:c r="E20" s="418"/>
      <x:c r="F20" s="418"/>
      <x:c r="G20" s="418"/>
      <x:c r="H20" s="418"/>
      <x:c r="I20" s="418"/>
      <x:c r="J20" s="418"/>
      <x:c r="K20" s="418"/>
      <x:c r="L20" s="418"/>
      <x:c r="M20" s="418"/>
      <x:c r="N20" s="418"/>
      <x:c r="O20" s="418"/>
      <x:c r="P20" s="418"/>
      <x:c r="Q20" s="418"/>
      <x:c r="R20" s="418"/>
      <x:c r="S20" s="418"/>
      <x:c r="T20" s="418"/>
      <x:c r="U20" s="418"/>
      <x:c r="V20" s="418"/>
      <x:c r="W20" s="418"/>
      <x:c r="X20" s="418"/>
      <x:c r="Y20" s="418"/>
      <x:c r="Z20" s="418"/>
    </x:row>
    <x:row r="21">
      <x:c r="A21" s="418"/>
      <x:c r="B21" s="418"/>
      <x:c r="C21" s="418"/>
      <x:c r="D21" s="418"/>
      <x:c r="E21" s="418"/>
      <x:c r="F21" s="418"/>
      <x:c r="G21" s="418"/>
      <x:c r="H21" s="418"/>
      <x:c r="I21" s="418"/>
      <x:c r="J21" s="418"/>
      <x:c r="K21" s="418"/>
      <x:c r="L21" s="418"/>
      <x:c r="M21" s="418"/>
      <x:c r="N21" s="418"/>
      <x:c r="O21" s="418"/>
      <x:c r="P21" s="418"/>
      <x:c r="Q21" s="418"/>
      <x:c r="R21" s="418"/>
      <x:c r="S21" s="418"/>
      <x:c r="T21" s="418"/>
      <x:c r="U21" s="418"/>
      <x:c r="V21" s="418"/>
      <x:c r="W21" s="418"/>
      <x:c r="X21" s="418"/>
      <x:c r="Y21" s="418"/>
      <x:c r="Z21" s="418"/>
    </x:row>
    <x:row r="22">
      <x:c r="A22" s="418"/>
      <x:c r="B22" s="418"/>
      <x:c r="C22" s="418"/>
      <x:c r="D22" s="418"/>
      <x:c r="E22" s="418"/>
      <x:c r="F22" s="418"/>
      <x:c r="G22" s="418"/>
      <x:c r="H22" s="418"/>
      <x:c r="I22" s="418"/>
      <x:c r="J22" s="418"/>
      <x:c r="K22" s="418"/>
      <x:c r="L22" s="418"/>
      <x:c r="M22" s="418"/>
      <x:c r="N22" s="418"/>
      <x:c r="O22" s="418"/>
      <x:c r="P22" s="418"/>
      <x:c r="Q22" s="418"/>
      <x:c r="R22" s="418"/>
      <x:c r="S22" s="418"/>
      <x:c r="T22" s="418"/>
      <x:c r="U22" s="418"/>
      <x:c r="V22" s="418"/>
      <x:c r="W22" s="418"/>
      <x:c r="X22" s="418"/>
      <x:c r="Y22" s="418"/>
      <x:c r="Z22" s="418"/>
    </x:row>
    <x:row r="23">
      <x:c r="A23" s="418"/>
      <x:c r="B23" s="418"/>
      <x:c r="C23" s="418"/>
      <x:c r="D23" s="418"/>
      <x:c r="E23" s="418"/>
      <x:c r="F23" s="418"/>
      <x:c r="G23" s="418"/>
      <x:c r="H23" s="418"/>
      <x:c r="I23" s="418"/>
      <x:c r="J23" s="418"/>
      <x:c r="K23" s="418"/>
      <x:c r="L23" s="418"/>
      <x:c r="M23" s="418"/>
      <x:c r="N23" s="418"/>
      <x:c r="O23" s="418"/>
      <x:c r="P23" s="418"/>
      <x:c r="Q23" s="418"/>
      <x:c r="R23" s="418"/>
      <x:c r="S23" s="418"/>
      <x:c r="T23" s="418"/>
      <x:c r="U23" s="418"/>
      <x:c r="V23" s="418"/>
      <x:c r="W23" s="418"/>
      <x:c r="X23" s="418"/>
      <x:c r="Y23" s="418"/>
      <x:c r="Z23" s="418"/>
    </x:row>
    <x:row r="24">
      <x:c r="A24" s="418"/>
      <x:c r="B24" s="418"/>
      <x:c r="C24" s="418"/>
      <x:c r="D24" s="418"/>
      <x:c r="E24" s="418"/>
      <x:c r="F24" s="418"/>
      <x:c r="G24" s="418"/>
      <x:c r="H24" s="418"/>
      <x:c r="I24" s="418"/>
      <x:c r="J24" s="418"/>
      <x:c r="K24" s="418"/>
      <x:c r="L24" s="418"/>
      <x:c r="M24" s="418"/>
      <x:c r="N24" s="418"/>
      <x:c r="O24" s="418"/>
      <x:c r="P24" s="418"/>
      <x:c r="Q24" s="418"/>
      <x:c r="R24" s="418"/>
      <x:c r="S24" s="418"/>
      <x:c r="T24" s="418"/>
      <x:c r="U24" s="418"/>
      <x:c r="V24" s="418"/>
      <x:c r="W24" s="418"/>
      <x:c r="X24" s="418"/>
      <x:c r="Y24" s="418"/>
      <x:c r="Z24" s="418"/>
    </x:row>
    <x:row r="25">
      <x:c r="A25" s="418"/>
      <x:c r="B25" s="418"/>
      <x:c r="C25" s="418"/>
      <x:c r="D25" s="418"/>
      <x:c r="E25" s="418"/>
      <x:c r="F25" s="418"/>
      <x:c r="G25" s="418"/>
      <x:c r="H25" s="418"/>
      <x:c r="I25" s="418"/>
      <x:c r="J25" s="418"/>
      <x:c r="K25" s="418"/>
      <x:c r="L25" s="418"/>
      <x:c r="M25" s="418"/>
      <x:c r="N25" s="418"/>
      <x:c r="O25" s="418"/>
      <x:c r="P25" s="418"/>
      <x:c r="Q25" s="418"/>
      <x:c r="R25" s="418"/>
      <x:c r="S25" s="418"/>
      <x:c r="T25" s="418"/>
      <x:c r="U25" s="418"/>
      <x:c r="V25" s="418"/>
      <x:c r="W25" s="418"/>
      <x:c r="X25" s="418"/>
      <x:c r="Y25" s="418"/>
      <x:c r="Z25" s="418"/>
    </x:row>
    <x:row r="26">
      <x:c r="A26" s="418"/>
      <x:c r="B26" s="418"/>
      <x:c r="C26" s="418"/>
      <x:c r="D26" s="418"/>
      <x:c r="E26" s="418"/>
      <x:c r="F26" s="418"/>
      <x:c r="G26" s="418"/>
      <x:c r="H26" s="418"/>
      <x:c r="I26" s="418"/>
      <x:c r="J26" s="418"/>
      <x:c r="K26" s="418"/>
      <x:c r="L26" s="418"/>
      <x:c r="M26" s="418"/>
      <x:c r="N26" s="418"/>
      <x:c r="O26" s="418"/>
      <x:c r="P26" s="418"/>
      <x:c r="Q26" s="418"/>
      <x:c r="R26" s="418"/>
      <x:c r="S26" s="418"/>
      <x:c r="T26" s="418"/>
      <x:c r="U26" s="418"/>
      <x:c r="V26" s="418"/>
      <x:c r="W26" s="418"/>
      <x:c r="X26" s="418"/>
      <x:c r="Y26" s="418"/>
      <x:c r="Z26" s="418"/>
    </x:row>
    <x:row r="27">
      <x:c r="A27" s="418"/>
      <x:c r="B27" s="418"/>
      <x:c r="C27" s="418"/>
      <x:c r="D27" s="418"/>
      <x:c r="E27" s="418"/>
      <x:c r="F27" s="418"/>
      <x:c r="G27" s="418"/>
      <x:c r="H27" s="418"/>
      <x:c r="I27" s="418"/>
      <x:c r="J27" s="418"/>
      <x:c r="K27" s="418"/>
      <x:c r="L27" s="418"/>
      <x:c r="M27" s="418"/>
      <x:c r="N27" s="418"/>
      <x:c r="O27" s="418"/>
      <x:c r="P27" s="418"/>
      <x:c r="Q27" s="418"/>
      <x:c r="R27" s="418"/>
      <x:c r="S27" s="418"/>
      <x:c r="T27" s="418"/>
      <x:c r="U27" s="418"/>
      <x:c r="V27" s="418"/>
      <x:c r="W27" s="418"/>
      <x:c r="X27" s="418"/>
      <x:c r="Y27" s="418"/>
      <x:c r="Z27" s="418"/>
    </x:row>
    <x:row r="28">
      <x:c r="A28" s="418"/>
      <x:c r="B28" s="418"/>
      <x:c r="C28" s="418"/>
      <x:c r="D28" s="418"/>
      <x:c r="E28" s="418"/>
      <x:c r="F28" s="418"/>
      <x:c r="G28" s="418"/>
      <x:c r="H28" s="418"/>
      <x:c r="I28" s="418"/>
      <x:c r="J28" s="418"/>
      <x:c r="K28" s="418"/>
      <x:c r="L28" s="418"/>
      <x:c r="M28" s="418"/>
      <x:c r="N28" s="418"/>
      <x:c r="O28" s="418"/>
      <x:c r="P28" s="418"/>
      <x:c r="Q28" s="418"/>
      <x:c r="R28" s="418"/>
      <x:c r="S28" s="418"/>
      <x:c r="T28" s="418"/>
      <x:c r="U28" s="418"/>
      <x:c r="V28" s="418"/>
      <x:c r="W28" s="418"/>
      <x:c r="X28" s="418"/>
      <x:c r="Y28" s="418"/>
      <x:c r="Z28" s="418"/>
    </x:row>
    <x:row r="29">
      <x:c r="A29" s="418"/>
      <x:c r="B29" s="418"/>
      <x:c r="C29" s="418"/>
      <x:c r="D29" s="418"/>
      <x:c r="E29" s="418"/>
      <x:c r="F29" s="418"/>
      <x:c r="G29" s="418"/>
      <x:c r="H29" s="418"/>
      <x:c r="I29" s="418"/>
      <x:c r="J29" s="418"/>
      <x:c r="K29" s="418"/>
      <x:c r="L29" s="418"/>
      <x:c r="M29" s="418"/>
      <x:c r="N29" s="418"/>
      <x:c r="O29" s="418"/>
      <x:c r="P29" s="418"/>
      <x:c r="Q29" s="418"/>
      <x:c r="R29" s="418"/>
      <x:c r="S29" s="418"/>
      <x:c r="T29" s="418"/>
      <x:c r="U29" s="418"/>
      <x:c r="V29" s="418"/>
      <x:c r="W29" s="418"/>
      <x:c r="X29" s="418"/>
      <x:c r="Y29" s="418"/>
      <x:c r="Z29" s="418"/>
    </x:row>
    <x:row r="30">
      <x:c r="A30" s="418"/>
      <x:c r="B30" s="418"/>
      <x:c r="C30" s="418"/>
      <x:c r="D30" s="418"/>
      <x:c r="E30" s="418"/>
      <x:c r="F30" s="418"/>
      <x:c r="G30" s="418"/>
      <x:c r="H30" s="418"/>
      <x:c r="I30" s="418"/>
      <x:c r="J30" s="418"/>
      <x:c r="K30" s="418"/>
      <x:c r="L30" s="418"/>
      <x:c r="M30" s="418"/>
      <x:c r="N30" s="418"/>
      <x:c r="O30" s="418"/>
      <x:c r="P30" s="418"/>
      <x:c r="Q30" s="418"/>
      <x:c r="R30" s="418"/>
      <x:c r="S30" s="418"/>
      <x:c r="T30" s="418"/>
      <x:c r="U30" s="418"/>
      <x:c r="V30" s="418"/>
      <x:c r="W30" s="418"/>
      <x:c r="X30" s="418"/>
      <x:c r="Y30" s="418"/>
      <x:c r="Z30" s="418"/>
    </x:row>
    <x:row r="31">
      <x:c r="A31" s="418"/>
      <x:c r="B31" s="418"/>
      <x:c r="C31" s="418"/>
      <x:c r="D31" s="418"/>
      <x:c r="E31" s="418"/>
      <x:c r="F31" s="418"/>
      <x:c r="G31" s="418"/>
      <x:c r="H31" s="418"/>
      <x:c r="I31" s="418"/>
      <x:c r="J31" s="418"/>
      <x:c r="K31" s="418"/>
      <x:c r="L31" s="418"/>
      <x:c r="M31" s="418"/>
      <x:c r="N31" s="418"/>
      <x:c r="O31" s="418"/>
      <x:c r="P31" s="418"/>
      <x:c r="Q31" s="418"/>
      <x:c r="R31" s="418"/>
      <x:c r="S31" s="418"/>
      <x:c r="T31" s="418"/>
      <x:c r="U31" s="418"/>
      <x:c r="V31" s="418"/>
      <x:c r="W31" s="418"/>
      <x:c r="X31" s="418"/>
      <x:c r="Y31" s="418"/>
      <x:c r="Z31" s="418"/>
    </x:row>
    <x:row r="32">
      <x:c r="A32" s="418"/>
      <x:c r="B32" s="418"/>
      <x:c r="C32" s="418"/>
      <x:c r="D32" s="418"/>
      <x:c r="E32" s="418"/>
      <x:c r="F32" s="418"/>
      <x:c r="G32" s="418"/>
      <x:c r="H32" s="418"/>
      <x:c r="I32" s="418"/>
      <x:c r="J32" s="418"/>
      <x:c r="K32" s="418"/>
      <x:c r="L32" s="418"/>
      <x:c r="M32" s="418"/>
      <x:c r="N32" s="418"/>
      <x:c r="O32" s="418"/>
      <x:c r="P32" s="418"/>
      <x:c r="Q32" s="418"/>
      <x:c r="R32" s="418"/>
      <x:c r="S32" s="418"/>
      <x:c r="T32" s="418"/>
      <x:c r="U32" s="418"/>
      <x:c r="V32" s="418"/>
      <x:c r="W32" s="418"/>
      <x:c r="X32" s="418"/>
      <x:c r="Y32" s="418"/>
      <x:c r="Z32" s="418"/>
    </x:row>
    <x:row r="33">
      <x:c r="A33" s="418"/>
      <x:c r="B33" s="418"/>
      <x:c r="C33" s="418"/>
      <x:c r="D33" s="418"/>
      <x:c r="E33" s="418"/>
      <x:c r="F33" s="418"/>
      <x:c r="G33" s="418"/>
      <x:c r="H33" s="418"/>
      <x:c r="I33" s="418"/>
      <x:c r="J33" s="418"/>
      <x:c r="K33" s="418"/>
      <x:c r="L33" s="418"/>
      <x:c r="M33" s="418"/>
      <x:c r="N33" s="418"/>
      <x:c r="O33" s="418"/>
      <x:c r="P33" s="418"/>
      <x:c r="Q33" s="418"/>
      <x:c r="R33" s="418"/>
      <x:c r="S33" s="418"/>
      <x:c r="T33" s="418"/>
      <x:c r="U33" s="418"/>
      <x:c r="V33" s="418"/>
      <x:c r="W33" s="418"/>
      <x:c r="X33" s="418"/>
      <x:c r="Y33" s="418"/>
      <x:c r="Z33" s="418"/>
    </x:row>
    <x:row r="34">
      <x:c r="A34" s="418"/>
      <x:c r="B34" s="418"/>
      <x:c r="C34" s="418"/>
      <x:c r="D34" s="418"/>
      <x:c r="E34" s="418"/>
      <x:c r="F34" s="418"/>
      <x:c r="G34" s="418"/>
      <x:c r="H34" s="418"/>
      <x:c r="I34" s="418"/>
      <x:c r="J34" s="418"/>
      <x:c r="K34" s="418"/>
      <x:c r="L34" s="418"/>
      <x:c r="M34" s="418"/>
      <x:c r="N34" s="418"/>
      <x:c r="O34" s="418"/>
      <x:c r="P34" s="418"/>
      <x:c r="Q34" s="418"/>
      <x:c r="R34" s="418"/>
      <x:c r="S34" s="418"/>
      <x:c r="T34" s="418"/>
      <x:c r="U34" s="418"/>
      <x:c r="V34" s="418"/>
      <x:c r="W34" s="418"/>
      <x:c r="X34" s="418"/>
      <x:c r="Y34" s="418"/>
      <x:c r="Z34" s="418"/>
    </x:row>
    <x:row r="35">
      <x:c r="A35" s="418"/>
      <x:c r="B35" s="418"/>
      <x:c r="C35" s="418"/>
      <x:c r="D35" s="418"/>
      <x:c r="E35" s="418"/>
      <x:c r="F35" s="418"/>
      <x:c r="G35" s="418"/>
      <x:c r="H35" s="418"/>
      <x:c r="I35" s="418"/>
      <x:c r="J35" s="418"/>
      <x:c r="K35" s="418"/>
      <x:c r="L35" s="418"/>
      <x:c r="M35" s="418"/>
      <x:c r="N35" s="418"/>
      <x:c r="O35" s="418"/>
      <x:c r="P35" s="418"/>
      <x:c r="Q35" s="418"/>
      <x:c r="R35" s="418"/>
      <x:c r="S35" s="418"/>
      <x:c r="T35" s="418"/>
      <x:c r="U35" s="418"/>
      <x:c r="V35" s="418"/>
      <x:c r="W35" s="418"/>
      <x:c r="X35" s="418"/>
      <x:c r="Y35" s="418"/>
      <x:c r="Z35" s="418"/>
    </x:row>
    <x:row r="36">
      <x:c r="A36" s="418"/>
      <x:c r="B36" s="418"/>
      <x:c r="C36" s="418"/>
      <x:c r="D36" s="418"/>
      <x:c r="E36" s="418"/>
      <x:c r="F36" s="418"/>
      <x:c r="G36" s="418"/>
      <x:c r="H36" s="418"/>
      <x:c r="I36" s="418"/>
      <x:c r="J36" s="418"/>
      <x:c r="K36" s="418"/>
      <x:c r="L36" s="418"/>
      <x:c r="M36" s="418"/>
      <x:c r="N36" s="418"/>
      <x:c r="O36" s="418"/>
      <x:c r="P36" s="418"/>
      <x:c r="Q36" s="418"/>
      <x:c r="R36" s="418"/>
      <x:c r="S36" s="418"/>
      <x:c r="T36" s="418"/>
      <x:c r="U36" s="418"/>
      <x:c r="V36" s="418"/>
      <x:c r="W36" s="418"/>
      <x:c r="X36" s="418"/>
      <x:c r="Y36" s="418"/>
      <x:c r="Z36" s="418"/>
    </x:row>
    <x:row r="37">
      <x:c r="A37" s="418"/>
      <x:c r="B37" s="418"/>
      <x:c r="C37" s="418"/>
      <x:c r="D37" s="418"/>
      <x:c r="E37" s="418"/>
      <x:c r="F37" s="418"/>
      <x:c r="G37" s="418"/>
      <x:c r="H37" s="418"/>
      <x:c r="I37" s="418"/>
      <x:c r="J37" s="418"/>
      <x:c r="K37" s="418"/>
      <x:c r="L37" s="418"/>
      <x:c r="M37" s="418"/>
      <x:c r="N37" s="418"/>
      <x:c r="O37" s="418"/>
      <x:c r="P37" s="418"/>
      <x:c r="Q37" s="418"/>
      <x:c r="R37" s="418"/>
      <x:c r="S37" s="418"/>
      <x:c r="T37" s="418"/>
      <x:c r="U37" s="418"/>
      <x:c r="V37" s="418"/>
      <x:c r="W37" s="418"/>
      <x:c r="X37" s="418"/>
      <x:c r="Y37" s="418"/>
      <x:c r="Z37" s="418"/>
    </x:row>
    <x:row r="38">
      <x:c r="A38" s="418"/>
      <x:c r="B38" s="418"/>
      <x:c r="C38" s="418"/>
      <x:c r="D38" s="418"/>
      <x:c r="E38" s="418"/>
      <x:c r="F38" s="418"/>
      <x:c r="G38" s="418"/>
      <x:c r="H38" s="418"/>
      <x:c r="I38" s="418"/>
      <x:c r="J38" s="418"/>
      <x:c r="K38" s="418"/>
      <x:c r="L38" s="418"/>
      <x:c r="M38" s="418"/>
      <x:c r="N38" s="418"/>
      <x:c r="O38" s="418"/>
      <x:c r="P38" s="418"/>
      <x:c r="Q38" s="418"/>
      <x:c r="R38" s="418"/>
      <x:c r="S38" s="418"/>
      <x:c r="T38" s="418"/>
      <x:c r="U38" s="418"/>
      <x:c r="V38" s="418"/>
      <x:c r="W38" s="418"/>
      <x:c r="X38" s="418"/>
      <x:c r="Y38" s="418"/>
      <x:c r="Z38" s="418"/>
    </x:row>
    <x:row r="39">
      <x:c r="A39" s="418"/>
      <x:c r="B39" s="418"/>
      <x:c r="C39" s="418"/>
      <x:c r="D39" s="418"/>
      <x:c r="E39" s="418"/>
      <x:c r="F39" s="418"/>
      <x:c r="G39" s="418"/>
      <x:c r="H39" s="418"/>
      <x:c r="I39" s="418"/>
      <x:c r="J39" s="418"/>
      <x:c r="K39" s="418"/>
      <x:c r="L39" s="418"/>
      <x:c r="M39" s="418"/>
      <x:c r="N39" s="418"/>
      <x:c r="O39" s="418"/>
      <x:c r="P39" s="418"/>
      <x:c r="Q39" s="418"/>
      <x:c r="R39" s="418"/>
      <x:c r="S39" s="418"/>
      <x:c r="T39" s="418"/>
      <x:c r="U39" s="418"/>
      <x:c r="V39" s="418"/>
      <x:c r="W39" s="418"/>
      <x:c r="X39" s="418"/>
      <x:c r="Y39" s="418"/>
      <x:c r="Z39" s="418"/>
    </x:row>
    <x:row r="40">
      <x:c r="A40" s="418"/>
      <x:c r="B40" s="418"/>
      <x:c r="C40" s="418"/>
      <x:c r="D40" s="418"/>
      <x:c r="E40" s="418"/>
      <x:c r="F40" s="418"/>
      <x:c r="G40" s="418"/>
      <x:c r="H40" s="418"/>
      <x:c r="I40" s="418"/>
      <x:c r="J40" s="418"/>
      <x:c r="K40" s="418"/>
      <x:c r="L40" s="418"/>
      <x:c r="M40" s="418"/>
      <x:c r="N40" s="418"/>
      <x:c r="O40" s="418"/>
      <x:c r="P40" s="418"/>
      <x:c r="Q40" s="418"/>
      <x:c r="R40" s="418"/>
      <x:c r="S40" s="418"/>
      <x:c r="T40" s="418"/>
      <x:c r="U40" s="418"/>
      <x:c r="V40" s="418"/>
      <x:c r="W40" s="418"/>
      <x:c r="X40" s="418"/>
      <x:c r="Y40" s="418"/>
      <x:c r="Z40" s="418"/>
    </x:row>
    <x:row r="41">
      <x:c r="A41" s="418"/>
      <x:c r="B41" s="418"/>
      <x:c r="C41" s="418"/>
      <x:c r="D41" s="418"/>
      <x:c r="E41" s="418"/>
      <x:c r="F41" s="418"/>
      <x:c r="G41" s="418"/>
      <x:c r="H41" s="418"/>
      <x:c r="I41" s="418"/>
      <x:c r="J41" s="418"/>
      <x:c r="K41" s="418"/>
      <x:c r="L41" s="418"/>
      <x:c r="M41" s="418"/>
      <x:c r="N41" s="418"/>
      <x:c r="O41" s="418"/>
      <x:c r="P41" s="418"/>
      <x:c r="Q41" s="418"/>
      <x:c r="R41" s="418"/>
      <x:c r="S41" s="418"/>
      <x:c r="T41" s="418"/>
      <x:c r="U41" s="418"/>
      <x:c r="V41" s="418"/>
      <x:c r="W41" s="418"/>
      <x:c r="X41" s="418"/>
      <x:c r="Y41" s="418"/>
      <x:c r="Z41" s="418"/>
    </x:row>
    <x:row r="42">
      <x:c r="A42" s="418"/>
      <x:c r="B42" s="418"/>
      <x:c r="C42" s="418"/>
      <x:c r="D42" s="418"/>
      <x:c r="E42" s="418"/>
      <x:c r="F42" s="418"/>
      <x:c r="G42" s="418"/>
      <x:c r="H42" s="418"/>
      <x:c r="I42" s="418"/>
      <x:c r="J42" s="418"/>
      <x:c r="K42" s="418"/>
      <x:c r="L42" s="418"/>
      <x:c r="M42" s="418"/>
      <x:c r="N42" s="418"/>
      <x:c r="O42" s="418"/>
      <x:c r="P42" s="418"/>
      <x:c r="Q42" s="418"/>
      <x:c r="R42" s="418"/>
      <x:c r="S42" s="418"/>
      <x:c r="T42" s="418"/>
      <x:c r="U42" s="418"/>
      <x:c r="V42" s="418"/>
      <x:c r="W42" s="418"/>
      <x:c r="X42" s="418"/>
      <x:c r="Y42" s="418"/>
      <x:c r="Z42" s="418"/>
    </x:row>
    <x:row r="43">
      <x:c r="A43" s="418"/>
      <x:c r="B43" s="418"/>
      <x:c r="C43" s="418"/>
      <x:c r="D43" s="418"/>
      <x:c r="E43" s="418"/>
      <x:c r="F43" s="418"/>
      <x:c r="G43" s="418"/>
      <x:c r="H43" s="418"/>
      <x:c r="I43" s="418"/>
      <x:c r="J43" s="418"/>
      <x:c r="K43" s="418"/>
      <x:c r="L43" s="418"/>
      <x:c r="M43" s="418"/>
      <x:c r="N43" s="418"/>
      <x:c r="O43" s="418"/>
      <x:c r="P43" s="418"/>
      <x:c r="Q43" s="418"/>
      <x:c r="R43" s="418"/>
      <x:c r="S43" s="418"/>
      <x:c r="T43" s="418"/>
      <x:c r="U43" s="418"/>
      <x:c r="V43" s="418"/>
      <x:c r="W43" s="418"/>
      <x:c r="X43" s="418"/>
      <x:c r="Y43" s="418"/>
      <x:c r="Z43" s="418"/>
    </x:row>
    <x:row r="44">
      <x:c r="A44" s="418"/>
      <x:c r="B44" s="418"/>
      <x:c r="C44" s="418"/>
      <x:c r="D44" s="418"/>
      <x:c r="E44" s="418"/>
      <x:c r="F44" s="418"/>
      <x:c r="G44" s="418"/>
      <x:c r="H44" s="418"/>
      <x:c r="I44" s="418"/>
      <x:c r="J44" s="418"/>
      <x:c r="K44" s="418"/>
      <x:c r="L44" s="418"/>
      <x:c r="M44" s="418"/>
      <x:c r="N44" s="418"/>
      <x:c r="O44" s="418"/>
      <x:c r="P44" s="418"/>
      <x:c r="Q44" s="418"/>
      <x:c r="R44" s="418"/>
      <x:c r="S44" s="418"/>
      <x:c r="T44" s="418"/>
      <x:c r="U44" s="418"/>
      <x:c r="V44" s="418"/>
      <x:c r="W44" s="418"/>
      <x:c r="X44" s="418"/>
      <x:c r="Y44" s="418"/>
      <x:c r="Z44" s="418"/>
    </x:row>
    <x:row r="45">
      <x:c r="A45" s="418"/>
      <x:c r="B45" s="418"/>
      <x:c r="C45" s="418"/>
      <x:c r="D45" s="418"/>
      <x:c r="E45" s="418"/>
      <x:c r="F45" s="418"/>
      <x:c r="G45" s="418"/>
      <x:c r="H45" s="418"/>
      <x:c r="I45" s="418"/>
      <x:c r="J45" s="418"/>
      <x:c r="K45" s="418"/>
      <x:c r="L45" s="418"/>
      <x:c r="M45" s="418"/>
      <x:c r="N45" s="418"/>
      <x:c r="O45" s="418"/>
      <x:c r="P45" s="418"/>
      <x:c r="Q45" s="418"/>
      <x:c r="R45" s="418"/>
      <x:c r="S45" s="418"/>
      <x:c r="T45" s="418"/>
      <x:c r="U45" s="418"/>
      <x:c r="V45" s="418"/>
      <x:c r="W45" s="418"/>
      <x:c r="X45" s="418"/>
      <x:c r="Y45" s="418"/>
      <x:c r="Z45" s="418"/>
    </x:row>
    <x:row r="46">
      <x:c r="A46" s="418"/>
      <x:c r="B46" s="418"/>
      <x:c r="C46" s="418"/>
      <x:c r="D46" s="418"/>
      <x:c r="E46" s="418"/>
      <x:c r="F46" s="418"/>
      <x:c r="G46" s="418"/>
      <x:c r="H46" s="418"/>
      <x:c r="I46" s="418"/>
      <x:c r="J46" s="418"/>
      <x:c r="K46" s="418"/>
      <x:c r="L46" s="418"/>
      <x:c r="M46" s="418"/>
      <x:c r="N46" s="418"/>
      <x:c r="O46" s="418"/>
      <x:c r="P46" s="418"/>
      <x:c r="Q46" s="418"/>
      <x:c r="R46" s="418"/>
      <x:c r="S46" s="418"/>
      <x:c r="T46" s="418"/>
      <x:c r="U46" s="418"/>
      <x:c r="V46" s="418"/>
      <x:c r="W46" s="418"/>
      <x:c r="X46" s="418"/>
      <x:c r="Y46" s="418"/>
      <x:c r="Z46" s="418"/>
    </x:row>
    <x:row r="47">
      <x:c r="A47" s="418"/>
      <x:c r="B47" s="418"/>
      <x:c r="C47" s="418"/>
      <x:c r="D47" s="418"/>
      <x:c r="E47" s="418"/>
      <x:c r="F47" s="418"/>
      <x:c r="G47" s="418"/>
      <x:c r="H47" s="418"/>
      <x:c r="I47" s="418"/>
      <x:c r="J47" s="418"/>
      <x:c r="K47" s="418"/>
      <x:c r="L47" s="418"/>
      <x:c r="M47" s="418"/>
      <x:c r="N47" s="418"/>
      <x:c r="O47" s="418"/>
      <x:c r="P47" s="418"/>
      <x:c r="Q47" s="418"/>
      <x:c r="R47" s="418"/>
      <x:c r="S47" s="418"/>
      <x:c r="T47" s="418"/>
      <x:c r="U47" s="418"/>
      <x:c r="V47" s="418"/>
      <x:c r="W47" s="418"/>
      <x:c r="X47" s="418"/>
      <x:c r="Y47" s="418"/>
      <x:c r="Z47" s="418"/>
    </x:row>
    <x:row r="48">
      <x:c r="A48" s="418"/>
      <x:c r="B48" s="418"/>
      <x:c r="C48" s="418"/>
      <x:c r="D48" s="418"/>
      <x:c r="E48" s="418"/>
      <x:c r="F48" s="418"/>
      <x:c r="G48" s="418"/>
      <x:c r="H48" s="418"/>
      <x:c r="I48" s="418"/>
      <x:c r="J48" s="418"/>
      <x:c r="K48" s="418"/>
      <x:c r="L48" s="418"/>
      <x:c r="M48" s="418"/>
      <x:c r="N48" s="418"/>
      <x:c r="O48" s="418"/>
      <x:c r="P48" s="418"/>
      <x:c r="Q48" s="418"/>
      <x:c r="R48" s="418"/>
      <x:c r="S48" s="418"/>
      <x:c r="T48" s="418"/>
      <x:c r="U48" s="418"/>
      <x:c r="V48" s="418"/>
      <x:c r="W48" s="418"/>
      <x:c r="X48" s="418"/>
      <x:c r="Y48" s="418"/>
      <x:c r="Z48" s="418"/>
    </x:row>
    <x:row r="49">
      <x:c r="A49" s="418"/>
      <x:c r="B49" s="418"/>
      <x:c r="C49" s="418"/>
      <x:c r="D49" s="418"/>
      <x:c r="E49" s="418"/>
      <x:c r="F49" s="418"/>
      <x:c r="G49" s="418"/>
      <x:c r="H49" s="418"/>
      <x:c r="I49" s="418"/>
      <x:c r="J49" s="418"/>
      <x:c r="K49" s="418"/>
      <x:c r="L49" s="418"/>
      <x:c r="M49" s="418"/>
      <x:c r="N49" s="418"/>
      <x:c r="O49" s="418"/>
      <x:c r="P49" s="418"/>
      <x:c r="Q49" s="418"/>
      <x:c r="R49" s="418"/>
      <x:c r="S49" s="418"/>
      <x:c r="T49" s="418"/>
      <x:c r="U49" s="418"/>
      <x:c r="V49" s="418"/>
      <x:c r="W49" s="418"/>
      <x:c r="X49" s="418"/>
      <x:c r="Y49" s="418"/>
      <x:c r="Z49" s="418"/>
    </x:row>
    <x:row r="50">
      <x:c r="A50" s="418"/>
      <x:c r="B50" s="418"/>
      <x:c r="C50" s="418"/>
      <x:c r="D50" s="418"/>
      <x:c r="E50" s="418"/>
      <x:c r="F50" s="418"/>
      <x:c r="G50" s="418"/>
      <x:c r="H50" s="418"/>
      <x:c r="I50" s="418"/>
      <x:c r="J50" s="418"/>
      <x:c r="K50" s="418"/>
      <x:c r="L50" s="418"/>
      <x:c r="M50" s="418"/>
      <x:c r="N50" s="418"/>
      <x:c r="O50" s="418"/>
      <x:c r="P50" s="418"/>
      <x:c r="Q50" s="418"/>
      <x:c r="R50" s="418"/>
      <x:c r="S50" s="418"/>
      <x:c r="T50" s="418"/>
      <x:c r="U50" s="418"/>
      <x:c r="V50" s="418"/>
      <x:c r="W50" s="418"/>
      <x:c r="X50" s="418"/>
      <x:c r="Y50" s="418"/>
      <x:c r="Z50" s="418"/>
    </x:row>
    <x:row r="51">
      <x:c r="A51" s="418"/>
      <x:c r="B51" s="418"/>
      <x:c r="C51" s="418"/>
      <x:c r="D51" s="418"/>
      <x:c r="E51" s="418"/>
      <x:c r="F51" s="418"/>
      <x:c r="G51" s="418"/>
      <x:c r="H51" s="418"/>
      <x:c r="I51" s="418"/>
      <x:c r="J51" s="418"/>
      <x:c r="K51" s="418"/>
      <x:c r="L51" s="418"/>
      <x:c r="M51" s="418"/>
      <x:c r="N51" s="418"/>
      <x:c r="O51" s="418"/>
      <x:c r="P51" s="418"/>
      <x:c r="Q51" s="418"/>
      <x:c r="R51" s="418"/>
      <x:c r="S51" s="418"/>
      <x:c r="T51" s="418"/>
      <x:c r="U51" s="418"/>
      <x:c r="V51" s="418"/>
      <x:c r="W51" s="418"/>
      <x:c r="X51" s="418"/>
      <x:c r="Y51" s="418"/>
      <x:c r="Z51" s="418"/>
    </x:row>
    <x:row r="52">
      <x:c r="A52" s="418"/>
      <x:c r="B52" s="418"/>
      <x:c r="C52" s="418"/>
      <x:c r="D52" s="418"/>
      <x:c r="E52" s="418"/>
      <x:c r="F52" s="418"/>
      <x:c r="G52" s="418"/>
      <x:c r="H52" s="418"/>
      <x:c r="I52" s="418"/>
      <x:c r="J52" s="418"/>
      <x:c r="K52" s="418"/>
      <x:c r="L52" s="418"/>
      <x:c r="M52" s="418"/>
      <x:c r="N52" s="418"/>
      <x:c r="O52" s="418"/>
      <x:c r="P52" s="418"/>
      <x:c r="Q52" s="418"/>
      <x:c r="R52" s="418"/>
      <x:c r="S52" s="418"/>
      <x:c r="T52" s="418"/>
      <x:c r="U52" s="418"/>
      <x:c r="V52" s="418"/>
      <x:c r="W52" s="418"/>
      <x:c r="X52" s="418"/>
      <x:c r="Y52" s="418"/>
      <x:c r="Z52" s="418"/>
    </x:row>
    <x:row r="53">
      <x:c r="A53" s="418"/>
      <x:c r="B53" s="418"/>
      <x:c r="C53" s="418"/>
      <x:c r="D53" s="418"/>
      <x:c r="E53" s="418"/>
      <x:c r="F53" s="418"/>
      <x:c r="G53" s="418"/>
      <x:c r="H53" s="418"/>
      <x:c r="I53" s="418"/>
      <x:c r="J53" s="418"/>
      <x:c r="K53" s="418"/>
      <x:c r="L53" s="418"/>
      <x:c r="M53" s="418"/>
      <x:c r="N53" s="418"/>
      <x:c r="O53" s="418"/>
      <x:c r="P53" s="418"/>
      <x:c r="Q53" s="418"/>
      <x:c r="R53" s="418"/>
      <x:c r="S53" s="418"/>
      <x:c r="T53" s="418"/>
      <x:c r="U53" s="418"/>
      <x:c r="V53" s="418"/>
      <x:c r="W53" s="418"/>
      <x:c r="X53" s="418"/>
      <x:c r="Y53" s="418"/>
      <x:c r="Z53" s="418"/>
    </x:row>
    <x:row r="54">
      <x:c r="A54" s="418"/>
      <x:c r="B54" s="418"/>
      <x:c r="C54" s="418"/>
      <x:c r="D54" s="418"/>
      <x:c r="E54" s="418"/>
      <x:c r="F54" s="418"/>
      <x:c r="G54" s="418"/>
      <x:c r="H54" s="418"/>
      <x:c r="I54" s="418"/>
      <x:c r="J54" s="418"/>
      <x:c r="K54" s="418"/>
      <x:c r="L54" s="418"/>
      <x:c r="M54" s="418"/>
      <x:c r="N54" s="418"/>
      <x:c r="O54" s="418"/>
      <x:c r="P54" s="418"/>
      <x:c r="Q54" s="418"/>
      <x:c r="R54" s="418"/>
      <x:c r="S54" s="418"/>
      <x:c r="T54" s="418"/>
      <x:c r="U54" s="418"/>
      <x:c r="V54" s="418"/>
      <x:c r="W54" s="418"/>
      <x:c r="X54" s="418"/>
      <x:c r="Y54" s="418"/>
      <x:c r="Z54" s="418"/>
    </x:row>
    <x:row r="55">
      <x:c r="A55" s="418"/>
      <x:c r="B55" s="418"/>
      <x:c r="C55" s="418"/>
      <x:c r="D55" s="418"/>
      <x:c r="E55" s="418"/>
      <x:c r="F55" s="418"/>
      <x:c r="G55" s="418"/>
      <x:c r="H55" s="418"/>
      <x:c r="I55" s="418"/>
      <x:c r="J55" s="418"/>
      <x:c r="K55" s="418"/>
      <x:c r="L55" s="418"/>
      <x:c r="M55" s="418"/>
      <x:c r="N55" s="418"/>
      <x:c r="O55" s="418"/>
      <x:c r="P55" s="418"/>
      <x:c r="Q55" s="418"/>
      <x:c r="R55" s="418"/>
      <x:c r="S55" s="418"/>
      <x:c r="T55" s="418"/>
      <x:c r="U55" s="418"/>
      <x:c r="V55" s="418"/>
      <x:c r="W55" s="418"/>
      <x:c r="X55" s="418"/>
      <x:c r="Y55" s="418"/>
      <x:c r="Z55" s="418"/>
    </x:row>
    <x:row r="56">
      <x:c r="A56" s="418"/>
      <x:c r="B56" s="418"/>
      <x:c r="C56" s="418"/>
      <x:c r="D56" s="418"/>
      <x:c r="E56" s="418"/>
      <x:c r="F56" s="418"/>
      <x:c r="G56" s="418"/>
      <x:c r="H56" s="418"/>
      <x:c r="I56" s="418"/>
      <x:c r="J56" s="418"/>
      <x:c r="K56" s="418"/>
      <x:c r="L56" s="418"/>
      <x:c r="M56" s="418"/>
      <x:c r="N56" s="418"/>
      <x:c r="O56" s="418"/>
      <x:c r="P56" s="418"/>
      <x:c r="Q56" s="418"/>
      <x:c r="R56" s="418"/>
      <x:c r="S56" s="418"/>
      <x:c r="T56" s="418"/>
      <x:c r="U56" s="418"/>
      <x:c r="V56" s="418"/>
      <x:c r="W56" s="418"/>
      <x:c r="X56" s="418"/>
      <x:c r="Y56" s="418"/>
      <x:c r="Z56" s="418"/>
    </x:row>
    <x:row r="57">
      <x:c r="A57" s="418"/>
      <x:c r="B57" s="418"/>
      <x:c r="C57" s="418"/>
      <x:c r="D57" s="418"/>
      <x:c r="E57" s="418"/>
      <x:c r="F57" s="418"/>
      <x:c r="G57" s="418"/>
      <x:c r="H57" s="418"/>
      <x:c r="I57" s="418"/>
      <x:c r="J57" s="418"/>
      <x:c r="K57" s="418"/>
      <x:c r="L57" s="418"/>
      <x:c r="M57" s="418"/>
      <x:c r="N57" s="418"/>
      <x:c r="O57" s="418"/>
      <x:c r="P57" s="418"/>
      <x:c r="Q57" s="418"/>
      <x:c r="R57" s="418"/>
      <x:c r="S57" s="418"/>
      <x:c r="T57" s="418"/>
      <x:c r="U57" s="418"/>
      <x:c r="V57" s="418"/>
      <x:c r="W57" s="418"/>
      <x:c r="X57" s="418"/>
      <x:c r="Y57" s="418"/>
      <x:c r="Z57" s="418"/>
    </x:row>
    <x:row r="58">
      <x:c r="A58" s="418"/>
      <x:c r="B58" s="418"/>
      <x:c r="C58" s="418"/>
      <x:c r="D58" s="418"/>
      <x:c r="E58" s="418"/>
      <x:c r="F58" s="418"/>
      <x:c r="G58" s="418"/>
      <x:c r="H58" s="418"/>
      <x:c r="I58" s="418"/>
      <x:c r="J58" s="418"/>
      <x:c r="K58" s="418"/>
      <x:c r="L58" s="418"/>
      <x:c r="M58" s="418"/>
      <x:c r="N58" s="418"/>
      <x:c r="O58" s="418"/>
      <x:c r="P58" s="418"/>
      <x:c r="Q58" s="418"/>
      <x:c r="R58" s="418"/>
      <x:c r="S58" s="418"/>
      <x:c r="T58" s="418"/>
      <x:c r="U58" s="418"/>
      <x:c r="V58" s="418"/>
      <x:c r="W58" s="418"/>
      <x:c r="X58" s="418"/>
      <x:c r="Y58" s="418"/>
      <x:c r="Z58" s="418"/>
    </x:row>
    <x:row r="59">
      <x:c r="A59" s="418"/>
      <x:c r="B59" s="418"/>
      <x:c r="C59" s="418"/>
      <x:c r="D59" s="418"/>
      <x:c r="E59" s="418"/>
      <x:c r="F59" s="418"/>
      <x:c r="G59" s="418"/>
      <x:c r="H59" s="418"/>
      <x:c r="I59" s="418"/>
      <x:c r="J59" s="418"/>
      <x:c r="K59" s="418"/>
      <x:c r="L59" s="418"/>
      <x:c r="M59" s="418"/>
      <x:c r="N59" s="418"/>
      <x:c r="O59" s="418"/>
      <x:c r="P59" s="418"/>
      <x:c r="Q59" s="418"/>
      <x:c r="R59" s="418"/>
      <x:c r="S59" s="418"/>
      <x:c r="T59" s="418"/>
      <x:c r="U59" s="418"/>
      <x:c r="V59" s="418"/>
      <x:c r="W59" s="418"/>
      <x:c r="X59" s="418"/>
      <x:c r="Y59" s="418"/>
      <x:c r="Z59" s="418"/>
    </x:row>
    <x:row r="60">
      <x:c r="A60" s="418"/>
      <x:c r="B60" s="418"/>
      <x:c r="C60" s="418"/>
      <x:c r="D60" s="418"/>
      <x:c r="E60" s="418"/>
      <x:c r="F60" s="418"/>
      <x:c r="G60" s="418"/>
      <x:c r="H60" s="418"/>
      <x:c r="I60" s="418"/>
      <x:c r="J60" s="418"/>
      <x:c r="K60" s="418"/>
      <x:c r="L60" s="418"/>
      <x:c r="M60" s="418"/>
      <x:c r="N60" s="418"/>
      <x:c r="O60" s="418"/>
      <x:c r="P60" s="418"/>
      <x:c r="Q60" s="418"/>
      <x:c r="R60" s="418"/>
      <x:c r="S60" s="418"/>
      <x:c r="T60" s="418"/>
      <x:c r="U60" s="418"/>
      <x:c r="V60" s="418"/>
      <x:c r="W60" s="418"/>
      <x:c r="X60" s="418"/>
      <x:c r="Y60" s="418"/>
      <x:c r="Z60" s="418"/>
    </x:row>
    <x:row r="61">
      <x:c r="A61" s="418"/>
      <x:c r="B61" s="418"/>
      <x:c r="C61" s="418"/>
      <x:c r="D61" s="418"/>
      <x:c r="E61" s="418"/>
      <x:c r="F61" s="418"/>
      <x:c r="G61" s="418"/>
      <x:c r="H61" s="418"/>
      <x:c r="I61" s="418"/>
      <x:c r="J61" s="418"/>
      <x:c r="K61" s="418"/>
      <x:c r="L61" s="418"/>
      <x:c r="M61" s="418"/>
      <x:c r="N61" s="418"/>
      <x:c r="O61" s="418"/>
      <x:c r="P61" s="418"/>
      <x:c r="Q61" s="418"/>
      <x:c r="R61" s="418"/>
      <x:c r="S61" s="418"/>
      <x:c r="T61" s="418"/>
      <x:c r="U61" s="418"/>
      <x:c r="V61" s="418"/>
      <x:c r="W61" s="418"/>
      <x:c r="X61" s="418"/>
      <x:c r="Y61" s="418"/>
      <x:c r="Z61" s="418"/>
    </x:row>
    <x:row r="62">
      <x:c r="A62" s="418"/>
      <x:c r="B62" s="418"/>
      <x:c r="C62" s="418"/>
      <x:c r="D62" s="418"/>
      <x:c r="E62" s="418"/>
      <x:c r="F62" s="418"/>
      <x:c r="G62" s="418"/>
      <x:c r="H62" s="418"/>
      <x:c r="I62" s="418"/>
      <x:c r="J62" s="418"/>
      <x:c r="K62" s="418"/>
      <x:c r="L62" s="418"/>
      <x:c r="M62" s="418"/>
      <x:c r="N62" s="418"/>
      <x:c r="O62" s="418"/>
      <x:c r="P62" s="418"/>
      <x:c r="Q62" s="418"/>
      <x:c r="R62" s="418"/>
      <x:c r="S62" s="418"/>
      <x:c r="T62" s="418"/>
      <x:c r="U62" s="418"/>
      <x:c r="V62" s="418"/>
      <x:c r="W62" s="418"/>
      <x:c r="X62" s="418"/>
      <x:c r="Y62" s="418"/>
      <x:c r="Z62" s="418"/>
    </x:row>
    <x:row r="63">
      <x:c r="A63" s="418"/>
      <x:c r="B63" s="418"/>
      <x:c r="C63" s="418"/>
      <x:c r="D63" s="418"/>
      <x:c r="E63" s="418"/>
      <x:c r="F63" s="418"/>
      <x:c r="G63" s="418"/>
      <x:c r="H63" s="418"/>
      <x:c r="I63" s="418"/>
      <x:c r="J63" s="418"/>
      <x:c r="K63" s="418"/>
      <x:c r="L63" s="418"/>
      <x:c r="M63" s="418"/>
      <x:c r="N63" s="418"/>
      <x:c r="O63" s="418"/>
      <x:c r="P63" s="418"/>
      <x:c r="Q63" s="418"/>
      <x:c r="R63" s="418"/>
      <x:c r="S63" s="418"/>
      <x:c r="T63" s="418"/>
      <x:c r="U63" s="418"/>
      <x:c r="V63" s="418"/>
      <x:c r="W63" s="418"/>
      <x:c r="X63" s="418"/>
      <x:c r="Y63" s="418"/>
      <x:c r="Z63" s="418"/>
    </x:row>
    <x:row r="64">
      <x:c r="A64" s="418"/>
      <x:c r="B64" s="418"/>
      <x:c r="C64" s="418"/>
      <x:c r="D64" s="418"/>
      <x:c r="E64" s="418"/>
      <x:c r="F64" s="418"/>
      <x:c r="G64" s="418"/>
      <x:c r="H64" s="418"/>
      <x:c r="I64" s="418"/>
      <x:c r="J64" s="418"/>
      <x:c r="K64" s="418"/>
      <x:c r="L64" s="418"/>
      <x:c r="M64" s="418"/>
      <x:c r="N64" s="418"/>
      <x:c r="O64" s="418"/>
      <x:c r="P64" s="418"/>
      <x:c r="Q64" s="418"/>
      <x:c r="R64" s="418"/>
      <x:c r="S64" s="418"/>
      <x:c r="T64" s="418"/>
      <x:c r="U64" s="418"/>
      <x:c r="V64" s="418"/>
      <x:c r="W64" s="418"/>
      <x:c r="X64" s="418"/>
      <x:c r="Y64" s="418"/>
      <x:c r="Z64" s="418"/>
    </x:row>
    <x:row r="65">
      <x:c r="A65" s="418"/>
      <x:c r="B65" s="418"/>
      <x:c r="C65" s="418"/>
      <x:c r="D65" s="418"/>
      <x:c r="E65" s="418"/>
      <x:c r="F65" s="418"/>
      <x:c r="G65" s="418"/>
      <x:c r="H65" s="418"/>
      <x:c r="I65" s="418"/>
      <x:c r="J65" s="418"/>
      <x:c r="K65" s="418"/>
      <x:c r="L65" s="418"/>
      <x:c r="M65" s="418"/>
      <x:c r="N65" s="418"/>
      <x:c r="O65" s="418"/>
      <x:c r="P65" s="418"/>
      <x:c r="Q65" s="418"/>
      <x:c r="R65" s="418"/>
      <x:c r="S65" s="418"/>
      <x:c r="T65" s="418"/>
      <x:c r="U65" s="418"/>
      <x:c r="V65" s="418"/>
      <x:c r="W65" s="418"/>
      <x:c r="X65" s="418"/>
      <x:c r="Y65" s="418"/>
      <x:c r="Z65" s="418"/>
    </x:row>
    <x:row r="66">
      <x:c r="A66" s="418"/>
      <x:c r="B66" s="418"/>
      <x:c r="C66" s="418"/>
      <x:c r="D66" s="418"/>
      <x:c r="E66" s="418"/>
      <x:c r="F66" s="418"/>
      <x:c r="G66" s="418"/>
      <x:c r="H66" s="418"/>
      <x:c r="I66" s="418"/>
      <x:c r="J66" s="418"/>
      <x:c r="K66" s="418"/>
      <x:c r="L66" s="418"/>
      <x:c r="M66" s="418"/>
      <x:c r="N66" s="418"/>
      <x:c r="O66" s="418"/>
      <x:c r="P66" s="418"/>
      <x:c r="Q66" s="418"/>
      <x:c r="R66" s="418"/>
      <x:c r="S66" s="418"/>
      <x:c r="T66" s="418"/>
      <x:c r="U66" s="418"/>
      <x:c r="V66" s="418"/>
      <x:c r="W66" s="418"/>
      <x:c r="X66" s="418"/>
      <x:c r="Y66" s="418"/>
      <x:c r="Z66" s="418"/>
    </x:row>
    <x:row r="67">
      <x:c r="A67" s="418"/>
      <x:c r="B67" s="418"/>
      <x:c r="C67" s="418"/>
      <x:c r="D67" s="418"/>
      <x:c r="E67" s="418"/>
      <x:c r="F67" s="418"/>
      <x:c r="G67" s="418"/>
      <x:c r="H67" s="418"/>
      <x:c r="I67" s="418"/>
      <x:c r="J67" s="418"/>
      <x:c r="K67" s="418"/>
      <x:c r="L67" s="418"/>
      <x:c r="M67" s="418"/>
      <x:c r="N67" s="418"/>
      <x:c r="O67" s="418"/>
      <x:c r="P67" s="418"/>
      <x:c r="Q67" s="418"/>
      <x:c r="R67" s="418"/>
      <x:c r="S67" s="418"/>
      <x:c r="T67" s="418"/>
      <x:c r="U67" s="418"/>
      <x:c r="V67" s="418"/>
      <x:c r="W67" s="418"/>
      <x:c r="X67" s="418"/>
      <x:c r="Y67" s="418"/>
      <x:c r="Z67" s="418"/>
    </x:row>
    <x:row r="68">
      <x:c r="A68" s="418"/>
      <x:c r="B68" s="418"/>
      <x:c r="C68" s="418"/>
      <x:c r="D68" s="418"/>
      <x:c r="E68" s="418"/>
      <x:c r="F68" s="418"/>
      <x:c r="G68" s="418"/>
      <x:c r="H68" s="418"/>
      <x:c r="I68" s="418"/>
      <x:c r="J68" s="418"/>
      <x:c r="K68" s="418"/>
      <x:c r="L68" s="418"/>
      <x:c r="M68" s="418"/>
      <x:c r="N68" s="418"/>
      <x:c r="O68" s="418"/>
      <x:c r="P68" s="418"/>
      <x:c r="Q68" s="418"/>
      <x:c r="R68" s="418"/>
      <x:c r="S68" s="418"/>
      <x:c r="T68" s="418"/>
      <x:c r="U68" s="418"/>
      <x:c r="V68" s="418"/>
      <x:c r="W68" s="418"/>
      <x:c r="X68" s="418"/>
      <x:c r="Y68" s="418"/>
      <x:c r="Z68" s="418"/>
    </x:row>
    <x:row r="69">
      <x:c r="A69" s="418"/>
      <x:c r="B69" s="418"/>
      <x:c r="C69" s="418"/>
      <x:c r="D69" s="418"/>
      <x:c r="E69" s="418"/>
      <x:c r="F69" s="418"/>
      <x:c r="G69" s="418"/>
      <x:c r="H69" s="418"/>
      <x:c r="I69" s="418"/>
      <x:c r="J69" s="418"/>
      <x:c r="K69" s="418"/>
      <x:c r="L69" s="418"/>
      <x:c r="M69" s="418"/>
      <x:c r="N69" s="418"/>
      <x:c r="O69" s="418"/>
      <x:c r="P69" s="418"/>
      <x:c r="Q69" s="418"/>
      <x:c r="R69" s="418"/>
      <x:c r="S69" s="418"/>
      <x:c r="T69" s="418"/>
      <x:c r="U69" s="418"/>
      <x:c r="V69" s="418"/>
      <x:c r="W69" s="418"/>
      <x:c r="X69" s="418"/>
      <x:c r="Y69" s="418"/>
      <x:c r="Z69" s="418"/>
    </x:row>
    <x:row r="70">
      <x:c r="A70" s="418"/>
      <x:c r="B70" s="418"/>
      <x:c r="C70" s="418"/>
      <x:c r="D70" s="418"/>
      <x:c r="E70" s="418"/>
      <x:c r="F70" s="418"/>
      <x:c r="G70" s="418"/>
      <x:c r="H70" s="418"/>
      <x:c r="I70" s="418"/>
      <x:c r="J70" s="418"/>
      <x:c r="K70" s="418"/>
      <x:c r="L70" s="418"/>
      <x:c r="M70" s="418"/>
      <x:c r="N70" s="418"/>
      <x:c r="O70" s="418"/>
      <x:c r="P70" s="418"/>
      <x:c r="Q70" s="418"/>
      <x:c r="R70" s="418"/>
      <x:c r="S70" s="418"/>
      <x:c r="T70" s="418"/>
      <x:c r="U70" s="418"/>
      <x:c r="V70" s="418"/>
      <x:c r="W70" s="418"/>
      <x:c r="X70" s="418"/>
      <x:c r="Y70" s="418"/>
      <x:c r="Z70" s="418"/>
    </x:row>
    <x:row r="71">
      <x:c r="A71" s="418"/>
      <x:c r="B71" s="418"/>
      <x:c r="C71" s="418"/>
      <x:c r="D71" s="418"/>
      <x:c r="E71" s="418"/>
      <x:c r="F71" s="418"/>
      <x:c r="G71" s="418"/>
      <x:c r="H71" s="418"/>
      <x:c r="I71" s="418"/>
      <x:c r="J71" s="418"/>
      <x:c r="K71" s="418"/>
      <x:c r="L71" s="418"/>
      <x:c r="M71" s="418"/>
      <x:c r="N71" s="418"/>
      <x:c r="O71" s="418"/>
      <x:c r="P71" s="418"/>
      <x:c r="Q71" s="418"/>
      <x:c r="R71" s="418"/>
      <x:c r="S71" s="418"/>
      <x:c r="T71" s="418"/>
      <x:c r="U71" s="418"/>
      <x:c r="V71" s="418"/>
      <x:c r="W71" s="418"/>
      <x:c r="X71" s="418"/>
      <x:c r="Y71" s="418"/>
      <x:c r="Z71" s="418"/>
    </x:row>
    <x:row r="72">
      <x:c r="A72" s="418"/>
      <x:c r="B72" s="418"/>
      <x:c r="C72" s="418"/>
      <x:c r="D72" s="418"/>
      <x:c r="E72" s="418"/>
      <x:c r="F72" s="418"/>
      <x:c r="G72" s="418"/>
      <x:c r="H72" s="418"/>
      <x:c r="I72" s="418"/>
      <x:c r="J72" s="418"/>
      <x:c r="K72" s="418"/>
      <x:c r="L72" s="418"/>
      <x:c r="M72" s="418"/>
      <x:c r="N72" s="418"/>
      <x:c r="O72" s="418"/>
      <x:c r="P72" s="418"/>
      <x:c r="Q72" s="418"/>
      <x:c r="R72" s="418"/>
      <x:c r="S72" s="418"/>
      <x:c r="T72" s="418"/>
      <x:c r="U72" s="418"/>
      <x:c r="V72" s="418"/>
      <x:c r="W72" s="418"/>
      <x:c r="X72" s="418"/>
      <x:c r="Y72" s="418"/>
      <x:c r="Z72" s="418"/>
    </x:row>
    <x:row r="73">
      <x:c r="A73" s="418"/>
      <x:c r="B73" s="418"/>
      <x:c r="C73" s="418"/>
      <x:c r="D73" s="418"/>
      <x:c r="E73" s="418"/>
      <x:c r="F73" s="418"/>
      <x:c r="G73" s="418"/>
      <x:c r="H73" s="418"/>
      <x:c r="I73" s="418"/>
      <x:c r="J73" s="418"/>
      <x:c r="K73" s="418"/>
      <x:c r="L73" s="418"/>
      <x:c r="M73" s="418"/>
      <x:c r="N73" s="418"/>
      <x:c r="O73" s="418"/>
      <x:c r="P73" s="418"/>
      <x:c r="Q73" s="418"/>
      <x:c r="R73" s="418"/>
      <x:c r="S73" s="418"/>
      <x:c r="T73" s="418"/>
      <x:c r="U73" s="418"/>
      <x:c r="V73" s="418"/>
      <x:c r="W73" s="418"/>
      <x:c r="X73" s="418"/>
      <x:c r="Y73" s="418"/>
      <x:c r="Z73" s="418"/>
    </x:row>
    <x:row r="74">
      <x:c r="A74" s="418"/>
      <x:c r="B74" s="418"/>
      <x:c r="C74" s="418"/>
      <x:c r="D74" s="418"/>
      <x:c r="E74" s="418"/>
      <x:c r="F74" s="418"/>
      <x:c r="G74" s="418"/>
      <x:c r="H74" s="418"/>
      <x:c r="I74" s="418"/>
      <x:c r="J74" s="418"/>
      <x:c r="K74" s="418"/>
      <x:c r="L74" s="418"/>
      <x:c r="M74" s="418"/>
      <x:c r="N74" s="418"/>
      <x:c r="O74" s="418"/>
      <x:c r="P74" s="418"/>
      <x:c r="Q74" s="418"/>
      <x:c r="R74" s="418"/>
      <x:c r="S74" s="418"/>
      <x:c r="T74" s="418"/>
      <x:c r="U74" s="418"/>
      <x:c r="V74" s="418"/>
      <x:c r="W74" s="418"/>
      <x:c r="X74" s="418"/>
      <x:c r="Y74" s="418"/>
      <x:c r="Z74" s="418"/>
    </x:row>
    <x:row r="75">
      <x:c r="A75" s="418"/>
      <x:c r="B75" s="418"/>
      <x:c r="C75" s="418"/>
      <x:c r="D75" s="418"/>
      <x:c r="E75" s="418"/>
      <x:c r="F75" s="418"/>
      <x:c r="G75" s="418"/>
      <x:c r="H75" s="418"/>
      <x:c r="I75" s="418"/>
      <x:c r="J75" s="418"/>
      <x:c r="K75" s="418"/>
      <x:c r="L75" s="418"/>
      <x:c r="M75" s="418"/>
      <x:c r="N75" s="418"/>
      <x:c r="O75" s="418"/>
      <x:c r="P75" s="418"/>
      <x:c r="Q75" s="418"/>
      <x:c r="R75" s="418"/>
      <x:c r="S75" s="418"/>
      <x:c r="T75" s="418"/>
      <x:c r="U75" s="418"/>
      <x:c r="V75" s="418"/>
      <x:c r="W75" s="418"/>
      <x:c r="X75" s="418"/>
      <x:c r="Y75" s="418"/>
      <x:c r="Z75" s="418"/>
    </x:row>
    <x:row r="76">
      <x:c r="A76" s="418"/>
      <x:c r="B76" s="418"/>
      <x:c r="C76" s="418"/>
      <x:c r="D76" s="418"/>
      <x:c r="E76" s="418"/>
      <x:c r="F76" s="418"/>
      <x:c r="G76" s="418"/>
      <x:c r="H76" s="418"/>
      <x:c r="I76" s="418"/>
      <x:c r="J76" s="418"/>
      <x:c r="K76" s="418"/>
      <x:c r="L76" s="418"/>
      <x:c r="M76" s="418"/>
      <x:c r="N76" s="418"/>
      <x:c r="O76" s="418"/>
      <x:c r="P76" s="418"/>
      <x:c r="Q76" s="418"/>
      <x:c r="R76" s="418"/>
      <x:c r="S76" s="418"/>
      <x:c r="T76" s="418"/>
      <x:c r="U76" s="418"/>
      <x:c r="V76" s="418"/>
      <x:c r="W76" s="418"/>
      <x:c r="X76" s="418"/>
      <x:c r="Y76" s="418"/>
      <x:c r="Z76" s="418"/>
    </x:row>
    <x:row r="77">
      <x:c r="A77" s="418"/>
      <x:c r="B77" s="418"/>
      <x:c r="C77" s="418"/>
      <x:c r="D77" s="418"/>
      <x:c r="E77" s="418"/>
      <x:c r="F77" s="418"/>
      <x:c r="G77" s="418"/>
      <x:c r="H77" s="418"/>
      <x:c r="I77" s="418"/>
      <x:c r="J77" s="418"/>
      <x:c r="K77" s="418"/>
      <x:c r="L77" s="418"/>
      <x:c r="M77" s="418"/>
      <x:c r="N77" s="418"/>
      <x:c r="O77" s="418"/>
      <x:c r="P77" s="418"/>
      <x:c r="Q77" s="418"/>
      <x:c r="R77" s="418"/>
      <x:c r="S77" s="418"/>
      <x:c r="T77" s="418"/>
      <x:c r="U77" s="418"/>
      <x:c r="V77" s="418"/>
      <x:c r="W77" s="418"/>
      <x:c r="X77" s="418"/>
      <x:c r="Y77" s="418"/>
      <x:c r="Z77" s="418"/>
    </x:row>
    <x:row r="78">
      <x:c r="A78" s="418"/>
      <x:c r="B78" s="418"/>
      <x:c r="C78" s="418"/>
      <x:c r="D78" s="418"/>
      <x:c r="E78" s="418"/>
      <x:c r="F78" s="418"/>
      <x:c r="G78" s="418"/>
      <x:c r="H78" s="418"/>
      <x:c r="I78" s="418"/>
      <x:c r="J78" s="418"/>
      <x:c r="K78" s="418"/>
      <x:c r="L78" s="418"/>
      <x:c r="M78" s="418"/>
      <x:c r="N78" s="418"/>
      <x:c r="O78" s="418"/>
      <x:c r="P78" s="418"/>
      <x:c r="Q78" s="418"/>
      <x:c r="R78" s="418"/>
      <x:c r="S78" s="418"/>
      <x:c r="T78" s="418"/>
      <x:c r="U78" s="418"/>
      <x:c r="V78" s="418"/>
      <x:c r="W78" s="418"/>
      <x:c r="X78" s="418"/>
      <x:c r="Y78" s="418"/>
      <x:c r="Z78" s="418"/>
    </x:row>
    <x:row r="79">
      <x:c r="A79" s="418"/>
      <x:c r="B79" s="418"/>
      <x:c r="C79" s="418"/>
      <x:c r="D79" s="418"/>
      <x:c r="E79" s="418"/>
      <x:c r="F79" s="418"/>
      <x:c r="G79" s="418"/>
      <x:c r="H79" s="418"/>
      <x:c r="I79" s="418"/>
      <x:c r="J79" s="418"/>
      <x:c r="K79" s="418"/>
      <x:c r="L79" s="418"/>
      <x:c r="M79" s="418"/>
      <x:c r="N79" s="418"/>
      <x:c r="O79" s="418"/>
      <x:c r="P79" s="418"/>
      <x:c r="Q79" s="418"/>
      <x:c r="R79" s="418"/>
      <x:c r="S79" s="418"/>
      <x:c r="T79" s="418"/>
      <x:c r="U79" s="418"/>
      <x:c r="V79" s="418"/>
      <x:c r="W79" s="418"/>
      <x:c r="X79" s="418"/>
      <x:c r="Y79" s="418"/>
      <x:c r="Z79" s="418"/>
    </x:row>
    <x:row r="80">
      <x:c r="A80" s="418"/>
      <x:c r="B80" s="418"/>
      <x:c r="C80" s="418"/>
      <x:c r="D80" s="418"/>
      <x:c r="E80" s="418"/>
      <x:c r="F80" s="418"/>
      <x:c r="G80" s="418"/>
      <x:c r="H80" s="418"/>
      <x:c r="I80" s="418"/>
      <x:c r="J80" s="418"/>
      <x:c r="K80" s="418"/>
      <x:c r="L80" s="418"/>
      <x:c r="M80" s="418"/>
      <x:c r="N80" s="418"/>
      <x:c r="O80" s="418"/>
      <x:c r="P80" s="418"/>
      <x:c r="Q80" s="418"/>
      <x:c r="R80" s="418"/>
      <x:c r="S80" s="418"/>
      <x:c r="T80" s="418"/>
      <x:c r="U80" s="418"/>
      <x:c r="V80" s="418"/>
      <x:c r="W80" s="418"/>
      <x:c r="X80" s="418"/>
      <x:c r="Y80" s="418"/>
      <x:c r="Z80" s="418"/>
    </x:row>
    <x:row r="81">
      <x:c r="A81" s="418"/>
      <x:c r="B81" s="418"/>
      <x:c r="C81" s="418"/>
      <x:c r="D81" s="418"/>
      <x:c r="E81" s="418"/>
      <x:c r="F81" s="418"/>
      <x:c r="G81" s="418"/>
      <x:c r="H81" s="418"/>
      <x:c r="I81" s="418"/>
      <x:c r="J81" s="418"/>
      <x:c r="K81" s="418"/>
      <x:c r="L81" s="418"/>
      <x:c r="M81" s="418"/>
      <x:c r="N81" s="418"/>
      <x:c r="O81" s="418"/>
      <x:c r="P81" s="418"/>
      <x:c r="Q81" s="418"/>
      <x:c r="R81" s="418"/>
      <x:c r="S81" s="418"/>
      <x:c r="T81" s="418"/>
      <x:c r="U81" s="418"/>
      <x:c r="V81" s="418"/>
      <x:c r="W81" s="418"/>
      <x:c r="X81" s="418"/>
      <x:c r="Y81" s="418"/>
      <x:c r="Z81" s="418"/>
    </x:row>
    <x:row r="82">
      <x:c r="A82" s="418"/>
      <x:c r="B82" s="418"/>
      <x:c r="C82" s="418"/>
      <x:c r="D82" s="418"/>
      <x:c r="E82" s="418"/>
      <x:c r="F82" s="418"/>
      <x:c r="G82" s="418"/>
      <x:c r="H82" s="418"/>
      <x:c r="I82" s="418"/>
      <x:c r="J82" s="418"/>
      <x:c r="K82" s="418"/>
      <x:c r="L82" s="418"/>
      <x:c r="M82" s="418"/>
      <x:c r="N82" s="418"/>
      <x:c r="O82" s="418"/>
      <x:c r="P82" s="418"/>
      <x:c r="Q82" s="418"/>
      <x:c r="R82" s="418"/>
      <x:c r="S82" s="418"/>
      <x:c r="T82" s="418"/>
      <x:c r="U82" s="418"/>
      <x:c r="V82" s="418"/>
      <x:c r="W82" s="418"/>
      <x:c r="X82" s="418"/>
      <x:c r="Y82" s="418"/>
      <x:c r="Z82" s="418"/>
    </x:row>
    <x:row r="83">
      <x:c r="A83" s="418"/>
      <x:c r="B83" s="418"/>
      <x:c r="C83" s="418"/>
      <x:c r="D83" s="418"/>
      <x:c r="E83" s="418"/>
      <x:c r="F83" s="418"/>
      <x:c r="G83" s="418"/>
      <x:c r="H83" s="418"/>
      <x:c r="I83" s="418"/>
      <x:c r="J83" s="418"/>
      <x:c r="K83" s="418"/>
      <x:c r="L83" s="418"/>
      <x:c r="M83" s="418"/>
      <x:c r="N83" s="418"/>
      <x:c r="O83" s="418"/>
      <x:c r="P83" s="418"/>
      <x:c r="Q83" s="418"/>
      <x:c r="R83" s="418"/>
      <x:c r="S83" s="418"/>
      <x:c r="T83" s="418"/>
      <x:c r="U83" s="418"/>
      <x:c r="V83" s="418"/>
      <x:c r="W83" s="418"/>
      <x:c r="X83" s="418"/>
      <x:c r="Y83" s="418"/>
      <x:c r="Z83" s="418"/>
    </x:row>
    <x:row r="84">
      <x:c r="A84" s="418"/>
      <x:c r="B84" s="418"/>
      <x:c r="C84" s="418"/>
      <x:c r="D84" s="418"/>
      <x:c r="E84" s="418"/>
      <x:c r="F84" s="418"/>
      <x:c r="G84" s="418"/>
      <x:c r="H84" s="418"/>
      <x:c r="I84" s="418"/>
      <x:c r="J84" s="418"/>
      <x:c r="K84" s="418"/>
      <x:c r="L84" s="418"/>
      <x:c r="M84" s="418"/>
      <x:c r="N84" s="418"/>
      <x:c r="O84" s="418"/>
      <x:c r="P84" s="418"/>
      <x:c r="Q84" s="418"/>
      <x:c r="R84" s="418"/>
      <x:c r="S84" s="418"/>
      <x:c r="T84" s="418"/>
      <x:c r="U84" s="418"/>
      <x:c r="V84" s="418"/>
      <x:c r="W84" s="418"/>
      <x:c r="X84" s="418"/>
      <x:c r="Y84" s="418"/>
      <x:c r="Z84" s="418"/>
    </x:row>
    <x:row r="85">
      <x:c r="A85" s="418"/>
      <x:c r="B85" s="418"/>
      <x:c r="C85" s="418"/>
      <x:c r="D85" s="418"/>
      <x:c r="E85" s="418"/>
      <x:c r="F85" s="418"/>
      <x:c r="G85" s="418"/>
      <x:c r="H85" s="418"/>
      <x:c r="I85" s="418"/>
      <x:c r="J85" s="418"/>
      <x:c r="K85" s="418"/>
      <x:c r="L85" s="418"/>
      <x:c r="M85" s="418"/>
      <x:c r="N85" s="418"/>
      <x:c r="O85" s="418"/>
      <x:c r="P85" s="418"/>
      <x:c r="Q85" s="418"/>
      <x:c r="R85" s="418"/>
      <x:c r="S85" s="418"/>
      <x:c r="T85" s="418"/>
      <x:c r="U85" s="418"/>
      <x:c r="V85" s="418"/>
      <x:c r="W85" s="418"/>
      <x:c r="X85" s="418"/>
      <x:c r="Y85" s="418"/>
      <x:c r="Z85" s="418"/>
    </x:row>
    <x:row r="86">
      <x:c r="A86" s="418"/>
      <x:c r="B86" s="418"/>
      <x:c r="C86" s="418"/>
      <x:c r="D86" s="418"/>
      <x:c r="E86" s="418"/>
      <x:c r="F86" s="418"/>
      <x:c r="G86" s="418"/>
      <x:c r="H86" s="418"/>
      <x:c r="I86" s="418"/>
      <x:c r="J86" s="418"/>
      <x:c r="K86" s="418"/>
      <x:c r="L86" s="418"/>
      <x:c r="M86" s="418"/>
      <x:c r="N86" s="418"/>
      <x:c r="O86" s="418"/>
      <x:c r="P86" s="418"/>
      <x:c r="Q86" s="418"/>
      <x:c r="R86" s="418"/>
      <x:c r="S86" s="418"/>
      <x:c r="T86" s="418"/>
      <x:c r="U86" s="418"/>
      <x:c r="V86" s="418"/>
      <x:c r="W86" s="418"/>
      <x:c r="X86" s="418"/>
      <x:c r="Y86" s="418"/>
      <x:c r="Z86" s="418"/>
    </x:row>
    <x:row r="87">
      <x:c r="A87" s="418"/>
      <x:c r="B87" s="418"/>
      <x:c r="C87" s="418"/>
      <x:c r="D87" s="418"/>
      <x:c r="E87" s="418"/>
      <x:c r="F87" s="418"/>
      <x:c r="G87" s="418"/>
      <x:c r="H87" s="418"/>
      <x:c r="I87" s="418"/>
      <x:c r="J87" s="418"/>
      <x:c r="K87" s="418"/>
      <x:c r="L87" s="418"/>
      <x:c r="M87" s="418"/>
      <x:c r="N87" s="418"/>
      <x:c r="O87" s="418"/>
      <x:c r="P87" s="418"/>
      <x:c r="Q87" s="418"/>
      <x:c r="R87" s="418"/>
      <x:c r="S87" s="418"/>
      <x:c r="T87" s="418"/>
      <x:c r="U87" s="418"/>
      <x:c r="V87" s="418"/>
      <x:c r="W87" s="418"/>
      <x:c r="X87" s="418"/>
      <x:c r="Y87" s="418"/>
      <x:c r="Z87" s="418"/>
    </x:row>
    <x:row r="88">
      <x:c r="A88" s="418"/>
      <x:c r="B88" s="418"/>
      <x:c r="C88" s="418"/>
      <x:c r="D88" s="418"/>
      <x:c r="E88" s="418"/>
      <x:c r="F88" s="418"/>
      <x:c r="G88" s="418"/>
      <x:c r="H88" s="418"/>
      <x:c r="I88" s="418"/>
      <x:c r="J88" s="418"/>
      <x:c r="K88" s="418"/>
      <x:c r="L88" s="418"/>
      <x:c r="M88" s="418"/>
      <x:c r="N88" s="418"/>
      <x:c r="O88" s="418"/>
      <x:c r="P88" s="418"/>
      <x:c r="Q88" s="418"/>
      <x:c r="R88" s="418"/>
      <x:c r="S88" s="418"/>
      <x:c r="T88" s="418"/>
      <x:c r="U88" s="418"/>
      <x:c r="V88" s="418"/>
      <x:c r="W88" s="418"/>
      <x:c r="X88" s="418"/>
      <x:c r="Y88" s="418"/>
      <x:c r="Z88" s="418"/>
    </x:row>
    <x:row r="89">
      <x:c r="A89" s="418"/>
      <x:c r="B89" s="418"/>
      <x:c r="C89" s="418"/>
      <x:c r="D89" s="418"/>
      <x:c r="E89" s="418"/>
      <x:c r="F89" s="418"/>
      <x:c r="G89" s="418"/>
      <x:c r="H89" s="418"/>
      <x:c r="I89" s="418"/>
      <x:c r="J89" s="418"/>
      <x:c r="K89" s="418"/>
      <x:c r="L89" s="418"/>
      <x:c r="M89" s="418"/>
      <x:c r="N89" s="418"/>
      <x:c r="O89" s="418"/>
      <x:c r="P89" s="418"/>
      <x:c r="Q89" s="418"/>
      <x:c r="R89" s="418"/>
      <x:c r="S89" s="418"/>
      <x:c r="T89" s="418"/>
      <x:c r="U89" s="418"/>
      <x:c r="V89" s="418"/>
      <x:c r="W89" s="418"/>
      <x:c r="X89" s="418"/>
      <x:c r="Y89" s="418"/>
      <x:c r="Z89" s="418"/>
    </x:row>
    <x:row r="90">
      <x:c r="A90" s="418"/>
      <x:c r="B90" s="418"/>
      <x:c r="C90" s="418"/>
      <x:c r="D90" s="418"/>
      <x:c r="E90" s="418"/>
      <x:c r="F90" s="418"/>
      <x:c r="G90" s="418"/>
      <x:c r="H90" s="418"/>
      <x:c r="I90" s="418"/>
      <x:c r="J90" s="418"/>
      <x:c r="K90" s="418"/>
      <x:c r="L90" s="418"/>
      <x:c r="M90" s="418"/>
      <x:c r="N90" s="418"/>
      <x:c r="O90" s="418"/>
      <x:c r="P90" s="418"/>
      <x:c r="Q90" s="418"/>
      <x:c r="R90" s="418"/>
      <x:c r="S90" s="418"/>
      <x:c r="T90" s="418"/>
      <x:c r="U90" s="418"/>
      <x:c r="V90" s="418"/>
      <x:c r="W90" s="418"/>
      <x:c r="X90" s="418"/>
      <x:c r="Y90" s="418"/>
      <x:c r="Z90" s="418"/>
    </x:row>
    <x:row r="91">
      <x:c r="A91" s="418"/>
      <x:c r="B91" s="418"/>
      <x:c r="C91" s="418"/>
      <x:c r="D91" s="418"/>
      <x:c r="E91" s="418"/>
      <x:c r="F91" s="418"/>
      <x:c r="G91" s="418"/>
      <x:c r="H91" s="418"/>
      <x:c r="I91" s="418"/>
      <x:c r="J91" s="418"/>
      <x:c r="K91" s="418"/>
      <x:c r="L91" s="418"/>
      <x:c r="M91" s="418"/>
      <x:c r="N91" s="418"/>
      <x:c r="O91" s="418"/>
      <x:c r="P91" s="418"/>
      <x:c r="Q91" s="418"/>
      <x:c r="R91" s="418"/>
      <x:c r="S91" s="418"/>
      <x:c r="T91" s="418"/>
      <x:c r="U91" s="418"/>
      <x:c r="V91" s="418"/>
      <x:c r="W91" s="418"/>
      <x:c r="X91" s="418"/>
      <x:c r="Y91" s="418"/>
      <x:c r="Z91" s="418"/>
    </x:row>
    <x:row r="92">
      <x:c r="A92" s="418"/>
      <x:c r="B92" s="418"/>
      <x:c r="C92" s="418"/>
      <x:c r="D92" s="418"/>
      <x:c r="E92" s="418"/>
      <x:c r="F92" s="418"/>
      <x:c r="G92" s="418"/>
      <x:c r="H92" s="418"/>
      <x:c r="I92" s="418"/>
      <x:c r="J92" s="418"/>
      <x:c r="K92" s="418"/>
      <x:c r="L92" s="418"/>
      <x:c r="M92" s="418"/>
      <x:c r="N92" s="418"/>
      <x:c r="O92" s="418"/>
      <x:c r="P92" s="418"/>
      <x:c r="Q92" s="418"/>
      <x:c r="R92" s="418"/>
      <x:c r="S92" s="418"/>
      <x:c r="T92" s="418"/>
      <x:c r="U92" s="418"/>
      <x:c r="V92" s="418"/>
      <x:c r="W92" s="418"/>
      <x:c r="X92" s="418"/>
      <x:c r="Y92" s="418"/>
      <x:c r="Z92" s="418"/>
    </x:row>
    <x:row r="93">
      <x:c r="A93" s="418"/>
      <x:c r="B93" s="418"/>
      <x:c r="C93" s="418"/>
      <x:c r="D93" s="418"/>
      <x:c r="E93" s="418"/>
      <x:c r="F93" s="418"/>
      <x:c r="G93" s="418"/>
      <x:c r="H93" s="418"/>
      <x:c r="I93" s="418"/>
      <x:c r="J93" s="418"/>
      <x:c r="K93" s="418"/>
      <x:c r="L93" s="418"/>
      <x:c r="M93" s="418"/>
      <x:c r="N93" s="418"/>
      <x:c r="O93" s="418"/>
      <x:c r="P93" s="418"/>
      <x:c r="Q93" s="418"/>
      <x:c r="R93" s="418"/>
      <x:c r="S93" s="418"/>
      <x:c r="T93" s="418"/>
      <x:c r="U93" s="418"/>
      <x:c r="V93" s="418"/>
      <x:c r="W93" s="418"/>
      <x:c r="X93" s="418"/>
      <x:c r="Y93" s="418"/>
      <x:c r="Z93" s="418"/>
    </x:row>
    <x:row r="94">
      <x:c r="A94" s="418"/>
      <x:c r="B94" s="418"/>
      <x:c r="C94" s="418"/>
      <x:c r="D94" s="418"/>
      <x:c r="E94" s="418"/>
      <x:c r="F94" s="418"/>
      <x:c r="G94" s="418"/>
      <x:c r="H94" s="418"/>
      <x:c r="I94" s="418"/>
      <x:c r="J94" s="418"/>
      <x:c r="K94" s="418"/>
      <x:c r="L94" s="418"/>
      <x:c r="M94" s="418"/>
      <x:c r="N94" s="418"/>
      <x:c r="O94" s="418"/>
      <x:c r="P94" s="418"/>
      <x:c r="Q94" s="418"/>
      <x:c r="R94" s="418"/>
      <x:c r="S94" s="418"/>
      <x:c r="T94" s="418"/>
      <x:c r="U94" s="418"/>
      <x:c r="V94" s="418"/>
      <x:c r="W94" s="418"/>
      <x:c r="X94" s="418"/>
      <x:c r="Y94" s="418"/>
      <x:c r="Z94" s="418"/>
    </x:row>
    <x:row r="95">
      <x:c r="A95" s="418"/>
      <x:c r="B95" s="418"/>
      <x:c r="C95" s="418"/>
      <x:c r="D95" s="418"/>
      <x:c r="E95" s="418"/>
      <x:c r="F95" s="418"/>
      <x:c r="G95" s="418"/>
      <x:c r="H95" s="418"/>
      <x:c r="I95" s="418"/>
      <x:c r="J95" s="418"/>
      <x:c r="K95" s="418"/>
      <x:c r="L95" s="418"/>
      <x:c r="M95" s="418"/>
      <x:c r="N95" s="418"/>
      <x:c r="O95" s="418"/>
      <x:c r="P95" s="418"/>
      <x:c r="Q95" s="418"/>
      <x:c r="R95" s="418"/>
      <x:c r="S95" s="418"/>
      <x:c r="T95" s="418"/>
      <x:c r="U95" s="418"/>
      <x:c r="V95" s="418"/>
      <x:c r="W95" s="418"/>
      <x:c r="X95" s="418"/>
      <x:c r="Y95" s="418"/>
      <x:c r="Z95" s="418"/>
    </x:row>
    <x:row r="96">
      <x:c r="A96" s="418"/>
      <x:c r="B96" s="418"/>
      <x:c r="C96" s="418"/>
      <x:c r="D96" s="418"/>
      <x:c r="E96" s="418"/>
      <x:c r="F96" s="418"/>
      <x:c r="G96" s="418"/>
      <x:c r="H96" s="418"/>
      <x:c r="I96" s="418"/>
      <x:c r="J96" s="418"/>
      <x:c r="K96" s="418"/>
      <x:c r="L96" s="418"/>
      <x:c r="M96" s="418"/>
      <x:c r="N96" s="418"/>
      <x:c r="O96" s="418"/>
      <x:c r="P96" s="418"/>
      <x:c r="Q96" s="418"/>
      <x:c r="R96" s="418"/>
      <x:c r="S96" s="418"/>
      <x:c r="T96" s="418"/>
      <x:c r="U96" s="418"/>
      <x:c r="V96" s="418"/>
      <x:c r="W96" s="418"/>
      <x:c r="X96" s="418"/>
      <x:c r="Y96" s="418"/>
      <x:c r="Z96" s="418"/>
    </x:row>
    <x:row r="97">
      <x:c r="A97" s="418"/>
      <x:c r="B97" s="418"/>
      <x:c r="C97" s="418"/>
      <x:c r="D97" s="418"/>
      <x:c r="E97" s="418"/>
      <x:c r="F97" s="418"/>
      <x:c r="G97" s="418"/>
      <x:c r="H97" s="418"/>
      <x:c r="I97" s="418"/>
      <x:c r="J97" s="418"/>
      <x:c r="K97" s="418"/>
      <x:c r="L97" s="418"/>
      <x:c r="M97" s="418"/>
      <x:c r="N97" s="418"/>
      <x:c r="O97" s="418"/>
      <x:c r="P97" s="418"/>
      <x:c r="Q97" s="418"/>
      <x:c r="R97" s="418"/>
      <x:c r="S97" s="418"/>
      <x:c r="T97" s="418"/>
      <x:c r="U97" s="418"/>
      <x:c r="V97" s="418"/>
      <x:c r="W97" s="418"/>
      <x:c r="X97" s="418"/>
      <x:c r="Y97" s="418"/>
      <x:c r="Z97" s="418"/>
    </x:row>
    <x:row r="98">
      <x:c r="A98" s="418"/>
      <x:c r="B98" s="418"/>
      <x:c r="C98" s="418"/>
      <x:c r="D98" s="418"/>
      <x:c r="E98" s="418"/>
      <x:c r="F98" s="418"/>
      <x:c r="G98" s="418"/>
      <x:c r="H98" s="418"/>
      <x:c r="I98" s="418"/>
      <x:c r="J98" s="418"/>
      <x:c r="K98" s="418"/>
      <x:c r="L98" s="418"/>
      <x:c r="M98" s="418"/>
      <x:c r="N98" s="418"/>
      <x:c r="O98" s="418"/>
      <x:c r="P98" s="418"/>
      <x:c r="Q98" s="418"/>
      <x:c r="R98" s="418"/>
      <x:c r="S98" s="418"/>
      <x:c r="T98" s="418"/>
      <x:c r="U98" s="418"/>
      <x:c r="V98" s="418"/>
      <x:c r="W98" s="418"/>
      <x:c r="X98" s="418"/>
      <x:c r="Y98" s="418"/>
      <x:c r="Z98" s="418"/>
    </x:row>
    <x:row r="99">
      <x:c r="A99" s="418"/>
      <x:c r="B99" s="418"/>
      <x:c r="C99" s="418"/>
      <x:c r="D99" s="418"/>
      <x:c r="E99" s="418"/>
      <x:c r="F99" s="418"/>
      <x:c r="G99" s="418"/>
      <x:c r="H99" s="418"/>
      <x:c r="I99" s="418"/>
      <x:c r="J99" s="418"/>
      <x:c r="K99" s="418"/>
      <x:c r="L99" s="418"/>
      <x:c r="M99" s="418"/>
      <x:c r="N99" s="418"/>
      <x:c r="O99" s="418"/>
      <x:c r="P99" s="418"/>
      <x:c r="Q99" s="418"/>
      <x:c r="R99" s="418"/>
      <x:c r="S99" s="418"/>
      <x:c r="T99" s="418"/>
      <x:c r="U99" s="418"/>
      <x:c r="V99" s="418"/>
      <x:c r="W99" s="418"/>
      <x:c r="X99" s="418"/>
      <x:c r="Y99" s="418"/>
      <x:c r="Z99" s="418"/>
    </x:row>
    <x:row r="100">
      <x:c r="A100" s="418"/>
      <x:c r="B100" s="418"/>
      <x:c r="C100" s="418"/>
      <x:c r="D100" s="418"/>
      <x:c r="E100" s="418"/>
      <x:c r="F100" s="418"/>
      <x:c r="G100" s="418"/>
      <x:c r="H100" s="418"/>
      <x:c r="I100" s="418"/>
      <x:c r="J100" s="418"/>
      <x:c r="K100" s="418"/>
      <x:c r="L100" s="418"/>
      <x:c r="M100" s="418"/>
      <x:c r="N100" s="418"/>
      <x:c r="O100" s="418"/>
      <x:c r="P100" s="418"/>
      <x:c r="Q100" s="418"/>
      <x:c r="R100" s="418"/>
      <x:c r="S100" s="418"/>
      <x:c r="T100" s="418"/>
      <x:c r="U100" s="418"/>
      <x:c r="V100" s="418"/>
      <x:c r="W100" s="418"/>
      <x:c r="X100" s="418"/>
      <x:c r="Y100" s="418"/>
      <x:c r="Z100" s="418"/>
    </x:row>
    <x:row r="101">
      <x:c r="A101" s="418"/>
      <x:c r="B101" s="418"/>
      <x:c r="C101" s="418"/>
      <x:c r="D101" s="418"/>
      <x:c r="E101" s="418"/>
      <x:c r="F101" s="418"/>
      <x:c r="G101" s="418"/>
      <x:c r="H101" s="418"/>
      <x:c r="I101" s="418"/>
      <x:c r="J101" s="418"/>
      <x:c r="K101" s="418"/>
      <x:c r="L101" s="418"/>
      <x:c r="M101" s="418"/>
      <x:c r="N101" s="418"/>
      <x:c r="O101" s="418"/>
      <x:c r="P101" s="418"/>
      <x:c r="Q101" s="418"/>
      <x:c r="R101" s="418"/>
      <x:c r="S101" s="418"/>
      <x:c r="T101" s="418"/>
      <x:c r="U101" s="418"/>
      <x:c r="V101" s="418"/>
      <x:c r="W101" s="418"/>
      <x:c r="X101" s="418"/>
      <x:c r="Y101" s="418"/>
      <x:c r="Z101" s="418"/>
    </x:row>
    <x:row r="102">
      <x:c r="A102" s="418"/>
      <x:c r="B102" s="418"/>
      <x:c r="C102" s="418"/>
      <x:c r="D102" s="418"/>
      <x:c r="E102" s="418"/>
      <x:c r="F102" s="418"/>
      <x:c r="G102" s="418"/>
      <x:c r="H102" s="418"/>
      <x:c r="I102" s="418"/>
      <x:c r="J102" s="418"/>
      <x:c r="K102" s="418"/>
      <x:c r="L102" s="418"/>
      <x:c r="M102" s="418"/>
      <x:c r="N102" s="418"/>
      <x:c r="O102" s="418"/>
      <x:c r="P102" s="418"/>
      <x:c r="Q102" s="418"/>
      <x:c r="R102" s="418"/>
      <x:c r="S102" s="418"/>
      <x:c r="T102" s="418"/>
      <x:c r="U102" s="418"/>
      <x:c r="V102" s="418"/>
      <x:c r="W102" s="418"/>
      <x:c r="X102" s="418"/>
      <x:c r="Y102" s="418"/>
      <x:c r="Z102" s="418"/>
    </x:row>
    <x:row r="103">
      <x:c r="A103" s="418"/>
      <x:c r="B103" s="418"/>
      <x:c r="C103" s="418"/>
      <x:c r="D103" s="418"/>
      <x:c r="E103" s="418"/>
      <x:c r="F103" s="418"/>
      <x:c r="G103" s="418"/>
      <x:c r="H103" s="418"/>
      <x:c r="I103" s="418"/>
      <x:c r="J103" s="418"/>
      <x:c r="K103" s="418"/>
      <x:c r="L103" s="418"/>
      <x:c r="M103" s="418"/>
      <x:c r="N103" s="418"/>
      <x:c r="O103" s="418"/>
      <x:c r="P103" s="418"/>
      <x:c r="Q103" s="418"/>
      <x:c r="R103" s="418"/>
      <x:c r="S103" s="418"/>
      <x:c r="T103" s="418"/>
      <x:c r="U103" s="418"/>
      <x:c r="V103" s="418"/>
      <x:c r="W103" s="418"/>
      <x:c r="X103" s="418"/>
      <x:c r="Y103" s="418"/>
      <x:c r="Z103" s="418"/>
    </x:row>
    <x:row r="104">
      <x:c r="A104" s="418"/>
      <x:c r="B104" s="418"/>
      <x:c r="C104" s="418"/>
      <x:c r="D104" s="418"/>
      <x:c r="E104" s="418"/>
      <x:c r="F104" s="418"/>
      <x:c r="G104" s="418"/>
      <x:c r="H104" s="418"/>
      <x:c r="I104" s="418"/>
      <x:c r="J104" s="418"/>
      <x:c r="K104" s="418"/>
      <x:c r="L104" s="418"/>
      <x:c r="M104" s="418"/>
      <x:c r="N104" s="418"/>
      <x:c r="O104" s="418"/>
      <x:c r="P104" s="418"/>
      <x:c r="Q104" s="418"/>
      <x:c r="R104" s="418"/>
      <x:c r="S104" s="418"/>
      <x:c r="T104" s="418"/>
      <x:c r="U104" s="418"/>
      <x:c r="V104" s="418"/>
      <x:c r="W104" s="418"/>
      <x:c r="X104" s="418"/>
      <x:c r="Y104" s="418"/>
      <x:c r="Z104" s="418"/>
    </x:row>
    <x:row r="105">
      <x:c r="A105" s="418"/>
      <x:c r="B105" s="418"/>
      <x:c r="C105" s="418"/>
      <x:c r="D105" s="418"/>
      <x:c r="E105" s="418"/>
      <x:c r="F105" s="418"/>
      <x:c r="G105" s="418"/>
      <x:c r="H105" s="418"/>
      <x:c r="I105" s="418"/>
      <x:c r="J105" s="418"/>
      <x:c r="K105" s="418"/>
      <x:c r="L105" s="418"/>
      <x:c r="M105" s="418"/>
      <x:c r="N105" s="418"/>
      <x:c r="O105" s="418"/>
      <x:c r="P105" s="418"/>
      <x:c r="Q105" s="418"/>
      <x:c r="R105" s="418"/>
      <x:c r="S105" s="418"/>
      <x:c r="T105" s="418"/>
      <x:c r="U105" s="418"/>
      <x:c r="V105" s="418"/>
      <x:c r="W105" s="418"/>
      <x:c r="X105" s="418"/>
      <x:c r="Y105" s="418"/>
      <x:c r="Z105" s="418"/>
    </x:row>
    <x:row r="106">
      <x:c r="A106" s="418"/>
      <x:c r="B106" s="418"/>
      <x:c r="C106" s="418"/>
      <x:c r="D106" s="418"/>
      <x:c r="E106" s="418"/>
      <x:c r="F106" s="418"/>
      <x:c r="G106" s="418"/>
      <x:c r="H106" s="418"/>
      <x:c r="I106" s="418"/>
      <x:c r="J106" s="418"/>
      <x:c r="K106" s="418"/>
      <x:c r="L106" s="418"/>
      <x:c r="M106" s="418"/>
      <x:c r="N106" s="418"/>
      <x:c r="O106" s="418"/>
      <x:c r="P106" s="418"/>
      <x:c r="Q106" s="418"/>
      <x:c r="R106" s="418"/>
      <x:c r="S106" s="418"/>
      <x:c r="T106" s="418"/>
      <x:c r="U106" s="418"/>
      <x:c r="V106" s="418"/>
      <x:c r="W106" s="418"/>
      <x:c r="X106" s="418"/>
      <x:c r="Y106" s="418"/>
      <x:c r="Z106" s="418"/>
    </x:row>
    <x:row r="107">
      <x:c r="A107" s="418"/>
      <x:c r="B107" s="418"/>
      <x:c r="C107" s="418"/>
      <x:c r="D107" s="418"/>
      <x:c r="E107" s="418"/>
      <x:c r="F107" s="418"/>
      <x:c r="G107" s="418"/>
      <x:c r="H107" s="418"/>
      <x:c r="I107" s="418"/>
      <x:c r="J107" s="418"/>
      <x:c r="K107" s="418"/>
      <x:c r="L107" s="418"/>
      <x:c r="M107" s="418"/>
      <x:c r="N107" s="418"/>
      <x:c r="O107" s="418"/>
      <x:c r="P107" s="418"/>
      <x:c r="Q107" s="418"/>
      <x:c r="R107" s="418"/>
      <x:c r="S107" s="418"/>
      <x:c r="T107" s="418"/>
      <x:c r="U107" s="418"/>
      <x:c r="V107" s="418"/>
      <x:c r="W107" s="418"/>
      <x:c r="X107" s="418"/>
      <x:c r="Y107" s="418"/>
      <x:c r="Z107" s="418"/>
    </x:row>
    <x:row r="108">
      <x:c r="A108" s="418"/>
      <x:c r="B108" s="418"/>
      <x:c r="C108" s="418"/>
      <x:c r="D108" s="418"/>
      <x:c r="E108" s="418"/>
      <x:c r="F108" s="418"/>
      <x:c r="G108" s="418"/>
      <x:c r="H108" s="418"/>
      <x:c r="I108" s="418"/>
      <x:c r="J108" s="418"/>
      <x:c r="K108" s="418"/>
      <x:c r="L108" s="418"/>
      <x:c r="M108" s="418"/>
      <x:c r="N108" s="418"/>
      <x:c r="O108" s="418"/>
      <x:c r="P108" s="418"/>
      <x:c r="Q108" s="418"/>
      <x:c r="R108" s="418"/>
      <x:c r="S108" s="418"/>
      <x:c r="T108" s="418"/>
      <x:c r="U108" s="418"/>
      <x:c r="V108" s="418"/>
      <x:c r="W108" s="418"/>
      <x:c r="X108" s="418"/>
      <x:c r="Y108" s="418"/>
      <x:c r="Z108" s="418"/>
    </x:row>
    <x:row r="109">
      <x:c r="A109" s="418"/>
      <x:c r="B109" s="418"/>
      <x:c r="C109" s="418"/>
      <x:c r="D109" s="418"/>
      <x:c r="E109" s="418"/>
      <x:c r="F109" s="418"/>
      <x:c r="G109" s="418"/>
      <x:c r="H109" s="418"/>
      <x:c r="I109" s="418"/>
      <x:c r="J109" s="418"/>
      <x:c r="K109" s="418"/>
      <x:c r="L109" s="418"/>
      <x:c r="M109" s="418"/>
      <x:c r="N109" s="418"/>
      <x:c r="O109" s="418"/>
      <x:c r="P109" s="418"/>
      <x:c r="Q109" s="418"/>
      <x:c r="R109" s="418"/>
      <x:c r="S109" s="418"/>
      <x:c r="T109" s="418"/>
      <x:c r="U109" s="418"/>
      <x:c r="V109" s="418"/>
      <x:c r="W109" s="418"/>
      <x:c r="X109" s="418"/>
      <x:c r="Y109" s="418"/>
      <x:c r="Z109" s="418"/>
    </x:row>
    <x:row r="110">
      <x:c r="A110" s="418"/>
      <x:c r="B110" s="418"/>
      <x:c r="C110" s="418"/>
      <x:c r="D110" s="418"/>
      <x:c r="E110" s="418"/>
      <x:c r="F110" s="418"/>
      <x:c r="G110" s="418"/>
      <x:c r="H110" s="418"/>
      <x:c r="I110" s="418"/>
      <x:c r="J110" s="418"/>
      <x:c r="K110" s="418"/>
      <x:c r="L110" s="418"/>
      <x:c r="M110" s="418"/>
      <x:c r="N110" s="418"/>
      <x:c r="O110" s="418"/>
      <x:c r="P110" s="418"/>
      <x:c r="Q110" s="418"/>
      <x:c r="R110" s="418"/>
      <x:c r="S110" s="418"/>
      <x:c r="T110" s="418"/>
      <x:c r="U110" s="418"/>
      <x:c r="V110" s="418"/>
      <x:c r="W110" s="418"/>
      <x:c r="X110" s="418"/>
      <x:c r="Y110" s="418"/>
      <x:c r="Z110" s="418"/>
    </x:row>
    <x:row r="111">
      <x:c r="A111" s="418"/>
      <x:c r="B111" s="418"/>
      <x:c r="C111" s="418"/>
      <x:c r="D111" s="418"/>
      <x:c r="E111" s="418"/>
      <x:c r="F111" s="418"/>
      <x:c r="G111" s="418"/>
      <x:c r="H111" s="418"/>
      <x:c r="I111" s="418"/>
      <x:c r="J111" s="418"/>
      <x:c r="K111" s="418"/>
      <x:c r="L111" s="418"/>
      <x:c r="M111" s="418"/>
      <x:c r="N111" s="418"/>
      <x:c r="O111" s="418"/>
      <x:c r="P111" s="418"/>
      <x:c r="Q111" s="418"/>
      <x:c r="R111" s="418"/>
      <x:c r="S111" s="418"/>
      <x:c r="T111" s="418"/>
      <x:c r="U111" s="418"/>
      <x:c r="V111" s="418"/>
      <x:c r="W111" s="418"/>
      <x:c r="X111" s="418"/>
      <x:c r="Y111" s="418"/>
      <x:c r="Z111" s="418"/>
    </x:row>
    <x:row r="112">
      <x:c r="A112" s="418"/>
      <x:c r="B112" s="418"/>
      <x:c r="C112" s="418"/>
      <x:c r="D112" s="418"/>
      <x:c r="E112" s="418"/>
      <x:c r="F112" s="418"/>
      <x:c r="G112" s="418"/>
      <x:c r="H112" s="418"/>
      <x:c r="I112" s="418"/>
      <x:c r="J112" s="418"/>
      <x:c r="K112" s="418"/>
      <x:c r="L112" s="418"/>
      <x:c r="M112" s="418"/>
      <x:c r="N112" s="418"/>
      <x:c r="O112" s="418"/>
      <x:c r="P112" s="418"/>
      <x:c r="Q112" s="418"/>
      <x:c r="R112" s="418"/>
      <x:c r="S112" s="418"/>
      <x:c r="T112" s="418"/>
      <x:c r="U112" s="418"/>
      <x:c r="V112" s="418"/>
      <x:c r="W112" s="418"/>
      <x:c r="X112" s="418"/>
      <x:c r="Y112" s="418"/>
      <x:c r="Z112" s="418"/>
    </x:row>
    <x:row r="113">
      <x:c r="A113" s="418"/>
      <x:c r="B113" s="418"/>
      <x:c r="C113" s="418"/>
      <x:c r="D113" s="418"/>
      <x:c r="E113" s="418"/>
      <x:c r="F113" s="418"/>
      <x:c r="G113" s="418"/>
      <x:c r="H113" s="418"/>
      <x:c r="I113" s="418"/>
      <x:c r="J113" s="418"/>
      <x:c r="K113" s="418"/>
      <x:c r="L113" s="418"/>
      <x:c r="M113" s="418"/>
      <x:c r="N113" s="418"/>
      <x:c r="O113" s="418"/>
      <x:c r="P113" s="418"/>
      <x:c r="Q113" s="418"/>
      <x:c r="R113" s="418"/>
      <x:c r="S113" s="418"/>
      <x:c r="T113" s="418"/>
      <x:c r="U113" s="418"/>
      <x:c r="V113" s="418"/>
      <x:c r="W113" s="418"/>
      <x:c r="X113" s="418"/>
      <x:c r="Y113" s="418"/>
      <x:c r="Z113" s="418"/>
    </x:row>
    <x:row r="114">
      <x:c r="A114" s="418"/>
      <x:c r="B114" s="418"/>
      <x:c r="C114" s="418"/>
      <x:c r="D114" s="418"/>
      <x:c r="E114" s="418"/>
      <x:c r="F114" s="418"/>
      <x:c r="G114" s="418"/>
      <x:c r="H114" s="418"/>
      <x:c r="I114" s="418"/>
      <x:c r="J114" s="418"/>
      <x:c r="K114" s="418"/>
      <x:c r="L114" s="418"/>
      <x:c r="M114" s="418"/>
      <x:c r="N114" s="418"/>
      <x:c r="O114" s="418"/>
      <x:c r="P114" s="418"/>
      <x:c r="Q114" s="418"/>
      <x:c r="R114" s="418"/>
      <x:c r="S114" s="418"/>
      <x:c r="T114" s="418"/>
      <x:c r="U114" s="418"/>
      <x:c r="V114" s="418"/>
      <x:c r="W114" s="418"/>
      <x:c r="X114" s="418"/>
      <x:c r="Y114" s="418"/>
      <x:c r="Z114" s="418"/>
    </x:row>
    <x:row r="115">
      <x:c r="A115" s="418"/>
      <x:c r="B115" s="418"/>
      <x:c r="C115" s="418"/>
      <x:c r="D115" s="418"/>
      <x:c r="E115" s="418"/>
      <x:c r="F115" s="418"/>
      <x:c r="G115" s="418"/>
      <x:c r="H115" s="418"/>
      <x:c r="I115" s="418"/>
      <x:c r="J115" s="418"/>
      <x:c r="K115" s="418"/>
      <x:c r="L115" s="418"/>
      <x:c r="M115" s="418"/>
      <x:c r="N115" s="418"/>
      <x:c r="O115" s="418"/>
      <x:c r="P115" s="418"/>
      <x:c r="Q115" s="418"/>
      <x:c r="R115" s="418"/>
      <x:c r="S115" s="418"/>
      <x:c r="T115" s="418"/>
      <x:c r="U115" s="418"/>
      <x:c r="V115" s="418"/>
      <x:c r="W115" s="418"/>
      <x:c r="X115" s="418"/>
      <x:c r="Y115" s="418"/>
      <x:c r="Z115" s="418"/>
    </x:row>
    <x:row r="116">
      <x:c r="A116" s="418"/>
      <x:c r="B116" s="418"/>
      <x:c r="C116" s="418"/>
      <x:c r="D116" s="418"/>
      <x:c r="E116" s="418"/>
      <x:c r="F116" s="418"/>
      <x:c r="G116" s="418"/>
      <x:c r="H116" s="418"/>
      <x:c r="I116" s="418"/>
      <x:c r="J116" s="418"/>
      <x:c r="K116" s="418"/>
      <x:c r="L116" s="418"/>
      <x:c r="M116" s="418"/>
      <x:c r="N116" s="418"/>
      <x:c r="O116" s="418"/>
      <x:c r="P116" s="418"/>
      <x:c r="Q116" s="418"/>
      <x:c r="R116" s="418"/>
      <x:c r="S116" s="418"/>
      <x:c r="T116" s="418"/>
      <x:c r="U116" s="418"/>
      <x:c r="V116" s="418"/>
      <x:c r="W116" s="418"/>
      <x:c r="X116" s="418"/>
      <x:c r="Y116" s="418"/>
      <x:c r="Z116" s="418"/>
    </x:row>
    <x:row r="117">
      <x:c r="A117" s="418"/>
      <x:c r="B117" s="418"/>
      <x:c r="C117" s="418"/>
      <x:c r="D117" s="418"/>
      <x:c r="E117" s="418"/>
      <x:c r="F117" s="418"/>
      <x:c r="G117" s="418"/>
      <x:c r="H117" s="418"/>
      <x:c r="I117" s="418"/>
      <x:c r="J117" s="418"/>
      <x:c r="K117" s="418"/>
      <x:c r="L117" s="418"/>
      <x:c r="M117" s="418"/>
      <x:c r="N117" s="418"/>
      <x:c r="O117" s="418"/>
      <x:c r="P117" s="418"/>
      <x:c r="Q117" s="418"/>
      <x:c r="R117" s="418"/>
      <x:c r="S117" s="418"/>
      <x:c r="T117" s="418"/>
      <x:c r="U117" s="418"/>
      <x:c r="V117" s="418"/>
      <x:c r="W117" s="418"/>
      <x:c r="X117" s="418"/>
      <x:c r="Y117" s="418"/>
      <x:c r="Z117" s="418"/>
    </x:row>
    <x:row r="118">
      <x:c r="A118" s="418"/>
      <x:c r="B118" s="418"/>
      <x:c r="C118" s="418"/>
      <x:c r="D118" s="418"/>
      <x:c r="E118" s="418"/>
      <x:c r="F118" s="418"/>
      <x:c r="G118" s="418"/>
      <x:c r="H118" s="418"/>
      <x:c r="I118" s="418"/>
      <x:c r="J118" s="418"/>
      <x:c r="K118" s="418"/>
      <x:c r="L118" s="418"/>
      <x:c r="M118" s="418"/>
      <x:c r="N118" s="418"/>
      <x:c r="O118" s="418"/>
      <x:c r="P118" s="418"/>
      <x:c r="Q118" s="418"/>
      <x:c r="R118" s="418"/>
      <x:c r="S118" s="418"/>
      <x:c r="T118" s="418"/>
      <x:c r="U118" s="418"/>
      <x:c r="V118" s="418"/>
      <x:c r="W118" s="418"/>
      <x:c r="X118" s="418"/>
      <x:c r="Y118" s="418"/>
      <x:c r="Z118" s="418"/>
    </x:row>
    <x:row r="119">
      <x:c r="A119" s="418"/>
      <x:c r="B119" s="418"/>
      <x:c r="C119" s="418"/>
      <x:c r="D119" s="418"/>
      <x:c r="E119" s="418"/>
      <x:c r="F119" s="418"/>
      <x:c r="G119" s="418"/>
      <x:c r="H119" s="418"/>
      <x:c r="I119" s="418"/>
      <x:c r="J119" s="418"/>
      <x:c r="K119" s="418"/>
      <x:c r="L119" s="418"/>
      <x:c r="M119" s="418"/>
      <x:c r="N119" s="418"/>
      <x:c r="O119" s="418"/>
      <x:c r="P119" s="418"/>
      <x:c r="Q119" s="418"/>
      <x:c r="R119" s="418"/>
      <x:c r="S119" s="418"/>
      <x:c r="T119" s="418"/>
      <x:c r="U119" s="418"/>
      <x:c r="V119" s="418"/>
      <x:c r="W119" s="418"/>
      <x:c r="X119" s="418"/>
      <x:c r="Y119" s="418"/>
      <x:c r="Z119" s="418"/>
    </x:row>
    <x:row r="120">
      <x:c r="A120" s="418"/>
      <x:c r="B120" s="418"/>
      <x:c r="C120" s="418"/>
      <x:c r="D120" s="418"/>
      <x:c r="E120" s="418"/>
      <x:c r="F120" s="418"/>
      <x:c r="G120" s="418"/>
      <x:c r="H120" s="418"/>
      <x:c r="I120" s="418"/>
      <x:c r="J120" s="418"/>
      <x:c r="K120" s="418"/>
      <x:c r="L120" s="418"/>
      <x:c r="M120" s="418"/>
      <x:c r="N120" s="418"/>
      <x:c r="O120" s="418"/>
      <x:c r="P120" s="418"/>
      <x:c r="Q120" s="418"/>
      <x:c r="R120" s="418"/>
      <x:c r="S120" s="418"/>
      <x:c r="T120" s="418"/>
      <x:c r="U120" s="418"/>
      <x:c r="V120" s="418"/>
      <x:c r="W120" s="418"/>
      <x:c r="X120" s="418"/>
      <x:c r="Y120" s="418"/>
      <x:c r="Z120" s="418"/>
    </x:row>
    <x:row r="121">
      <x:c r="A121" s="418"/>
      <x:c r="B121" s="418"/>
      <x:c r="C121" s="418"/>
      <x:c r="D121" s="418"/>
      <x:c r="E121" s="418"/>
      <x:c r="F121" s="418"/>
      <x:c r="G121" s="418"/>
      <x:c r="H121" s="418"/>
      <x:c r="I121" s="418"/>
      <x:c r="J121" s="418"/>
      <x:c r="K121" s="418"/>
      <x:c r="L121" s="418"/>
      <x:c r="M121" s="418"/>
      <x:c r="N121" s="418"/>
      <x:c r="O121" s="418"/>
      <x:c r="P121" s="418"/>
      <x:c r="Q121" s="418"/>
      <x:c r="R121" s="418"/>
      <x:c r="S121" s="418"/>
      <x:c r="T121" s="418"/>
      <x:c r="U121" s="418"/>
      <x:c r="V121" s="418"/>
      <x:c r="W121" s="418"/>
      <x:c r="X121" s="418"/>
      <x:c r="Y121" s="418"/>
      <x:c r="Z121" s="418"/>
    </x:row>
    <x:row r="122">
      <x:c r="A122" s="418"/>
      <x:c r="B122" s="418"/>
      <x:c r="C122" s="418"/>
      <x:c r="D122" s="418"/>
      <x:c r="E122" s="418"/>
      <x:c r="F122" s="418"/>
      <x:c r="G122" s="418"/>
      <x:c r="H122" s="418"/>
      <x:c r="I122" s="418"/>
      <x:c r="J122" s="418"/>
      <x:c r="K122" s="418"/>
      <x:c r="L122" s="418"/>
      <x:c r="M122" s="418"/>
      <x:c r="N122" s="418"/>
      <x:c r="O122" s="418"/>
      <x:c r="P122" s="418"/>
      <x:c r="Q122" s="418"/>
      <x:c r="R122" s="418"/>
      <x:c r="S122" s="418"/>
      <x:c r="T122" s="418"/>
      <x:c r="U122" s="418"/>
      <x:c r="V122" s="418"/>
      <x:c r="W122" s="418"/>
      <x:c r="X122" s="418"/>
      <x:c r="Y122" s="418"/>
      <x:c r="Z122" s="418"/>
    </x:row>
    <x:row r="123">
      <x:c r="A123" s="418"/>
      <x:c r="B123" s="418"/>
      <x:c r="C123" s="418"/>
      <x:c r="D123" s="418"/>
      <x:c r="E123" s="418"/>
      <x:c r="F123" s="418"/>
      <x:c r="G123" s="418"/>
      <x:c r="H123" s="418"/>
      <x:c r="I123" s="418"/>
      <x:c r="J123" s="418"/>
      <x:c r="K123" s="418"/>
      <x:c r="L123" s="418"/>
      <x:c r="M123" s="418"/>
      <x:c r="N123" s="418"/>
      <x:c r="O123" s="418"/>
      <x:c r="P123" s="418"/>
      <x:c r="Q123" s="418"/>
      <x:c r="R123" s="418"/>
      <x:c r="S123" s="418"/>
      <x:c r="T123" s="418"/>
      <x:c r="U123" s="418"/>
      <x:c r="V123" s="418"/>
      <x:c r="W123" s="418"/>
      <x:c r="X123" s="418"/>
      <x:c r="Y123" s="418"/>
      <x:c r="Z123" s="418"/>
    </x:row>
    <x:row r="124">
      <x:c r="A124" s="418"/>
      <x:c r="B124" s="418"/>
      <x:c r="C124" s="418"/>
      <x:c r="D124" s="418"/>
      <x:c r="E124" s="418"/>
      <x:c r="F124" s="418"/>
      <x:c r="G124" s="418"/>
      <x:c r="H124" s="418"/>
      <x:c r="I124" s="418"/>
      <x:c r="J124" s="418"/>
      <x:c r="K124" s="418"/>
      <x:c r="L124" s="418"/>
      <x:c r="M124" s="418"/>
      <x:c r="N124" s="418"/>
      <x:c r="O124" s="418"/>
      <x:c r="P124" s="418"/>
      <x:c r="Q124" s="418"/>
      <x:c r="R124" s="418"/>
      <x:c r="S124" s="418"/>
      <x:c r="T124" s="418"/>
      <x:c r="U124" s="418"/>
      <x:c r="V124" s="418"/>
      <x:c r="W124" s="418"/>
      <x:c r="X124" s="418"/>
      <x:c r="Y124" s="418"/>
      <x:c r="Z124" s="418"/>
    </x:row>
    <x:row r="125">
      <x:c r="A125" s="418"/>
      <x:c r="B125" s="418"/>
      <x:c r="C125" s="418"/>
      <x:c r="D125" s="418"/>
      <x:c r="E125" s="418"/>
      <x:c r="F125" s="418"/>
      <x:c r="G125" s="418"/>
      <x:c r="H125" s="418"/>
      <x:c r="I125" s="418"/>
      <x:c r="J125" s="418"/>
      <x:c r="K125" s="418"/>
      <x:c r="L125" s="418"/>
      <x:c r="M125" s="418"/>
      <x:c r="N125" s="418"/>
      <x:c r="O125" s="418"/>
      <x:c r="P125" s="418"/>
      <x:c r="Q125" s="418"/>
      <x:c r="R125" s="418"/>
      <x:c r="S125" s="418"/>
      <x:c r="T125" s="418"/>
      <x:c r="U125" s="418"/>
      <x:c r="V125" s="418"/>
      <x:c r="W125" s="418"/>
      <x:c r="X125" s="418"/>
      <x:c r="Y125" s="418"/>
      <x:c r="Z125" s="418"/>
    </x:row>
    <x:row r="126">
      <x:c r="A126" s="418"/>
      <x:c r="B126" s="418"/>
      <x:c r="C126" s="418"/>
      <x:c r="D126" s="418"/>
      <x:c r="E126" s="418"/>
      <x:c r="F126" s="418"/>
      <x:c r="G126" s="418"/>
      <x:c r="H126" s="418"/>
      <x:c r="I126" s="418"/>
      <x:c r="J126" s="418"/>
      <x:c r="K126" s="418"/>
      <x:c r="L126" s="418"/>
      <x:c r="M126" s="418"/>
      <x:c r="N126" s="418"/>
      <x:c r="O126" s="418"/>
      <x:c r="P126" s="418"/>
      <x:c r="Q126" s="418"/>
      <x:c r="R126" s="418"/>
      <x:c r="S126" s="418"/>
      <x:c r="T126" s="418"/>
      <x:c r="U126" s="418"/>
      <x:c r="V126" s="418"/>
      <x:c r="W126" s="418"/>
      <x:c r="X126" s="418"/>
      <x:c r="Y126" s="418"/>
      <x:c r="Z126" s="418"/>
    </x:row>
    <x:row r="127">
      <x:c r="A127" s="418"/>
      <x:c r="B127" s="418"/>
      <x:c r="C127" s="418"/>
      <x:c r="D127" s="418"/>
      <x:c r="E127" s="418"/>
      <x:c r="F127" s="418"/>
      <x:c r="G127" s="418"/>
      <x:c r="H127" s="418"/>
      <x:c r="I127" s="418"/>
      <x:c r="J127" s="418"/>
      <x:c r="K127" s="418"/>
      <x:c r="L127" s="418"/>
      <x:c r="M127" s="418"/>
      <x:c r="N127" s="418"/>
      <x:c r="O127" s="418"/>
      <x:c r="P127" s="418"/>
      <x:c r="Q127" s="418"/>
      <x:c r="R127" s="418"/>
      <x:c r="S127" s="418"/>
      <x:c r="T127" s="418"/>
      <x:c r="U127" s="418"/>
      <x:c r="V127" s="418"/>
      <x:c r="W127" s="418"/>
      <x:c r="X127" s="418"/>
      <x:c r="Y127" s="418"/>
      <x:c r="Z127" s="418"/>
    </x:row>
    <x:row r="128">
      <x:c r="A128" s="418"/>
      <x:c r="B128" s="418"/>
      <x:c r="C128" s="418"/>
      <x:c r="D128" s="418"/>
      <x:c r="E128" s="418"/>
      <x:c r="F128" s="418"/>
      <x:c r="G128" s="418"/>
      <x:c r="H128" s="418"/>
      <x:c r="I128" s="418"/>
      <x:c r="J128" s="418"/>
      <x:c r="K128" s="418"/>
      <x:c r="L128" s="418"/>
      <x:c r="M128" s="418"/>
      <x:c r="N128" s="418"/>
      <x:c r="O128" s="418"/>
      <x:c r="P128" s="418"/>
      <x:c r="Q128" s="418"/>
      <x:c r="R128" s="418"/>
      <x:c r="S128" s="418"/>
      <x:c r="T128" s="418"/>
      <x:c r="U128" s="418"/>
      <x:c r="V128" s="418"/>
      <x:c r="W128" s="418"/>
      <x:c r="X128" s="418"/>
      <x:c r="Y128" s="418"/>
      <x:c r="Z128" s="418"/>
    </x:row>
    <x:row r="129">
      <x:c r="A129" s="418"/>
      <x:c r="B129" s="418"/>
      <x:c r="C129" s="418"/>
      <x:c r="D129" s="418"/>
      <x:c r="E129" s="418"/>
      <x:c r="F129" s="418"/>
      <x:c r="G129" s="418"/>
      <x:c r="H129" s="418"/>
      <x:c r="I129" s="418"/>
      <x:c r="J129" s="418"/>
      <x:c r="K129" s="418"/>
      <x:c r="L129" s="418"/>
      <x:c r="M129" s="418"/>
      <x:c r="N129" s="418"/>
      <x:c r="O129" s="418"/>
      <x:c r="P129" s="418"/>
      <x:c r="Q129" s="418"/>
      <x:c r="R129" s="418"/>
      <x:c r="S129" s="418"/>
      <x:c r="T129" s="418"/>
      <x:c r="U129" s="418"/>
      <x:c r="V129" s="418"/>
      <x:c r="W129" s="418"/>
      <x:c r="X129" s="418"/>
      <x:c r="Y129" s="418"/>
      <x:c r="Z129" s="418"/>
    </x:row>
    <x:row r="130">
      <x:c r="A130" s="418"/>
      <x:c r="B130" s="418"/>
      <x:c r="C130" s="418"/>
      <x:c r="D130" s="418"/>
      <x:c r="E130" s="418"/>
      <x:c r="F130" s="418"/>
      <x:c r="G130" s="418"/>
      <x:c r="H130" s="418"/>
      <x:c r="I130" s="418"/>
      <x:c r="J130" s="418"/>
      <x:c r="K130" s="418"/>
      <x:c r="L130" s="418"/>
      <x:c r="M130" s="418"/>
      <x:c r="N130" s="418"/>
      <x:c r="O130" s="418"/>
      <x:c r="P130" s="418"/>
      <x:c r="Q130" s="418"/>
      <x:c r="R130" s="418"/>
      <x:c r="S130" s="418"/>
      <x:c r="T130" s="418"/>
      <x:c r="U130" s="418"/>
      <x:c r="V130" s="418"/>
      <x:c r="W130" s="418"/>
      <x:c r="X130" s="418"/>
      <x:c r="Y130" s="418"/>
      <x:c r="Z130" s="418"/>
    </x:row>
    <x:row r="131">
      <x:c r="A131" s="418"/>
      <x:c r="B131" s="418"/>
      <x:c r="C131" s="418"/>
      <x:c r="D131" s="418"/>
      <x:c r="E131" s="418"/>
      <x:c r="F131" s="418"/>
      <x:c r="G131" s="418"/>
      <x:c r="H131" s="418"/>
      <x:c r="I131" s="418"/>
      <x:c r="J131" s="418"/>
      <x:c r="K131" s="418"/>
      <x:c r="L131" s="418"/>
      <x:c r="M131" s="418"/>
      <x:c r="N131" s="418"/>
      <x:c r="O131" s="418"/>
      <x:c r="P131" s="418"/>
      <x:c r="Q131" s="418"/>
      <x:c r="R131" s="418"/>
      <x:c r="S131" s="418"/>
      <x:c r="T131" s="418"/>
      <x:c r="U131" s="418"/>
      <x:c r="V131" s="418"/>
      <x:c r="W131" s="418"/>
      <x:c r="X131" s="418"/>
      <x:c r="Y131" s="418"/>
      <x:c r="Z131" s="418"/>
    </x:row>
    <x:row r="132">
      <x:c r="A132" s="418"/>
      <x:c r="B132" s="418"/>
      <x:c r="C132" s="418"/>
      <x:c r="D132" s="418"/>
      <x:c r="E132" s="418"/>
      <x:c r="F132" s="418"/>
      <x:c r="G132" s="418"/>
      <x:c r="H132" s="418"/>
      <x:c r="I132" s="418"/>
      <x:c r="J132" s="418"/>
      <x:c r="K132" s="418"/>
      <x:c r="L132" s="418"/>
      <x:c r="M132" s="418"/>
      <x:c r="N132" s="418"/>
      <x:c r="O132" s="418"/>
      <x:c r="P132" s="418"/>
      <x:c r="Q132" s="418"/>
      <x:c r="R132" s="418"/>
      <x:c r="S132" s="418"/>
      <x:c r="T132" s="418"/>
      <x:c r="U132" s="418"/>
      <x:c r="V132" s="418"/>
      <x:c r="W132" s="418"/>
      <x:c r="X132" s="418"/>
      <x:c r="Y132" s="418"/>
      <x:c r="Z132" s="418"/>
    </x:row>
    <x:row r="133">
      <x:c r="A133" s="418"/>
      <x:c r="B133" s="418"/>
      <x:c r="C133" s="418"/>
      <x:c r="D133" s="418"/>
      <x:c r="E133" s="418"/>
      <x:c r="F133" s="418"/>
      <x:c r="G133" s="418"/>
      <x:c r="H133" s="418"/>
      <x:c r="I133" s="418"/>
      <x:c r="J133" s="418"/>
      <x:c r="K133" s="418"/>
      <x:c r="L133" s="418"/>
      <x:c r="M133" s="418"/>
      <x:c r="N133" s="418"/>
      <x:c r="O133" s="418"/>
      <x:c r="P133" s="418"/>
      <x:c r="Q133" s="418"/>
      <x:c r="R133" s="418"/>
      <x:c r="S133" s="418"/>
      <x:c r="T133" s="418"/>
      <x:c r="U133" s="418"/>
      <x:c r="V133" s="418"/>
      <x:c r="W133" s="418"/>
      <x:c r="X133" s="418"/>
      <x:c r="Y133" s="418"/>
      <x:c r="Z133" s="418"/>
    </x:row>
    <x:row r="134">
      <x:c r="A134" s="418"/>
      <x:c r="B134" s="418"/>
      <x:c r="C134" s="418"/>
      <x:c r="D134" s="418"/>
      <x:c r="E134" s="418"/>
      <x:c r="F134" s="418"/>
      <x:c r="G134" s="418"/>
      <x:c r="H134" s="418"/>
      <x:c r="I134" s="418"/>
      <x:c r="J134" s="418"/>
      <x:c r="K134" s="418"/>
      <x:c r="L134" s="418"/>
      <x:c r="M134" s="418"/>
      <x:c r="N134" s="418"/>
      <x:c r="O134" s="418"/>
      <x:c r="P134" s="418"/>
      <x:c r="Q134" s="418"/>
      <x:c r="R134" s="418"/>
      <x:c r="S134" s="418"/>
      <x:c r="T134" s="418"/>
      <x:c r="U134" s="418"/>
      <x:c r="V134" s="418"/>
      <x:c r="W134" s="418"/>
      <x:c r="X134" s="418"/>
      <x:c r="Y134" s="418"/>
      <x:c r="Z134" s="418"/>
    </x:row>
    <x:row r="135">
      <x:c r="A135" s="418"/>
      <x:c r="B135" s="418"/>
      <x:c r="C135" s="418"/>
      <x:c r="D135" s="418"/>
      <x:c r="E135" s="418"/>
      <x:c r="F135" s="418"/>
      <x:c r="G135" s="418"/>
      <x:c r="H135" s="418"/>
      <x:c r="I135" s="418"/>
      <x:c r="J135" s="418"/>
      <x:c r="K135" s="418"/>
      <x:c r="L135" s="418"/>
      <x:c r="M135" s="418"/>
      <x:c r="N135" s="418"/>
      <x:c r="O135" s="418"/>
      <x:c r="P135" s="418"/>
      <x:c r="Q135" s="418"/>
      <x:c r="R135" s="418"/>
      <x:c r="S135" s="418"/>
      <x:c r="T135" s="418"/>
      <x:c r="U135" s="418"/>
      <x:c r="V135" s="418"/>
      <x:c r="W135" s="418"/>
      <x:c r="X135" s="418"/>
      <x:c r="Y135" s="418"/>
      <x:c r="Z135" s="418"/>
    </x:row>
    <x:row r="136">
      <x:c r="A136" s="418"/>
      <x:c r="B136" s="418"/>
      <x:c r="C136" s="418"/>
      <x:c r="D136" s="418"/>
      <x:c r="E136" s="418"/>
      <x:c r="F136" s="418"/>
      <x:c r="G136" s="418"/>
      <x:c r="H136" s="418"/>
      <x:c r="I136" s="418"/>
      <x:c r="J136" s="418"/>
      <x:c r="K136" s="418"/>
      <x:c r="L136" s="418"/>
      <x:c r="M136" s="418"/>
      <x:c r="N136" s="418"/>
      <x:c r="O136" s="418"/>
      <x:c r="P136" s="418"/>
      <x:c r="Q136" s="418"/>
      <x:c r="R136" s="418"/>
      <x:c r="S136" s="418"/>
      <x:c r="T136" s="418"/>
      <x:c r="U136" s="418"/>
      <x:c r="V136" s="418"/>
      <x:c r="W136" s="418"/>
      <x:c r="X136" s="418"/>
      <x:c r="Y136" s="418"/>
      <x:c r="Z136" s="418"/>
    </x:row>
    <x:row r="137">
      <x:c r="A137" s="418"/>
      <x:c r="B137" s="418"/>
      <x:c r="C137" s="418"/>
      <x:c r="D137" s="418"/>
      <x:c r="E137" s="418"/>
      <x:c r="F137" s="418"/>
      <x:c r="G137" s="418"/>
      <x:c r="H137" s="418"/>
      <x:c r="I137" s="418"/>
      <x:c r="J137" s="418"/>
      <x:c r="K137" s="418"/>
      <x:c r="L137" s="418"/>
      <x:c r="M137" s="418"/>
      <x:c r="N137" s="418"/>
      <x:c r="O137" s="418"/>
      <x:c r="P137" s="418"/>
      <x:c r="Q137" s="418"/>
      <x:c r="R137" s="418"/>
      <x:c r="S137" s="418"/>
      <x:c r="T137" s="418"/>
      <x:c r="U137" s="418"/>
      <x:c r="V137" s="418"/>
      <x:c r="W137" s="418"/>
      <x:c r="X137" s="418"/>
      <x:c r="Y137" s="418"/>
      <x:c r="Z137" s="418"/>
    </x:row>
    <x:row r="138">
      <x:c r="A138" s="418"/>
      <x:c r="B138" s="418"/>
      <x:c r="C138" s="418"/>
      <x:c r="D138" s="418"/>
      <x:c r="E138" s="418"/>
      <x:c r="F138" s="418"/>
      <x:c r="G138" s="418"/>
      <x:c r="H138" s="418"/>
      <x:c r="I138" s="418"/>
      <x:c r="J138" s="418"/>
      <x:c r="K138" s="418"/>
      <x:c r="L138" s="418"/>
      <x:c r="M138" s="418"/>
      <x:c r="N138" s="418"/>
      <x:c r="O138" s="418"/>
      <x:c r="P138" s="418"/>
      <x:c r="Q138" s="418"/>
      <x:c r="R138" s="418"/>
      <x:c r="S138" s="418"/>
      <x:c r="T138" s="418"/>
      <x:c r="U138" s="418"/>
      <x:c r="V138" s="418"/>
      <x:c r="W138" s="418"/>
      <x:c r="X138" s="418"/>
      <x:c r="Y138" s="418"/>
      <x:c r="Z138" s="418"/>
    </x:row>
    <x:row r="139">
      <x:c r="A139" s="418"/>
      <x:c r="B139" s="418"/>
      <x:c r="C139" s="418"/>
      <x:c r="D139" s="418"/>
      <x:c r="E139" s="418"/>
      <x:c r="F139" s="418"/>
      <x:c r="G139" s="418"/>
      <x:c r="H139" s="418"/>
      <x:c r="I139" s="418"/>
      <x:c r="J139" s="418"/>
      <x:c r="K139" s="418"/>
      <x:c r="L139" s="418"/>
      <x:c r="M139" s="418"/>
      <x:c r="N139" s="418"/>
      <x:c r="O139" s="418"/>
      <x:c r="P139" s="418"/>
      <x:c r="Q139" s="418"/>
      <x:c r="R139" s="418"/>
      <x:c r="S139" s="418"/>
      <x:c r="T139" s="418"/>
      <x:c r="U139" s="418"/>
      <x:c r="V139" s="418"/>
      <x:c r="W139" s="418"/>
      <x:c r="X139" s="418"/>
      <x:c r="Y139" s="418"/>
      <x:c r="Z139" s="418"/>
    </x:row>
    <x:row r="140">
      <x:c r="A140" s="418"/>
      <x:c r="B140" s="418"/>
      <x:c r="C140" s="418"/>
      <x:c r="D140" s="418"/>
      <x:c r="E140" s="418"/>
      <x:c r="F140" s="418"/>
      <x:c r="G140" s="418"/>
      <x:c r="H140" s="418"/>
      <x:c r="I140" s="418"/>
      <x:c r="J140" s="418"/>
      <x:c r="K140" s="418"/>
      <x:c r="L140" s="418"/>
      <x:c r="M140" s="418"/>
      <x:c r="N140" s="418"/>
      <x:c r="O140" s="418"/>
      <x:c r="P140" s="418"/>
      <x:c r="Q140" s="418"/>
      <x:c r="R140" s="418"/>
      <x:c r="S140" s="418"/>
      <x:c r="T140" s="418"/>
      <x:c r="U140" s="418"/>
      <x:c r="V140" s="418"/>
      <x:c r="W140" s="418"/>
      <x:c r="X140" s="418"/>
      <x:c r="Y140" s="418"/>
      <x:c r="Z140" s="418"/>
    </x:row>
    <x:row r="141">
      <x:c r="A141" s="418"/>
      <x:c r="B141" s="418"/>
      <x:c r="C141" s="418"/>
      <x:c r="D141" s="418"/>
      <x:c r="E141" s="418"/>
      <x:c r="F141" s="418"/>
      <x:c r="G141" s="418"/>
      <x:c r="H141" s="418"/>
      <x:c r="I141" s="418"/>
      <x:c r="J141" s="418"/>
      <x:c r="K141" s="418"/>
      <x:c r="L141" s="418"/>
      <x:c r="M141" s="418"/>
      <x:c r="N141" s="418"/>
      <x:c r="O141" s="418"/>
      <x:c r="P141" s="418"/>
      <x:c r="Q141" s="418"/>
      <x:c r="R141" s="418"/>
      <x:c r="S141" s="418"/>
      <x:c r="T141" s="418"/>
      <x:c r="U141" s="418"/>
      <x:c r="V141" s="418"/>
      <x:c r="W141" s="418"/>
      <x:c r="X141" s="418"/>
      <x:c r="Y141" s="418"/>
      <x:c r="Z141" s="418"/>
    </x:row>
    <x:row r="142">
      <x:c r="A142" s="418"/>
      <x:c r="B142" s="418"/>
      <x:c r="C142" s="418"/>
      <x:c r="D142" s="418"/>
      <x:c r="E142" s="418"/>
      <x:c r="F142" s="418"/>
      <x:c r="G142" s="418"/>
      <x:c r="H142" s="418"/>
      <x:c r="I142" s="418"/>
      <x:c r="J142" s="418"/>
      <x:c r="K142" s="418"/>
      <x:c r="L142" s="418"/>
      <x:c r="M142" s="418"/>
      <x:c r="N142" s="418"/>
      <x:c r="O142" s="418"/>
      <x:c r="P142" s="418"/>
      <x:c r="Q142" s="418"/>
      <x:c r="R142" s="418"/>
      <x:c r="S142" s="418"/>
      <x:c r="T142" s="418"/>
      <x:c r="U142" s="418"/>
      <x:c r="V142" s="418"/>
      <x:c r="W142" s="418"/>
      <x:c r="X142" s="418"/>
      <x:c r="Y142" s="418"/>
      <x:c r="Z142" s="418"/>
    </x:row>
    <x:row r="143">
      <x:c r="A143" s="418"/>
      <x:c r="B143" s="418"/>
      <x:c r="C143" s="418"/>
      <x:c r="D143" s="418"/>
      <x:c r="E143" s="418"/>
      <x:c r="F143" s="418"/>
      <x:c r="G143" s="418"/>
      <x:c r="H143" s="418"/>
      <x:c r="I143" s="418"/>
      <x:c r="J143" s="418"/>
      <x:c r="K143" s="418"/>
      <x:c r="L143" s="418"/>
      <x:c r="M143" s="418"/>
      <x:c r="N143" s="418"/>
      <x:c r="O143" s="418"/>
      <x:c r="P143" s="418"/>
      <x:c r="Q143" s="418"/>
      <x:c r="R143" s="418"/>
      <x:c r="S143" s="418"/>
      <x:c r="T143" s="418"/>
      <x:c r="U143" s="418"/>
      <x:c r="V143" s="418"/>
      <x:c r="W143" s="418"/>
      <x:c r="X143" s="418"/>
      <x:c r="Y143" s="418"/>
      <x:c r="Z143" s="418"/>
    </x:row>
    <x:row r="144">
      <x:c r="A144" s="418"/>
      <x:c r="B144" s="418"/>
      <x:c r="C144" s="418"/>
      <x:c r="D144" s="418"/>
      <x:c r="E144" s="418"/>
      <x:c r="F144" s="418"/>
      <x:c r="G144" s="418"/>
      <x:c r="H144" s="418"/>
      <x:c r="I144" s="418"/>
      <x:c r="J144" s="418"/>
      <x:c r="K144" s="418"/>
      <x:c r="L144" s="418"/>
      <x:c r="M144" s="418"/>
      <x:c r="N144" s="418"/>
      <x:c r="O144" s="418"/>
      <x:c r="P144" s="418"/>
      <x:c r="Q144" s="418"/>
      <x:c r="R144" s="418"/>
      <x:c r="S144" s="418"/>
      <x:c r="T144" s="418"/>
      <x:c r="U144" s="418"/>
      <x:c r="V144" s="418"/>
      <x:c r="W144" s="418"/>
      <x:c r="X144" s="418"/>
      <x:c r="Y144" s="418"/>
      <x:c r="Z144" s="418"/>
    </x:row>
    <x:row r="145">
      <x:c r="A145" s="418"/>
      <x:c r="B145" s="418"/>
      <x:c r="C145" s="418"/>
      <x:c r="D145" s="418"/>
      <x:c r="E145" s="418"/>
      <x:c r="F145" s="418"/>
      <x:c r="G145" s="418"/>
      <x:c r="H145" s="418"/>
      <x:c r="I145" s="418"/>
      <x:c r="J145" s="418"/>
      <x:c r="K145" s="418"/>
      <x:c r="L145" s="418"/>
      <x:c r="M145" s="418"/>
      <x:c r="N145" s="418"/>
      <x:c r="O145" s="418"/>
      <x:c r="P145" s="418"/>
      <x:c r="Q145" s="418"/>
      <x:c r="R145" s="418"/>
      <x:c r="S145" s="418"/>
      <x:c r="T145" s="418"/>
      <x:c r="U145" s="418"/>
      <x:c r="V145" s="418"/>
      <x:c r="W145" s="418"/>
      <x:c r="X145" s="418"/>
      <x:c r="Y145" s="418"/>
      <x:c r="Z145" s="418"/>
    </x:row>
    <x:row r="146">
      <x:c r="A146" s="418"/>
      <x:c r="B146" s="418"/>
      <x:c r="C146" s="418"/>
      <x:c r="D146" s="418"/>
      <x:c r="E146" s="418"/>
      <x:c r="F146" s="418"/>
      <x:c r="G146" s="418"/>
      <x:c r="H146" s="418"/>
      <x:c r="I146" s="418"/>
      <x:c r="J146" s="418"/>
      <x:c r="K146" s="418"/>
      <x:c r="L146" s="418"/>
      <x:c r="M146" s="418"/>
      <x:c r="N146" s="418"/>
      <x:c r="O146" s="418"/>
      <x:c r="P146" s="418"/>
      <x:c r="Q146" s="418"/>
      <x:c r="R146" s="418"/>
      <x:c r="S146" s="418"/>
      <x:c r="T146" s="418"/>
      <x:c r="U146" s="418"/>
      <x:c r="V146" s="418"/>
      <x:c r="W146" s="418"/>
      <x:c r="X146" s="418"/>
      <x:c r="Y146" s="418"/>
      <x:c r="Z146" s="418"/>
    </x:row>
    <x:row r="147">
      <x:c r="A147" s="418"/>
      <x:c r="B147" s="418"/>
      <x:c r="C147" s="418"/>
      <x:c r="D147" s="418"/>
      <x:c r="E147" s="418"/>
      <x:c r="F147" s="418"/>
      <x:c r="G147" s="418"/>
      <x:c r="H147" s="418"/>
      <x:c r="I147" s="418"/>
      <x:c r="J147" s="418"/>
      <x:c r="K147" s="418"/>
      <x:c r="L147" s="418"/>
      <x:c r="M147" s="418"/>
      <x:c r="N147" s="418"/>
      <x:c r="O147" s="418"/>
      <x:c r="P147" s="418"/>
      <x:c r="Q147" s="418"/>
      <x:c r="R147" s="418"/>
      <x:c r="S147" s="418"/>
      <x:c r="T147" s="418"/>
      <x:c r="U147" s="418"/>
      <x:c r="V147" s="418"/>
      <x:c r="W147" s="418"/>
      <x:c r="X147" s="418"/>
      <x:c r="Y147" s="418"/>
      <x:c r="Z147" s="418"/>
    </x:row>
    <x:row r="148">
      <x:c r="A148" s="418"/>
      <x:c r="B148" s="418"/>
      <x:c r="C148" s="418"/>
      <x:c r="D148" s="418"/>
      <x:c r="E148" s="418"/>
      <x:c r="F148" s="418"/>
      <x:c r="G148" s="418"/>
      <x:c r="H148" s="418"/>
      <x:c r="I148" s="418"/>
      <x:c r="J148" s="418"/>
      <x:c r="K148" s="418"/>
      <x:c r="L148" s="418"/>
      <x:c r="M148" s="418"/>
      <x:c r="N148" s="418"/>
      <x:c r="O148" s="418"/>
      <x:c r="P148" s="418"/>
      <x:c r="Q148" s="418"/>
      <x:c r="R148" s="418"/>
      <x:c r="S148" s="418"/>
      <x:c r="T148" s="418"/>
      <x:c r="U148" s="418"/>
      <x:c r="V148" s="418"/>
      <x:c r="W148" s="418"/>
      <x:c r="X148" s="418"/>
      <x:c r="Y148" s="418"/>
      <x:c r="Z148" s="418"/>
    </x:row>
    <x:row r="149">
      <x:c r="A149" s="418"/>
      <x:c r="B149" s="418"/>
      <x:c r="C149" s="418"/>
      <x:c r="D149" s="418"/>
      <x:c r="E149" s="418"/>
      <x:c r="F149" s="418"/>
      <x:c r="G149" s="418"/>
      <x:c r="H149" s="418"/>
      <x:c r="I149" s="418"/>
      <x:c r="J149" s="418"/>
      <x:c r="K149" s="418"/>
      <x:c r="L149" s="418"/>
      <x:c r="M149" s="418"/>
      <x:c r="N149" s="418"/>
      <x:c r="O149" s="418"/>
      <x:c r="P149" s="418"/>
      <x:c r="Q149" s="418"/>
      <x:c r="R149" s="418"/>
      <x:c r="S149" s="418"/>
      <x:c r="T149" s="418"/>
      <x:c r="U149" s="418"/>
      <x:c r="V149" s="418"/>
      <x:c r="W149" s="418"/>
      <x:c r="X149" s="418"/>
      <x:c r="Y149" s="418"/>
      <x:c r="Z149" s="418"/>
    </x:row>
    <x:row r="150">
      <x:c r="A150" s="418"/>
      <x:c r="B150" s="418"/>
      <x:c r="C150" s="418"/>
      <x:c r="D150" s="418"/>
      <x:c r="E150" s="418"/>
      <x:c r="F150" s="418"/>
      <x:c r="G150" s="418"/>
      <x:c r="H150" s="418"/>
      <x:c r="I150" s="418"/>
      <x:c r="J150" s="418"/>
      <x:c r="K150" s="418"/>
      <x:c r="L150" s="418"/>
      <x:c r="M150" s="418"/>
      <x:c r="N150" s="418"/>
      <x:c r="O150" s="418"/>
      <x:c r="P150" s="418"/>
      <x:c r="Q150" s="418"/>
      <x:c r="R150" s="418"/>
      <x:c r="S150" s="418"/>
      <x:c r="T150" s="418"/>
      <x:c r="U150" s="418"/>
      <x:c r="V150" s="418"/>
      <x:c r="W150" s="418"/>
      <x:c r="X150" s="418"/>
      <x:c r="Y150" s="418"/>
      <x:c r="Z150" s="418"/>
    </x:row>
    <x:row r="151">
      <x:c r="A151" s="418"/>
      <x:c r="B151" s="418"/>
      <x:c r="C151" s="418"/>
      <x:c r="D151" s="418"/>
      <x:c r="E151" s="418"/>
      <x:c r="F151" s="418"/>
      <x:c r="G151" s="418"/>
      <x:c r="H151" s="418"/>
      <x:c r="I151" s="418"/>
      <x:c r="J151" s="418"/>
      <x:c r="K151" s="418"/>
      <x:c r="L151" s="418"/>
      <x:c r="M151" s="418"/>
      <x:c r="N151" s="418"/>
      <x:c r="O151" s="418"/>
      <x:c r="P151" s="418"/>
      <x:c r="Q151" s="418"/>
      <x:c r="R151" s="418"/>
      <x:c r="S151" s="418"/>
      <x:c r="T151" s="418"/>
      <x:c r="U151" s="418"/>
      <x:c r="V151" s="418"/>
      <x:c r="W151" s="418"/>
      <x:c r="X151" s="418"/>
      <x:c r="Y151" s="418"/>
      <x:c r="Z151" s="418"/>
    </x:row>
    <x:row r="152">
      <x:c r="A152" s="418"/>
      <x:c r="B152" s="418"/>
      <x:c r="C152" s="418"/>
      <x:c r="D152" s="418"/>
      <x:c r="E152" s="418"/>
      <x:c r="F152" s="418"/>
      <x:c r="G152" s="418"/>
      <x:c r="H152" s="418"/>
      <x:c r="I152" s="418"/>
      <x:c r="J152" s="418"/>
      <x:c r="K152" s="418"/>
      <x:c r="L152" s="418"/>
      <x:c r="M152" s="418"/>
      <x:c r="N152" s="418"/>
      <x:c r="O152" s="418"/>
      <x:c r="P152" s="418"/>
      <x:c r="Q152" s="418"/>
      <x:c r="R152" s="418"/>
      <x:c r="S152" s="418"/>
      <x:c r="T152" s="418"/>
      <x:c r="U152" s="418"/>
      <x:c r="V152" s="418"/>
      <x:c r="W152" s="418"/>
      <x:c r="X152" s="418"/>
      <x:c r="Y152" s="418"/>
      <x:c r="Z152" s="418"/>
    </x:row>
    <x:row r="153">
      <x:c r="A153" s="418"/>
      <x:c r="B153" s="418"/>
      <x:c r="C153" s="418"/>
      <x:c r="D153" s="418"/>
      <x:c r="E153" s="418"/>
      <x:c r="F153" s="418"/>
      <x:c r="G153" s="418"/>
      <x:c r="H153" s="418"/>
      <x:c r="I153" s="418"/>
      <x:c r="J153" s="418"/>
      <x:c r="K153" s="418"/>
      <x:c r="L153" s="418"/>
      <x:c r="M153" s="418"/>
      <x:c r="N153" s="418"/>
      <x:c r="O153" s="418"/>
      <x:c r="P153" s="418"/>
      <x:c r="Q153" s="418"/>
      <x:c r="R153" s="418"/>
      <x:c r="S153" s="418"/>
      <x:c r="T153" s="418"/>
      <x:c r="U153" s="418"/>
      <x:c r="V153" s="418"/>
      <x:c r="W153" s="418"/>
      <x:c r="X153" s="418"/>
      <x:c r="Y153" s="418"/>
      <x:c r="Z153" s="418"/>
    </x:row>
    <x:row r="154">
      <x:c r="A154" s="418"/>
      <x:c r="B154" s="418"/>
      <x:c r="C154" s="418"/>
      <x:c r="D154" s="418"/>
      <x:c r="E154" s="418"/>
      <x:c r="F154" s="418"/>
      <x:c r="G154" s="418"/>
      <x:c r="H154" s="418"/>
      <x:c r="I154" s="418"/>
      <x:c r="J154" s="418"/>
      <x:c r="K154" s="418"/>
      <x:c r="L154" s="418"/>
      <x:c r="M154" s="418"/>
      <x:c r="N154" s="418"/>
      <x:c r="O154" s="418"/>
      <x:c r="P154" s="418"/>
      <x:c r="Q154" s="418"/>
      <x:c r="R154" s="418"/>
      <x:c r="S154" s="418"/>
      <x:c r="T154" s="418"/>
      <x:c r="U154" s="418"/>
      <x:c r="V154" s="418"/>
      <x:c r="W154" s="418"/>
      <x:c r="X154" s="418"/>
      <x:c r="Y154" s="418"/>
      <x:c r="Z154" s="418"/>
    </x:row>
    <x:row r="155">
      <x:c r="A155" s="418"/>
      <x:c r="B155" s="418"/>
      <x:c r="C155" s="418"/>
      <x:c r="D155" s="418"/>
      <x:c r="E155" s="418"/>
      <x:c r="F155" s="418"/>
      <x:c r="G155" s="418"/>
      <x:c r="H155" s="418"/>
      <x:c r="I155" s="418"/>
      <x:c r="J155" s="418"/>
      <x:c r="K155" s="418"/>
      <x:c r="L155" s="418"/>
      <x:c r="M155" s="418"/>
      <x:c r="N155" s="418"/>
      <x:c r="O155" s="418"/>
      <x:c r="P155" s="418"/>
      <x:c r="Q155" s="418"/>
      <x:c r="R155" s="418"/>
      <x:c r="S155" s="418"/>
      <x:c r="T155" s="418"/>
      <x:c r="U155" s="418"/>
      <x:c r="V155" s="418"/>
      <x:c r="W155" s="418"/>
      <x:c r="X155" s="418"/>
      <x:c r="Y155" s="418"/>
      <x:c r="Z155" s="418"/>
    </x:row>
    <x:row r="156">
      <x:c r="A156" s="418"/>
      <x:c r="B156" s="418"/>
      <x:c r="C156" s="418"/>
      <x:c r="D156" s="418"/>
      <x:c r="E156" s="418"/>
      <x:c r="F156" s="418"/>
      <x:c r="G156" s="418"/>
      <x:c r="H156" s="418"/>
      <x:c r="I156" s="418"/>
      <x:c r="J156" s="418"/>
      <x:c r="K156" s="418"/>
      <x:c r="L156" s="418"/>
      <x:c r="M156" s="418"/>
      <x:c r="N156" s="418"/>
      <x:c r="O156" s="418"/>
      <x:c r="P156" s="418"/>
      <x:c r="Q156" s="418"/>
      <x:c r="R156" s="418"/>
      <x:c r="S156" s="418"/>
      <x:c r="T156" s="418"/>
      <x:c r="U156" s="418"/>
      <x:c r="V156" s="418"/>
      <x:c r="W156" s="418"/>
      <x:c r="X156" s="418"/>
      <x:c r="Y156" s="418"/>
      <x:c r="Z156" s="418"/>
    </x:row>
    <x:row r="157">
      <x:c r="A157" s="418"/>
      <x:c r="B157" s="418"/>
      <x:c r="C157" s="418"/>
      <x:c r="D157" s="418"/>
      <x:c r="E157" s="418"/>
      <x:c r="F157" s="418"/>
      <x:c r="G157" s="418"/>
      <x:c r="H157" s="418"/>
      <x:c r="I157" s="418"/>
      <x:c r="J157" s="418"/>
      <x:c r="K157" s="418"/>
      <x:c r="L157" s="418"/>
      <x:c r="M157" s="418"/>
      <x:c r="N157" s="418"/>
      <x:c r="O157" s="418"/>
      <x:c r="P157" s="418"/>
      <x:c r="Q157" s="418"/>
      <x:c r="R157" s="418"/>
      <x:c r="S157" s="418"/>
      <x:c r="T157" s="418"/>
      <x:c r="U157" s="418"/>
      <x:c r="V157" s="418"/>
      <x:c r="W157" s="418"/>
      <x:c r="X157" s="418"/>
      <x:c r="Y157" s="418"/>
      <x:c r="Z157" s="418"/>
    </x:row>
    <x:row r="158">
      <x:c r="A158" s="418"/>
      <x:c r="B158" s="418"/>
      <x:c r="C158" s="418"/>
      <x:c r="D158" s="418"/>
      <x:c r="E158" s="418"/>
      <x:c r="F158" s="418"/>
      <x:c r="G158" s="418"/>
      <x:c r="H158" s="418"/>
      <x:c r="I158" s="418"/>
      <x:c r="J158" s="418"/>
      <x:c r="K158" s="418"/>
      <x:c r="L158" s="418"/>
      <x:c r="M158" s="418"/>
      <x:c r="N158" s="418"/>
      <x:c r="O158" s="418"/>
      <x:c r="P158" s="418"/>
      <x:c r="Q158" s="418"/>
      <x:c r="R158" s="418"/>
      <x:c r="S158" s="418"/>
      <x:c r="T158" s="418"/>
      <x:c r="U158" s="418"/>
      <x:c r="V158" s="418"/>
      <x:c r="W158" s="418"/>
      <x:c r="X158" s="418"/>
      <x:c r="Y158" s="418"/>
      <x:c r="Z158" s="418"/>
    </x:row>
    <x:row r="159">
      <x:c r="A159" s="418"/>
      <x:c r="B159" s="418"/>
      <x:c r="C159" s="418"/>
      <x:c r="D159" s="418"/>
      <x:c r="E159" s="418"/>
      <x:c r="F159" s="418"/>
      <x:c r="G159" s="418"/>
      <x:c r="H159" s="418"/>
      <x:c r="I159" s="418"/>
      <x:c r="J159" s="418"/>
      <x:c r="K159" s="418"/>
      <x:c r="L159" s="418"/>
      <x:c r="M159" s="418"/>
      <x:c r="N159" s="418"/>
      <x:c r="O159" s="418"/>
      <x:c r="P159" s="418"/>
      <x:c r="Q159" s="418"/>
      <x:c r="R159" s="418"/>
      <x:c r="S159" s="418"/>
      <x:c r="T159" s="418"/>
      <x:c r="U159" s="418"/>
      <x:c r="V159" s="418"/>
      <x:c r="W159" s="418"/>
      <x:c r="X159" s="418"/>
      <x:c r="Y159" s="418"/>
      <x:c r="Z159" s="418"/>
    </x:row>
    <x:row r="160">
      <x:c r="A160" s="418"/>
      <x:c r="B160" s="418"/>
      <x:c r="C160" s="418"/>
      <x:c r="D160" s="418"/>
      <x:c r="E160" s="418"/>
      <x:c r="F160" s="418"/>
      <x:c r="G160" s="418"/>
      <x:c r="H160" s="418"/>
      <x:c r="I160" s="418"/>
      <x:c r="J160" s="418"/>
      <x:c r="K160" s="418"/>
      <x:c r="L160" s="418"/>
      <x:c r="M160" s="418"/>
      <x:c r="N160" s="418"/>
      <x:c r="O160" s="418"/>
      <x:c r="P160" s="418"/>
      <x:c r="Q160" s="418"/>
      <x:c r="R160" s="418"/>
      <x:c r="S160" s="418"/>
      <x:c r="T160" s="418"/>
      <x:c r="U160" s="418"/>
      <x:c r="V160" s="418"/>
      <x:c r="W160" s="418"/>
      <x:c r="X160" s="418"/>
      <x:c r="Y160" s="418"/>
      <x:c r="Z160" s="418"/>
    </x:row>
    <x:row r="161">
      <x:c r="A161" s="418"/>
      <x:c r="B161" s="418"/>
      <x:c r="C161" s="418"/>
      <x:c r="D161" s="418"/>
      <x:c r="E161" s="418"/>
      <x:c r="F161" s="418"/>
      <x:c r="G161" s="418"/>
      <x:c r="H161" s="418"/>
      <x:c r="I161" s="418"/>
      <x:c r="J161" s="418"/>
      <x:c r="K161" s="418"/>
      <x:c r="L161" s="418"/>
      <x:c r="M161" s="418"/>
      <x:c r="N161" s="418"/>
      <x:c r="O161" s="418"/>
      <x:c r="P161" s="418"/>
      <x:c r="Q161" s="418"/>
      <x:c r="R161" s="418"/>
      <x:c r="S161" s="418"/>
      <x:c r="T161" s="418"/>
      <x:c r="U161" s="418"/>
      <x:c r="V161" s="418"/>
      <x:c r="W161" s="418"/>
      <x:c r="X161" s="418"/>
      <x:c r="Y161" s="418"/>
      <x:c r="Z161" s="418"/>
    </x:row>
    <x:row r="162">
      <x:c r="A162" s="418"/>
      <x:c r="B162" s="418"/>
      <x:c r="C162" s="418"/>
      <x:c r="D162" s="418"/>
      <x:c r="E162" s="418"/>
      <x:c r="F162" s="418"/>
      <x:c r="G162" s="418"/>
      <x:c r="H162" s="418"/>
      <x:c r="I162" s="418"/>
      <x:c r="J162" s="418"/>
      <x:c r="K162" s="418"/>
      <x:c r="L162" s="418"/>
      <x:c r="M162" s="418"/>
      <x:c r="N162" s="418"/>
      <x:c r="O162" s="418"/>
      <x:c r="P162" s="418"/>
      <x:c r="Q162" s="418"/>
      <x:c r="R162" s="418"/>
      <x:c r="S162" s="418"/>
      <x:c r="T162" s="418"/>
      <x:c r="U162" s="418"/>
      <x:c r="V162" s="418"/>
      <x:c r="W162" s="418"/>
      <x:c r="X162" s="418"/>
      <x:c r="Y162" s="418"/>
      <x:c r="Z162" s="418"/>
    </x:row>
    <x:row r="163">
      <x:c r="A163" s="418"/>
      <x:c r="B163" s="418"/>
      <x:c r="C163" s="418"/>
      <x:c r="D163" s="418"/>
      <x:c r="E163" s="418"/>
      <x:c r="F163" s="418"/>
      <x:c r="G163" s="418"/>
      <x:c r="H163" s="418"/>
      <x:c r="I163" s="418"/>
      <x:c r="J163" s="418"/>
      <x:c r="K163" s="418"/>
      <x:c r="L163" s="418"/>
      <x:c r="M163" s="418"/>
      <x:c r="N163" s="418"/>
      <x:c r="O163" s="418"/>
      <x:c r="P163" s="418"/>
      <x:c r="Q163" s="418"/>
      <x:c r="R163" s="418"/>
      <x:c r="S163" s="418"/>
      <x:c r="T163" s="418"/>
      <x:c r="U163" s="418"/>
      <x:c r="V163" s="418"/>
      <x:c r="W163" s="418"/>
      <x:c r="X163" s="418"/>
      <x:c r="Y163" s="418"/>
      <x:c r="Z163" s="418"/>
    </x:row>
    <x:row r="164">
      <x:c r="A164" s="418"/>
      <x:c r="B164" s="418"/>
      <x:c r="C164" s="418"/>
      <x:c r="D164" s="418"/>
      <x:c r="E164" s="418"/>
      <x:c r="F164" s="418"/>
      <x:c r="G164" s="418"/>
      <x:c r="H164" s="418"/>
      <x:c r="I164" s="418"/>
      <x:c r="J164" s="418"/>
      <x:c r="K164" s="418"/>
      <x:c r="L164" s="418"/>
      <x:c r="M164" s="418"/>
      <x:c r="N164" s="418"/>
      <x:c r="O164" s="418"/>
      <x:c r="P164" s="418"/>
      <x:c r="Q164" s="418"/>
      <x:c r="R164" s="418"/>
      <x:c r="S164" s="418"/>
      <x:c r="T164" s="418"/>
      <x:c r="U164" s="418"/>
      <x:c r="V164" s="418"/>
      <x:c r="W164" s="418"/>
      <x:c r="X164" s="418"/>
      <x:c r="Y164" s="418"/>
      <x:c r="Z164" s="418"/>
    </x:row>
    <x:row r="165">
      <x:c r="A165" s="418"/>
      <x:c r="B165" s="418"/>
      <x:c r="C165" s="418"/>
      <x:c r="D165" s="418"/>
      <x:c r="E165" s="418"/>
      <x:c r="F165" s="418"/>
      <x:c r="G165" s="418"/>
      <x:c r="H165" s="418"/>
      <x:c r="I165" s="418"/>
      <x:c r="J165" s="418"/>
      <x:c r="K165" s="418"/>
      <x:c r="L165" s="418"/>
      <x:c r="M165" s="418"/>
      <x:c r="N165" s="418"/>
      <x:c r="O165" s="418"/>
      <x:c r="P165" s="418"/>
      <x:c r="Q165" s="418"/>
      <x:c r="R165" s="418"/>
      <x:c r="S165" s="418"/>
      <x:c r="T165" s="418"/>
      <x:c r="U165" s="418"/>
      <x:c r="V165" s="418"/>
      <x:c r="W165" s="418"/>
      <x:c r="X165" s="418"/>
      <x:c r="Y165" s="418"/>
      <x:c r="Z165" s="418"/>
    </x:row>
    <x:row r="166">
      <x:c r="A166" s="418"/>
      <x:c r="B166" s="418"/>
      <x:c r="C166" s="418"/>
      <x:c r="D166" s="418"/>
      <x:c r="E166" s="418"/>
      <x:c r="F166" s="418"/>
      <x:c r="G166" s="418"/>
      <x:c r="H166" s="418"/>
      <x:c r="I166" s="418"/>
      <x:c r="J166" s="418"/>
      <x:c r="K166" s="418"/>
      <x:c r="L166" s="418"/>
      <x:c r="M166" s="418"/>
      <x:c r="N166" s="418"/>
      <x:c r="O166" s="418"/>
      <x:c r="P166" s="418"/>
      <x:c r="Q166" s="418"/>
      <x:c r="R166" s="418"/>
      <x:c r="S166" s="418"/>
      <x:c r="T166" s="418"/>
      <x:c r="U166" s="418"/>
      <x:c r="V166" s="418"/>
      <x:c r="W166" s="418"/>
      <x:c r="X166" s="418"/>
      <x:c r="Y166" s="418"/>
      <x:c r="Z166" s="418"/>
    </x:row>
    <x:row r="167">
      <x:c r="A167" s="418"/>
      <x:c r="B167" s="418"/>
      <x:c r="C167" s="418"/>
      <x:c r="D167" s="418"/>
      <x:c r="E167" s="418"/>
      <x:c r="F167" s="418"/>
      <x:c r="G167" s="418"/>
      <x:c r="H167" s="418"/>
      <x:c r="I167" s="418"/>
      <x:c r="J167" s="418"/>
      <x:c r="K167" s="418"/>
      <x:c r="L167" s="418"/>
      <x:c r="M167" s="418"/>
      <x:c r="N167" s="418"/>
      <x:c r="O167" s="418"/>
      <x:c r="P167" s="418"/>
      <x:c r="Q167" s="418"/>
      <x:c r="R167" s="418"/>
      <x:c r="S167" s="418"/>
      <x:c r="T167" s="418"/>
      <x:c r="U167" s="418"/>
      <x:c r="V167" s="418"/>
      <x:c r="W167" s="418"/>
      <x:c r="X167" s="418"/>
      <x:c r="Y167" s="418"/>
      <x:c r="Z167" s="418"/>
    </x:row>
    <x:row r="168">
      <x:c r="A168" s="418"/>
      <x:c r="B168" s="418"/>
      <x:c r="C168" s="418"/>
      <x:c r="D168" s="418"/>
      <x:c r="E168" s="418"/>
      <x:c r="F168" s="418"/>
      <x:c r="G168" s="418"/>
      <x:c r="H168" s="418"/>
      <x:c r="I168" s="418"/>
      <x:c r="J168" s="418"/>
      <x:c r="K168" s="418"/>
      <x:c r="L168" s="418"/>
      <x:c r="M168" s="418"/>
      <x:c r="N168" s="418"/>
      <x:c r="O168" s="418"/>
      <x:c r="P168" s="418"/>
      <x:c r="Q168" s="418"/>
      <x:c r="R168" s="418"/>
      <x:c r="S168" s="418"/>
      <x:c r="T168" s="418"/>
      <x:c r="U168" s="418"/>
      <x:c r="V168" s="418"/>
      <x:c r="W168" s="418"/>
      <x:c r="X168" s="418"/>
      <x:c r="Y168" s="418"/>
      <x:c r="Z168" s="418"/>
    </x:row>
    <x:row r="169">
      <x:c r="A169" s="418"/>
      <x:c r="B169" s="418"/>
      <x:c r="C169" s="418"/>
      <x:c r="D169" s="418"/>
      <x:c r="E169" s="418"/>
      <x:c r="F169" s="418"/>
      <x:c r="G169" s="418"/>
      <x:c r="H169" s="418"/>
      <x:c r="I169" s="418"/>
      <x:c r="J169" s="418"/>
      <x:c r="K169" s="418"/>
      <x:c r="L169" s="418"/>
      <x:c r="M169" s="418"/>
      <x:c r="N169" s="418"/>
      <x:c r="O169" s="418"/>
      <x:c r="P169" s="418"/>
      <x:c r="Q169" s="418"/>
      <x:c r="R169" s="418"/>
      <x:c r="S169" s="418"/>
      <x:c r="T169" s="418"/>
      <x:c r="U169" s="418"/>
      <x:c r="V169" s="418"/>
      <x:c r="W169" s="418"/>
      <x:c r="X169" s="418"/>
      <x:c r="Y169" s="418"/>
      <x:c r="Z169" s="418"/>
    </x:row>
    <x:row r="170">
      <x:c r="A170" s="418"/>
      <x:c r="B170" s="418"/>
      <x:c r="C170" s="418"/>
      <x:c r="D170" s="418"/>
      <x:c r="E170" s="418"/>
      <x:c r="F170" s="418"/>
      <x:c r="G170" s="418"/>
      <x:c r="H170" s="418"/>
      <x:c r="I170" s="418"/>
      <x:c r="J170" s="418"/>
      <x:c r="K170" s="418"/>
      <x:c r="L170" s="418"/>
      <x:c r="M170" s="418"/>
      <x:c r="N170" s="418"/>
      <x:c r="O170" s="418"/>
      <x:c r="P170" s="418"/>
      <x:c r="Q170" s="418"/>
      <x:c r="R170" s="418"/>
      <x:c r="S170" s="418"/>
      <x:c r="T170" s="418"/>
      <x:c r="U170" s="418"/>
      <x:c r="V170" s="418"/>
      <x:c r="W170" s="418"/>
      <x:c r="X170" s="418"/>
      <x:c r="Y170" s="418"/>
      <x:c r="Z170" s="418"/>
    </x:row>
    <x:row r="171">
      <x:c r="A171" s="418"/>
      <x:c r="B171" s="418"/>
      <x:c r="C171" s="418"/>
      <x:c r="D171" s="418"/>
      <x:c r="E171" s="418"/>
      <x:c r="F171" s="418"/>
      <x:c r="G171" s="418"/>
      <x:c r="H171" s="418"/>
      <x:c r="I171" s="418"/>
      <x:c r="J171" s="418"/>
      <x:c r="K171" s="418"/>
      <x:c r="L171" s="418"/>
      <x:c r="M171" s="418"/>
      <x:c r="N171" s="418"/>
      <x:c r="O171" s="418"/>
      <x:c r="P171" s="418"/>
      <x:c r="Q171" s="418"/>
      <x:c r="R171" s="418"/>
      <x:c r="S171" s="418"/>
      <x:c r="T171" s="418"/>
      <x:c r="U171" s="418"/>
      <x:c r="V171" s="418"/>
      <x:c r="W171" s="418"/>
      <x:c r="X171" s="418"/>
      <x:c r="Y171" s="418"/>
      <x:c r="Z171" s="418"/>
    </x:row>
    <x:row r="172">
      <x:c r="A172" s="418"/>
      <x:c r="B172" s="418"/>
      <x:c r="C172" s="418"/>
      <x:c r="D172" s="418"/>
      <x:c r="E172" s="418"/>
      <x:c r="F172" s="418"/>
      <x:c r="G172" s="418"/>
      <x:c r="H172" s="418"/>
      <x:c r="I172" s="418"/>
      <x:c r="J172" s="418"/>
      <x:c r="K172" s="418"/>
      <x:c r="L172" s="418"/>
      <x:c r="M172" s="418"/>
      <x:c r="N172" s="418"/>
      <x:c r="O172" s="418"/>
      <x:c r="P172" s="418"/>
      <x:c r="Q172" s="418"/>
      <x:c r="R172" s="418"/>
      <x:c r="S172" s="418"/>
      <x:c r="T172" s="418"/>
      <x:c r="U172" s="418"/>
      <x:c r="V172" s="418"/>
      <x:c r="W172" s="418"/>
      <x:c r="X172" s="418"/>
      <x:c r="Y172" s="418"/>
      <x:c r="Z172" s="418"/>
    </x:row>
    <x:row r="173">
      <x:c r="A173" s="418"/>
      <x:c r="B173" s="418"/>
      <x:c r="C173" s="418"/>
      <x:c r="D173" s="418"/>
      <x:c r="E173" s="418"/>
      <x:c r="F173" s="418"/>
      <x:c r="G173" s="418"/>
      <x:c r="H173" s="418"/>
      <x:c r="I173" s="418"/>
      <x:c r="J173" s="418"/>
      <x:c r="K173" s="418"/>
      <x:c r="L173" s="418"/>
      <x:c r="M173" s="418"/>
      <x:c r="N173" s="418"/>
      <x:c r="O173" s="418"/>
      <x:c r="P173" s="418"/>
      <x:c r="Q173" s="418"/>
      <x:c r="R173" s="418"/>
      <x:c r="S173" s="418"/>
      <x:c r="T173" s="418"/>
      <x:c r="U173" s="418"/>
      <x:c r="V173" s="418"/>
      <x:c r="W173" s="418"/>
      <x:c r="X173" s="418"/>
      <x:c r="Y173" s="418"/>
      <x:c r="Z173" s="418"/>
    </x:row>
    <x:row r="174">
      <x:c r="A174" s="418"/>
      <x:c r="B174" s="418"/>
      <x:c r="C174" s="418"/>
      <x:c r="D174" s="418"/>
      <x:c r="E174" s="418"/>
      <x:c r="F174" s="418"/>
      <x:c r="G174" s="418"/>
      <x:c r="H174" s="418"/>
      <x:c r="I174" s="418"/>
      <x:c r="J174" s="418"/>
      <x:c r="K174" s="418"/>
      <x:c r="L174" s="418"/>
      <x:c r="M174" s="418"/>
      <x:c r="N174" s="418"/>
      <x:c r="O174" s="418"/>
      <x:c r="P174" s="418"/>
      <x:c r="Q174" s="418"/>
      <x:c r="R174" s="418"/>
      <x:c r="S174" s="418"/>
      <x:c r="T174" s="418"/>
      <x:c r="U174" s="418"/>
      <x:c r="V174" s="418"/>
      <x:c r="W174" s="418"/>
      <x:c r="X174" s="418"/>
      <x:c r="Y174" s="418"/>
      <x:c r="Z174" s="418"/>
    </x:row>
    <x:row r="175">
      <x:c r="A175" s="418"/>
      <x:c r="B175" s="418"/>
      <x:c r="C175" s="418"/>
      <x:c r="D175" s="418"/>
      <x:c r="E175" s="418"/>
      <x:c r="F175" s="418"/>
      <x:c r="G175" s="418"/>
      <x:c r="H175" s="418"/>
      <x:c r="I175" s="418"/>
      <x:c r="J175" s="418"/>
      <x:c r="K175" s="418"/>
      <x:c r="L175" s="418"/>
      <x:c r="M175" s="418"/>
      <x:c r="N175" s="418"/>
      <x:c r="O175" s="418"/>
      <x:c r="P175" s="418"/>
      <x:c r="Q175" s="418"/>
      <x:c r="R175" s="418"/>
      <x:c r="S175" s="418"/>
      <x:c r="T175" s="418"/>
      <x:c r="U175" s="418"/>
      <x:c r="V175" s="418"/>
      <x:c r="W175" s="418"/>
      <x:c r="X175" s="418"/>
      <x:c r="Y175" s="418"/>
      <x:c r="Z175" s="418"/>
    </x:row>
    <x:row r="176">
      <x:c r="A176" s="418"/>
      <x:c r="B176" s="418"/>
      <x:c r="C176" s="418"/>
      <x:c r="D176" s="418"/>
      <x:c r="E176" s="418"/>
      <x:c r="F176" s="418"/>
      <x:c r="G176" s="418"/>
      <x:c r="H176" s="418"/>
      <x:c r="I176" s="418"/>
      <x:c r="J176" s="418"/>
      <x:c r="K176" s="418"/>
      <x:c r="L176" s="418"/>
      <x:c r="M176" s="418"/>
      <x:c r="N176" s="418"/>
      <x:c r="O176" s="418"/>
      <x:c r="P176" s="418"/>
      <x:c r="Q176" s="418"/>
      <x:c r="R176" s="418"/>
      <x:c r="S176" s="418"/>
      <x:c r="T176" s="418"/>
      <x:c r="U176" s="418"/>
      <x:c r="V176" s="418"/>
      <x:c r="W176" s="418"/>
      <x:c r="X176" s="418"/>
      <x:c r="Y176" s="418"/>
      <x:c r="Z176" s="418"/>
    </x:row>
    <x:row r="177">
      <x:c r="A177" s="418"/>
      <x:c r="B177" s="418"/>
      <x:c r="C177" s="418"/>
      <x:c r="D177" s="418"/>
      <x:c r="E177" s="418"/>
      <x:c r="F177" s="418"/>
      <x:c r="G177" s="418"/>
      <x:c r="H177" s="418"/>
      <x:c r="I177" s="418"/>
      <x:c r="J177" s="418"/>
      <x:c r="K177" s="418"/>
      <x:c r="L177" s="418"/>
      <x:c r="M177" s="418"/>
      <x:c r="N177" s="418"/>
      <x:c r="O177" s="418"/>
      <x:c r="P177" s="418"/>
      <x:c r="Q177" s="418"/>
      <x:c r="R177" s="418"/>
      <x:c r="S177" s="418"/>
      <x:c r="T177" s="418"/>
      <x:c r="U177" s="418"/>
      <x:c r="V177" s="418"/>
      <x:c r="W177" s="418"/>
      <x:c r="X177" s="418"/>
      <x:c r="Y177" s="418"/>
      <x:c r="Z177" s="418"/>
    </x:row>
    <x:row r="178">
      <x:c r="A178" s="418"/>
      <x:c r="B178" s="418"/>
      <x:c r="C178" s="418"/>
      <x:c r="D178" s="418"/>
      <x:c r="E178" s="418"/>
      <x:c r="F178" s="418"/>
      <x:c r="G178" s="418"/>
      <x:c r="H178" s="418"/>
      <x:c r="I178" s="418"/>
      <x:c r="J178" s="418"/>
      <x:c r="K178" s="418"/>
      <x:c r="L178" s="418"/>
      <x:c r="M178" s="418"/>
      <x:c r="N178" s="418"/>
      <x:c r="O178" s="418"/>
      <x:c r="P178" s="418"/>
      <x:c r="Q178" s="418"/>
      <x:c r="R178" s="418"/>
      <x:c r="S178" s="418"/>
      <x:c r="T178" s="418"/>
      <x:c r="U178" s="418"/>
      <x:c r="V178" s="418"/>
      <x:c r="W178" s="418"/>
      <x:c r="X178" s="418"/>
      <x:c r="Y178" s="418"/>
      <x:c r="Z178" s="418"/>
    </x:row>
    <x:row r="179">
      <x:c r="A179" s="418"/>
      <x:c r="B179" s="418"/>
      <x:c r="C179" s="418"/>
      <x:c r="D179" s="418"/>
      <x:c r="E179" s="418"/>
      <x:c r="F179" s="418"/>
      <x:c r="G179" s="418"/>
      <x:c r="H179" s="418"/>
      <x:c r="I179" s="418"/>
      <x:c r="J179" s="418"/>
      <x:c r="K179" s="418"/>
      <x:c r="L179" s="418"/>
      <x:c r="M179" s="418"/>
      <x:c r="N179" s="418"/>
      <x:c r="O179" s="418"/>
      <x:c r="P179" s="418"/>
      <x:c r="Q179" s="418"/>
      <x:c r="R179" s="418"/>
      <x:c r="S179" s="418"/>
      <x:c r="T179" s="418"/>
      <x:c r="U179" s="418"/>
      <x:c r="V179" s="418"/>
      <x:c r="W179" s="418"/>
      <x:c r="X179" s="418"/>
      <x:c r="Y179" s="418"/>
      <x:c r="Z179" s="418"/>
    </x:row>
    <x:row r="180">
      <x:c r="A180" s="418"/>
      <x:c r="B180" s="418"/>
      <x:c r="C180" s="418"/>
      <x:c r="D180" s="418"/>
      <x:c r="E180" s="418"/>
      <x:c r="F180" s="418"/>
      <x:c r="G180" s="418"/>
      <x:c r="H180" s="418"/>
      <x:c r="I180" s="418"/>
      <x:c r="J180" s="418"/>
      <x:c r="K180" s="418"/>
      <x:c r="L180" s="418"/>
      <x:c r="M180" s="418"/>
      <x:c r="N180" s="418"/>
      <x:c r="O180" s="418"/>
      <x:c r="P180" s="418"/>
      <x:c r="Q180" s="418"/>
      <x:c r="R180" s="418"/>
      <x:c r="S180" s="418"/>
      <x:c r="T180" s="418"/>
      <x:c r="U180" s="418"/>
      <x:c r="V180" s="418"/>
      <x:c r="W180" s="418"/>
      <x:c r="X180" s="418"/>
      <x:c r="Y180" s="418"/>
      <x:c r="Z180" s="418"/>
    </x:row>
    <x:row r="181">
      <x:c r="A181" s="418"/>
      <x:c r="B181" s="418"/>
      <x:c r="C181" s="418"/>
      <x:c r="D181" s="418"/>
      <x:c r="E181" s="418"/>
      <x:c r="F181" s="418"/>
      <x:c r="G181" s="418"/>
      <x:c r="H181" s="418"/>
      <x:c r="I181" s="418"/>
      <x:c r="J181" s="418"/>
      <x:c r="K181" s="418"/>
      <x:c r="L181" s="418"/>
      <x:c r="M181" s="418"/>
      <x:c r="N181" s="418"/>
      <x:c r="O181" s="418"/>
      <x:c r="P181" s="418"/>
      <x:c r="Q181" s="418"/>
      <x:c r="R181" s="418"/>
      <x:c r="S181" s="418"/>
      <x:c r="T181" s="418"/>
      <x:c r="U181" s="418"/>
      <x:c r="V181" s="418"/>
      <x:c r="W181" s="418"/>
      <x:c r="X181" s="418"/>
      <x:c r="Y181" s="418"/>
      <x:c r="Z181" s="418"/>
    </x:row>
    <x:row r="182">
      <x:c r="A182" s="418"/>
      <x:c r="B182" s="418"/>
      <x:c r="C182" s="418"/>
      <x:c r="D182" s="418"/>
      <x:c r="E182" s="418"/>
      <x:c r="F182" s="418"/>
      <x:c r="G182" s="418"/>
      <x:c r="H182" s="418"/>
      <x:c r="I182" s="418"/>
      <x:c r="J182" s="418"/>
      <x:c r="K182" s="418"/>
      <x:c r="L182" s="418"/>
      <x:c r="M182" s="418"/>
      <x:c r="N182" s="418"/>
      <x:c r="O182" s="418"/>
      <x:c r="P182" s="418"/>
      <x:c r="Q182" s="418"/>
      <x:c r="R182" s="418"/>
      <x:c r="S182" s="418"/>
      <x:c r="T182" s="418"/>
      <x:c r="U182" s="418"/>
      <x:c r="V182" s="418"/>
      <x:c r="W182" s="418"/>
      <x:c r="X182" s="418"/>
      <x:c r="Y182" s="418"/>
      <x:c r="Z182" s="418"/>
    </x:row>
    <x:row r="183">
      <x:c r="A183" s="418"/>
      <x:c r="B183" s="418"/>
      <x:c r="C183" s="418"/>
      <x:c r="D183" s="418"/>
      <x:c r="E183" s="418"/>
      <x:c r="F183" s="418"/>
      <x:c r="G183" s="418"/>
      <x:c r="H183" s="418"/>
      <x:c r="I183" s="418"/>
      <x:c r="J183" s="418"/>
      <x:c r="K183" s="418"/>
      <x:c r="L183" s="418"/>
      <x:c r="M183" s="418"/>
      <x:c r="N183" s="418"/>
      <x:c r="O183" s="418"/>
      <x:c r="P183" s="418"/>
      <x:c r="Q183" s="418"/>
      <x:c r="R183" s="418"/>
      <x:c r="S183" s="418"/>
      <x:c r="T183" s="418"/>
      <x:c r="U183" s="418"/>
      <x:c r="V183" s="418"/>
      <x:c r="W183" s="418"/>
      <x:c r="X183" s="418"/>
      <x:c r="Y183" s="418"/>
      <x:c r="Z183" s="418"/>
    </x:row>
    <x:row r="184">
      <x:c r="A184" s="418"/>
      <x:c r="B184" s="418"/>
      <x:c r="C184" s="418"/>
      <x:c r="D184" s="418"/>
      <x:c r="E184" s="418"/>
      <x:c r="F184" s="418"/>
      <x:c r="G184" s="418"/>
      <x:c r="H184" s="418"/>
      <x:c r="I184" s="418"/>
      <x:c r="J184" s="418"/>
      <x:c r="K184" s="418"/>
      <x:c r="L184" s="418"/>
      <x:c r="M184" s="418"/>
      <x:c r="N184" s="418"/>
      <x:c r="O184" s="418"/>
      <x:c r="P184" s="418"/>
      <x:c r="Q184" s="418"/>
      <x:c r="R184" s="418"/>
      <x:c r="S184" s="418"/>
      <x:c r="T184" s="418"/>
      <x:c r="U184" s="418"/>
      <x:c r="V184" s="418"/>
      <x:c r="W184" s="418"/>
      <x:c r="X184" s="418"/>
      <x:c r="Y184" s="418"/>
      <x:c r="Z184" s="418"/>
    </x:row>
    <x:row r="185">
      <x:c r="A185" s="418"/>
      <x:c r="B185" s="418"/>
      <x:c r="C185" s="418"/>
      <x:c r="D185" s="418"/>
      <x:c r="E185" s="418"/>
      <x:c r="F185" s="418"/>
      <x:c r="G185" s="418"/>
      <x:c r="H185" s="418"/>
      <x:c r="I185" s="418"/>
      <x:c r="J185" s="418"/>
      <x:c r="K185" s="418"/>
      <x:c r="L185" s="418"/>
      <x:c r="M185" s="418"/>
      <x:c r="N185" s="418"/>
      <x:c r="O185" s="418"/>
      <x:c r="P185" s="418"/>
      <x:c r="Q185" s="418"/>
      <x:c r="R185" s="418"/>
      <x:c r="S185" s="418"/>
      <x:c r="T185" s="418"/>
      <x:c r="U185" s="418"/>
      <x:c r="V185" s="418"/>
      <x:c r="W185" s="418"/>
      <x:c r="X185" s="418"/>
      <x:c r="Y185" s="418"/>
      <x:c r="Z185" s="418"/>
    </x:row>
    <x:row r="186">
      <x:c r="A186" s="418"/>
      <x:c r="B186" s="418"/>
      <x:c r="C186" s="418"/>
      <x:c r="D186" s="418"/>
      <x:c r="E186" s="418"/>
      <x:c r="F186" s="418"/>
      <x:c r="G186" s="418"/>
      <x:c r="H186" s="418"/>
      <x:c r="I186" s="418"/>
      <x:c r="J186" s="418"/>
      <x:c r="K186" s="418"/>
      <x:c r="L186" s="418"/>
      <x:c r="M186" s="418"/>
      <x:c r="N186" s="418"/>
      <x:c r="O186" s="418"/>
      <x:c r="P186" s="418"/>
      <x:c r="Q186" s="418"/>
      <x:c r="R186" s="418"/>
      <x:c r="S186" s="418"/>
      <x:c r="T186" s="418"/>
      <x:c r="U186" s="418"/>
      <x:c r="V186" s="418"/>
      <x:c r="W186" s="418"/>
      <x:c r="X186" s="418"/>
      <x:c r="Y186" s="418"/>
      <x:c r="Z186" s="418"/>
    </x:row>
    <x:row r="187">
      <x:c r="A187" s="418"/>
      <x:c r="B187" s="418"/>
      <x:c r="C187" s="418"/>
      <x:c r="D187" s="418"/>
      <x:c r="E187" s="418"/>
      <x:c r="F187" s="418"/>
      <x:c r="G187" s="418"/>
      <x:c r="H187" s="418"/>
      <x:c r="I187" s="418"/>
      <x:c r="J187" s="418"/>
      <x:c r="K187" s="418"/>
      <x:c r="L187" s="418"/>
      <x:c r="M187" s="418"/>
      <x:c r="N187" s="418"/>
      <x:c r="O187" s="418"/>
      <x:c r="P187" s="418"/>
      <x:c r="Q187" s="418"/>
      <x:c r="R187" s="418"/>
      <x:c r="S187" s="418"/>
      <x:c r="T187" s="418"/>
      <x:c r="U187" s="418"/>
      <x:c r="V187" s="418"/>
      <x:c r="W187" s="418"/>
      <x:c r="X187" s="418"/>
      <x:c r="Y187" s="418"/>
      <x:c r="Z187" s="418"/>
    </x:row>
    <x:row r="188">
      <x:c r="A188" s="418"/>
      <x:c r="B188" s="418"/>
      <x:c r="C188" s="418"/>
      <x:c r="D188" s="418"/>
      <x:c r="E188" s="418"/>
      <x:c r="F188" s="418"/>
      <x:c r="G188" s="418"/>
      <x:c r="H188" s="418"/>
      <x:c r="I188" s="418"/>
      <x:c r="J188" s="418"/>
      <x:c r="K188" s="418"/>
      <x:c r="L188" s="418"/>
      <x:c r="M188" s="418"/>
      <x:c r="N188" s="418"/>
      <x:c r="O188" s="418"/>
      <x:c r="P188" s="418"/>
      <x:c r="Q188" s="418"/>
      <x:c r="R188" s="418"/>
      <x:c r="S188" s="418"/>
      <x:c r="T188" s="418"/>
      <x:c r="U188" s="418"/>
      <x:c r="V188" s="418"/>
      <x:c r="W188" s="418"/>
      <x:c r="X188" s="418"/>
      <x:c r="Y188" s="418"/>
      <x:c r="Z188" s="418"/>
    </x:row>
    <x:row r="189">
      <x:c r="A189" s="418"/>
      <x:c r="B189" s="418"/>
      <x:c r="C189" s="418"/>
      <x:c r="D189" s="418"/>
      <x:c r="E189" s="418"/>
      <x:c r="F189" s="418"/>
      <x:c r="G189" s="418"/>
      <x:c r="H189" s="418"/>
      <x:c r="I189" s="418"/>
      <x:c r="J189" s="418"/>
      <x:c r="K189" s="418"/>
      <x:c r="L189" s="418"/>
      <x:c r="M189" s="418"/>
      <x:c r="N189" s="418"/>
      <x:c r="O189" s="418"/>
      <x:c r="P189" s="418"/>
      <x:c r="Q189" s="418"/>
      <x:c r="R189" s="418"/>
      <x:c r="S189" s="418"/>
      <x:c r="T189" s="418"/>
      <x:c r="U189" s="418"/>
      <x:c r="V189" s="418"/>
      <x:c r="W189" s="418"/>
      <x:c r="X189" s="418"/>
      <x:c r="Y189" s="418"/>
      <x:c r="Z189" s="418"/>
    </x:row>
    <x:row r="190">
      <x:c r="A190" s="418"/>
      <x:c r="B190" s="418"/>
      <x:c r="C190" s="418"/>
      <x:c r="D190" s="418"/>
      <x:c r="E190" s="418"/>
      <x:c r="F190" s="418"/>
      <x:c r="G190" s="418"/>
      <x:c r="H190" s="418"/>
      <x:c r="I190" s="418"/>
      <x:c r="J190" s="418"/>
      <x:c r="K190" s="418"/>
      <x:c r="L190" s="418"/>
      <x:c r="M190" s="418"/>
      <x:c r="N190" s="418"/>
      <x:c r="O190" s="418"/>
      <x:c r="P190" s="418"/>
      <x:c r="Q190" s="418"/>
      <x:c r="R190" s="418"/>
      <x:c r="S190" s="418"/>
      <x:c r="T190" s="418"/>
      <x:c r="U190" s="418"/>
      <x:c r="V190" s="418"/>
      <x:c r="W190" s="418"/>
      <x:c r="X190" s="418"/>
      <x:c r="Y190" s="418"/>
      <x:c r="Z190" s="418"/>
    </x:row>
    <x:row r="191">
      <x:c r="A191" s="418"/>
      <x:c r="B191" s="418"/>
      <x:c r="C191" s="418"/>
      <x:c r="D191" s="418"/>
      <x:c r="E191" s="418"/>
      <x:c r="F191" s="418"/>
      <x:c r="G191" s="418"/>
      <x:c r="H191" s="418"/>
      <x:c r="I191" s="418"/>
      <x:c r="J191" s="418"/>
      <x:c r="K191" s="418"/>
      <x:c r="L191" s="418"/>
      <x:c r="M191" s="418"/>
      <x:c r="N191" s="418"/>
      <x:c r="O191" s="418"/>
      <x:c r="P191" s="418"/>
      <x:c r="Q191" s="418"/>
      <x:c r="R191" s="418"/>
      <x:c r="S191" s="418"/>
      <x:c r="T191" s="418"/>
      <x:c r="U191" s="418"/>
      <x:c r="V191" s="418"/>
      <x:c r="W191" s="418"/>
      <x:c r="X191" s="418"/>
      <x:c r="Y191" s="418"/>
      <x:c r="Z191" s="418"/>
    </x:row>
    <x:row r="192">
      <x:c r="A192" s="418"/>
      <x:c r="B192" s="418"/>
      <x:c r="C192" s="418"/>
      <x:c r="D192" s="418"/>
      <x:c r="E192" s="418"/>
      <x:c r="F192" s="418"/>
      <x:c r="G192" s="418"/>
      <x:c r="H192" s="418"/>
      <x:c r="I192" s="418"/>
      <x:c r="J192" s="418"/>
      <x:c r="K192" s="418"/>
      <x:c r="L192" s="418"/>
      <x:c r="M192" s="418"/>
      <x:c r="N192" s="418"/>
      <x:c r="O192" s="418"/>
      <x:c r="P192" s="418"/>
      <x:c r="Q192" s="418"/>
      <x:c r="R192" s="418"/>
      <x:c r="S192" s="418"/>
      <x:c r="T192" s="418"/>
      <x:c r="U192" s="418"/>
      <x:c r="V192" s="418"/>
      <x:c r="W192" s="418"/>
      <x:c r="X192" s="418"/>
      <x:c r="Y192" s="418"/>
      <x:c r="Z192" s="418"/>
    </x:row>
    <x:row r="193">
      <x:c r="A193" s="418"/>
      <x:c r="B193" s="418"/>
      <x:c r="C193" s="418"/>
      <x:c r="D193" s="418"/>
      <x:c r="E193" s="418"/>
      <x:c r="F193" s="418"/>
      <x:c r="G193" s="418"/>
      <x:c r="H193" s="418"/>
      <x:c r="I193" s="418"/>
      <x:c r="J193" s="418"/>
      <x:c r="K193" s="418"/>
      <x:c r="L193" s="418"/>
      <x:c r="M193" s="418"/>
      <x:c r="N193" s="418"/>
      <x:c r="O193" s="418"/>
      <x:c r="P193" s="418"/>
      <x:c r="Q193" s="418"/>
      <x:c r="R193" s="418"/>
      <x:c r="S193" s="418"/>
      <x:c r="T193" s="418"/>
      <x:c r="U193" s="418"/>
      <x:c r="V193" s="418"/>
      <x:c r="W193" s="418"/>
      <x:c r="X193" s="418"/>
      <x:c r="Y193" s="418"/>
      <x:c r="Z193" s="418"/>
    </x:row>
    <x:row r="194">
      <x:c r="A194" s="418"/>
      <x:c r="B194" s="418"/>
      <x:c r="C194" s="418"/>
      <x:c r="D194" s="418"/>
      <x:c r="E194" s="418"/>
      <x:c r="F194" s="418"/>
      <x:c r="G194" s="418"/>
      <x:c r="H194" s="418"/>
      <x:c r="I194" s="418"/>
      <x:c r="J194" s="418"/>
      <x:c r="K194" s="418"/>
      <x:c r="L194" s="418"/>
      <x:c r="M194" s="418"/>
      <x:c r="N194" s="418"/>
      <x:c r="O194" s="418"/>
      <x:c r="P194" s="418"/>
      <x:c r="Q194" s="418"/>
      <x:c r="R194" s="418"/>
      <x:c r="S194" s="418"/>
      <x:c r="T194" s="418"/>
      <x:c r="U194" s="418"/>
      <x:c r="V194" s="418"/>
      <x:c r="W194" s="418"/>
      <x:c r="X194" s="418"/>
      <x:c r="Y194" s="418"/>
      <x:c r="Z194" s="418"/>
    </x:row>
    <x:row r="195">
      <x:c r="A195" s="418"/>
      <x:c r="B195" s="418"/>
      <x:c r="C195" s="418"/>
      <x:c r="D195" s="418"/>
      <x:c r="E195" s="418"/>
      <x:c r="F195" s="418"/>
      <x:c r="G195" s="418"/>
      <x:c r="H195" s="418"/>
      <x:c r="I195" s="418"/>
      <x:c r="J195" s="418"/>
      <x:c r="K195" s="418"/>
      <x:c r="L195" s="418"/>
      <x:c r="M195" s="418"/>
      <x:c r="N195" s="418"/>
      <x:c r="O195" s="418"/>
      <x:c r="P195" s="418"/>
      <x:c r="Q195" s="418"/>
      <x:c r="R195" s="418"/>
      <x:c r="S195" s="418"/>
      <x:c r="T195" s="418"/>
      <x:c r="U195" s="418"/>
      <x:c r="V195" s="418"/>
      <x:c r="W195" s="418"/>
      <x:c r="X195" s="418"/>
      <x:c r="Y195" s="418"/>
      <x:c r="Z195" s="418"/>
    </x:row>
    <x:row r="196">
      <x:c r="A196" s="418"/>
      <x:c r="B196" s="418"/>
      <x:c r="C196" s="418"/>
      <x:c r="D196" s="418"/>
      <x:c r="E196" s="418"/>
      <x:c r="F196" s="418"/>
      <x:c r="G196" s="418"/>
      <x:c r="H196" s="418"/>
      <x:c r="I196" s="418"/>
      <x:c r="J196" s="418"/>
      <x:c r="K196" s="418"/>
      <x:c r="L196" s="418"/>
      <x:c r="M196" s="418"/>
      <x:c r="N196" s="418"/>
      <x:c r="O196" s="418"/>
      <x:c r="P196" s="418"/>
      <x:c r="Q196" s="418"/>
      <x:c r="R196" s="418"/>
      <x:c r="S196" s="418"/>
      <x:c r="T196" s="418"/>
      <x:c r="U196" s="418"/>
      <x:c r="V196" s="418"/>
      <x:c r="W196" s="418"/>
      <x:c r="X196" s="418"/>
      <x:c r="Y196" s="418"/>
      <x:c r="Z196" s="418"/>
    </x:row>
    <x:row r="197">
      <x:c r="A197" s="418"/>
      <x:c r="B197" s="418"/>
      <x:c r="C197" s="418"/>
      <x:c r="D197" s="418"/>
      <x:c r="E197" s="418"/>
      <x:c r="F197" s="418"/>
      <x:c r="G197" s="418"/>
      <x:c r="H197" s="418"/>
      <x:c r="I197" s="418"/>
      <x:c r="J197" s="418"/>
      <x:c r="K197" s="418"/>
      <x:c r="L197" s="418"/>
      <x:c r="M197" s="418"/>
      <x:c r="N197" s="418"/>
      <x:c r="O197" s="418"/>
      <x:c r="P197" s="418"/>
      <x:c r="Q197" s="418"/>
      <x:c r="R197" s="418"/>
      <x:c r="S197" s="418"/>
      <x:c r="T197" s="418"/>
      <x:c r="U197" s="418"/>
      <x:c r="V197" s="418"/>
      <x:c r="W197" s="418"/>
      <x:c r="X197" s="418"/>
      <x:c r="Y197" s="418"/>
      <x:c r="Z197" s="418"/>
    </x:row>
    <x:row r="198">
      <x:c r="A198" s="418"/>
      <x:c r="B198" s="418"/>
      <x:c r="C198" s="418"/>
      <x:c r="D198" s="418"/>
      <x:c r="E198" s="418"/>
      <x:c r="F198" s="418"/>
      <x:c r="G198" s="418"/>
      <x:c r="H198" s="418"/>
      <x:c r="I198" s="418"/>
      <x:c r="J198" s="418"/>
      <x:c r="K198" s="418"/>
      <x:c r="L198" s="418"/>
      <x:c r="M198" s="418"/>
      <x:c r="N198" s="418"/>
      <x:c r="O198" s="418"/>
      <x:c r="P198" s="418"/>
      <x:c r="Q198" s="418"/>
      <x:c r="R198" s="418"/>
      <x:c r="S198" s="418"/>
      <x:c r="T198" s="418"/>
      <x:c r="U198" s="418"/>
      <x:c r="V198" s="418"/>
      <x:c r="W198" s="418"/>
      <x:c r="X198" s="418"/>
      <x:c r="Y198" s="418"/>
      <x:c r="Z198" s="418"/>
    </x:row>
    <x:row r="199">
      <x:c r="A199" s="418"/>
      <x:c r="B199" s="418"/>
      <x:c r="C199" s="418"/>
      <x:c r="D199" s="418"/>
      <x:c r="E199" s="418"/>
      <x:c r="F199" s="418"/>
      <x:c r="G199" s="418"/>
      <x:c r="H199" s="418"/>
      <x:c r="I199" s="418"/>
      <x:c r="J199" s="418"/>
      <x:c r="K199" s="418"/>
      <x:c r="L199" s="418"/>
      <x:c r="M199" s="418"/>
      <x:c r="N199" s="418"/>
      <x:c r="O199" s="418"/>
      <x:c r="P199" s="418"/>
      <x:c r="Q199" s="418"/>
      <x:c r="R199" s="418"/>
      <x:c r="S199" s="418"/>
      <x:c r="T199" s="418"/>
      <x:c r="U199" s="418"/>
      <x:c r="V199" s="418"/>
      <x:c r="W199" s="418"/>
      <x:c r="X199" s="418"/>
      <x:c r="Y199" s="418"/>
      <x:c r="Z199" s="418"/>
    </x:row>
    <x:row r="200">
      <x:c r="A200" s="418"/>
      <x:c r="B200" s="418"/>
      <x:c r="C200" s="418"/>
      <x:c r="D200" s="418"/>
      <x:c r="E200" s="418"/>
      <x:c r="F200" s="418"/>
      <x:c r="G200" s="418"/>
      <x:c r="H200" s="418"/>
      <x:c r="I200" s="418"/>
      <x:c r="J200" s="418"/>
      <x:c r="K200" s="418"/>
      <x:c r="L200" s="418"/>
      <x:c r="M200" s="418"/>
      <x:c r="N200" s="418"/>
      <x:c r="O200" s="418"/>
      <x:c r="P200" s="418"/>
      <x:c r="Q200" s="418"/>
      <x:c r="R200" s="418"/>
      <x:c r="S200" s="418"/>
      <x:c r="T200" s="418"/>
      <x:c r="U200" s="418"/>
      <x:c r="V200" s="418"/>
      <x:c r="W200" s="418"/>
      <x:c r="X200" s="418"/>
      <x:c r="Y200" s="418"/>
      <x:c r="Z200" s="418"/>
    </x:row>
  </x:sheetData>
  <x:mergeCells>
    <x:mergeCell ref="A1:N1"/>
  </x:mergeCells>
  <x:pageMargins left="0.7" right="0.7" top="0.75" bottom="0.75" header="0.3" footer="0.3"/>
</x:worksheet>
</file>

<file path=xl/worksheets/sheet14.xml><?xml version="1.0" encoding="utf-8"?>
<x:worksheet xmlns:x="http://schemas.openxmlformats.org/spreadsheetml/2006/main">
  <x:sheetFormatPr defaultRowHeight="15"/>
  <x:cols>
    <x:col min="1" max="1" width="46" hidden="0" customWidth="1"/>
    <x:col min="2" max="2" width="46" hidden="0" customWidth="1"/>
  </x:cols>
  <x:sheetData>
    <x:row r="1">
      <x:c r="A1" s="6" t="str">
        <x:v>Decision</x:v>
      </x:c>
      <x:c r="B1" s="6" t="str">
        <x:v>Include</x:v>
      </x:c>
    </x:row>
    <x:row r="2">
      <x:c r="A2" t="str">
        <x:v>Decision</x:v>
      </x:c>
      <x:c r="B2" t="str">
        <x:v>Exclude</x:v>
      </x:c>
    </x:row>
    <x:row r="3">
      <x:c r="A3" t="str">
        <x:v>Decision</x:v>
      </x:c>
      <x:c r="B3" t="str">
        <x:v>Unclear</x:v>
      </x:c>
    </x:row>
    <x:row r="4">
      <x:c r="A4" t="str">
        <x:v>YesNoPending</x:v>
      </x:c>
      <x:c r="B4" t="str">
        <x:v>Yes</x:v>
      </x:c>
    </x:row>
    <x:row r="5">
      <x:c r="A5" t="str">
        <x:v>YesNoPending</x:v>
      </x:c>
      <x:c r="B5" t="str">
        <x:v>No</x:v>
      </x:c>
    </x:row>
    <x:row r="6">
      <x:c r="A6" t="str">
        <x:v>YesNoPending</x:v>
      </x:c>
      <x:c r="B6" t="str">
        <x:v>Pending</x:v>
      </x:c>
    </x:row>
    <x:row r="7">
      <x:c r="A7" t="str">
        <x:v>DuplicateStatus</x:v>
      </x:c>
      <x:c r="B7" t="str">
        <x:v>No duplicate</x:v>
      </x:c>
    </x:row>
    <x:row r="8">
      <x:c r="A8" t="str">
        <x:v>DuplicateStatus</x:v>
      </x:c>
      <x:c r="B8" t="str">
        <x:v>Confirmed duplicate</x:v>
      </x:c>
    </x:row>
    <x:row r="9">
      <x:c r="A9" t="str">
        <x:v>DuplicateStatus</x:v>
      </x:c>
      <x:c r="B9" t="str">
        <x:v>Potential duplicate</x:v>
      </x:c>
    </x:row>
    <x:row r="10">
      <x:c r="A10" t="str">
        <x:v>DuplicateStatus</x:v>
      </x:c>
      <x:c r="B10" t="str">
        <x:v>Pending</x:v>
      </x:c>
    </x:row>
    <x:row r="11">
      <x:c r="A11" t="str">
        <x:v>StudyRole</x:v>
      </x:c>
      <x:c r="B11" t="str">
        <x:v>Direct retinal C-XAI</x:v>
      </x:c>
    </x:row>
    <x:row r="12">
      <x:c r="A12" t="str">
        <x:v>StudyRole</x:v>
      </x:c>
      <x:c r="B12" t="str">
        <x:v>Contextual retinal evidence</x:v>
      </x:c>
    </x:row>
    <x:row r="13">
      <x:c r="A13" t="str">
        <x:v>StudyRole</x:v>
      </x:c>
      <x:c r="B13" t="str">
        <x:v>General C-XAI background</x:v>
      </x:c>
    </x:row>
    <x:row r="14">
      <x:c r="A14" t="str">
        <x:v>StudyRole</x:v>
      </x:c>
      <x:c r="B14" t="str">
        <x:v>Excluded</x:v>
      </x:c>
    </x:row>
    <x:row r="15">
      <x:c r="A15" t="str">
        <x:v>TAReason</x:v>
      </x:c>
      <x:c r="B15" t="str">
        <x:v>Not retinal or ophthalmic imaging</x:v>
      </x:c>
    </x:row>
    <x:row r="16">
      <x:c r="A16" t="str">
        <x:v>TAReason</x:v>
      </x:c>
      <x:c r="B16" t="str">
        <x:v>No concept-based or structured explainability method</x:v>
      </x:c>
    </x:row>
    <x:row r="17">
      <x:c r="A17" t="str">
        <x:v>TAReason</x:v>
      </x:c>
      <x:c r="B17" t="str">
        <x:v>Saliency/feature attribution only</x:v>
      </x:c>
    </x:row>
    <x:row r="18">
      <x:c r="A18" t="str">
        <x:v>TAReason</x:v>
      </x:c>
      <x:c r="B18" t="str">
        <x:v>Review, editorial, commentary, or non-original study</x:v>
      </x:c>
    </x:row>
    <x:row r="19">
      <x:c r="A19" t="str">
        <x:v>TAReason</x:v>
      </x:c>
      <x:c r="B19" t="str">
        <x:v>Insufficient relevance from title/abstract</x:v>
      </x:c>
    </x:row>
    <x:row r="20">
      <x:c r="A20" t="str">
        <x:v>FTReason</x:v>
      </x:c>
      <x:c r="B20" t="str">
        <x:v>Not retinal or ophthalmic imaging</x:v>
      </x:c>
    </x:row>
    <x:row r="21">
      <x:c r="A21" t="str">
        <x:v>FTReason</x:v>
      </x:c>
      <x:c r="B21" t="str">
        <x:v>No concept-based or structured explainability method</x:v>
      </x:c>
    </x:row>
    <x:row r="22">
      <x:c r="A22" t="str">
        <x:v>FTReason</x:v>
      </x:c>
      <x:c r="B22" t="str">
        <x:v>Saliency/feature attribution only</x:v>
      </x:c>
    </x:row>
    <x:row r="23">
      <x:c r="A23" t="str">
        <x:v>FTReason</x:v>
      </x:c>
      <x:c r="B23" t="str">
        <x:v>No original empirical evaluation</x:v>
      </x:c>
    </x:row>
    <x:row r="24">
      <x:c r="A24" t="str">
        <x:v>FTReason</x:v>
      </x:c>
      <x:c r="B24" t="str">
        <x:v>Insufficient methodological detail</x:v>
      </x:c>
    </x:row>
    <x:row r="25">
      <x:c r="A25" t="str">
        <x:v>FTReason</x:v>
      </x:c>
      <x:c r="B25" t="str">
        <x:v>Duplicate or earlier publication version</x:v>
      </x:c>
    </x:row>
    <x:row r="26">
      <x:c r="A26" t="str">
        <x:v>FTReason</x:v>
      </x:c>
      <x:c r="B26" t="str">
        <x:v>Outside date range</x:v>
      </x:c>
    </x:row>
    <x:row r="27">
      <x:c r="A27" t="str">
        <x:v>FTReason</x:v>
      </x:c>
      <x:c r="B27" t="str">
        <x:v>Full text unavailable</x:v>
      </x:c>
    </x:row>
    <x:row r="28">
      <x:c r="A28" t="str">
        <x:v>FTReason</x:v>
      </x:c>
      <x:c r="B28" t="str">
        <x:v>Does not meet predefined retinal C-XAI eligibility criteria</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55" hidden="0" customWidth="1"/>
    <x:col min="3" max="3" width="18" hidden="0" customWidth="1"/>
    <x:col min="4" max="4" width="18" hidden="0" customWidth="1"/>
    <x:col min="5" max="5" width="18" hidden="0" customWidth="1"/>
    <x:col min="6" max="6" width="18" hidden="0" customWidth="1"/>
    <x:col min="7" max="7" width="18" hidden="0" customWidth="1"/>
    <x:col min="8" max="8" width="28" hidden="0" customWidth="1"/>
    <x:col min="9" max="9" width="28" hidden="0" customWidth="1"/>
  </x:cols>
  <x:sheetData>
    <x:row r="1">
      <x:c r="A1" s="539" t="str">
        <x:v>Google Scholar Screening Capture — R1</x:v>
      </x:c>
      <x:c r="B1" s="539"/>
      <x:c r="C1" s="539"/>
      <x:c r="D1" s="539"/>
      <x:c r="E1" s="539"/>
      <x:c r="F1" s="539"/>
      <x:c r="G1" s="539"/>
      <x:c r="H1" s="539"/>
      <x:c r="I1" s="539"/>
    </x:row>
    <x:row r="2">
      <x:c r="A2" s="22"/>
      <x:c r="B2" s="22"/>
      <x:c r="C2" s="22"/>
      <x:c r="D2" s="22"/>
      <x:c r="E2" s="22"/>
      <x:c r="F2" s="22"/>
      <x:c r="G2" s="22"/>
      <x:c r="H2" s="22"/>
      <x:c r="I2" s="22"/>
    </x:row>
    <x:row r="3">
      <x:c r="A3" s="541" t="str">
        <x:v>Search ID</x:v>
      </x:c>
      <x:c r="B3" s="541" t="str">
        <x:v>Exact query</x:v>
      </x:c>
      <x:c r="C3" s="541" t="str">
        <x:v>Displayed estimate at capture</x:v>
      </x:c>
      <x:c r="D3" s="541" t="str">
        <x:v>Records captured for screening</x:v>
      </x:c>
      <x:c r="E3" s="541" t="str">
        <x:v>Pages captured</x:v>
      </x:c>
      <x:c r="F3" s="541" t="str">
        <x:v>Sort</x:v>
      </x:c>
      <x:c r="G3" s="541" t="str">
        <x:v>Filters</x:v>
      </x:c>
      <x:c r="H3" s="541" t="str">
        <x:v>Capture status</x:v>
      </x:c>
      <x:c r="I3" s="541" t="str">
        <x:v>PRISMA rule</x:v>
      </x:c>
    </x:row>
    <x:row r="4">
      <x:c r="A4" s="22" t="str">
        <x:v>GS-01</x:v>
      </x:c>
      <x:c r="B4" s="22" t="str">
        <x:v>retina OR retinal OR ophthalmology OR ophthalmic OR fundus OR OCT "concept bottleneck"</x:v>
      </x:c>
      <x:c r="C4" s="22" t="n">
        <x:v>478</x:v>
      </x:c>
      <x:c r="D4" s="22" t="n">
        <x:v>100</x:v>
      </x:c>
      <x:c r="E4" s="22" t="n">
        <x:v>10</x:v>
      </x:c>
      <x:c r="F4" s="22" t="str">
        <x:v>Relevance</x:v>
      </x:c>
      <x:c r="G4" s="22" t="str">
        <x:v>2017–2026; patents off; citation-only records off</x:v>
      </x:c>
      <x:c r="H4" s="22" t="str">
        <x:v>Complete</x:v>
      </x:c>
      <x:c r="I4" s="22" t="str">
        <x:v>Use the captured screening count, not the approximate displayed estimate</x:v>
      </x:c>
    </x:row>
    <x:row r="5">
      <x:c r="A5" s="22" t="str">
        <x:v>GS-02</x:v>
      </x:c>
      <x:c r="B5" s="22" t="str">
        <x:v>retina OR retinal OR ophthalmology OR ophthalmic OR fundus OR OCT "prototype learning"</x:v>
      </x:c>
      <x:c r="C5" s="22" t="n">
        <x:v>1630</x:v>
      </x:c>
      <x:c r="D5" s="22" t="n">
        <x:v>100</x:v>
      </x:c>
      <x:c r="E5" s="22" t="n">
        <x:v>10</x:v>
      </x:c>
      <x:c r="F5" s="22" t="str">
        <x:v>Relevance</x:v>
      </x:c>
      <x:c r="G5" s="22" t="str">
        <x:v>2017–2026; patents off; citation-only records off</x:v>
      </x:c>
      <x:c r="H5" s="22" t="str">
        <x:v>Complete</x:v>
      </x:c>
      <x:c r="I5" s="22" t="str">
        <x:v>Use the captured screening count, not the approximate displayed estimate</x:v>
      </x:c>
    </x:row>
    <x:row r="6">
      <x:c r="A6" s="22" t="str">
        <x:v>GS-03</x:v>
      </x:c>
      <x:c r="B6" s="22" t="str">
        <x:v>retina OR retinal OR ophthalmology OR ophthalmic OR fundus OR OCT "case-based reasoning"</x:v>
      </x:c>
      <x:c r="C6" s="22" t="n">
        <x:v>5830</x:v>
      </x:c>
      <x:c r="D6" s="22" t="n">
        <x:v>100</x:v>
      </x:c>
      <x:c r="E6" s="22" t="n">
        <x:v>10</x:v>
      </x:c>
      <x:c r="F6" s="22" t="str">
        <x:v>Relevance</x:v>
      </x:c>
      <x:c r="G6" s="22" t="str">
        <x:v>2017–2026; patents off; citation-only records off</x:v>
      </x:c>
      <x:c r="H6" s="22" t="str">
        <x:v>Complete</x:v>
      </x:c>
      <x:c r="I6" s="22" t="str">
        <x:v>Use the captured screening count, not the approximate displayed estimate</x:v>
      </x:c>
    </x:row>
    <x:row r="7">
      <x:c r="A7" s="22" t="str">
        <x:v>GS-04</x:v>
      </x:c>
      <x:c r="B7" s="22" t="str">
        <x:v>neurosymbolic retina</x:v>
      </x:c>
      <x:c r="C7" s="22" t="n">
        <x:v>534</x:v>
      </x:c>
      <x:c r="D7" s="22" t="n">
        <x:v>100</x:v>
      </x:c>
      <x:c r="E7" s="22" t="n">
        <x:v>10</x:v>
      </x:c>
      <x:c r="F7" s="22" t="str">
        <x:v>Relevance</x:v>
      </x:c>
      <x:c r="G7" s="22" t="str">
        <x:v>2017–2026; patents off; citation-only records off</x:v>
      </x:c>
      <x:c r="H7" s="22" t="str">
        <x:v>Complete</x:v>
      </x:c>
      <x:c r="I7" s="22" t="str">
        <x:v>Use the captured screening count, not the approximate displayed estimate</x:v>
      </x:c>
    </x:row>
    <x:row r="8">
      <x:c r="A8" s="22" t="str">
        <x:v>GS-05</x:v>
      </x:c>
      <x:c r="B8" s="22" t="str">
        <x:v>"neuro-symbolic" retina</x:v>
      </x:c>
      <x:c r="C8" s="22" t="n">
        <x:v>429</x:v>
      </x:c>
      <x:c r="D8" s="22" t="n">
        <x:v>100</x:v>
      </x:c>
      <x:c r="E8" s="22" t="n">
        <x:v>10</x:v>
      </x:c>
      <x:c r="F8" s="22" t="str">
        <x:v>Relevance</x:v>
      </x:c>
      <x:c r="G8" s="22" t="str">
        <x:v>2017–2026; patents off; citation-only records off</x:v>
      </x:c>
      <x:c r="H8" s="22" t="str">
        <x:v>Complete</x:v>
      </x:c>
      <x:c r="I8" s="22" t="str">
        <x:v>Use the captured screening count, not the approximate displayed estimate</x:v>
      </x:c>
    </x:row>
    <x:row r="9">
      <x:c r="A9" s="22" t="str">
        <x:v>GS-06</x:v>
      </x:c>
      <x:c r="B9" s="22" t="str">
        <x:v>"concept activation vector" retina</x:v>
      </x:c>
      <x:c r="C9" s="22" t="n">
        <x:v>41</x:v>
      </x:c>
      <x:c r="D9" s="22" t="n">
        <x:v>41</x:v>
      </x:c>
      <x:c r="E9" s="22" t="n">
        <x:v>5</x:v>
      </x:c>
      <x:c r="F9" s="22" t="str">
        <x:v>Relevance</x:v>
      </x:c>
      <x:c r="G9" s="22" t="str">
        <x:v>2017–2026; patents off; citation-only records off</x:v>
      </x:c>
      <x:c r="H9" s="22" t="str">
        <x:v>Complete</x:v>
      </x:c>
      <x:c r="I9" s="22" t="str">
        <x:v>Use the captured screening count, not the approximate displayed estimate</x:v>
      </x:c>
    </x:row>
    <x:row r="10">
      <x:c r="A10" s="22" t="str">
        <x:v>GS-07</x:v>
      </x:c>
      <x:c r="B10" s="22" t="str">
        <x:v>"self-explaining neural network" retina</x:v>
      </x:c>
      <x:c r="C10" s="22" t="n">
        <x:v>7</x:v>
      </x:c>
      <x:c r="D10" s="22" t="n">
        <x:v>7</x:v>
      </x:c>
      <x:c r="E10" s="22" t="n">
        <x:v>1</x:v>
      </x:c>
      <x:c r="F10" s="22" t="str">
        <x:v>Relevance</x:v>
      </x:c>
      <x:c r="G10" s="22" t="str">
        <x:v>2017–2026; patents off; citation-only records off</x:v>
      </x:c>
      <x:c r="H10" s="22" t="str">
        <x:v>Complete</x:v>
      </x:c>
      <x:c r="I10" s="22" t="str">
        <x:v>Use the captured screening count, not the approximate displayed estimate</x:v>
      </x:c>
    </x:row>
    <x:row r="11">
      <x:c r="A11" s="22" t="str">
        <x:v>GS-08</x:v>
      </x:c>
      <x:c r="B11" s="22" t="str">
        <x:v>"concept-based explanation" retina</x:v>
      </x:c>
      <x:c r="C11" s="22" t="n">
        <x:v>47</x:v>
      </x:c>
      <x:c r="D11" s="22" t="n">
        <x:v>47</x:v>
      </x:c>
      <x:c r="E11" s="22" t="n">
        <x:v>5</x:v>
      </x:c>
      <x:c r="F11" s="22" t="str">
        <x:v>Relevance</x:v>
      </x:c>
      <x:c r="G11" s="22" t="str">
        <x:v>2017–2026; patents off; citation-only records off</x:v>
      </x:c>
      <x:c r="H11" s="22" t="str">
        <x:v>Complete</x:v>
      </x:c>
      <x:c r="I11" s="22" t="str">
        <x:v>Use the captured screening count, not the approximate displayed estimate</x:v>
      </x:c>
    </x:row>
    <x:row r="12">
      <x:c r="A12" s="22" t="str">
        <x:v>TOTAL</x:v>
      </x:c>
      <x:c r="B12" s="22"/>
      <x:c r="C12" s="22"/>
      <x:c r="D12" s="22" t="n">
        <x:v>595</x:v>
      </x:c>
      <x:c r="E12" s="22" t="n">
        <x:v>61</x:v>
      </x:c>
      <x:c r="F12" s="22"/>
      <x:c r="G12" s="22"/>
      <x:c r="H12" s="22" t="str">
        <x:v>Complete search-page capture</x:v>
      </x:c>
      <x:c r="I12" s="22" t="str">
        <x:v>595 source instances before deduplication</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42" hidden="0" customWidth="1"/>
    <x:col min="3" max="3" width="20" hidden="0" customWidth="1"/>
    <x:col min="4" max="4" width="20" hidden="0" customWidth="1"/>
    <x:col min="5" max="5" width="20" hidden="0" customWidth="1"/>
    <x:col min="6" max="6" width="20" hidden="0" customWidth="1"/>
  </x:cols>
  <x:sheetData>
    <x:row r="1">
      <x:c r="A1" s="543" t="str">
        <x:v>arXiv Per-Query Recheck — R1</x:v>
      </x:c>
      <x:c r="B1" s="543"/>
      <x:c r="C1" s="543"/>
      <x:c r="D1" s="543"/>
      <x:c r="E1" s="543"/>
      <x:c r="F1" s="543"/>
    </x:row>
    <x:row r="2">
      <x:c r="A2" s="20"/>
      <x:c r="B2" s="20"/>
      <x:c r="C2" s="20"/>
      <x:c r="D2" s="20"/>
      <x:c r="E2" s="20"/>
      <x:c r="F2" s="20"/>
    </x:row>
    <x:row r="3">
      <x:c r="A3" s="545" t="str">
        <x:v>Search ID</x:v>
      </x:c>
      <x:c r="B3" s="545" t="str">
        <x:v>Exact query</x:v>
      </x:c>
      <x:c r="C3" s="545" t="str">
        <x:v>Rechecked hits</x:v>
      </x:c>
      <x:c r="D3" s="545" t="str">
        <x:v>Recheck date</x:v>
      </x:c>
      <x:c r="E3" s="545" t="str">
        <x:v>Record-level metadata visible</x:v>
      </x:c>
      <x:c r="F3" s="545" t="str">
        <x:v>Status</x:v>
      </x:c>
    </x:row>
    <x:row r="4">
      <x:c r="A4" s="20" t="str">
        <x:v>ARXIV-01</x:v>
      </x:c>
      <x:c r="B4" s="20" t="str">
        <x:v>"concept bottleneck" AND retin*</x:v>
      </x:c>
      <x:c r="C4" s="20" t="n">
        <x:v>1</x:v>
      </x:c>
      <x:c r="D4" s="20" t="str">
        <x:v>7 August 2026</x:v>
      </x:c>
      <x:c r="E4" s="20" t="n">
        <x:v>1</x:v>
      </x:c>
      <x:c r="F4" s="20" t="str">
        <x:v>Complete count; metadata complete in screenshot</x:v>
      </x:c>
    </x:row>
    <x:row r="5">
      <x:c r="A5" s="20" t="str">
        <x:v>ARXIV-02</x:v>
      </x:c>
      <x:c r="B5" s="20" t="str">
        <x:v>"prototype learning" AND retin*</x:v>
      </x:c>
      <x:c r="C5" s="20" t="n">
        <x:v>22</x:v>
      </x:c>
      <x:c r="D5" s="20" t="str">
        <x:v>7 August 2026</x:v>
      </x:c>
      <x:c r="E5" s="20" t="n">
        <x:v>4</x:v>
      </x:c>
      <x:c r="F5" s="20" t="str">
        <x:v>Complete count; additional record metadata required</x:v>
      </x:c>
    </x:row>
    <x:row r="6">
      <x:c r="A6" s="20" t="str">
        <x:v>ARXIV-03</x:v>
      </x:c>
      <x:c r="B6" s="20" t="str">
        <x:v>"case-based reasoning" AND retin*</x:v>
      </x:c>
      <x:c r="C6" s="20" t="n">
        <x:v>7</x:v>
      </x:c>
      <x:c r="D6" s="20" t="str">
        <x:v>7 August 2026</x:v>
      </x:c>
      <x:c r="E6" s="20" t="n">
        <x:v>4</x:v>
      </x:c>
      <x:c r="F6" s="20" t="str">
        <x:v>Complete count; additional record metadata required</x:v>
      </x:c>
    </x:row>
    <x:row r="7">
      <x:c r="A7" s="20" t="str">
        <x:v>ARXIV-04</x:v>
      </x:c>
      <x:c r="B7" s="20" t="str">
        <x:v>neurosymbolic AND retin*</x:v>
      </x:c>
      <x:c r="C7" s="20" t="n">
        <x:v>1</x:v>
      </x:c>
      <x:c r="D7" s="20" t="str">
        <x:v>7 August 2026</x:v>
      </x:c>
      <x:c r="E7" s="20" t="n">
        <x:v>1</x:v>
      </x:c>
      <x:c r="F7" s="20" t="str">
        <x:v>Complete count; metadata complete in screenshot</x:v>
      </x:c>
    </x:row>
    <x:row r="8">
      <x:c r="A8" s="20" t="str">
        <x:v>ARXIV-05</x:v>
      </x:c>
      <x:c r="B8" s="20" t="str">
        <x:v>"neuro-symbolic" AND retin*</x:v>
      </x:c>
      <x:c r="C8" s="20" t="n">
        <x:v>4</x:v>
      </x:c>
      <x:c r="D8" s="20" t="str">
        <x:v>7 August 2026</x:v>
      </x:c>
      <x:c r="E8" s="20" t="n">
        <x:v>4</x:v>
      </x:c>
      <x:c r="F8" s="20" t="str">
        <x:v>Complete count; metadata complete in screenshot</x:v>
      </x:c>
    </x:row>
    <x:row r="9">
      <x:c r="A9" s="20" t="str">
        <x:v>ARXIV-06</x:v>
      </x:c>
      <x:c r="B9" s="20" t="str">
        <x:v>"concept activation vector" AND retin*</x:v>
      </x:c>
      <x:c r="C9" s="20" t="n">
        <x:v>2</x:v>
      </x:c>
      <x:c r="D9" s="20" t="str">
        <x:v>7 August 2026</x:v>
      </x:c>
      <x:c r="E9" s="20" t="n">
        <x:v>2</x:v>
      </x:c>
      <x:c r="F9" s="20" t="str">
        <x:v>Complete count; metadata complete in screenshot</x:v>
      </x:c>
    </x:row>
    <x:row r="10">
      <x:c r="A10" s="20" t="str">
        <x:v>ARXIV-07</x:v>
      </x:c>
      <x:c r="B10" s="20" t="str">
        <x:v>"self-explaining neural network" AND retin*</x:v>
      </x:c>
      <x:c r="C10" s="20" t="n">
        <x:v>0</x:v>
      </x:c>
      <x:c r="D10" s="20" t="str">
        <x:v>7 August 2026</x:v>
      </x:c>
      <x:c r="E10" s="20" t="n">
        <x:v>0</x:v>
      </x:c>
      <x:c r="F10" s="20" t="str">
        <x:v>Complete count; metadata complete in screenshot</x:v>
      </x:c>
    </x:row>
    <x:row r="11">
      <x:c r="A11" s="20" t="str">
        <x:v>ARXIV-08</x:v>
      </x:c>
      <x:c r="B11" s="20" t="str">
        <x:v>"concept-based explanation" AND retin*</x:v>
      </x:c>
      <x:c r="C11" s="20" t="n">
        <x:v>0</x:v>
      </x:c>
      <x:c r="D11" s="20" t="str">
        <x:v>7 August 2026</x:v>
      </x:c>
      <x:c r="E11" s="20" t="n">
        <x:v>0</x:v>
      </x:c>
      <x:c r="F11" s="20" t="str">
        <x:v>Complete count; metadata complete in screenshot</x:v>
      </x:c>
    </x:row>
    <x:row r="12">
      <x:c r="A12" s="20" t="str">
        <x:v>ARXIV-09</x:v>
      </x:c>
      <x:c r="B12" s="20" t="str">
        <x:v>"concept embedding model" AND retin*</x:v>
      </x:c>
      <x:c r="C12" s="20" t="n">
        <x:v>0</x:v>
      </x:c>
      <x:c r="D12" s="20" t="str">
        <x:v>7 August 2026</x:v>
      </x:c>
      <x:c r="E12" s="20" t="n">
        <x:v>0</x:v>
      </x:c>
      <x:c r="F12" s="20" t="str">
        <x:v>Complete count; metadata complete in screenshot</x:v>
      </x:c>
    </x:row>
    <x:row r="13">
      <x:c r="A13" s="20" t="str">
        <x:v>ARXIV-10</x:v>
      </x:c>
      <x:c r="B13" s="20" t="str">
        <x:v>"interpretable representation learning" AND retin*</x:v>
      </x:c>
      <x:c r="C13" s="20" t="n">
        <x:v>35</x:v>
      </x:c>
      <x:c r="D13" s="20" t="str">
        <x:v>7 August 2026</x:v>
      </x:c>
      <x:c r="E13" s="20" t="n">
        <x:v>4</x:v>
      </x:c>
      <x:c r="F13" s="20" t="str">
        <x:v>Complete count; additional record metadata required</x:v>
      </x:c>
    </x:row>
    <x:row r="14">
      <x:c r="A14" s="20" t="str">
        <x:v>ARXIV-11</x:v>
      </x:c>
      <x:c r="B14" s="20" t="str">
        <x:v>"concept discovery" AND retin*</x:v>
      </x:c>
      <x:c r="C14" s="20" t="n">
        <x:v>2</x:v>
      </x:c>
      <x:c r="D14" s="20" t="str">
        <x:v>7 August 2026</x:v>
      </x:c>
      <x:c r="E14" s="20" t="n">
        <x:v>2</x:v>
      </x:c>
      <x:c r="F14" s="20" t="str">
        <x:v>Complete count; metadata complete in screenshot</x:v>
      </x:c>
    </x:row>
    <x:row r="15">
      <x:c r="A15" s="20" t="str">
        <x:v>ARXIV-12</x:v>
      </x:c>
      <x:c r="B15" s="20" t="str">
        <x:v>"relational concept" AND retin*</x:v>
      </x:c>
      <x:c r="C15" s="20" t="n">
        <x:v>4</x:v>
      </x:c>
      <x:c r="D15" s="20" t="str">
        <x:v>7 August 2026</x:v>
      </x:c>
      <x:c r="E15" s="20" t="n">
        <x:v>4</x:v>
      </x:c>
      <x:c r="F15" s="20" t="str">
        <x:v>Complete count; metadata complete in screenshot</x:v>
      </x:c>
    </x:row>
    <x:row r="16">
      <x:c r="A16" s="20" t="str">
        <x:v>ARXIV-13</x:v>
      </x:c>
      <x:c r="B16" s="20" t="str">
        <x:v>"prototypical part network" AND retin*</x:v>
      </x:c>
      <x:c r="C16" s="20" t="n">
        <x:v>1</x:v>
      </x:c>
      <x:c r="D16" s="20" t="str">
        <x:v>7 August 2026</x:v>
      </x:c>
      <x:c r="E16" s="20" t="n">
        <x:v>1</x:v>
      </x:c>
      <x:c r="F16" s="20" t="str">
        <x:v>Complete count; metadata complete in screenshot</x:v>
      </x:c>
    </x:row>
    <x:row r="17">
      <x:c r="A17" s="20" t="str">
        <x:v>ARXIV-14</x:v>
      </x:c>
      <x:c r="B17" s="20" t="str">
        <x:v>"language-guided concept" AND retin*</x:v>
      </x:c>
      <x:c r="C17" s="20" t="n">
        <x:v>1</x:v>
      </x:c>
      <x:c r="D17" s="20" t="str">
        <x:v>7 August 2026</x:v>
      </x:c>
      <x:c r="E17" s="20" t="n">
        <x:v>1</x:v>
      </x:c>
      <x:c r="F17" s="20" t="str">
        <x:v>Complete count; metadata complete in screenshot</x:v>
      </x:c>
    </x:row>
    <x:row r="18">
      <x:c r="A18" s="20" t="str">
        <x:v>TOTAL</x:v>
      </x:c>
      <x:c r="B18" s="20"/>
      <x:c r="C18" s="20" t="n">
        <x:v>80</x:v>
      </x:c>
      <x:c r="D18" s="20"/>
      <x:c r="E18" s="20" t="n">
        <x:v>28</x:v>
      </x:c>
      <x:c r="F18" s="20" t="str">
        <x:v>80 search instances counted; only 28 visible records currently have title-level metadata in the workbook</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6" hidden="0" customWidth="1"/>
    <x:col min="2" max="2" width="36" hidden="0" customWidth="1"/>
    <x:col min="3" max="3" width="44" hidden="0" customWidth="1"/>
    <x:col min="4" max="4" width="34" hidden="0" customWidth="1"/>
    <x:col min="5" max="5" width="38" hidden="0" customWidth="1"/>
    <x:col min="6" max="6" width="20" hidden="0" customWidth="1"/>
    <x:col min="7" max="7" width="20" hidden="0" customWidth="1"/>
    <x:col min="8" max="8" width="38" hidden="0" customWidth="1"/>
  </x:cols>
  <x:sheetData>
    <x:row r="1">
      <x:c r="A1" s="609" t="str">
        <x:v>Reviewer #1 — Complete Revision Control Matrix</x:v>
      </x:c>
      <x:c r="B1" s="609"/>
      <x:c r="C1" s="609"/>
      <x:c r="D1" s="609"/>
      <x:c r="E1" s="609"/>
      <x:c r="F1" s="609"/>
      <x:c r="G1" s="609"/>
      <x:c r="H1" s="609"/>
    </x:row>
    <x:row r="2">
      <x:c r="A2" s="610"/>
      <x:c r="B2" s="610"/>
      <x:c r="C2" s="610"/>
      <x:c r="D2" s="610"/>
      <x:c r="E2" s="610"/>
      <x:c r="F2" s="610"/>
      <x:c r="G2" s="610"/>
      <x:c r="H2" s="610"/>
    </x:row>
    <x:row r="3">
      <x:c r="A3" s="611" t="str">
        <x:v>No.</x:v>
      </x:c>
      <x:c r="B3" s="611" t="str">
        <x:v>Reviewer request</x:v>
      </x:c>
      <x:c r="C3" s="611" t="str">
        <x:v>Professional action prepared</x:v>
      </x:c>
      <x:c r="D3" s="611" t="str">
        <x:v>Workbook evidence</x:v>
      </x:c>
      <x:c r="E3" s="611" t="str">
        <x:v>Manuscript action</x:v>
      </x:c>
      <x:c r="F3" s="611" t="str">
        <x:v>Status</x:v>
      </x:c>
      <x:c r="G3" s="611" t="str">
        <x:v>Human evidence required?</x:v>
      </x:c>
      <x:c r="H3" s="611" t="str">
        <x:v>Submission note</x:v>
      </x:c>
    </x:row>
    <x:row r="4">
      <x:c r="A4" s="22" t="n">
        <x:v>1</x:v>
      </x:c>
      <x:c r="B4" s="22" t="str">
        <x:v>Reproducible literature-review methodology: dates, strings, counts, deduplication, screening, exclusions, agreement, PRISMA, supplementary log</x:v>
      </x:c>
      <x:c r="C4" s="22" t="str">
        <x:v>Search, deduplication, corresponding-author primary screening, random co-author verification, retrieval, eligibility, final PRISMA counts, study-role classification, structured appraisal, extraction, and synthesis are documented for 109 included reports.</x:v>
      </x:c>
      <x:c r="D4" s="22" t="str">
        <x:v>Search Summary; Master Records; PRISMA Counts/Flow; Quality Appraisal 109; Evidence Table Final; Evidence Synthesis Final</x:v>
      </x:c>
      <x:c r="E4" s="22" t="str">
        <x:v>Insert the prepared revised Methods, Results and limitation language into the editable source.</x:v>
      </x:c>
      <x:c r="F4" s="612" t="str">
        <x:v>EVIDENCE PACKAGE COMPLETE</x:v>
      </x:c>
      <x:c r="G4" s="22" t="str">
        <x:v>Author source integration</x:v>
      </x:c>
      <x:c r="H4" s="22" t="str">
        <x:v>The corresponding author led the search and primary screening; two additional authors performed random spot checks. Abstract-level NR fields remain flagged.</x:v>
      </x:c>
    </x:row>
    <x:row r="5">
      <x:c r="A5" s="22" t="n">
        <x:v>2</x:v>
      </x:c>
      <x:c r="B5" s="22" t="str">
        <x:v>Evidence base is too small; broaden terms or moderate claims</x:v>
      </x:c>
      <x:c r="C5" s="22" t="str">
        <x:v>Expanded search strategy covers concept bottlenecks, prototypes, case-based reasoning, neuro-symbolic AI, concept activation, self-explaining networks and concept-based explanations across four sources. Claim-moderation language is also prepared.</x:v>
      </x:c>
      <x:c r="D5" s="22" t="str">
        <x:v>Full Search Strings; Search Summary; Claim Corrections</x:v>
      </x:c>
      <x:c r="E5" s="22" t="str">
        <x:v>Use a moderated title/abstract/conclusion unless the final screened evidence base clearly supports 'state-of-the-art' breadth.</x:v>
      </x:c>
      <x:c r="F5" s="613" t="str">
        <x:v>READY FOR MANUSCRIPT</x:v>
      </x:c>
      <x:c r="G5" s="22" t="str">
        <x:v>No</x:v>
      </x:c>
      <x:c r="H5" s="22" t="str">
        <x:v>Do not use approximate Google Scholar hit estimates as evidence counts.</x:v>
      </x:c>
    </x:row>
    <x:row r="6">
      <x:c r="A6" s="22" t="n">
        <x:v>3</x:v>
      </x:c>
      <x:c r="B6" s="22" t="str">
        <x:v>Add formal quality assessment: dataset size, external validation, patient split, annotations, ophthalmologist involvement, code, faithfulness, robustness, usability</x:v>
      </x:c>
      <x:c r="C6" s="22" t="str">
        <x:v>The nine-domain appraisal has been applied to all 109 included reports with explicit NR handling and evidence notes.</x:v>
      </x:c>
      <x:c r="D6" s="22" t="str">
        <x:v>Quality Assessment Tool; Quality Appraisal 109; Evidence Synthesis Final</x:v>
      </x:c>
      <x:c r="E6" s="22" t="str">
        <x:v>Add appraisal methods, aggregate findings and the abstract-level evidence limitation.</x:v>
      </x:c>
      <x:c r="F6" s="613" t="str">
        <x:v>COMPLETE AT ABSTRACT LEVEL</x:v>
      </x:c>
      <x:c r="G6" s="22" t="str">
        <x:v>Full-text confirmation recommended</x:v>
      </x:c>
      <x:c r="H6" s="22" t="str">
        <x:v>Do not interpret NR as proof that a full text omitted the item.</x:v>
      </x:c>
    </x:row>
    <x:row r="7">
      <x:c r="A7" s="22" t="n">
        <x:v>4</x:v>
      </x:c>
      <x:c r="B7" s="22" t="str">
        <x:v>Separate reviewed evidence from authors' proposed SMILE framework; moderate unvalidated claims</x:v>
      </x:c>
      <x:c r="C7" s="22" t="str">
        <x:v>Prepared explicit evidence/proposal distinction and replacement wording that frames SMILE as a conceptual auditing design rather than validated clinical improvement.</x:v>
      </x:c>
      <x:c r="D7" s="22" t="str">
        <x:v>Claim Corrections; Reviewer1 Full Response</x:v>
      </x:c>
      <x:c r="E7" s="22" t="str">
        <x:v>Revise Abstract, Contributions, Section 4 and Conclusion. Replace 'enhances clinical reliability/supports safer deployment' with design-objective language.</x:v>
      </x:c>
      <x:c r="F7" s="613" t="str">
        <x:v>READY</x:v>
      </x:c>
      <x:c r="G7" s="22" t="str">
        <x:v>No</x:v>
      </x:c>
      <x:c r="H7" s="22" t="str">
        <x:v>No empirical validation should be implied.</x:v>
      </x:c>
    </x:row>
    <x:row r="8">
      <x:c r="A8" s="22" t="n">
        <x:v>5</x:v>
      </x:c>
      <x:c r="B8" s="22" t="str">
        <x:v>Operationally define spatial alignment, concept purity, intervention consistency, label leakage and expert verification</x:v>
      </x:c>
      <x:c r="C8" s="22" t="str">
        <x:v>Operational definitions, candidate metrics, reporting units and caveats are prepared.</x:v>
      </x:c>
      <x:c r="D8" s="22" t="str">
        <x:v>Operational Definitions</x:v>
      </x:c>
      <x:c r="E8" s="22" t="str">
        <x:v>Add a concise protocol/table in Section 4; label thresholds as benchmark-dependent rather than universal.</x:v>
      </x:c>
      <x:c r="F8" s="613" t="str">
        <x:v>READY</x:v>
      </x:c>
      <x:c r="G8" s="22" t="str">
        <x:v>No</x:v>
      </x:c>
      <x:c r="H8" s="22" t="str">
        <x:v>A worked retinal example can be added using the same definitions.</x:v>
      </x:c>
    </x:row>
    <x:row r="9">
      <x:c r="A9" s="22" t="n">
        <x:v>6</x:v>
      </x:c>
      <x:c r="B9" s="22" t="str">
        <x:v>Strengthen clinical validation discussion: concept variability, inter-rater agreement, diagnostic utility</x:v>
      </x:c>
      <x:c r="C9" s="22" t="str">
        <x:v>Prepared clinical validation framework covering annotation agreement, Cohen/Fleiss kappa/ICC, diagnostic accuracy, calibration, referral decisions and reading time.</x:v>
      </x:c>
      <x:c r="D9" s="22" t="str">
        <x:v>Clinical Validation</x:v>
      </x:c>
      <x:c r="E9" s="22" t="str">
        <x:v>Add a dedicated paragraph/subsection in clinical validation/future work.</x:v>
      </x:c>
      <x:c r="F9" s="613" t="str">
        <x:v>READY</x:v>
      </x:c>
      <x:c r="G9" s="22" t="str">
        <x:v>No</x:v>
      </x:c>
      <x:c r="H9" s="22" t="str">
        <x:v>Do not state that explanations improve outcomes unless a user study demonstrates it.</x:v>
      </x:c>
    </x:row>
    <x:row r="10">
      <x:c r="A10" s="22" t="n">
        <x:v>7</x:v>
      </x:c>
      <x:c r="B10" s="22" t="str">
        <x:v>Clarify imaging scope across fundus, OCT, OCT-A, fluorescein angiography and multimodal imaging</x:v>
      </x:c>
      <x:c r="C10" s="22" t="str">
        <x:v>Prepared modality-specific synthesis and limitations.</x:v>
      </x:c>
      <x:c r="D10" s="22" t="str">
        <x:v>Modality Synthesis</x:v>
      </x:c>
      <x:c r="E10" s="22" t="str">
        <x:v>Add modality-specific synthesis or explicitly scope the review; recommended approach is to keep 'retinal imaging' and add the synthesis.</x:v>
      </x:c>
      <x:c r="F10" s="613" t="str">
        <x:v>READY</x:v>
      </x:c>
      <x:c r="G10" s="22" t="str">
        <x:v>No</x:v>
      </x:c>
      <x:c r="H10" s="22" t="str">
        <x:v>Evidence density may differ strongly by modality and should be stated.</x:v>
      </x:c>
    </x:row>
    <x:row r="11">
      <x:c r="A11" s="22" t="n">
        <x:v>8</x:v>
      </x:c>
      <x:c r="B11" s="22" t="str">
        <x:v>Connect concept-based XAI with segmentation and quantitative imaging</x:v>
      </x:c>
      <x:c r="C11" s="22" t="str">
        <x:v>Prepared segmentation-to-concept pipeline, error propagation mechanisms and reporting recommendations.</x:v>
      </x:c>
      <x:c r="D11" s="22" t="str">
        <x:v>Segmentation &amp; Radiomics</x:v>
      </x:c>
      <x:c r="E11" s="22" t="str">
        <x:v>Add a subsection linking U-Net-type lesion/anatomical segmentation to concept construction and explanation uncertainty.</x:v>
      </x:c>
      <x:c r="F11" s="613" t="str">
        <x:v>READY</x:v>
      </x:c>
      <x:c r="G11" s="22" t="str">
        <x:v>No</x:v>
      </x:c>
      <x:c r="H11" s="22" t="str">
        <x:v>Reviewer-recommended U-Net review should be cited after bibliographic verification.</x:v>
      </x:c>
    </x:row>
    <x:row r="12">
      <x:c r="A12" s="22" t="n">
        <x:v>9</x:v>
      </x:c>
      <x:c r="B12" s="22" t="str">
        <x:v>Include radiomics and handcrafted quantitative biomarkers</x:v>
      </x:c>
      <x:c r="C12" s="22" t="str">
        <x:v>Prepared radiomics integration framework covering texture, intensity, morphology and spatial heterogeneity as explicit concepts.</x:v>
      </x:c>
      <x:c r="D12" s="22" t="str">
        <x:v>Segmentation &amp; Radiomics</x:v>
      </x:c>
      <x:c r="E12" s="22" t="str">
        <x:v>Add radiomics paragraph/subsection and position radiomic features as candidate human-interpretable quantitative concepts.</x:v>
      </x:c>
      <x:c r="F12" s="613" t="str">
        <x:v>READY</x:v>
      </x:c>
      <x:c r="G12" s="22" t="str">
        <x:v>No</x:v>
      </x:c>
      <x:c r="H12" s="22" t="str">
        <x:v>Reviewer-recommended radiomics review should be cited after bibliographic verification.</x:v>
      </x:c>
    </x:row>
    <x:row r="13">
      <x:c r="A13" s="22" t="n">
        <x:v>10</x:v>
      </x:c>
      <x:c r="B13" s="22" t="str">
        <x:v>Make comparison tables evidence-oriented</x:v>
      </x:c>
      <x:c r="C13" s="22" t="str">
        <x:v>The final 109-report evidence-oriented comparison table is populated and separates direct from contextual evidence.</x:v>
      </x:c>
      <x:c r="D13" s="22" t="str">
        <x:v>Evidence Table Final; Data Extraction 109; Quality Appraisal 109</x:v>
      </x:c>
      <x:c r="E13" s="22" t="str">
        <x:v>Use the condensed direct-retinal table in the manuscript and provide the full table as supplementary material.</x:v>
      </x:c>
      <x:c r="F13" s="613" t="str">
        <x:v>COMPLETE AT ABSTRACT LEVEL</x:v>
      </x:c>
      <x:c r="G13" s="22" t="str">
        <x:v>Verify NR fields before submission</x:v>
      </x:c>
      <x:c r="H13" s="22" t="str">
        <x:v>All unavailable details are marked transparently.</x:v>
      </x:c>
    </x:row>
    <x:row r="14">
      <x:c r="A14" s="22" t="n">
        <x:v>11</x:v>
      </x:c>
      <x:c r="B14" s="22" t="str">
        <x:v>Qualify categorical statements on faithfulness/robustness</x:v>
      </x:c>
      <x:c r="C14" s="22" t="str">
        <x:v>Prepared line-level replacements for categorical claims and an explicit limitations paragraph on leakage, incomplete concepts, correlated concepts, annotation noise and residual pathways.</x:v>
      </x:c>
      <x:c r="D14" s="22" t="str">
        <x:v>Claim Corrections</x:v>
      </x:c>
      <x:c r="E14" s="22" t="str">
        <x:v>Revise Section 2.2/Table 1 and related claims throughout.</x:v>
      </x:c>
      <x:c r="F14" s="613" t="str">
        <x:v>READY</x:v>
      </x:c>
      <x:c r="G14" s="22" t="str">
        <x:v>No</x:v>
      </x:c>
      <x:c r="H14" s="22" t="str">
        <x:v>Interpretability-by-design is not equivalent to causal faithfulness or clinical validity.</x:v>
      </x:c>
    </x:row>
    <x:row r="15">
      <x:c r="A15" s="22" t="n">
        <x:v>12</x:v>
      </x:c>
      <x:c r="B15" s="22" t="str">
        <x:v>Editorial refinement and shortening</x:v>
      </x:c>
      <x:c r="C15" s="22" t="str">
        <x:v>A copy-ready manuscript revision pack and professional Reviewer 1 response have been prepared using consistent terminology and moderated claims.</x:v>
      </x:c>
      <x:c r="D15" s="22" t="str">
        <x:v>Claim Corrections; Reviewer1 Full Response; separate revision and response documents</x:v>
      </x:c>
      <x:c r="E15" s="22" t="str">
        <x:v>Merge into the editable LaTeX source and complete the authors' final proof.</x:v>
      </x:c>
      <x:c r="F15" s="613" t="str">
        <x:v>REVISION PACK READY</x:v>
      </x:c>
      <x:c r="G15" s="22" t="str">
        <x:v>Author proof required</x:v>
      </x:c>
      <x:c r="H15" s="22" t="str">
        <x:v>The PDF was used as the baseline; the editable source was not available for direct line-number insertion.</x:v>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28" hidden="0" customWidth="1"/>
    <x:col min="3" max="3" width="18" hidden="0" customWidth="1"/>
    <x:col min="4" max="4" width="22" hidden="0" customWidth="1"/>
    <x:col min="5" max="5" width="22" hidden="0" customWidth="1"/>
    <x:col min="6" max="6" width="22" hidden="0" customWidth="1"/>
    <x:col min="7" max="7" width="24" hidden="0" customWidth="1"/>
    <x:col min="8" max="8" width="18" hidden="0" customWidth="1"/>
    <x:col min="9" max="9" width="18" hidden="0" customWidth="1"/>
    <x:col min="10" max="10" width="18" hidden="0" customWidth="1"/>
    <x:col min="11" max="11" width="18" hidden="0" customWidth="1"/>
    <x:col min="12" max="12" width="12" hidden="0" customWidth="1"/>
    <x:col min="13" max="13" width="12" hidden="0" customWidth="1"/>
    <x:col min="14" max="14" width="12" hidden="0" customWidth="1"/>
    <x:col min="15" max="15" width="30" hidden="0" customWidth="1"/>
  </x:cols>
  <x:sheetData>
    <x:row r="1">
      <x:c r="A1" s="609" t="str">
        <x:v>Structured Quality, Bias, Clinical Relevance and Reproducibility Assessment</x:v>
      </x:c>
      <x:c r="B1" s="609"/>
      <x:c r="C1" s="609"/>
      <x:c r="D1" s="609"/>
      <x:c r="E1" s="609"/>
      <x:c r="F1" s="609"/>
      <x:c r="G1" s="609"/>
      <x:c r="H1" s="609"/>
      <x:c r="I1" s="610"/>
      <x:c r="J1" s="610"/>
      <x:c r="K1" s="610"/>
      <x:c r="L1" s="610"/>
      <x:c r="M1" s="610"/>
      <x:c r="N1" s="610"/>
      <x:c r="O1" s="610"/>
    </x:row>
    <x:row r="2">
      <x:c r="A2" s="610"/>
      <x:c r="B2" s="610"/>
      <x:c r="C2" s="610"/>
      <x:c r="D2" s="610"/>
      <x:c r="E2" s="610"/>
      <x:c r="F2" s="610"/>
      <x:c r="G2" s="610"/>
      <x:c r="H2" s="610"/>
      <x:c r="I2" s="610"/>
      <x:c r="J2" s="610"/>
      <x:c r="K2" s="610"/>
      <x:c r="L2" s="610"/>
      <x:c r="M2" s="610"/>
      <x:c r="N2" s="610"/>
      <x:c r="O2" s="610"/>
    </x:row>
    <x:row r="3">
      <x:c r="A3" s="611" t="str">
        <x:v>Criterion</x:v>
      </x:c>
      <x:c r="B3" s="611" t="str">
        <x:v>Score 0</x:v>
      </x:c>
      <x:c r="C3" s="611" t="str">
        <x:v>Score 1</x:v>
      </x:c>
      <x:c r="D3" s="611" t="str">
        <x:v>Score 2</x:v>
      </x:c>
      <x:c r="E3" s="611" t="str">
        <x:v>Reviewer interpretation</x:v>
      </x:c>
      <x:c r="F3" s="611" t="str">
        <x:v>Evidence to extract</x:v>
      </x:c>
      <x:c r="G3" s="611" t="str">
        <x:v>Why it matters</x:v>
      </x:c>
      <x:c r="H3" s="611" t="str">
        <x:v>Rule</x:v>
      </x:c>
      <x:c r="I3" s="610"/>
      <x:c r="J3" s="610"/>
      <x:c r="K3" s="610"/>
      <x:c r="L3" s="610"/>
      <x:c r="M3" s="610"/>
      <x:c r="N3" s="610"/>
      <x:c r="O3" s="610"/>
    </x:row>
    <x:row r="4">
      <x:c r="A4" s="22" t="str">
        <x:v>Dataset size</x:v>
      </x:c>
      <x:c r="B4" s="22" t="str">
        <x:v>Very small/unclear for task</x:v>
      </x:c>
      <x:c r="C4" s="22" t="str">
        <x:v>Moderate or limited cohort</x:v>
      </x:c>
      <x:c r="D4" s="22" t="str">
        <x:v>Large/multi-cohort for task</x:v>
      </x:c>
      <x:c r="E4" s="22" t="str">
        <x:v>Assess relative to task and disease prevalence</x:v>
      </x:c>
      <x:c r="F4" s="22" t="str">
        <x:v>N images/patients, classes</x:v>
      </x:c>
      <x:c r="G4" s="22" t="str">
        <x:v>Precision and generalisability</x:v>
      </x:c>
      <x:c r="H4" s="22" t="str">
        <x:v>Do not score by a universal N threshold; justify contextually.</x:v>
      </x:c>
      <x:c r="I4" s="610"/>
      <x:c r="J4" s="610"/>
      <x:c r="K4" s="610"/>
      <x:c r="L4" s="610"/>
      <x:c r="M4" s="610"/>
      <x:c r="N4" s="610"/>
      <x:c r="O4" s="610"/>
    </x:row>
    <x:row r="5">
      <x:c r="A5" s="22" t="str">
        <x:v>External validation</x:v>
      </x:c>
      <x:c r="B5" s="22" t="str">
        <x:v>None</x:v>
      </x:c>
      <x:c r="C5" s="22" t="str">
        <x:v>Internal cross-validation only or unclear externality</x:v>
      </x:c>
      <x:c r="D5" s="22" t="str">
        <x:v>Independent external dataset/site</x:v>
      </x:c>
      <x:c r="E5" s="22" t="str">
        <x:v>Prefer institutionally independent validation</x:v>
      </x:c>
      <x:c r="F5" s="22" t="str">
        <x:v>External dataset/site</x:v>
      </x:c>
      <x:c r="G5" s="22" t="str">
        <x:v>Transportability</x:v>
      </x:c>
      <x:c r="H5" s="22" t="str">
        <x:v>NR = 0 only if full text confirms no external validation; otherwise mark NR.</x:v>
      </x:c>
      <x:c r="I5" s="610"/>
      <x:c r="J5" s="610"/>
      <x:c r="K5" s="610"/>
      <x:c r="L5" s="610"/>
      <x:c r="M5" s="610"/>
      <x:c r="N5" s="610"/>
      <x:c r="O5" s="610"/>
    </x:row>
    <x:row r="6">
      <x:c r="A6" s="22" t="str">
        <x:v>Patient-level splitting</x:v>
      </x:c>
      <x:c r="B6" s="22" t="str">
        <x:v>Absent/likely leakage</x:v>
      </x:c>
      <x:c r="C6" s="22" t="str">
        <x:v>Unclear or partial</x:v>
      </x:c>
      <x:c r="D6" s="22" t="str">
        <x:v>Explicit patient-level/site-aware split</x:v>
      </x:c>
      <x:c r="E6" s="22" t="str">
        <x:v>Look for image-level leakage risk</x:v>
      </x:c>
      <x:c r="F6" s="22" t="str">
        <x:v>Split unit and protocol</x:v>
      </x:c>
      <x:c r="G6" s="22" t="str">
        <x:v>Bias prevention</x:v>
      </x:c>
      <x:c r="H6" s="22" t="str">
        <x:v>If not reported, record NR rather than infer.</x:v>
      </x:c>
      <x:c r="I6" s="610"/>
      <x:c r="J6" s="610"/>
      <x:c r="K6" s="610"/>
      <x:c r="L6" s="610"/>
      <x:c r="M6" s="610"/>
      <x:c r="N6" s="610"/>
      <x:c r="O6" s="610"/>
    </x:row>
    <x:row r="7">
      <x:c r="A7" s="22" t="str">
        <x:v>Annotation quality</x:v>
      </x:c>
      <x:c r="B7" s="22" t="str">
        <x:v>Unclear/non-expert</x:v>
      </x:c>
      <x:c r="C7" s="22" t="str">
        <x:v>Single annotator or weak process</x:v>
      </x:c>
      <x:c r="D7" s="22" t="str">
        <x:v>Expert consensus/adjudication or validated labels</x:v>
      </x:c>
      <x:c r="E7" s="22" t="str">
        <x:v>Consider clinical concept annotation quality</x:v>
      </x:c>
      <x:c r="F7" s="22" t="str">
        <x:v>Annotator type, consensus, label source</x:v>
      </x:c>
      <x:c r="G7" s="22" t="str">
        <x:v>Concept validity</x:v>
      </x:c>
      <x:c r="H7" s="22" t="str">
        <x:v>Use evidence reported by authors.</x:v>
      </x:c>
      <x:c r="I7" s="610"/>
      <x:c r="J7" s="610"/>
      <x:c r="K7" s="610"/>
      <x:c r="L7" s="610"/>
      <x:c r="M7" s="610"/>
      <x:c r="N7" s="610"/>
      <x:c r="O7" s="610"/>
    </x:row>
    <x:row r="8">
      <x:c r="A8" s="22" t="str">
        <x:v>Ophthalmologist involvement</x:v>
      </x:c>
      <x:c r="B8" s="22" t="str">
        <x:v>None</x:v>
      </x:c>
      <x:c r="C8" s="22" t="str">
        <x:v>Consultative/limited</x:v>
      </x:c>
      <x:c r="D8" s="22" t="str">
        <x:v>Direct annotation, evaluation or prospective involvement</x:v>
      </x:c>
      <x:c r="E8" s="22" t="str">
        <x:v>Distinguish technical from clinical evaluation</x:v>
      </x:c>
      <x:c r="F8" s="22" t="str">
        <x:v>Role and number of clinicians</x:v>
      </x:c>
      <x:c r="G8" s="22" t="str">
        <x:v>Clinical grounding</x:v>
      </x:c>
      <x:c r="H8" s="22" t="str">
        <x:v>NR if not stated.</x:v>
      </x:c>
      <x:c r="I8" s="610"/>
      <x:c r="J8" s="610"/>
      <x:c r="K8" s="610"/>
      <x:c r="L8" s="610"/>
      <x:c r="M8" s="610"/>
      <x:c r="N8" s="610"/>
      <x:c r="O8" s="610"/>
    </x:row>
    <x:row r="9">
      <x:c r="A9" s="22" t="str">
        <x:v>Code availability</x:v>
      </x:c>
      <x:c r="B9" s="22" t="str">
        <x:v>No</x:v>
      </x:c>
      <x:c r="C9" s="22" t="str">
        <x:v>Partial/pseudocode</x:v>
      </x:c>
      <x:c r="D9" s="22" t="str">
        <x:v>Public code + sufficient instructions</x:v>
      </x:c>
      <x:c r="E9" s="22" t="str">
        <x:v>Check permanent repository where possible</x:v>
      </x:c>
      <x:c r="F9" s="22" t="str">
        <x:v>Repository and access</x:v>
      </x:c>
      <x:c r="G9" s="22" t="str">
        <x:v>Reproducibility</x:v>
      </x:c>
      <x:c r="H9" s="22" t="str">
        <x:v>Public data alone is not code availability.</x:v>
      </x:c>
      <x:c r="I9" s="610"/>
      <x:c r="J9" s="610"/>
      <x:c r="K9" s="610"/>
      <x:c r="L9" s="610"/>
      <x:c r="M9" s="610"/>
      <x:c r="N9" s="610"/>
      <x:c r="O9" s="610"/>
    </x:row>
    <x:row r="10">
      <x:c r="A10" s="22" t="str">
        <x:v>Explanation faithfulness</x:v>
      </x:c>
      <x:c r="B10" s="22" t="str">
        <x:v>Not evaluated</x:v>
      </x:c>
      <x:c r="C10" s="22" t="str">
        <x:v>Proxy/qualitative only</x:v>
      </x:c>
      <x:c r="D10" s="22" t="str">
        <x:v>Quantitative faithfulness/intervention test</x:v>
      </x:c>
      <x:c r="E10" s="22" t="str">
        <x:v>Prefer causal/interventional or perturbation-based evidence</x:v>
      </x:c>
      <x:c r="F10" s="22" t="str">
        <x:v>Metric/test and result</x:v>
      </x:c>
      <x:c r="G10" s="22" t="str">
        <x:v>Explanation validity</x:v>
      </x:c>
      <x:c r="H10" s="22" t="str">
        <x:v>Do not equate visual plausibility with faithfulness.</x:v>
      </x:c>
      <x:c r="I10" s="610"/>
      <x:c r="J10" s="610"/>
      <x:c r="K10" s="610"/>
      <x:c r="L10" s="610"/>
      <x:c r="M10" s="610"/>
      <x:c r="N10" s="610"/>
      <x:c r="O10" s="610"/>
    </x:row>
    <x:row r="11">
      <x:c r="A11" s="22" t="str">
        <x:v>Robustness/stability</x:v>
      </x:c>
      <x:c r="B11" s="22" t="str">
        <x:v>Not evaluated</x:v>
      </x:c>
      <x:c r="C11" s="22" t="str">
        <x:v>Limited sensitivity test</x:v>
      </x:c>
      <x:c r="D11" s="22" t="str">
        <x:v>Systematic robustness/stability analysis</x:v>
      </x:c>
      <x:c r="E11" s="22" t="str">
        <x:v>Check perturbations, seeds, domains</x:v>
      </x:c>
      <x:c r="F11" s="22" t="str">
        <x:v>Test design and metric</x:v>
      </x:c>
      <x:c r="G11" s="22" t="str">
        <x:v>Reliability</x:v>
      </x:c>
      <x:c r="H11" s="22" t="str">
        <x:v>Report exact robustness target.</x:v>
      </x:c>
      <x:c r="I11" s="610"/>
      <x:c r="J11" s="610"/>
      <x:c r="K11" s="610"/>
      <x:c r="L11" s="610"/>
      <x:c r="M11" s="610"/>
      <x:c r="N11" s="610"/>
      <x:c r="O11" s="610"/>
    </x:row>
    <x:row r="12">
      <x:c r="A12" s="22" t="str">
        <x:v>Clinical usability</x:v>
      </x:c>
      <x:c r="B12" s="22" t="str">
        <x:v>Not evaluated</x:v>
      </x:c>
      <x:c r="C12" s="22" t="str">
        <x:v>Subjective plausibility only</x:v>
      </x:c>
      <x:c r="D12" s="22" t="str">
        <x:v>Measured clinical utility/user study</x:v>
      </x:c>
      <x:c r="E12" s="22" t="str">
        <x:v>Accuracy, confidence, referral, time or usability</x:v>
      </x:c>
      <x:c r="F12" s="22" t="str">
        <x:v>Outcome and study design</x:v>
      </x:c>
      <x:c r="G12" s="22" t="str">
        <x:v>Translation</x:v>
      </x:c>
      <x:c r="H12" s="22" t="str">
        <x:v>Plausibility ≠ demonstrated clinical benefit.</x:v>
      </x:c>
      <x:c r="I12" s="610"/>
      <x:c r="J12" s="610"/>
      <x:c r="K12" s="610"/>
      <x:c r="L12" s="610"/>
      <x:c r="M12" s="610"/>
      <x:c r="N12" s="610"/>
      <x:c r="O12" s="610"/>
    </x:row>
    <x:row r="13" ht="31.5" customHeight="1">
      <x:c r="A13" s="1094" t="str">
        <x:v>Application completed: see 'Quality Appraisal 109'. Scores are based on available abstract/indexed evidence; NR must be checked against full texts before submission.</x:v>
      </x:c>
      <x:c r="B13" s="1094"/>
      <x:c r="C13" s="1094"/>
      <x:c r="D13" s="1094"/>
      <x:c r="E13" s="1094"/>
      <x:c r="F13" s="1094"/>
      <x:c r="G13" s="1094"/>
      <x:c r="H13" s="1094"/>
      <x:c r="I13" s="1094"/>
      <x:c r="J13" s="1094"/>
      <x:c r="K13" s="1094"/>
      <x:c r="L13" s="1094"/>
      <x:c r="M13" s="1094"/>
      <x:c r="N13" s="1094"/>
      <x:c r="O13" s="1094"/>
    </x:row>
    <x:row r="14">
      <x:c r="A14" s="610"/>
      <x:c r="B14" s="610"/>
      <x:c r="C14" s="610"/>
      <x:c r="D14" s="610"/>
      <x:c r="E14" s="610"/>
      <x:c r="F14" s="610"/>
      <x:c r="G14" s="610"/>
      <x:c r="H14" s="610"/>
      <x:c r="I14" s="610"/>
      <x:c r="J14" s="610"/>
      <x:c r="K14" s="610"/>
      <x:c r="L14" s="610"/>
      <x:c r="M14" s="610"/>
      <x:c r="N14" s="610"/>
      <x:c r="O14" s="610"/>
    </x:row>
    <x:row r="15">
      <x:c r="A15" s="611" t="str">
        <x:v>Study ID</x:v>
      </x:c>
      <x:c r="B15" s="611" t="str">
        <x:v>Citation</x:v>
      </x:c>
      <x:c r="C15" s="611" t="str">
        <x:v>Dataset size</x:v>
      </x:c>
      <x:c r="D15" s="611" t="str">
        <x:v>External validation</x:v>
      </x:c>
      <x:c r="E15" s="611" t="str">
        <x:v>Patient-level split</x:v>
      </x:c>
      <x:c r="F15" s="611" t="str">
        <x:v>Annotation quality</x:v>
      </x:c>
      <x:c r="G15" s="611" t="str">
        <x:v>Ophthalmologist involvement</x:v>
      </x:c>
      <x:c r="H15" s="611" t="str">
        <x:v>Code availability</x:v>
      </x:c>
      <x:c r="I15" s="611" t="str">
        <x:v>Faithfulness</x:v>
      </x:c>
      <x:c r="J15" s="611" t="str">
        <x:v>Robustness</x:v>
      </x:c>
      <x:c r="K15" s="611" t="str">
        <x:v>Clinical usability</x:v>
      </x:c>
      <x:c r="L15" s="611" t="str">
        <x:v>Total score</x:v>
      </x:c>
      <x:c r="M15" s="611" t="str">
        <x:v>Max score</x:v>
      </x:c>
      <x:c r="N15" s="611" t="str">
        <x:v>Percentage</x:v>
      </x:c>
      <x:c r="O15" s="611" t="str">
        <x:v>Interpretation</x:v>
      </x:c>
    </x:row>
    <x:row r="16">
      <x:c r="A16" s="610" t="str"/>
      <x:c r="B16" s="610" t="str"/>
      <x:c r="C16" s="610" t="str">
        <x:v>NR</x:v>
      </x:c>
      <x:c r="D16" s="610" t="str">
        <x:v>NR</x:v>
      </x:c>
      <x:c r="E16" s="610" t="str">
        <x:v>NR</x:v>
      </x:c>
      <x:c r="F16" s="610" t="str">
        <x:v>NR</x:v>
      </x:c>
      <x:c r="G16" s="610" t="str">
        <x:v>NR</x:v>
      </x:c>
      <x:c r="H16" s="610" t="str">
        <x:v>NR</x:v>
      </x:c>
      <x:c r="I16" s="610" t="str">
        <x:v>NR</x:v>
      </x:c>
      <x:c r="J16" s="610" t="str">
        <x:v>NR</x:v>
      </x:c>
      <x:c r="K16" s="610" t="str">
        <x:v>NR</x:v>
      </x:c>
      <x:c r="L16" s="610" t="n">
        <x:f>SUM(C16:K16)</x:f>
        <x:v>0</x:v>
      </x:c>
      <x:c r="M16" s="610" t="n">
        <x:f>2*COUNT(C16:K16)</x:f>
        <x:v>0</x:v>
      </x:c>
      <x:c r="N16" s="614" t="str">
        <x:f>IF(M16=0,"",L16/M16)</x:f>
      </x:c>
      <x:c r="O16" s="610" t="str">
        <x:f>IF(N16="","",IF(N16&gt;=0.75,"Higher methodological support",IF(N16&gt;=0.5,"Moderate methodological support","Lower/uncertain methodological support")))</x:f>
      </x:c>
    </x:row>
    <x:row r="17">
      <x:c r="A17" s="610" t="str"/>
      <x:c r="B17" s="610" t="str"/>
      <x:c r="C17" s="610" t="str">
        <x:v>NR</x:v>
      </x:c>
      <x:c r="D17" s="610" t="str">
        <x:v>NR</x:v>
      </x:c>
      <x:c r="E17" s="610" t="str">
        <x:v>NR</x:v>
      </x:c>
      <x:c r="F17" s="610" t="str">
        <x:v>NR</x:v>
      </x:c>
      <x:c r="G17" s="610" t="str">
        <x:v>NR</x:v>
      </x:c>
      <x:c r="H17" s="610" t="str">
        <x:v>NR</x:v>
      </x:c>
      <x:c r="I17" s="610" t="str">
        <x:v>NR</x:v>
      </x:c>
      <x:c r="J17" s="610" t="str">
        <x:v>NR</x:v>
      </x:c>
      <x:c r="K17" s="610" t="str">
        <x:v>NR</x:v>
      </x:c>
      <x:c r="L17" s="610" t="n">
        <x:f>SUM(C17:K17)</x:f>
        <x:v>0</x:v>
      </x:c>
      <x:c r="M17" s="610" t="n">
        <x:f>2*COUNT(C17:K17)</x:f>
        <x:v>0</x:v>
      </x:c>
      <x:c r="N17" s="614" t="str">
        <x:f>IF(M17=0,"",L17/M17)</x:f>
      </x:c>
      <x:c r="O17" s="610" t="str">
        <x:f>IF(N17="","",IF(N17&gt;=0.75,"Higher methodological support",IF(N17&gt;=0.5,"Moderate methodological support","Lower/uncertain methodological support")))</x:f>
      </x:c>
    </x:row>
    <x:row r="18">
      <x:c r="A18" s="610" t="str"/>
      <x:c r="B18" s="610" t="str"/>
      <x:c r="C18" s="610" t="str">
        <x:v>NR</x:v>
      </x:c>
      <x:c r="D18" s="610" t="str">
        <x:v>NR</x:v>
      </x:c>
      <x:c r="E18" s="610" t="str">
        <x:v>NR</x:v>
      </x:c>
      <x:c r="F18" s="610" t="str">
        <x:v>NR</x:v>
      </x:c>
      <x:c r="G18" s="610" t="str">
        <x:v>NR</x:v>
      </x:c>
      <x:c r="H18" s="610" t="str">
        <x:v>NR</x:v>
      </x:c>
      <x:c r="I18" s="610" t="str">
        <x:v>NR</x:v>
      </x:c>
      <x:c r="J18" s="610" t="str">
        <x:v>NR</x:v>
      </x:c>
      <x:c r="K18" s="610" t="str">
        <x:v>NR</x:v>
      </x:c>
      <x:c r="L18" s="610" t="n">
        <x:f>SUM(C18:K18)</x:f>
        <x:v>0</x:v>
      </x:c>
      <x:c r="M18" s="610" t="n">
        <x:f>2*COUNT(C18:K18)</x:f>
        <x:v>0</x:v>
      </x:c>
      <x:c r="N18" s="614" t="str">
        <x:f>IF(M18=0,"",L18/M18)</x:f>
      </x:c>
      <x:c r="O18" s="610" t="str">
        <x:f>IF(N18="","",IF(N18&gt;=0.75,"Higher methodological support",IF(N18&gt;=0.5,"Moderate methodological support","Lower/uncertain methodological support")))</x:f>
      </x:c>
    </x:row>
    <x:row r="19">
      <x:c r="A19" s="610" t="str"/>
      <x:c r="B19" s="610" t="str"/>
      <x:c r="C19" s="610" t="str">
        <x:v>NR</x:v>
      </x:c>
      <x:c r="D19" s="610" t="str">
        <x:v>NR</x:v>
      </x:c>
      <x:c r="E19" s="610" t="str">
        <x:v>NR</x:v>
      </x:c>
      <x:c r="F19" s="610" t="str">
        <x:v>NR</x:v>
      </x:c>
      <x:c r="G19" s="610" t="str">
        <x:v>NR</x:v>
      </x:c>
      <x:c r="H19" s="610" t="str">
        <x:v>NR</x:v>
      </x:c>
      <x:c r="I19" s="610" t="str">
        <x:v>NR</x:v>
      </x:c>
      <x:c r="J19" s="610" t="str">
        <x:v>NR</x:v>
      </x:c>
      <x:c r="K19" s="610" t="str">
        <x:v>NR</x:v>
      </x:c>
      <x:c r="L19" s="610" t="n">
        <x:f>SUM(C19:K19)</x:f>
        <x:v>0</x:v>
      </x:c>
      <x:c r="M19" s="610" t="n">
        <x:f>2*COUNT(C19:K19)</x:f>
        <x:v>0</x:v>
      </x:c>
      <x:c r="N19" s="614" t="str">
        <x:f>IF(M19=0,"",L19/M19)</x:f>
      </x:c>
      <x:c r="O19" s="610" t="str">
        <x:f>IF(N19="","",IF(N19&gt;=0.75,"Higher methodological support",IF(N19&gt;=0.5,"Moderate methodological support","Lower/uncertain methodological support")))</x:f>
      </x:c>
    </x:row>
    <x:row r="20">
      <x:c r="A20" s="610" t="str"/>
      <x:c r="B20" s="610" t="str"/>
      <x:c r="C20" s="610" t="str">
        <x:v>NR</x:v>
      </x:c>
      <x:c r="D20" s="610" t="str">
        <x:v>NR</x:v>
      </x:c>
      <x:c r="E20" s="610" t="str">
        <x:v>NR</x:v>
      </x:c>
      <x:c r="F20" s="610" t="str">
        <x:v>NR</x:v>
      </x:c>
      <x:c r="G20" s="610" t="str">
        <x:v>NR</x:v>
      </x:c>
      <x:c r="H20" s="610" t="str">
        <x:v>NR</x:v>
      </x:c>
      <x:c r="I20" s="610" t="str">
        <x:v>NR</x:v>
      </x:c>
      <x:c r="J20" s="610" t="str">
        <x:v>NR</x:v>
      </x:c>
      <x:c r="K20" s="610" t="str">
        <x:v>NR</x:v>
      </x:c>
      <x:c r="L20" s="610" t="n">
        <x:f>SUM(C20:K20)</x:f>
        <x:v>0</x:v>
      </x:c>
      <x:c r="M20" s="610" t="n">
        <x:f>2*COUNT(C20:K20)</x:f>
        <x:v>0</x:v>
      </x:c>
      <x:c r="N20" s="614" t="str">
        <x:f>IF(M20=0,"",L20/M20)</x:f>
      </x:c>
      <x:c r="O20" s="610" t="str">
        <x:f>IF(N20="","",IF(N20&gt;=0.75,"Higher methodological support",IF(N20&gt;=0.5,"Moderate methodological support","Lower/uncertain methodological support")))</x:f>
      </x:c>
    </x:row>
    <x:row r="21">
      <x:c r="A21" s="610" t="str"/>
      <x:c r="B21" s="610" t="str"/>
      <x:c r="C21" s="610" t="str">
        <x:v>NR</x:v>
      </x:c>
      <x:c r="D21" s="610" t="str">
        <x:v>NR</x:v>
      </x:c>
      <x:c r="E21" s="610" t="str">
        <x:v>NR</x:v>
      </x:c>
      <x:c r="F21" s="610" t="str">
        <x:v>NR</x:v>
      </x:c>
      <x:c r="G21" s="610" t="str">
        <x:v>NR</x:v>
      </x:c>
      <x:c r="H21" s="610" t="str">
        <x:v>NR</x:v>
      </x:c>
      <x:c r="I21" s="610" t="str">
        <x:v>NR</x:v>
      </x:c>
      <x:c r="J21" s="610" t="str">
        <x:v>NR</x:v>
      </x:c>
      <x:c r="K21" s="610" t="str">
        <x:v>NR</x:v>
      </x:c>
      <x:c r="L21" s="610" t="n">
        <x:f>SUM(C21:K21)</x:f>
        <x:v>0</x:v>
      </x:c>
      <x:c r="M21" s="610" t="n">
        <x:f>2*COUNT(C21:K21)</x:f>
        <x:v>0</x:v>
      </x:c>
      <x:c r="N21" s="614" t="str">
        <x:f>IF(M21=0,"",L21/M21)</x:f>
      </x:c>
      <x:c r="O21" s="610" t="str">
        <x:f>IF(N21="","",IF(N21&gt;=0.75,"Higher methodological support",IF(N21&gt;=0.5,"Moderate methodological support","Lower/uncertain methodological support")))</x:f>
      </x:c>
    </x:row>
    <x:row r="22">
      <x:c r="A22" s="610" t="str"/>
      <x:c r="B22" s="610" t="str"/>
      <x:c r="C22" s="610" t="str">
        <x:v>NR</x:v>
      </x:c>
      <x:c r="D22" s="610" t="str">
        <x:v>NR</x:v>
      </x:c>
      <x:c r="E22" s="610" t="str">
        <x:v>NR</x:v>
      </x:c>
      <x:c r="F22" s="610" t="str">
        <x:v>NR</x:v>
      </x:c>
      <x:c r="G22" s="610" t="str">
        <x:v>NR</x:v>
      </x:c>
      <x:c r="H22" s="610" t="str">
        <x:v>NR</x:v>
      </x:c>
      <x:c r="I22" s="610" t="str">
        <x:v>NR</x:v>
      </x:c>
      <x:c r="J22" s="610" t="str">
        <x:v>NR</x:v>
      </x:c>
      <x:c r="K22" s="610" t="str">
        <x:v>NR</x:v>
      </x:c>
      <x:c r="L22" s="610" t="n">
        <x:f>SUM(C22:K22)</x:f>
        <x:v>0</x:v>
      </x:c>
      <x:c r="M22" s="610" t="n">
        <x:f>2*COUNT(C22:K22)</x:f>
        <x:v>0</x:v>
      </x:c>
      <x:c r="N22" s="614" t="str">
        <x:f>IF(M22=0,"",L22/M22)</x:f>
      </x:c>
      <x:c r="O22" s="610" t="str">
        <x:f>IF(N22="","",IF(N22&gt;=0.75,"Higher methodological support",IF(N22&gt;=0.5,"Moderate methodological support","Lower/uncertain methodological support")))</x:f>
      </x:c>
    </x:row>
    <x:row r="23">
      <x:c r="A23" s="610" t="str"/>
      <x:c r="B23" s="610" t="str"/>
      <x:c r="C23" s="610" t="str">
        <x:v>NR</x:v>
      </x:c>
      <x:c r="D23" s="610" t="str">
        <x:v>NR</x:v>
      </x:c>
      <x:c r="E23" s="610" t="str">
        <x:v>NR</x:v>
      </x:c>
      <x:c r="F23" s="610" t="str">
        <x:v>NR</x:v>
      </x:c>
      <x:c r="G23" s="610" t="str">
        <x:v>NR</x:v>
      </x:c>
      <x:c r="H23" s="610" t="str">
        <x:v>NR</x:v>
      </x:c>
      <x:c r="I23" s="610" t="str">
        <x:v>NR</x:v>
      </x:c>
      <x:c r="J23" s="610" t="str">
        <x:v>NR</x:v>
      </x:c>
      <x:c r="K23" s="610" t="str">
        <x:v>NR</x:v>
      </x:c>
      <x:c r="L23" s="610" t="n">
        <x:f>SUM(C23:K23)</x:f>
        <x:v>0</x:v>
      </x:c>
      <x:c r="M23" s="610" t="n">
        <x:f>2*COUNT(C23:K23)</x:f>
        <x:v>0</x:v>
      </x:c>
      <x:c r="N23" s="614" t="str">
        <x:f>IF(M23=0,"",L23/M23)</x:f>
      </x:c>
      <x:c r="O23" s="610" t="str">
        <x:f>IF(N23="","",IF(N23&gt;=0.75,"Higher methodological support",IF(N23&gt;=0.5,"Moderate methodological support","Lower/uncertain methodological support")))</x:f>
      </x:c>
    </x:row>
    <x:row r="24">
      <x:c r="A24" s="610" t="str"/>
      <x:c r="B24" s="610" t="str"/>
      <x:c r="C24" s="610" t="str">
        <x:v>NR</x:v>
      </x:c>
      <x:c r="D24" s="610" t="str">
        <x:v>NR</x:v>
      </x:c>
      <x:c r="E24" s="610" t="str">
        <x:v>NR</x:v>
      </x:c>
      <x:c r="F24" s="610" t="str">
        <x:v>NR</x:v>
      </x:c>
      <x:c r="G24" s="610" t="str">
        <x:v>NR</x:v>
      </x:c>
      <x:c r="H24" s="610" t="str">
        <x:v>NR</x:v>
      </x:c>
      <x:c r="I24" s="610" t="str">
        <x:v>NR</x:v>
      </x:c>
      <x:c r="J24" s="610" t="str">
        <x:v>NR</x:v>
      </x:c>
      <x:c r="K24" s="610" t="str">
        <x:v>NR</x:v>
      </x:c>
      <x:c r="L24" s="610" t="n">
        <x:f>SUM(C24:K24)</x:f>
        <x:v>0</x:v>
      </x:c>
      <x:c r="M24" s="610" t="n">
        <x:f>2*COUNT(C24:K24)</x:f>
        <x:v>0</x:v>
      </x:c>
      <x:c r="N24" s="614" t="str">
        <x:f>IF(M24=0,"",L24/M24)</x:f>
      </x:c>
      <x:c r="O24" s="610" t="str">
        <x:f>IF(N24="","",IF(N24&gt;=0.75,"Higher methodological support",IF(N24&gt;=0.5,"Moderate methodological support","Lower/uncertain methodological support")))</x:f>
      </x:c>
    </x:row>
    <x:row r="25">
      <x:c r="A25" s="610" t="str"/>
      <x:c r="B25" s="610" t="str"/>
      <x:c r="C25" s="610" t="str">
        <x:v>NR</x:v>
      </x:c>
      <x:c r="D25" s="610" t="str">
        <x:v>NR</x:v>
      </x:c>
      <x:c r="E25" s="610" t="str">
        <x:v>NR</x:v>
      </x:c>
      <x:c r="F25" s="610" t="str">
        <x:v>NR</x:v>
      </x:c>
      <x:c r="G25" s="610" t="str">
        <x:v>NR</x:v>
      </x:c>
      <x:c r="H25" s="610" t="str">
        <x:v>NR</x:v>
      </x:c>
      <x:c r="I25" s="610" t="str">
        <x:v>NR</x:v>
      </x:c>
      <x:c r="J25" s="610" t="str">
        <x:v>NR</x:v>
      </x:c>
      <x:c r="K25" s="610" t="str">
        <x:v>NR</x:v>
      </x:c>
      <x:c r="L25" s="610" t="n">
        <x:f>SUM(C25:K25)</x:f>
        <x:v>0</x:v>
      </x:c>
      <x:c r="M25" s="610" t="n">
        <x:f>2*COUNT(C25:K25)</x:f>
        <x:v>0</x:v>
      </x:c>
      <x:c r="N25" s="614" t="str">
        <x:f>IF(M25=0,"",L25/M25)</x:f>
      </x:c>
      <x:c r="O25" s="610" t="str">
        <x:f>IF(N25="","",IF(N25&gt;=0.75,"Higher methodological support",IF(N25&gt;=0.5,"Moderate methodological support","Lower/uncertain methodological support")))</x:f>
      </x:c>
    </x:row>
    <x:row r="26">
      <x:c r="A26" s="610" t="str"/>
      <x:c r="B26" s="610" t="str"/>
      <x:c r="C26" s="610" t="str">
        <x:v>NR</x:v>
      </x:c>
      <x:c r="D26" s="610" t="str">
        <x:v>NR</x:v>
      </x:c>
      <x:c r="E26" s="610" t="str">
        <x:v>NR</x:v>
      </x:c>
      <x:c r="F26" s="610" t="str">
        <x:v>NR</x:v>
      </x:c>
      <x:c r="G26" s="610" t="str">
        <x:v>NR</x:v>
      </x:c>
      <x:c r="H26" s="610" t="str">
        <x:v>NR</x:v>
      </x:c>
      <x:c r="I26" s="610" t="str">
        <x:v>NR</x:v>
      </x:c>
      <x:c r="J26" s="610" t="str">
        <x:v>NR</x:v>
      </x:c>
      <x:c r="K26" s="610" t="str">
        <x:v>NR</x:v>
      </x:c>
      <x:c r="L26" s="610" t="n">
        <x:f>SUM(C26:K26)</x:f>
        <x:v>0</x:v>
      </x:c>
      <x:c r="M26" s="610" t="n">
        <x:f>2*COUNT(C26:K26)</x:f>
        <x:v>0</x:v>
      </x:c>
      <x:c r="N26" s="614" t="str">
        <x:f>IF(M26=0,"",L26/M26)</x:f>
      </x:c>
      <x:c r="O26" s="610" t="str">
        <x:f>IF(N26="","",IF(N26&gt;=0.75,"Higher methodological support",IF(N26&gt;=0.5,"Moderate methodological support","Lower/uncertain methodological support")))</x:f>
      </x:c>
    </x:row>
    <x:row r="27">
      <x:c r="A27" s="610" t="str"/>
      <x:c r="B27" s="610" t="str"/>
      <x:c r="C27" s="610" t="str">
        <x:v>NR</x:v>
      </x:c>
      <x:c r="D27" s="610" t="str">
        <x:v>NR</x:v>
      </x:c>
      <x:c r="E27" s="610" t="str">
        <x:v>NR</x:v>
      </x:c>
      <x:c r="F27" s="610" t="str">
        <x:v>NR</x:v>
      </x:c>
      <x:c r="G27" s="610" t="str">
        <x:v>NR</x:v>
      </x:c>
      <x:c r="H27" s="610" t="str">
        <x:v>NR</x:v>
      </x:c>
      <x:c r="I27" s="610" t="str">
        <x:v>NR</x:v>
      </x:c>
      <x:c r="J27" s="610" t="str">
        <x:v>NR</x:v>
      </x:c>
      <x:c r="K27" s="610" t="str">
        <x:v>NR</x:v>
      </x:c>
      <x:c r="L27" s="610" t="n">
        <x:f>SUM(C27:K27)</x:f>
        <x:v>0</x:v>
      </x:c>
      <x:c r="M27" s="610" t="n">
        <x:f>2*COUNT(C27:K27)</x:f>
        <x:v>0</x:v>
      </x:c>
      <x:c r="N27" s="614" t="str">
        <x:f>IF(M27=0,"",L27/M27)</x:f>
      </x:c>
      <x:c r="O27" s="610" t="str">
        <x:f>IF(N27="","",IF(N27&gt;=0.75,"Higher methodological support",IF(N27&gt;=0.5,"Moderate methodological support","Lower/uncertain methodological support")))</x:f>
      </x:c>
    </x:row>
    <x:row r="28">
      <x:c r="A28" s="610" t="str"/>
      <x:c r="B28" s="610" t="str"/>
      <x:c r="C28" s="610" t="str">
        <x:v>NR</x:v>
      </x:c>
      <x:c r="D28" s="610" t="str">
        <x:v>NR</x:v>
      </x:c>
      <x:c r="E28" s="610" t="str">
        <x:v>NR</x:v>
      </x:c>
      <x:c r="F28" s="610" t="str">
        <x:v>NR</x:v>
      </x:c>
      <x:c r="G28" s="610" t="str">
        <x:v>NR</x:v>
      </x:c>
      <x:c r="H28" s="610" t="str">
        <x:v>NR</x:v>
      </x:c>
      <x:c r="I28" s="610" t="str">
        <x:v>NR</x:v>
      </x:c>
      <x:c r="J28" s="610" t="str">
        <x:v>NR</x:v>
      </x:c>
      <x:c r="K28" s="610" t="str">
        <x:v>NR</x:v>
      </x:c>
      <x:c r="L28" s="610" t="n">
        <x:f>SUM(C28:K28)</x:f>
        <x:v>0</x:v>
      </x:c>
      <x:c r="M28" s="610" t="n">
        <x:f>2*COUNT(C28:K28)</x:f>
        <x:v>0</x:v>
      </x:c>
      <x:c r="N28" s="614" t="str">
        <x:f>IF(M28=0,"",L28/M28)</x:f>
      </x:c>
      <x:c r="O28" s="610" t="str">
        <x:f>IF(N28="","",IF(N28&gt;=0.75,"Higher methodological support",IF(N28&gt;=0.5,"Moderate methodological support","Lower/uncertain methodological support")))</x:f>
      </x:c>
    </x:row>
    <x:row r="29">
      <x:c r="A29" s="610" t="str"/>
      <x:c r="B29" s="610" t="str"/>
      <x:c r="C29" s="610" t="str">
        <x:v>NR</x:v>
      </x:c>
      <x:c r="D29" s="610" t="str">
        <x:v>NR</x:v>
      </x:c>
      <x:c r="E29" s="610" t="str">
        <x:v>NR</x:v>
      </x:c>
      <x:c r="F29" s="610" t="str">
        <x:v>NR</x:v>
      </x:c>
      <x:c r="G29" s="610" t="str">
        <x:v>NR</x:v>
      </x:c>
      <x:c r="H29" s="610" t="str">
        <x:v>NR</x:v>
      </x:c>
      <x:c r="I29" s="610" t="str">
        <x:v>NR</x:v>
      </x:c>
      <x:c r="J29" s="610" t="str">
        <x:v>NR</x:v>
      </x:c>
      <x:c r="K29" s="610" t="str">
        <x:v>NR</x:v>
      </x:c>
      <x:c r="L29" s="610" t="n">
        <x:f>SUM(C29:K29)</x:f>
        <x:v>0</x:v>
      </x:c>
      <x:c r="M29" s="610" t="n">
        <x:f>2*COUNT(C29:K29)</x:f>
        <x:v>0</x:v>
      </x:c>
      <x:c r="N29" s="614" t="str">
        <x:f>IF(M29=0,"",L29/M29)</x:f>
      </x:c>
      <x:c r="O29" s="610" t="str">
        <x:f>IF(N29="","",IF(N29&gt;=0.75,"Higher methodological support",IF(N29&gt;=0.5,"Moderate methodological support","Lower/uncertain methodological support")))</x:f>
      </x:c>
    </x:row>
    <x:row r="30">
      <x:c r="A30" s="610" t="str"/>
      <x:c r="B30" s="610" t="str"/>
      <x:c r="C30" s="610" t="str">
        <x:v>NR</x:v>
      </x:c>
      <x:c r="D30" s="610" t="str">
        <x:v>NR</x:v>
      </x:c>
      <x:c r="E30" s="610" t="str">
        <x:v>NR</x:v>
      </x:c>
      <x:c r="F30" s="610" t="str">
        <x:v>NR</x:v>
      </x:c>
      <x:c r="G30" s="610" t="str">
        <x:v>NR</x:v>
      </x:c>
      <x:c r="H30" s="610" t="str">
        <x:v>NR</x:v>
      </x:c>
      <x:c r="I30" s="610" t="str">
        <x:v>NR</x:v>
      </x:c>
      <x:c r="J30" s="610" t="str">
        <x:v>NR</x:v>
      </x:c>
      <x:c r="K30" s="610" t="str">
        <x:v>NR</x:v>
      </x:c>
      <x:c r="L30" s="610" t="n">
        <x:f>SUM(C30:K30)</x:f>
        <x:v>0</x:v>
      </x:c>
      <x:c r="M30" s="610" t="n">
        <x:f>2*COUNT(C30:K30)</x:f>
        <x:v>0</x:v>
      </x:c>
      <x:c r="N30" s="614" t="str">
        <x:f>IF(M30=0,"",L30/M30)</x:f>
      </x:c>
      <x:c r="O30" s="610" t="str">
        <x:f>IF(N30="","",IF(N30&gt;=0.75,"Higher methodological support",IF(N30&gt;=0.5,"Moderate methodological support","Lower/uncertain methodological support")))</x:f>
      </x:c>
    </x:row>
    <x:row r="31">
      <x:c r="A31" s="610" t="str"/>
      <x:c r="B31" s="610" t="str"/>
      <x:c r="C31" s="610" t="str">
        <x:v>NR</x:v>
      </x:c>
      <x:c r="D31" s="610" t="str">
        <x:v>NR</x:v>
      </x:c>
      <x:c r="E31" s="610" t="str">
        <x:v>NR</x:v>
      </x:c>
      <x:c r="F31" s="610" t="str">
        <x:v>NR</x:v>
      </x:c>
      <x:c r="G31" s="610" t="str">
        <x:v>NR</x:v>
      </x:c>
      <x:c r="H31" s="610" t="str">
        <x:v>NR</x:v>
      </x:c>
      <x:c r="I31" s="610" t="str">
        <x:v>NR</x:v>
      </x:c>
      <x:c r="J31" s="610" t="str">
        <x:v>NR</x:v>
      </x:c>
      <x:c r="K31" s="610" t="str">
        <x:v>NR</x:v>
      </x:c>
      <x:c r="L31" s="610" t="n">
        <x:f>SUM(C31:K31)</x:f>
        <x:v>0</x:v>
      </x:c>
      <x:c r="M31" s="610" t="n">
        <x:f>2*COUNT(C31:K31)</x:f>
        <x:v>0</x:v>
      </x:c>
      <x:c r="N31" s="614" t="str">
        <x:f>IF(M31=0,"",L31/M31)</x:f>
      </x:c>
      <x:c r="O31" s="610" t="str">
        <x:f>IF(N31="","",IF(N31&gt;=0.75,"Higher methodological support",IF(N31&gt;=0.5,"Moderate methodological support","Lower/uncertain methodological support")))</x:f>
      </x:c>
    </x:row>
    <x:row r="32">
      <x:c r="A32" s="610" t="str"/>
      <x:c r="B32" s="610" t="str"/>
      <x:c r="C32" s="610" t="str">
        <x:v>NR</x:v>
      </x:c>
      <x:c r="D32" s="610" t="str">
        <x:v>NR</x:v>
      </x:c>
      <x:c r="E32" s="610" t="str">
        <x:v>NR</x:v>
      </x:c>
      <x:c r="F32" s="610" t="str">
        <x:v>NR</x:v>
      </x:c>
      <x:c r="G32" s="610" t="str">
        <x:v>NR</x:v>
      </x:c>
      <x:c r="H32" s="610" t="str">
        <x:v>NR</x:v>
      </x:c>
      <x:c r="I32" s="610" t="str">
        <x:v>NR</x:v>
      </x:c>
      <x:c r="J32" s="610" t="str">
        <x:v>NR</x:v>
      </x:c>
      <x:c r="K32" s="610" t="str">
        <x:v>NR</x:v>
      </x:c>
      <x:c r="L32" s="610" t="n">
        <x:f>SUM(C32:K32)</x:f>
        <x:v>0</x:v>
      </x:c>
      <x:c r="M32" s="610" t="n">
        <x:f>2*COUNT(C32:K32)</x:f>
        <x:v>0</x:v>
      </x:c>
      <x:c r="N32" s="614" t="str">
        <x:f>IF(M32=0,"",L32/M32)</x:f>
      </x:c>
      <x:c r="O32" s="610" t="str">
        <x:f>IF(N32="","",IF(N32&gt;=0.75,"Higher methodological support",IF(N32&gt;=0.5,"Moderate methodological support","Lower/uncertain methodological support")))</x:f>
      </x:c>
    </x:row>
    <x:row r="33">
      <x:c r="A33" s="610" t="str"/>
      <x:c r="B33" s="610" t="str"/>
      <x:c r="C33" s="610" t="str">
        <x:v>NR</x:v>
      </x:c>
      <x:c r="D33" s="610" t="str">
        <x:v>NR</x:v>
      </x:c>
      <x:c r="E33" s="610" t="str">
        <x:v>NR</x:v>
      </x:c>
      <x:c r="F33" s="610" t="str">
        <x:v>NR</x:v>
      </x:c>
      <x:c r="G33" s="610" t="str">
        <x:v>NR</x:v>
      </x:c>
      <x:c r="H33" s="610" t="str">
        <x:v>NR</x:v>
      </x:c>
      <x:c r="I33" s="610" t="str">
        <x:v>NR</x:v>
      </x:c>
      <x:c r="J33" s="610" t="str">
        <x:v>NR</x:v>
      </x:c>
      <x:c r="K33" s="610" t="str">
        <x:v>NR</x:v>
      </x:c>
      <x:c r="L33" s="610" t="n">
        <x:f>SUM(C33:K33)</x:f>
        <x:v>0</x:v>
      </x:c>
      <x:c r="M33" s="610" t="n">
        <x:f>2*COUNT(C33:K33)</x:f>
        <x:v>0</x:v>
      </x:c>
      <x:c r="N33" s="614" t="str">
        <x:f>IF(M33=0,"",L33/M33)</x:f>
      </x:c>
      <x:c r="O33" s="610" t="str">
        <x:f>IF(N33="","",IF(N33&gt;=0.75,"Higher methodological support",IF(N33&gt;=0.5,"Moderate methodological support","Lower/uncertain methodological support")))</x:f>
      </x:c>
    </x:row>
    <x:row r="34">
      <x:c r="A34" s="610" t="str"/>
      <x:c r="B34" s="610" t="str"/>
      <x:c r="C34" s="610" t="str">
        <x:v>NR</x:v>
      </x:c>
      <x:c r="D34" s="610" t="str">
        <x:v>NR</x:v>
      </x:c>
      <x:c r="E34" s="610" t="str">
        <x:v>NR</x:v>
      </x:c>
      <x:c r="F34" s="610" t="str">
        <x:v>NR</x:v>
      </x:c>
      <x:c r="G34" s="610" t="str">
        <x:v>NR</x:v>
      </x:c>
      <x:c r="H34" s="610" t="str">
        <x:v>NR</x:v>
      </x:c>
      <x:c r="I34" s="610" t="str">
        <x:v>NR</x:v>
      </x:c>
      <x:c r="J34" s="610" t="str">
        <x:v>NR</x:v>
      </x:c>
      <x:c r="K34" s="610" t="str">
        <x:v>NR</x:v>
      </x:c>
      <x:c r="L34" s="610" t="n">
        <x:f>SUM(C34:K34)</x:f>
        <x:v>0</x:v>
      </x:c>
      <x:c r="M34" s="610" t="n">
        <x:f>2*COUNT(C34:K34)</x:f>
        <x:v>0</x:v>
      </x:c>
      <x:c r="N34" s="614" t="str">
        <x:f>IF(M34=0,"",L34/M34)</x:f>
      </x:c>
      <x:c r="O34" s="610" t="str">
        <x:f>IF(N34="","",IF(N34&gt;=0.75,"Higher methodological support",IF(N34&gt;=0.5,"Moderate methodological support","Lower/uncertain methodological support")))</x:f>
      </x:c>
    </x:row>
    <x:row r="35">
      <x:c r="A35" s="610" t="str"/>
      <x:c r="B35" s="610" t="str"/>
      <x:c r="C35" s="610" t="str">
        <x:v>NR</x:v>
      </x:c>
      <x:c r="D35" s="610" t="str">
        <x:v>NR</x:v>
      </x:c>
      <x:c r="E35" s="610" t="str">
        <x:v>NR</x:v>
      </x:c>
      <x:c r="F35" s="610" t="str">
        <x:v>NR</x:v>
      </x:c>
      <x:c r="G35" s="610" t="str">
        <x:v>NR</x:v>
      </x:c>
      <x:c r="H35" s="610" t="str">
        <x:v>NR</x:v>
      </x:c>
      <x:c r="I35" s="610" t="str">
        <x:v>NR</x:v>
      </x:c>
      <x:c r="J35" s="610" t="str">
        <x:v>NR</x:v>
      </x:c>
      <x:c r="K35" s="610" t="str">
        <x:v>NR</x:v>
      </x:c>
      <x:c r="L35" s="610" t="n">
        <x:f>SUM(C35:K35)</x:f>
        <x:v>0</x:v>
      </x:c>
      <x:c r="M35" s="610" t="n">
        <x:f>2*COUNT(C35:K35)</x:f>
        <x:v>0</x:v>
      </x:c>
      <x:c r="N35" s="614" t="str">
        <x:f>IF(M35=0,"",L35/M35)</x:f>
      </x:c>
      <x:c r="O35" s="610" t="str">
        <x:f>IF(N35="","",IF(N35&gt;=0.75,"Higher methodological support",IF(N35&gt;=0.5,"Moderate methodological support","Lower/uncertain methodological support")))</x:f>
      </x:c>
    </x:row>
    <x:row r="36">
      <x:c r="A36" s="610" t="str"/>
      <x:c r="B36" s="610" t="str"/>
      <x:c r="C36" s="610" t="str">
        <x:v>NR</x:v>
      </x:c>
      <x:c r="D36" s="610" t="str">
        <x:v>NR</x:v>
      </x:c>
      <x:c r="E36" s="610" t="str">
        <x:v>NR</x:v>
      </x:c>
      <x:c r="F36" s="610" t="str">
        <x:v>NR</x:v>
      </x:c>
      <x:c r="G36" s="610" t="str">
        <x:v>NR</x:v>
      </x:c>
      <x:c r="H36" s="610" t="str">
        <x:v>NR</x:v>
      </x:c>
      <x:c r="I36" s="610" t="str">
        <x:v>NR</x:v>
      </x:c>
      <x:c r="J36" s="610" t="str">
        <x:v>NR</x:v>
      </x:c>
      <x:c r="K36" s="610" t="str">
        <x:v>NR</x:v>
      </x:c>
      <x:c r="L36" s="610" t="n">
        <x:f>SUM(C36:K36)</x:f>
        <x:v>0</x:v>
      </x:c>
      <x:c r="M36" s="610" t="n">
        <x:f>2*COUNT(C36:K36)</x:f>
        <x:v>0</x:v>
      </x:c>
      <x:c r="N36" s="614" t="str">
        <x:f>IF(M36=0,"",L36/M36)</x:f>
      </x:c>
      <x:c r="O36" s="610" t="str">
        <x:f>IF(N36="","",IF(N36&gt;=0.75,"Higher methodological support",IF(N36&gt;=0.5,"Moderate methodological support","Lower/uncertain methodological support")))</x:f>
      </x:c>
    </x:row>
    <x:row r="37">
      <x:c r="A37" s="610" t="str"/>
      <x:c r="B37" s="610" t="str"/>
      <x:c r="C37" s="610" t="str">
        <x:v>NR</x:v>
      </x:c>
      <x:c r="D37" s="610" t="str">
        <x:v>NR</x:v>
      </x:c>
      <x:c r="E37" s="610" t="str">
        <x:v>NR</x:v>
      </x:c>
      <x:c r="F37" s="610" t="str">
        <x:v>NR</x:v>
      </x:c>
      <x:c r="G37" s="610" t="str">
        <x:v>NR</x:v>
      </x:c>
      <x:c r="H37" s="610" t="str">
        <x:v>NR</x:v>
      </x:c>
      <x:c r="I37" s="610" t="str">
        <x:v>NR</x:v>
      </x:c>
      <x:c r="J37" s="610" t="str">
        <x:v>NR</x:v>
      </x:c>
      <x:c r="K37" s="610" t="str">
        <x:v>NR</x:v>
      </x:c>
      <x:c r="L37" s="610" t="n">
        <x:f>SUM(C37:K37)</x:f>
        <x:v>0</x:v>
      </x:c>
      <x:c r="M37" s="610" t="n">
        <x:f>2*COUNT(C37:K37)</x:f>
        <x:v>0</x:v>
      </x:c>
      <x:c r="N37" s="614" t="str">
        <x:f>IF(M37=0,"",L37/M37)</x:f>
      </x:c>
      <x:c r="O37" s="610" t="str">
        <x:f>IF(N37="","",IF(N37&gt;=0.75,"Higher methodological support",IF(N37&gt;=0.5,"Moderate methodological support","Lower/uncertain methodological support")))</x:f>
      </x:c>
    </x:row>
    <x:row r="38">
      <x:c r="A38" s="610" t="str"/>
      <x:c r="B38" s="610" t="str"/>
      <x:c r="C38" s="610" t="str">
        <x:v>NR</x:v>
      </x:c>
      <x:c r="D38" s="610" t="str">
        <x:v>NR</x:v>
      </x:c>
      <x:c r="E38" s="610" t="str">
        <x:v>NR</x:v>
      </x:c>
      <x:c r="F38" s="610" t="str">
        <x:v>NR</x:v>
      </x:c>
      <x:c r="G38" s="610" t="str">
        <x:v>NR</x:v>
      </x:c>
      <x:c r="H38" s="610" t="str">
        <x:v>NR</x:v>
      </x:c>
      <x:c r="I38" s="610" t="str">
        <x:v>NR</x:v>
      </x:c>
      <x:c r="J38" s="610" t="str">
        <x:v>NR</x:v>
      </x:c>
      <x:c r="K38" s="610" t="str">
        <x:v>NR</x:v>
      </x:c>
      <x:c r="L38" s="610" t="n">
        <x:f>SUM(C38:K38)</x:f>
        <x:v>0</x:v>
      </x:c>
      <x:c r="M38" s="610" t="n">
        <x:f>2*COUNT(C38:K38)</x:f>
        <x:v>0</x:v>
      </x:c>
      <x:c r="N38" s="614" t="str">
        <x:f>IF(M38=0,"",L38/M38)</x:f>
      </x:c>
      <x:c r="O38" s="610" t="str">
        <x:f>IF(N38="","",IF(N38&gt;=0.75,"Higher methodological support",IF(N38&gt;=0.5,"Moderate methodological support","Lower/uncertain methodological support")))</x:f>
      </x:c>
    </x:row>
    <x:row r="39">
      <x:c r="A39" s="610" t="str"/>
      <x:c r="B39" s="610" t="str"/>
      <x:c r="C39" s="610" t="str">
        <x:v>NR</x:v>
      </x:c>
      <x:c r="D39" s="610" t="str">
        <x:v>NR</x:v>
      </x:c>
      <x:c r="E39" s="610" t="str">
        <x:v>NR</x:v>
      </x:c>
      <x:c r="F39" s="610" t="str">
        <x:v>NR</x:v>
      </x:c>
      <x:c r="G39" s="610" t="str">
        <x:v>NR</x:v>
      </x:c>
      <x:c r="H39" s="610" t="str">
        <x:v>NR</x:v>
      </x:c>
      <x:c r="I39" s="610" t="str">
        <x:v>NR</x:v>
      </x:c>
      <x:c r="J39" s="610" t="str">
        <x:v>NR</x:v>
      </x:c>
      <x:c r="K39" s="610" t="str">
        <x:v>NR</x:v>
      </x:c>
      <x:c r="L39" s="610" t="n">
        <x:f>SUM(C39:K39)</x:f>
        <x:v>0</x:v>
      </x:c>
      <x:c r="M39" s="610" t="n">
        <x:f>2*COUNT(C39:K39)</x:f>
        <x:v>0</x:v>
      </x:c>
      <x:c r="N39" s="614" t="str">
        <x:f>IF(M39=0,"",L39/M39)</x:f>
      </x:c>
      <x:c r="O39" s="610" t="str">
        <x:f>IF(N39="","",IF(N39&gt;=0.75,"Higher methodological support",IF(N39&gt;=0.5,"Moderate methodological support","Lower/uncertain methodological support")))</x:f>
      </x:c>
    </x:row>
    <x:row r="40">
      <x:c r="A40" s="610" t="str"/>
      <x:c r="B40" s="610" t="str"/>
      <x:c r="C40" s="610" t="str">
        <x:v>NR</x:v>
      </x:c>
      <x:c r="D40" s="610" t="str">
        <x:v>NR</x:v>
      </x:c>
      <x:c r="E40" s="610" t="str">
        <x:v>NR</x:v>
      </x:c>
      <x:c r="F40" s="610" t="str">
        <x:v>NR</x:v>
      </x:c>
      <x:c r="G40" s="610" t="str">
        <x:v>NR</x:v>
      </x:c>
      <x:c r="H40" s="610" t="str">
        <x:v>NR</x:v>
      </x:c>
      <x:c r="I40" s="610" t="str">
        <x:v>NR</x:v>
      </x:c>
      <x:c r="J40" s="610" t="str">
        <x:v>NR</x:v>
      </x:c>
      <x:c r="K40" s="610" t="str">
        <x:v>NR</x:v>
      </x:c>
      <x:c r="L40" s="610" t="n">
        <x:f>SUM(C40:K40)</x:f>
        <x:v>0</x:v>
      </x:c>
      <x:c r="M40" s="610" t="n">
        <x:f>2*COUNT(C40:K40)</x:f>
        <x:v>0</x:v>
      </x:c>
      <x:c r="N40" s="614" t="str">
        <x:f>IF(M40=0,"",L40/M40)</x:f>
      </x:c>
      <x:c r="O40" s="610" t="str">
        <x:f>IF(N40="","",IF(N40&gt;=0.75,"Higher methodological support",IF(N40&gt;=0.5,"Moderate methodological support","Lower/uncertain methodological support")))</x:f>
      </x:c>
    </x:row>
    <x:row r="41">
      <x:c r="A41" s="610" t="str"/>
      <x:c r="B41" s="610" t="str"/>
      <x:c r="C41" s="610" t="str">
        <x:v>NR</x:v>
      </x:c>
      <x:c r="D41" s="610" t="str">
        <x:v>NR</x:v>
      </x:c>
      <x:c r="E41" s="610" t="str">
        <x:v>NR</x:v>
      </x:c>
      <x:c r="F41" s="610" t="str">
        <x:v>NR</x:v>
      </x:c>
      <x:c r="G41" s="610" t="str">
        <x:v>NR</x:v>
      </x:c>
      <x:c r="H41" s="610" t="str">
        <x:v>NR</x:v>
      </x:c>
      <x:c r="I41" s="610" t="str">
        <x:v>NR</x:v>
      </x:c>
      <x:c r="J41" s="610" t="str">
        <x:v>NR</x:v>
      </x:c>
      <x:c r="K41" s="610" t="str">
        <x:v>NR</x:v>
      </x:c>
      <x:c r="L41" s="610" t="n">
        <x:f>SUM(C41:K41)</x:f>
        <x:v>0</x:v>
      </x:c>
      <x:c r="M41" s="610" t="n">
        <x:f>2*COUNT(C41:K41)</x:f>
        <x:v>0</x:v>
      </x:c>
      <x:c r="N41" s="614" t="str">
        <x:f>IF(M41=0,"",L41/M41)</x:f>
      </x:c>
      <x:c r="O41" s="610" t="str">
        <x:f>IF(N41="","",IF(N41&gt;=0.75,"Higher methodological support",IF(N41&gt;=0.5,"Moderate methodological support","Lower/uncertain methodological support")))</x:f>
      </x:c>
    </x:row>
    <x:row r="42">
      <x:c r="A42" s="610" t="str"/>
      <x:c r="B42" s="610" t="str"/>
      <x:c r="C42" s="610" t="str">
        <x:v>NR</x:v>
      </x:c>
      <x:c r="D42" s="610" t="str">
        <x:v>NR</x:v>
      </x:c>
      <x:c r="E42" s="610" t="str">
        <x:v>NR</x:v>
      </x:c>
      <x:c r="F42" s="610" t="str">
        <x:v>NR</x:v>
      </x:c>
      <x:c r="G42" s="610" t="str">
        <x:v>NR</x:v>
      </x:c>
      <x:c r="H42" s="610" t="str">
        <x:v>NR</x:v>
      </x:c>
      <x:c r="I42" s="610" t="str">
        <x:v>NR</x:v>
      </x:c>
      <x:c r="J42" s="610" t="str">
        <x:v>NR</x:v>
      </x:c>
      <x:c r="K42" s="610" t="str">
        <x:v>NR</x:v>
      </x:c>
      <x:c r="L42" s="610" t="n">
        <x:f>SUM(C42:K42)</x:f>
        <x:v>0</x:v>
      </x:c>
      <x:c r="M42" s="610" t="n">
        <x:f>2*COUNT(C42:K42)</x:f>
        <x:v>0</x:v>
      </x:c>
      <x:c r="N42" s="614" t="str">
        <x:f>IF(M42=0,"",L42/M42)</x:f>
      </x:c>
      <x:c r="O42" s="610" t="str">
        <x:f>IF(N42="","",IF(N42&gt;=0.75,"Higher methodological support",IF(N42&gt;=0.5,"Moderate methodological support","Lower/uncertain methodological support")))</x:f>
      </x:c>
    </x:row>
    <x:row r="43">
      <x:c r="A43" s="610" t="str"/>
      <x:c r="B43" s="610" t="str"/>
      <x:c r="C43" s="610" t="str">
        <x:v>NR</x:v>
      </x:c>
      <x:c r="D43" s="610" t="str">
        <x:v>NR</x:v>
      </x:c>
      <x:c r="E43" s="610" t="str">
        <x:v>NR</x:v>
      </x:c>
      <x:c r="F43" s="610" t="str">
        <x:v>NR</x:v>
      </x:c>
      <x:c r="G43" s="610" t="str">
        <x:v>NR</x:v>
      </x:c>
      <x:c r="H43" s="610" t="str">
        <x:v>NR</x:v>
      </x:c>
      <x:c r="I43" s="610" t="str">
        <x:v>NR</x:v>
      </x:c>
      <x:c r="J43" s="610" t="str">
        <x:v>NR</x:v>
      </x:c>
      <x:c r="K43" s="610" t="str">
        <x:v>NR</x:v>
      </x:c>
      <x:c r="L43" s="610" t="n">
        <x:f>SUM(C43:K43)</x:f>
        <x:v>0</x:v>
      </x:c>
      <x:c r="M43" s="610" t="n">
        <x:f>2*COUNT(C43:K43)</x:f>
        <x:v>0</x:v>
      </x:c>
      <x:c r="N43" s="614" t="str">
        <x:f>IF(M43=0,"",L43/M43)</x:f>
      </x:c>
      <x:c r="O43" s="610" t="str">
        <x:f>IF(N43="","",IF(N43&gt;=0.75,"Higher methodological support",IF(N43&gt;=0.5,"Moderate methodological support","Lower/uncertain methodological support")))</x:f>
      </x:c>
    </x:row>
    <x:row r="44">
      <x:c r="A44" s="610" t="str"/>
      <x:c r="B44" s="610" t="str"/>
      <x:c r="C44" s="610" t="str">
        <x:v>NR</x:v>
      </x:c>
      <x:c r="D44" s="610" t="str">
        <x:v>NR</x:v>
      </x:c>
      <x:c r="E44" s="610" t="str">
        <x:v>NR</x:v>
      </x:c>
      <x:c r="F44" s="610" t="str">
        <x:v>NR</x:v>
      </x:c>
      <x:c r="G44" s="610" t="str">
        <x:v>NR</x:v>
      </x:c>
      <x:c r="H44" s="610" t="str">
        <x:v>NR</x:v>
      </x:c>
      <x:c r="I44" s="610" t="str">
        <x:v>NR</x:v>
      </x:c>
      <x:c r="J44" s="610" t="str">
        <x:v>NR</x:v>
      </x:c>
      <x:c r="K44" s="610" t="str">
        <x:v>NR</x:v>
      </x:c>
      <x:c r="L44" s="610" t="n">
        <x:f>SUM(C44:K44)</x:f>
        <x:v>0</x:v>
      </x:c>
      <x:c r="M44" s="610" t="n">
        <x:f>2*COUNT(C44:K44)</x:f>
        <x:v>0</x:v>
      </x:c>
      <x:c r="N44" s="614" t="str">
        <x:f>IF(M44=0,"",L44/M44)</x:f>
      </x:c>
      <x:c r="O44" s="610" t="str">
        <x:f>IF(N44="","",IF(N44&gt;=0.75,"Higher methodological support",IF(N44&gt;=0.5,"Moderate methodological support","Lower/uncertain methodological support")))</x:f>
      </x:c>
    </x:row>
    <x:row r="45">
      <x:c r="A45" s="610" t="str"/>
      <x:c r="B45" s="610" t="str"/>
      <x:c r="C45" s="610" t="str">
        <x:v>NR</x:v>
      </x:c>
      <x:c r="D45" s="610" t="str">
        <x:v>NR</x:v>
      </x:c>
      <x:c r="E45" s="610" t="str">
        <x:v>NR</x:v>
      </x:c>
      <x:c r="F45" s="610" t="str">
        <x:v>NR</x:v>
      </x:c>
      <x:c r="G45" s="610" t="str">
        <x:v>NR</x:v>
      </x:c>
      <x:c r="H45" s="610" t="str">
        <x:v>NR</x:v>
      </x:c>
      <x:c r="I45" s="610" t="str">
        <x:v>NR</x:v>
      </x:c>
      <x:c r="J45" s="610" t="str">
        <x:v>NR</x:v>
      </x:c>
      <x:c r="K45" s="610" t="str">
        <x:v>NR</x:v>
      </x:c>
      <x:c r="L45" s="610" t="n">
        <x:f>SUM(C45:K45)</x:f>
        <x:v>0</x:v>
      </x:c>
      <x:c r="M45" s="610" t="n">
        <x:f>2*COUNT(C45:K45)</x:f>
        <x:v>0</x:v>
      </x:c>
      <x:c r="N45" s="614" t="str">
        <x:f>IF(M45=0,"",L45/M45)</x:f>
      </x:c>
      <x:c r="O45" s="610" t="str">
        <x:f>IF(N45="","",IF(N45&gt;=0.75,"Higher methodological support",IF(N45&gt;=0.5,"Moderate methodological support","Lower/uncertain methodological support")))</x:f>
      </x:c>
    </x:row>
    <x:row r="46">
      <x:c r="A46" s="610"/>
      <x:c r="B46" s="610"/>
      <x:c r="C46" s="610"/>
      <x:c r="D46" s="610"/>
      <x:c r="E46" s="610"/>
      <x:c r="F46" s="610"/>
      <x:c r="G46" s="610"/>
      <x:c r="H46" s="610"/>
      <x:c r="I46" s="610"/>
      <x:c r="J46" s="610"/>
      <x:c r="K46" s="610"/>
      <x:c r="L46" s="610"/>
      <x:c r="M46" s="610"/>
      <x:c r="N46" s="610"/>
      <x:c r="O46" s="610"/>
    </x:row>
    <x:row r="47">
      <x:c r="A47" s="610"/>
      <x:c r="B47" s="610"/>
      <x:c r="C47" s="610"/>
      <x:c r="D47" s="610"/>
      <x:c r="E47" s="610"/>
      <x:c r="F47" s="610"/>
      <x:c r="G47" s="610"/>
      <x:c r="H47" s="610"/>
      <x:c r="I47" s="610"/>
      <x:c r="J47" s="610"/>
      <x:c r="K47" s="610"/>
      <x:c r="L47" s="610"/>
      <x:c r="M47" s="610"/>
      <x:c r="N47" s="610"/>
      <x:c r="O47" s="610"/>
    </x:row>
    <x:row r="48">
      <x:c r="A48" s="615" t="str">
        <x:v>Important: This rubric is a structured review aid, not a validated diagnostic risk-of-bias instrument. Scores must be supported by the included paper's full text. 'NR' means not reported and should remain transparent rather than being guessed. Sensitivity analysis can be reported with and without NR items if desired.</x:v>
      </x:c>
      <x:c r="B48" s="615"/>
      <x:c r="C48" s="615"/>
      <x:c r="D48" s="615"/>
      <x:c r="E48" s="615"/>
      <x:c r="F48" s="615"/>
      <x:c r="G48" s="615"/>
      <x:c r="H48" s="615"/>
      <x:c r="I48" s="615"/>
      <x:c r="J48" s="615"/>
      <x:c r="K48" s="615"/>
      <x:c r="L48" s="615"/>
      <x:c r="M48" s="615"/>
      <x:c r="N48" s="615"/>
      <x:c r="O48" s="615"/>
    </x:row>
    <x:row r="49">
      <x:c r="A49" s="615"/>
      <x:c r="B49" s="615"/>
      <x:c r="C49" s="615"/>
      <x:c r="D49" s="615"/>
      <x:c r="E49" s="615"/>
      <x:c r="F49" s="615"/>
      <x:c r="G49" s="615"/>
      <x:c r="H49" s="615"/>
      <x:c r="I49" s="615"/>
      <x:c r="J49" s="615"/>
      <x:c r="K49" s="615"/>
      <x:c r="L49" s="615"/>
      <x:c r="M49" s="615"/>
      <x:c r="N49" s="615"/>
      <x:c r="O49" s="615"/>
    </x:row>
    <x:row r="50">
      <x:c r="A50" s="615"/>
      <x:c r="B50" s="615"/>
      <x:c r="C50" s="615"/>
      <x:c r="D50" s="615"/>
      <x:c r="E50" s="615"/>
      <x:c r="F50" s="615"/>
      <x:c r="G50" s="615"/>
      <x:c r="H50" s="615"/>
      <x:c r="I50" s="615"/>
      <x:c r="J50" s="615"/>
      <x:c r="K50" s="615"/>
      <x:c r="L50" s="615"/>
      <x:c r="M50" s="615"/>
      <x:c r="N50" s="615"/>
      <x:c r="O50" s="615"/>
    </x:row>
  </x:sheetData>
  <x:mergeCells>
    <x:mergeCell ref="A1:H1"/>
    <x:mergeCell ref="A48:O50"/>
    <x:mergeCell ref="A13:O13"/>
  </x:mergeCells>
  <x:dataValidations count="9">
    <x:dataValidation type="list" sqref="C16:C45">
      <x:formula1>"NR,0,1,2"</x:formula1>
    </x:dataValidation>
    <x:dataValidation type="list" sqref="D16:D45">
      <x:formula1>"NR,0,1,2"</x:formula1>
    </x:dataValidation>
    <x:dataValidation type="list" sqref="E16:E45">
      <x:formula1>"NR,0,1,2"</x:formula1>
    </x:dataValidation>
    <x:dataValidation type="list" sqref="F16:F45">
      <x:formula1>"NR,0,1,2"</x:formula1>
    </x:dataValidation>
    <x:dataValidation type="list" sqref="G16:G45">
      <x:formula1>"NR,0,1,2"</x:formula1>
    </x:dataValidation>
    <x:dataValidation type="list" sqref="H16:H45">
      <x:formula1>"NR,0,1,2"</x:formula1>
    </x:dataValidation>
    <x:dataValidation type="list" sqref="I16:I45">
      <x:formula1>"NR,0,1,2"</x:formula1>
    </x:dataValidation>
    <x:dataValidation type="list" sqref="J16:J45">
      <x:formula1>"NR,0,1,2"</x:formula1>
    </x:dataValidation>
    <x:dataValidation type="list" sqref="K16:K45">
      <x:formula1>"NR,0,1,2"</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34" hidden="0" customWidth="1"/>
    <x:col min="3" max="3" width="34" hidden="0" customWidth="1"/>
    <x:col min="4" max="4" width="40" hidden="0" customWidth="1"/>
    <x:col min="5" max="5" width="25" hidden="0" customWidth="1"/>
    <x:col min="6" max="6" width="30" hidden="0" customWidth="1"/>
    <x:col min="7" max="7" width="34" hidden="0" customWidth="1"/>
    <x:col min="8" max="8" width="58" hidden="0" customWidth="1"/>
  </x:cols>
  <x:sheetData>
    <x:row r="1">
      <x:c r="A1" s="609" t="str">
        <x:v>Operational Definitions for the Proposed SMILE-Based Auditing Framework</x:v>
      </x:c>
      <x:c r="B1" s="609"/>
      <x:c r="C1" s="609"/>
      <x:c r="D1" s="609"/>
      <x:c r="E1" s="609"/>
      <x:c r="F1" s="609"/>
      <x:c r="G1" s="609"/>
      <x:c r="H1" s="609"/>
    </x:row>
    <x:row r="2">
      <x:c r="A2" s="610"/>
      <x:c r="B2" s="610"/>
      <x:c r="C2" s="610"/>
      <x:c r="D2" s="610"/>
      <x:c r="E2" s="610"/>
      <x:c r="F2" s="610"/>
      <x:c r="G2" s="610"/>
      <x:c r="H2" s="610"/>
    </x:row>
    <x:row r="3">
      <x:c r="A3" s="611" t="str">
        <x:v>Audit component</x:v>
      </x:c>
      <x:c r="B3" s="611" t="str">
        <x:v>Operational question</x:v>
      </x:c>
      <x:c r="C3" s="611" t="str">
        <x:v>Candidate measure</x:v>
      </x:c>
      <x:c r="D3" s="611" t="str">
        <x:v>Minimal protocol</x:v>
      </x:c>
      <x:c r="E3" s="611" t="str">
        <x:v>Reporting unit</x:v>
      </x:c>
      <x:c r="F3" s="611" t="str">
        <x:v>Interpretation</x:v>
      </x:c>
      <x:c r="G3" s="611" t="str">
        <x:v>Caveat</x:v>
      </x:c>
      <x:c r="H3" s="611" t="str">
        <x:v>Copy-ready manuscript wording</x:v>
      </x:c>
    </x:row>
    <x:row r="4">
      <x:c r="A4" s="22" t="str">
        <x:v>Spatial alignment</x:v>
      </x:c>
      <x:c r="B4" s="22" t="str">
        <x:v>Does the concept explanation localise to the retinal region/lesion that defines the concept?</x:v>
      </x:c>
      <x:c r="C4" s="22" t="str">
        <x:v>IoU/Dice against expert lesion or anatomy masks; point-based localisation if masks unavailable</x:v>
      </x:c>
      <x:c r="D4" s="22" t="str">
        <x:v>Generate concept map, threshold by prespecified rule, compare with expert reference; report per concept and image</x:v>
      </x:c>
      <x:c r="E4" s="22" t="str">
        <x:v>Mean±SD/CI IoU or Dice; localisation hit rate</x:v>
      </x:c>
      <x:c r="F4" s="22" t="str">
        <x:v>Higher agreement supports spatial grounding</x:v>
      </x:c>
      <x:c r="G4" s="22" t="str">
        <x:v>Threshold and annotation uncertainty can materially change the score</x:v>
      </x:c>
      <x:c r="H4" s="22" t="str">
        <x:v>Spatial alignment is operationalised as overlap between the concept-specific explanation region and an expert reference annotation, quantified with IoU or Dice where pixel-level masks are available.</x:v>
      </x:c>
    </x:row>
    <x:row r="5">
      <x:c r="A5" s="22" t="str">
        <x:v>Concept purity</x:v>
      </x:c>
      <x:c r="B5" s="22" t="str">
        <x:v>Do examples assigned to a concept represent one coherent clinical meaning rather than mixed visual factors?</x:v>
      </x:c>
      <x:c r="C5" s="22" t="str">
        <x:v>Expert purity rate; intruder-detection accuracy; within-concept vs between-concept embedding separation</x:v>
      </x:c>
      <x:c r="D5" s="22" t="str">
        <x:v>Sample concept exemplars, blind experts to model label where feasible, rate semantic coherence and identify intruders</x:v>
      </x:c>
      <x:c r="E5" s="22" t="str">
        <x:v>Purity %, expert agreement, effect size</x:v>
      </x:c>
      <x:c r="F5" s="22" t="str">
        <x:v>Higher purity indicates a more coherent concept representation</x:v>
      </x:c>
      <x:c r="G5" s="22" t="str">
        <x:v>High purity does not prove causal relevance to the prediction</x:v>
      </x:c>
      <x:c r="H5" s="22" t="str">
        <x:v>Concept purity is evaluated by expert assessment of whether concept exemplars form a clinically coherent group, supplemented where appropriate by within/between-concept representation separation.</x:v>
      </x:c>
    </x:row>
    <x:row r="6">
      <x:c r="A6" s="22" t="str">
        <x:v>Intervention consistency</x:v>
      </x:c>
      <x:c r="B6" s="22" t="str">
        <x:v>Does deliberately changing a concept cause the expected directional change in concept activation and/or prediction?</x:v>
      </x:c>
      <x:c r="C6" s="22" t="str">
        <x:v>Directional consistency rate; average treatment-like effect Δprediction/Δconcept; paired effect size</x:v>
      </x:c>
      <x:c r="D6" s="22" t="str">
        <x:v>Apply controlled concept intervention/occlusion/edit while holding unrelated content as stable as possible</x:v>
      </x:c>
      <x:c r="E6" s="22" t="str">
        <x:v>% expected-direction responses; median/mean change with CI</x:v>
      </x:c>
      <x:c r="F6" s="22" t="str">
        <x:v>Consistent directional effects support functional relevance</x:v>
      </x:c>
      <x:c r="G6" s="22" t="str">
        <x:v>Image edits may introduce off-target changes; this is not a randomized clinical causal estimate</x:v>
      </x:c>
      <x:c r="H6" s="22" t="str">
        <x:v>Intervention consistency is assessed by controlled concept perturbations and the proportion of cases in which concept activation and model output change in the prespecified clinically expected direction.</x:v>
      </x:c>
    </x:row>
    <x:row r="7">
      <x:c r="A7" s="22" t="str">
        <x:v>Label-leakage detection</x:v>
      </x:c>
      <x:c r="B7" s="22" t="str">
        <x:v>Can the downstream prediction be reconstructed from residual/non-concept information despite apparently interpretable concepts?</x:v>
      </x:c>
      <x:c r="C7" s="22" t="str">
        <x:v>Residual-pathway performance; leakage probe accuracy/AUROC; concept-shuffling control</x:v>
      </x:c>
      <x:c r="D7" s="22" t="str">
        <x:v>Train/evaluate a probe on residual representation or non-concept pathway and compare with concept-only model</x:v>
      </x:c>
      <x:c r="E7" s="22" t="str">
        <x:v>AUROC/accuracy gap; residual predictive performance</x:v>
      </x:c>
      <x:c r="F7" s="22" t="str">
        <x:v>Strong residual performance indicates potential leakage or shortcut pathways</x:v>
      </x:c>
      <x:c r="G7" s="22" t="str">
        <x:v>Performance can reflect legitimate unmodelled concepts as well as leakage</x:v>
      </x:c>
      <x:c r="H7" s="22" t="str">
        <x:v>Label leakage is probed by measuring how much predictive information remains outside the declared concept representation, using residual-feature probes and concept-shuffling controls.</x:v>
      </x:c>
    </x:row>
    <x:row r="8">
      <x:c r="A8" s="22" t="str">
        <x:v>Expert verification</x:v>
      </x:c>
      <x:c r="B8" s="22" t="str">
        <x:v>Do ophthalmologists judge the concepts and explanations as clinically plausible, correctly named and useful?</x:v>
      </x:c>
      <x:c r="C8" s="22" t="str">
        <x:v>Inter-rater agreement (Cohen/Fleiss κ), ICC for continuous ratings; task outcomes with/without explanation</x:v>
      </x:c>
      <x:c r="D8" s="22" t="str">
        <x:v>Use ≥2 qualified reviewers when feasible; blinded independent rating before consensus; record disagreements</x:v>
      </x:c>
      <x:c r="E8" s="22" t="str">
        <x:v>κ/ICC with CI; plausibility %, task outcome difference</x:v>
      </x:c>
      <x:c r="F8" s="22" t="str">
        <x:v>Agreement measures consistency; utility requires outcome testing</x:v>
      </x:c>
      <x:c r="G8" s="22" t="str">
        <x:v>Agreement alone does not establish correctness or improved care</x:v>
      </x:c>
      <x:c r="H8" s="22" t="str">
        <x:v>Expert verification is reported separately for annotation agreement, explanation plausibility and measured clinical utility, rather than treating clinician approval as a single validity measure.</x:v>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30" hidden="0" customWidth="1"/>
    <x:col min="3" max="3" width="34" hidden="0" customWidth="1"/>
    <x:col min="4" max="4" width="30" hidden="0" customWidth="1"/>
    <x:col min="5" max="5" width="34" hidden="0" customWidth="1"/>
    <x:col min="6" max="6" width="34" hidden="0" customWidth="1"/>
    <x:col min="7" max="7" width="55" hidden="0" customWidth="1"/>
  </x:cols>
  <x:sheetData>
    <x:row r="1">
      <x:c r="A1" s="609" t="str">
        <x:v>Clinical Validation and Inter-Rater Agreement Framework</x:v>
      </x:c>
      <x:c r="B1" s="609"/>
      <x:c r="C1" s="609"/>
      <x:c r="D1" s="609"/>
      <x:c r="E1" s="609"/>
      <x:c r="F1" s="609"/>
      <x:c r="G1" s="609"/>
    </x:row>
    <x:row r="2">
      <x:c r="A2" s="610"/>
      <x:c r="B2" s="610"/>
      <x:c r="C2" s="610"/>
      <x:c r="D2" s="610"/>
      <x:c r="E2" s="610"/>
      <x:c r="F2" s="610"/>
      <x:c r="G2" s="610"/>
    </x:row>
    <x:row r="3">
      <x:c r="A3" s="611" t="str">
        <x:v>Domain</x:v>
      </x:c>
      <x:c r="B3" s="611" t="str">
        <x:v>Recommended measure</x:v>
      </x:c>
      <x:c r="C3" s="611" t="str">
        <x:v>Design</x:v>
      </x:c>
      <x:c r="D3" s="611" t="str">
        <x:v>Primary analysis</x:v>
      </x:c>
      <x:c r="E3" s="611" t="str">
        <x:v>What can be claimed</x:v>
      </x:c>
      <x:c r="F3" s="611" t="str">
        <x:v>What cannot be claimed</x:v>
      </x:c>
      <x:c r="G3" s="611" t="str">
        <x:v>Suggested manuscript sentence</x:v>
      </x:c>
    </x:row>
    <x:row r="4">
      <x:c r="A4" s="22" t="str">
        <x:v>Concept-definition variability</x:v>
      </x:c>
      <x:c r="B4" s="22" t="str">
        <x:v>Cohen's κ (2 raters), Fleiss' κ (&gt;2), ICC for continuous/ordinal severity where appropriate</x:v>
      </x:c>
      <x:c r="C4" s="22" t="str">
        <x:v>Independent annotation before consensus; prespecified concept definitions</x:v>
      </x:c>
      <x:c r="D4" s="22" t="str">
        <x:v>Agreement with 95% CI; report disagreement categories</x:v>
      </x:c>
      <x:c r="E4" s="22" t="str">
        <x:v>Whether experts apply the concept definition consistently</x:v>
      </x:c>
      <x:c r="F4" s="22" t="str">
        <x:v>That the concept definition is clinically optimal</x:v>
      </x:c>
      <x:c r="G4" s="22" t="str">
        <x:v>Because retinal concepts can be interpreted differently across clinicians, concept annotations should be generated independently and inter-rater agreement reported before consensus adjudication.</x:v>
      </x:c>
    </x:row>
    <x:row r="5">
      <x:c r="A5" s="22" t="str">
        <x:v>Diagnostic accuracy</x:v>
      </x:c>
      <x:c r="B5" s="22" t="str">
        <x:v>Sensitivity, specificity, AUROC; paired comparison with/without explanation</x:v>
      </x:c>
      <x:c r="C5" s="22" t="str">
        <x:v>Within-reader or crossover reader study</x:v>
      </x:c>
      <x:c r="D5" s="22" t="str">
        <x:v>Paired difference and CI</x:v>
      </x:c>
      <x:c r="E5" s="22" t="str">
        <x:v>Whether explanations change diagnostic performance in the study setting</x:v>
      </x:c>
      <x:c r="F5" s="22" t="str">
        <x:v>General clinical benefit without prospective validation</x:v>
      </x:c>
      <x:c r="G5" s="22" t="str">
        <x:v>Clinical utility should be tested by comparing diagnostic performance with and without concept explanations rather than inferred from explanation plausibility.</x:v>
      </x:c>
    </x:row>
    <x:row r="6">
      <x:c r="A6" s="22" t="str">
        <x:v>Confidence calibration</x:v>
      </x:c>
      <x:c r="B6" s="22" t="str">
        <x:v>Brier score, ECE, calibration slope/intercept</x:v>
      </x:c>
      <x:c r="C6" s="22" t="str">
        <x:v>Collect probability/confidence before and after explanation</x:v>
      </x:c>
      <x:c r="D6" s="22" t="str">
        <x:v>Paired calibration difference</x:v>
      </x:c>
      <x:c r="E6" s="22" t="str">
        <x:v>Whether explanations improve calibration</x:v>
      </x:c>
      <x:c r="F6" s="22" t="str">
        <x:v>That higher confidence is better</x:v>
      </x:c>
      <x:c r="G6" s="22" t="str">
        <x:v>Confidence should be evaluated for calibration, since explanations may increase confidence even when they do not improve correctness.</x:v>
      </x:c>
    </x:row>
    <x:row r="7">
      <x:c r="A7" s="22" t="str">
        <x:v>Referral decisions</x:v>
      </x:c>
      <x:c r="B7" s="22" t="str">
        <x:v>Agreement with guideline/expert reference; sensitivity for referable disease</x:v>
      </x:c>
      <x:c r="C7" s="22" t="str">
        <x:v>Reader study or retrospective simulation</x:v>
      </x:c>
      <x:c r="D7" s="22" t="str">
        <x:v>Paired change in correct referrals / missed urgent cases</x:v>
      </x:c>
      <x:c r="E7" s="22" t="str">
        <x:v>Whether explanation changes referral appropriateness</x:v>
      </x:c>
      <x:c r="F7" s="22" t="str">
        <x:v>Impact on patient outcomes without deployment study</x:v>
      </x:c>
      <x:c r="G7" s="22" t="str">
        <x:v>Referral utility should be evaluated against a prespecified clinical reference standard.</x:v>
      </x:c>
    </x:row>
    <x:row r="8">
      <x:c r="A8" s="22" t="str">
        <x:v>Reading time</x:v>
      </x:c>
      <x:c r="B8" s="22" t="str">
        <x:v>Median time/case, workload scale</x:v>
      </x:c>
      <x:c r="C8" s="22" t="str">
        <x:v>Timed reader study</x:v>
      </x:c>
      <x:c r="D8" s="22" t="str">
        <x:v>Paired difference; non-parametric CI if skewed</x:v>
      </x:c>
      <x:c r="E8" s="22" t="str">
        <x:v>Whether explanation adds or reduces workflow burden</x:v>
      </x:c>
      <x:c r="F8" s="22" t="str">
        <x:v>That faster reading is safer</x:v>
      </x:c>
      <x:c r="G8" s="22" t="str">
        <x:v>Reading time should be considered alongside accuracy and calibration to avoid trading speed for diagnostic quality.</x:v>
      </x:c>
    </x:row>
    <x:row r="9">
      <x:c r="A9" s="22" t="str">
        <x:v>Explanation usability</x:v>
      </x:c>
      <x:c r="B9" s="22" t="str">
        <x:v>SUS or task-specific usability instrument + qualitative feedback</x:v>
      </x:c>
      <x:c r="C9" s="22" t="str">
        <x:v>Blinded/standardised interface</x:v>
      </x:c>
      <x:c r="D9" s="22" t="str">
        <x:v>Score distribution + thematic analysis</x:v>
      </x:c>
      <x:c r="E9" s="22" t="str">
        <x:v>Perceived usability</x:v>
      </x:c>
      <x:c r="F9" s="22" t="str">
        <x:v>Faithfulness or clinical effectiveness</x:v>
      </x:c>
      <x:c r="G9" s="22" t="str">
        <x:v>Usability ratings complement, but do not replace, technical faithfulness and outcome-based evaluation.</x:v>
      </x:c>
    </x:row>
  </x:sheetData>
  <x:mergeCells>
    <x:mergeCell ref="A1:G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32" hidden="0" customWidth="1"/>
    <x:col min="3" max="3" width="36" hidden="0" customWidth="1"/>
    <x:col min="4" max="4" width="34" hidden="0" customWidth="1"/>
    <x:col min="5" max="5" width="34" hidden="0" customWidth="1"/>
    <x:col min="6" max="6" width="36" hidden="0" customWidth="1"/>
    <x:col min="7" max="7" width="32" hidden="0" customWidth="1"/>
    <x:col min="8" max="8" width="48" hidden="0" customWidth="1"/>
  </x:cols>
  <x:sheetData>
    <x:row r="1">
      <x:c r="A1" s="609" t="str">
        <x:v>Modality-Specific Synthesis for Retinal Concept-Based XAI</x:v>
      </x:c>
      <x:c r="B1" s="609"/>
      <x:c r="C1" s="609"/>
      <x:c r="D1" s="609"/>
      <x:c r="E1" s="609"/>
      <x:c r="F1" s="609"/>
      <x:c r="G1" s="609"/>
      <x:c r="H1" s="609"/>
    </x:row>
    <x:row r="2">
      <x:c r="A2" s="610"/>
      <x:c r="B2" s="610"/>
      <x:c r="C2" s="610"/>
      <x:c r="D2" s="610"/>
      <x:c r="E2" s="610"/>
      <x:c r="F2" s="610"/>
      <x:c r="G2" s="610"/>
      <x:c r="H2" s="610"/>
    </x:row>
    <x:row r="3">
      <x:c r="A3" s="611" t="str">
        <x:v>Modality</x:v>
      </x:c>
      <x:c r="B3" s="611" t="str">
        <x:v>Typical clinical information</x:v>
      </x:c>
      <x:c r="C3" s="611" t="str">
        <x:v>Candidate concepts</x:v>
      </x:c>
      <x:c r="D3" s="611" t="str">
        <x:v>Concept representation needs</x:v>
      </x:c>
      <x:c r="E3" s="611" t="str">
        <x:v>XAI opportunity</x:v>
      </x:c>
      <x:c r="F3" s="611" t="str">
        <x:v>Key limitations</x:v>
      </x:c>
      <x:c r="G3" s="611" t="str">
        <x:v>Evidence statement</x:v>
      </x:c>
      <x:c r="H3" s="611" t="str">
        <x:v>Recommended manuscript treatment</x:v>
      </x:c>
    </x:row>
    <x:row r="4">
      <x:c r="A4" s="22" t="str">
        <x:v>Colour fundus photography</x:v>
      </x:c>
      <x:c r="B4" s="22" t="str">
        <x:v>2D en-face retinal appearance</x:v>
      </x:c>
      <x:c r="C4" s="22" t="str">
        <x:v>Microaneurysms, haemorrhages, exudates, vessels, optic disc, drusen</x:v>
      </x:c>
      <x:c r="D4" s="22" t="str">
        <x:v>Lesion/anatomy segmentation, prototypes, textual or symbolic labels</x:v>
      </x:c>
      <x:c r="E4" s="22" t="str">
        <x:v>Direct visual grounding and clinician-readable lesion concepts</x:v>
      </x:c>
      <x:c r="F4" s="22" t="str">
        <x:v>Small lesions, illumination/camera shift, field-of-view differences</x:v>
      </x:c>
      <x:c r="G4" s="22" t="str">
        <x:v>Likely the densest evidence base in the current review</x:v>
      </x:c>
      <x:c r="H4" s="22" t="str">
        <x:v>Treat as the dominant modality but state that findings may not generalise to volumetric modalities.</x:v>
      </x:c>
    </x:row>
    <x:row r="5">
      <x:c r="A5" s="22" t="str">
        <x:v>OCT</x:v>
      </x:c>
      <x:c r="B5" s="22" t="str">
        <x:v>Cross-sectional retinal microstructure and layer morphology</x:v>
      </x:c>
      <x:c r="C5" s="22" t="str">
        <x:v>Intraretinal/subretinal fluid, drusen, layer thickness, RPE disruption</x:v>
      </x:c>
      <x:c r="D5" s="22" t="str">
        <x:v>Layer/lesion segmentation, 3D or slice-aware representations</x:v>
      </x:c>
      <x:c r="E5" s="22" t="str">
        <x:v>Structural concepts closely aligned with clinical biomarkers</x:v>
      </x:c>
      <x:c r="F5" s="22" t="str">
        <x:v>Volume-level aggregation, device shift, slice dependence, annotation burden</x:v>
      </x:c>
      <x:c r="G5" s="22" t="str">
        <x:v>Evidence should be synthesised separately from fundus</x:v>
      </x:c>
      <x:c r="H5" s="22" t="str">
        <x:v>Add dedicated OCT paragraph/table entries rather than pooling with fundus.</x:v>
      </x:c>
    </x:row>
    <x:row r="6">
      <x:c r="A6" s="22" t="str">
        <x:v>OCT-A</x:v>
      </x:c>
      <x:c r="B6" s="22" t="str">
        <x:v>Flow-based microvascular maps without dye</x:v>
      </x:c>
      <x:c r="C6" s="22" t="str">
        <x:v>FAZ geometry, vessel density, non-perfusion, capillary abnormalities</x:v>
      </x:c>
      <x:c r="D6" s="22" t="str">
        <x:v>Vascular segmentation and quantitative biomarkers</x:v>
      </x:c>
      <x:c r="E6" s="22" t="str">
        <x:v>Concepts can be quantitative and anatomically grounded</x:v>
      </x:c>
      <x:c r="F6" s="22" t="str">
        <x:v>Segmentation artefacts, projection artefacts, device-specific metrics</x:v>
      </x:c>
      <x:c r="G6" s="22" t="str">
        <x:v>Evidence may be sparse</x:v>
      </x:c>
      <x:c r="H6" s="22" t="str">
        <x:v>State limited evidence explicitly and avoid extrapolating from fundus/OCT.</x:v>
      </x:c>
    </x:row>
    <x:row r="7">
      <x:c r="A7" s="22" t="str">
        <x:v>Fluorescein angiography</x:v>
      </x:c>
      <x:c r="B7" s="22" t="str">
        <x:v>Dynamic dye leakage and vascular perfusion</x:v>
      </x:c>
      <x:c r="C7" s="22" t="str">
        <x:v>Leakage, non-perfusion, neovascularisation, microaneurysm hyperfluorescence</x:v>
      </x:c>
      <x:c r="D7" s="22" t="str">
        <x:v>Temporal/spatial lesion representation</x:v>
      </x:c>
      <x:c r="E7" s="22" t="str">
        <x:v>Potentially strong pathophysiologic concepts</x:v>
      </x:c>
      <x:c r="F7" s="22" t="str">
        <x:v>Invasive acquisition, temporal phases, limited C-XAI evidence</x:v>
      </x:c>
      <x:c r="G7" s="22" t="str">
        <x:v>Likely limited current C-XAI evidence</x:v>
      </x:c>
      <x:c r="H7" s="22" t="str">
        <x:v>Include as a modality gap and future validation target.</x:v>
      </x:c>
    </x:row>
    <x:row r="8">
      <x:c r="A8" s="22" t="str">
        <x:v>Multimodal retinal imaging</x:v>
      </x:c>
      <x:c r="B8" s="22" t="str">
        <x:v>Complementary structural, vascular and text/context information</x:v>
      </x:c>
      <x:c r="C8" s="22" t="str">
        <x:v>Cross-modal lesion/anatomy relations, disease stage, uncertainty</x:v>
      </x:c>
      <x:c r="D8" s="22" t="str">
        <x:v>Fusion with modality-aware concepts and missing-modality handling</x:v>
      </x:c>
      <x:c r="E8" s="22" t="str">
        <x:v>Supports relational and clinically richer concept explanations</x:v>
      </x:c>
      <x:c r="F8" s="22" t="str">
        <x:v>Cross-modal alignment, missing data, leakage, complex validation</x:v>
      </x:c>
      <x:c r="G8" s="22" t="str">
        <x:v>Emerging evidence</x:v>
      </x:c>
      <x:c r="H8" s="22" t="str">
        <x:v>Frame as an emerging direction requiring explicit cross-modal faithfulness tests.</x:v>
      </x:c>
    </x:row>
  </x:sheetData>
  <x:mergeCells>
    <x:mergeCell ref="A1:H1"/>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34" hidden="0" customWidth="1"/>
    <x:col min="3" max="3" width="32" hidden="0" customWidth="1"/>
    <x:col min="4" max="4" width="38" hidden="0" customWidth="1"/>
    <x:col min="5" max="5" width="36" hidden="0" customWidth="1"/>
    <x:col min="6" max="6" width="38" hidden="0" customWidth="1"/>
    <x:col min="7" max="7" width="62" hidden="0" customWidth="1"/>
    <x:col min="8" max="8" width="38" hidden="0" customWidth="1"/>
  </x:cols>
  <x:sheetData>
    <x:row r="1">
      <x:c r="A1" s="609" t="str">
        <x:v>Segmentation, Quantitative Imaging and Radiomics Integration</x:v>
      </x:c>
      <x:c r="B1" s="609"/>
      <x:c r="C1" s="609"/>
      <x:c r="D1" s="609"/>
      <x:c r="E1" s="609"/>
      <x:c r="F1" s="609"/>
      <x:c r="G1" s="609"/>
      <x:c r="H1" s="609"/>
    </x:row>
    <x:row r="2">
      <x:c r="A2" s="610"/>
      <x:c r="B2" s="610"/>
      <x:c r="C2" s="610"/>
      <x:c r="D2" s="610"/>
      <x:c r="E2" s="610"/>
      <x:c r="F2" s="610"/>
      <x:c r="G2" s="610"/>
      <x:c r="H2" s="610"/>
    </x:row>
    <x:row r="3">
      <x:c r="A3" s="611" t="str">
        <x:v>Topic</x:v>
      </x:c>
      <x:c r="B3" s="611" t="str">
        <x:v>Role in C-XAI</x:v>
      </x:c>
      <x:c r="C3" s="611" t="str">
        <x:v>Examples</x:v>
      </x:c>
      <x:c r="D3" s="611" t="str">
        <x:v>Failure propagation</x:v>
      </x:c>
      <x:c r="E3" s="611" t="str">
        <x:v>Recommended evaluation</x:v>
      </x:c>
      <x:c r="F3" s="611" t="str">
        <x:v>Responsible interpretation</x:v>
      </x:c>
      <x:c r="G3" s="611" t="str">
        <x:v>Suggested text</x:v>
      </x:c>
      <x:c r="H3" s="611" t="str">
        <x:v>Reference action</x:v>
      </x:c>
    </x:row>
    <x:row r="4">
      <x:c r="A4" s="22" t="str">
        <x:v>U-Net-type segmentation</x:v>
      </x:c>
      <x:c r="B4" s="22" t="str">
        <x:v>Creates explicit anatomical/lesion concepts before concept reasoning</x:v>
      </x:c>
      <x:c r="C4" s="22" t="str">
        <x:v>Vessels, optic disc, macula, exudates, haemorrhages</x:v>
      </x:c>
      <x:c r="D4" s="22" t="str">
        <x:v>Segmentation false positives/negatives become concept errors and can propagate to downstream concept attribution or prediction</x:v>
      </x:c>
      <x:c r="E4" s="22" t="str">
        <x:v>Report Dice/IoU per concept, calibration/uncertainty, and sensitivity of downstream explanation to segmentation perturbation</x:v>
      </x:c>
      <x:c r="F4" s="22" t="str">
        <x:v>A well-segmented concept can still be causally irrelevant; segmentation quality and explanation faithfulness are distinct</x:v>
      </x:c>
      <x:c r="G4" s="22" t="str">
        <x:v>Many clinically meaningful retinal concepts require a segmentation stage. Errors in lesion or anatomy masks can propagate directly into concept presence, localisation and downstream explanation scores; segmentation quality should therefore be reported as part of concept validity.</x:v>
      </x:c>
      <x:c r="H4" s="22" t="str">
        <x:v>Verify and cite the reviewer-recommended U-Net review.</x:v>
      </x:c>
    </x:row>
    <x:row r="5">
      <x:c r="A5" s="22" t="str">
        <x:v>Radiomics</x:v>
      </x:c>
      <x:c r="B5" s="22" t="str">
        <x:v>Converts image regions into explicit quantitative concepts</x:v>
      </x:c>
      <x:c r="C5" s="22" t="str">
        <x:v>Texture, intensity, morphology, vessel tortuosity, lesion burden, spatial heterogeneity</x:v>
      </x:c>
      <x:c r="D5" s="22" t="str">
        <x:v>Instability to acquisition/reconstruction/segmentation can create non-reproducible concepts</x:v>
      </x:c>
      <x:c r="E5" s="22" t="str">
        <x:v>Feature robustness, repeatability, harmonisation, external validation and concept-performance association</x:v>
      </x:c>
      <x:c r="F5" s="22" t="str">
        <x:v>Radiomic interpretability depends on stable definitions and clinical meaning, not simply on handcrafted origin</x:v>
      </x:c>
      <x:c r="G5" s="22" t="str">
        <x:v>Radiomic features can complement neural concepts by providing quantitative descriptors with explicit definitions. Their integration into concept bottlenecks or multimodal systems should be accompanied by robustness and harmonisation analysis.</x:v>
      </x:c>
      <x:c r="H5" s="22" t="str">
        <x:v>Verify and cite 'Radiomics in Medical Imaging: Methods, Applications, and Challenges' or journal-compatible equivalent.</x:v>
      </x:c>
    </x:row>
    <x:row r="6">
      <x:c r="A6" s="22" t="str">
        <x:v>Segmentation uncertainty</x:v>
      </x:c>
      <x:c r="B6" s="22" t="str">
        <x:v>Quantifies uncertainty in the concept extraction stage</x:v>
      </x:c>
      <x:c r="C6" s="22" t="str">
        <x:v>Boundary uncertainty, small-lesion miss probability</x:v>
      </x:c>
      <x:c r="D6" s="22" t="str">
        <x:v>Uncertainty may be hidden if only a hard concept label is passed downstream</x:v>
      </x:c>
      <x:c r="E6" s="22" t="str">
        <x:v>Propagate probabilistic masks/concept confidence into downstream audit</x:v>
      </x:c>
      <x:c r="F6" s="22" t="str">
        <x:v>Do not present deterministic explanations when the concept detector is uncertain</x:v>
      </x:c>
      <x:c r="G6" s="22" t="str">
        <x:v>Concept uncertainty should be propagated rather than discarded, particularly for small lesions such as microaneurysms.</x:v>
      </x:c>
      <x:c r="H6" s="22" t="str">
        <x:v>Add to limitations and future work.</x:v>
      </x:c>
    </x:row>
    <x:row r="7">
      <x:c r="A7" s="22" t="str">
        <x:v>Quantitative biomarkers</x:v>
      </x:c>
      <x:c r="B7" s="22" t="str">
        <x:v>Provides measurable concepts beyond semantic labels</x:v>
      </x:c>
      <x:c r="C7" s="22" t="str">
        <x:v>Layer thickness, FAZ area, vessel density, cup-to-disc ratio</x:v>
      </x:c>
      <x:c r="D7" s="22" t="str">
        <x:v>Device/site differences may shift biomarker distributions</x:v>
      </x:c>
      <x:c r="E7" s="22" t="str">
        <x:v>Site-stratified validation and calibration</x:v>
      </x:c>
      <x:c r="F7" s="22" t="str">
        <x:v>Quantitative does not automatically mean clinically causal</x:v>
      </x:c>
      <x:c r="G7" s="22" t="str">
        <x:v>Quantitative imaging biomarkers provide a bridge between conventional measurements and concept-based models, but require modality- and device-aware validation.</x:v>
      </x:c>
      <x:c r="H7" s="22" t="str">
        <x:v>Integrate with modality-specific synthesis.</x:v>
      </x:c>
    </x:row>
  </x:sheetData>
  <x:mergeCells>
    <x:mergeCell ref="A1:H1"/>
  </x:mergeCells>
  <x:pageMargins left="0.7" right="0.7" top="0.75" bottom="0.75" header="0.3" footer="0.3"/>
</x:worksheet>
</file>

<file path=xl/worksheets/sheet23.xml><?xml version="1.0" encoding="utf-8"?>
<x:worksheet xmlns:x="http://schemas.openxmlformats.org/spreadsheetml/2006/main">
  <x:sheetFormatPr defaultRowHeight="15"/>
  <x:cols>
    <x:col min="1" max="1" width="44" hidden="0" customWidth="1"/>
    <x:col min="2" max="2" width="22" hidden="0" customWidth="1"/>
    <x:col min="3" max="3" width="20" hidden="0" customWidth="1"/>
    <x:col min="4" max="4" width="28" hidden="0" customWidth="1"/>
    <x:col min="5" max="5" width="24" hidden="0" customWidth="1"/>
    <x:col min="6" max="6" width="24" hidden="0" customWidth="1"/>
    <x:col min="7" max="7" width="28" hidden="0" customWidth="1"/>
    <x:col min="8" max="8" width="26" hidden="0" customWidth="1"/>
    <x:col min="9" max="9" width="28" hidden="0" customWidth="1"/>
    <x:col min="10" max="10" width="30" hidden="0" customWidth="1"/>
    <x:col min="11" max="11" width="26" hidden="0" customWidth="1"/>
    <x:col min="12" max="12" width="24" hidden="0" customWidth="1"/>
    <x:col min="13" max="13" width="20" hidden="0" customWidth="1"/>
    <x:col min="14" max="14" width="26" hidden="0" customWidth="1"/>
    <x:col min="15" max="15" width="20" hidden="0" customWidth="1"/>
    <x:col min="16" max="16" width="34" hidden="0" customWidth="1"/>
  </x:cols>
  <x:sheetData>
    <x:row r="1">
      <x:c r="A1" s="609" t="str">
        <x:v>Evidence-Oriented Comparison Table — Codebook and Examples</x:v>
      </x:c>
      <x:c r="B1" s="609"/>
      <x:c r="C1" s="609"/>
      <x:c r="D1" s="609"/>
      <x:c r="E1" s="609"/>
      <x:c r="F1" s="609"/>
      <x:c r="G1" s="609"/>
      <x:c r="H1" s="609"/>
      <x:c r="I1" s="609"/>
      <x:c r="J1" s="609"/>
      <x:c r="K1" s="609"/>
      <x:c r="L1" s="609"/>
      <x:c r="M1" s="609"/>
      <x:c r="N1" s="609"/>
      <x:c r="O1" s="609"/>
      <x:c r="P1" s="609"/>
    </x:row>
    <x:row r="2">
      <x:c r="A2" s="610"/>
      <x:c r="B2" s="610"/>
      <x:c r="C2" s="610"/>
      <x:c r="D2" s="610"/>
      <x:c r="E2" s="610"/>
      <x:c r="F2" s="610"/>
      <x:c r="G2" s="610"/>
      <x:c r="H2" s="610"/>
      <x:c r="I2" s="610"/>
      <x:c r="J2" s="610"/>
      <x:c r="K2" s="610"/>
      <x:c r="L2" s="610"/>
      <x:c r="M2" s="610"/>
      <x:c r="N2" s="610"/>
      <x:c r="O2" s="610"/>
      <x:c r="P2" s="610"/>
    </x:row>
    <x:row r="3">
      <x:c r="A3" s="611" t="str">
        <x:v>Study ID / Citation</x:v>
      </x:c>
      <x:c r="B3" s="611" t="str">
        <x:v>Evidence domain</x:v>
      </x:c>
      <x:c r="C3" s="611" t="str">
        <x:v>Modality</x:v>
      </x:c>
      <x:c r="D3" s="611" t="str">
        <x:v>Disease/task</x:v>
      </x:c>
      <x:c r="E3" s="611" t="str">
        <x:v>Dataset(s)</x:v>
      </x:c>
      <x:c r="F3" s="611" t="str">
        <x:v>Sample size (patients/images)</x:v>
      </x:c>
      <x:c r="G3" s="611" t="str">
        <x:v>Architecture</x:v>
      </x:c>
      <x:c r="H3" s="611" t="str">
        <x:v>Concept source</x:v>
      </x:c>
      <x:c r="I3" s="611" t="str">
        <x:v>Concepts</x:v>
      </x:c>
      <x:c r="J3" s="611" t="str">
        <x:v>Explanation output</x:v>
      </x:c>
      <x:c r="K3" s="611" t="str">
        <x:v>Predictive performance</x:v>
      </x:c>
      <x:c r="L3" s="611" t="str">
        <x:v>Concept-level metric</x:v>
      </x:c>
      <x:c r="M3" s="611" t="str">
        <x:v>External validation</x:v>
      </x:c>
      <x:c r="N3" s="611" t="str">
        <x:v>Ophthalmologist assessment</x:v>
      </x:c>
      <x:c r="O3" s="611" t="str">
        <x:v>Code availability</x:v>
      </x:c>
      <x:c r="P3" s="611" t="str">
        <x:v>Quality assessment / notes</x:v>
      </x:c>
    </x:row>
    <x:row r="4">
      <x:c r="A4" s="22" t="str">
        <x:v>Wang et al. — An Interpretable and Accurate Deep-Learning Diagnosis Framework…</x:v>
      </x:c>
      <x:c r="B4" s="22" t="str">
        <x:v>Retinal empirical</x:v>
      </x:c>
      <x:c r="C4" s="22" t="str">
        <x:v>Fundus / retinal imaging</x:v>
      </x:c>
      <x:c r="D4" s="22" t="str">
        <x:v>Retinal disease diagnosis</x:v>
      </x:c>
      <x:c r="E4" s="22" t="str">
        <x:v>NR</x:v>
      </x:c>
      <x:c r="F4" s="22" t="str">
        <x:v>NR</x:v>
      </x:c>
      <x:c r="G4" s="22" t="str">
        <x:v>Interpretable deep-learning / prototypical framework</x:v>
      </x:c>
      <x:c r="H4" s="22" t="str">
        <x:v>Learned prototypes</x:v>
      </x:c>
      <x:c r="I4" s="22" t="str">
        <x:v>NR</x:v>
      </x:c>
      <x:c r="J4" s="22" t="str">
        <x:v>Prototype-based visual evidence</x:v>
      </x:c>
      <x:c r="K4" s="22" t="str">
        <x:v>NR</x:v>
      </x:c>
      <x:c r="L4" s="22" t="str">
        <x:v>NR</x:v>
      </x:c>
      <x:c r="M4" s="22" t="str">
        <x:v>Check full text</x:v>
      </x:c>
      <x:c r="N4" s="22" t="str">
        <x:v>Check full text</x:v>
      </x:c>
      <x:c r="O4" s="22" t="str">
        <x:v>Check full text</x:v>
      </x:c>
      <x:c r="P4" s="22" t="str">
        <x:v>Populate after full-text extraction</x:v>
      </x:c>
    </x:row>
    <x:row r="5">
      <x:c r="A5" s="22" t="str">
        <x:v>Wang et al. — Cross- and Intra-Image Prototypical Learning for Multi-Label Disease Diagnosis and Interpretation</x:v>
      </x:c>
      <x:c r="B5" s="22" t="str">
        <x:v>Retinal empirical</x:v>
      </x:c>
      <x:c r="C5" s="22" t="str">
        <x:v>Fundus</x:v>
      </x:c>
      <x:c r="D5" s="22" t="str">
        <x:v>Multi-label retinal disease diagnosis</x:v>
      </x:c>
      <x:c r="E5" s="22" t="str">
        <x:v>NR</x:v>
      </x:c>
      <x:c r="F5" s="22" t="str">
        <x:v>NR</x:v>
      </x:c>
      <x:c r="G5" s="22" t="str">
        <x:v>Prototype learning</x:v>
      </x:c>
      <x:c r="H5" s="22" t="str">
        <x:v>Learned prototypes</x:v>
      </x:c>
      <x:c r="I5" s="22" t="str">
        <x:v>Disease-related prototypes</x:v>
      </x:c>
      <x:c r="J5" s="22" t="str">
        <x:v>Prototype patches / attribution</x:v>
      </x:c>
      <x:c r="K5" s="22" t="str">
        <x:v>NR</x:v>
      </x:c>
      <x:c r="L5" s="22" t="str">
        <x:v>NR</x:v>
      </x:c>
      <x:c r="M5" s="22" t="str">
        <x:v>Check full text</x:v>
      </x:c>
      <x:c r="N5" s="22" t="str">
        <x:v>Check full text</x:v>
      </x:c>
      <x:c r="O5" s="22" t="str">
        <x:v>Check full text</x:v>
      </x:c>
      <x:c r="P5" s="22" t="str">
        <x:v>Populate after full-text extraction</x:v>
      </x:c>
    </x:row>
    <x:row r="6">
      <x:c r="A6" s="22" t="str">
        <x:v>Miladinovic et al. — Neurosymbolic AI Framework for Explainable Retinal Disease Classification From OCT Images</x:v>
      </x:c>
      <x:c r="B6" s="22" t="str">
        <x:v>Retinal empirical</x:v>
      </x:c>
      <x:c r="C6" s="22" t="str">
        <x:v>OCT</x:v>
      </x:c>
      <x:c r="D6" s="22" t="str">
        <x:v>Retinal disease classification</x:v>
      </x:c>
      <x:c r="E6" s="22" t="str">
        <x:v>NR</x:v>
      </x:c>
      <x:c r="F6" s="22" t="str">
        <x:v>NR</x:v>
      </x:c>
      <x:c r="G6" s="22" t="str">
        <x:v>Neuro-symbolic framework</x:v>
      </x:c>
      <x:c r="H6" s="22" t="str">
        <x:v>Structured/clinical concepts</x:v>
      </x:c>
      <x:c r="I6" s="22" t="str">
        <x:v>Dry/wet AMD-related retinal findings</x:v>
      </x:c>
      <x:c r="J6" s="22" t="str">
        <x:v>Symbolic/structured explanation</x:v>
      </x:c>
      <x:c r="K6" s="22" t="str">
        <x:v>NR</x:v>
      </x:c>
      <x:c r="L6" s="22" t="str">
        <x:v>NR</x:v>
      </x:c>
      <x:c r="M6" s="22" t="str">
        <x:v>Check full text</x:v>
      </x:c>
      <x:c r="N6" s="22" t="str">
        <x:v>Check full text</x:v>
      </x:c>
      <x:c r="O6" s="22" t="str">
        <x:v>Check full text</x:v>
      </x:c>
      <x:c r="P6" s="22" t="str">
        <x:v>Populate after full-text extraction</x:v>
      </x:c>
    </x:row>
    <x:row r="7">
      <x:c r="A7" s="22" t="str">
        <x:v>Storaas &amp; Sundgaard — Looking into Concept Explanation Methods for Diabetic Retinopathy Classification</x:v>
      </x:c>
      <x:c r="B7" s="22" t="str">
        <x:v>Retinal empirical/contextual</x:v>
      </x:c>
      <x:c r="C7" s="22" t="str">
        <x:v>Fundus</x:v>
      </x:c>
      <x:c r="D7" s="22" t="str">
        <x:v>Diabetic retinopathy classification</x:v>
      </x:c>
      <x:c r="E7" s="22" t="str">
        <x:v>NR</x:v>
      </x:c>
      <x:c r="F7" s="22" t="str">
        <x:v>NR</x:v>
      </x:c>
      <x:c r="G7" s="22" t="str">
        <x:v>Concept explanation benchmark</x:v>
      </x:c>
      <x:c r="H7" s="22" t="str">
        <x:v>Human/algorithmic concepts</x:v>
      </x:c>
      <x:c r="I7" s="22" t="str">
        <x:v>Retinal abnormalities</x:v>
      </x:c>
      <x:c r="J7" s="22" t="str">
        <x:v>TCAV/CBM-style concept explanations</x:v>
      </x:c>
      <x:c r="K7" s="22" t="str">
        <x:v>NR</x:v>
      </x:c>
      <x:c r="L7" s="22" t="str">
        <x:v>Concept explanation metrics</x:v>
      </x:c>
      <x:c r="M7" s="22" t="str">
        <x:v>Check full text</x:v>
      </x:c>
      <x:c r="N7" s="22" t="str">
        <x:v>Check full text</x:v>
      </x:c>
      <x:c r="O7" s="22" t="str">
        <x:v>Code/repository check</x:v>
      </x:c>
      <x:c r="P7" s="22" t="str">
        <x:v>Populate after full-text extraction</x:v>
      </x:c>
    </x:row>
    <x:row r="8">
      <x:c r="A8" s="22" t="str">
        <x:v>Mehta et al. — Interpretable Few-Shot Retinal Disease Diagnosis with Concept-Guided Prompting of Vision-Language Models</x:v>
      </x:c>
      <x:c r="B8" s="22" t="str">
        <x:v>Retinal empirical</x:v>
      </x:c>
      <x:c r="C8" s="22" t="str">
        <x:v>Fundus</x:v>
      </x:c>
      <x:c r="D8" s="22" t="str">
        <x:v>Retinal disease diagnosis</x:v>
      </x:c>
      <x:c r="E8" s="22" t="str">
        <x:v>NR</x:v>
      </x:c>
      <x:c r="F8" s="22" t="str">
        <x:v>NR</x:v>
      </x:c>
      <x:c r="G8" s="22" t="str">
        <x:v>Vision-language model</x:v>
      </x:c>
      <x:c r="H8" s="22" t="str">
        <x:v>Concept-guided prompts</x:v>
      </x:c>
      <x:c r="I8" s="22" t="str">
        <x:v>Clinical retinal concepts</x:v>
      </x:c>
      <x:c r="J8" s="22" t="str">
        <x:v>Textual/concept-guided reasoning</x:v>
      </x:c>
      <x:c r="K8" s="22" t="str">
        <x:v>NR</x:v>
      </x:c>
      <x:c r="L8" s="22" t="str">
        <x:v>NR</x:v>
      </x:c>
      <x:c r="M8" s="22" t="str">
        <x:v>Check full text</x:v>
      </x:c>
      <x:c r="N8" s="22" t="str">
        <x:v>Check full text</x:v>
      </x:c>
      <x:c r="O8" s="22" t="str">
        <x:v>Check full text</x:v>
      </x:c>
      <x:c r="P8" s="22" t="str">
        <x:v>Recent 2025 evidence; verify publication version</x:v>
      </x:c>
    </x:row>
    <x:row r="9">
      <x:c r="A9" s="22" t="str">
        <x:v>Djoumessi et al. — Hybrid Fully Convolutional CNN-Transformer Model for Inherently Interpretable Disease Detection from Retinal Fundus Images</x:v>
      </x:c>
      <x:c r="B9" s="22" t="str">
        <x:v>Retinal empirical</x:v>
      </x:c>
      <x:c r="C9" s="22" t="str">
        <x:v>Fundus</x:v>
      </x:c>
      <x:c r="D9" s="22" t="str">
        <x:v>Retinal disease detection</x:v>
      </x:c>
      <x:c r="E9" s="22" t="str">
        <x:v>NR</x:v>
      </x:c>
      <x:c r="F9" s="22" t="str">
        <x:v>NR</x:v>
      </x:c>
      <x:c r="G9" s="22" t="str">
        <x:v>CNN-Transformer / interpretable-by-design</x:v>
      </x:c>
      <x:c r="H9" s="22" t="str">
        <x:v>Model-internal concepts / prototypes</x:v>
      </x:c>
      <x:c r="I9" s="22" t="str">
        <x:v>NR</x:v>
      </x:c>
      <x:c r="J9" s="22" t="str">
        <x:v>Inherently interpretable representation</x:v>
      </x:c>
      <x:c r="K9" s="22" t="str">
        <x:v>NR</x:v>
      </x:c>
      <x:c r="L9" s="22" t="str">
        <x:v>NR</x:v>
      </x:c>
      <x:c r="M9" s="22" t="str">
        <x:v>Check full text</x:v>
      </x:c>
      <x:c r="N9" s="22" t="str">
        <x:v>Check full text</x:v>
      </x:c>
      <x:c r="O9" s="22" t="str">
        <x:v>Check full text</x:v>
      </x:c>
      <x:c r="P9" s="22" t="str">
        <x:v>Recent 2025 evidence; verify publication details</x:v>
      </x:c>
    </x:row>
    <x:row r="10">
      <x:c r="A10" s="1097" t="str">
        <x:v>The completed 109-report table is provided in 'Evidence Table Final'.</x:v>
      </x:c>
      <x:c r="B10" s="1097" t="str"/>
      <x:c r="C10" s="1097" t="str"/>
      <x:c r="D10" s="1097" t="str"/>
      <x:c r="E10" s="1097" t="str"/>
      <x:c r="F10" s="1097" t="str"/>
      <x:c r="G10" s="1097" t="str"/>
      <x:c r="H10" s="1097" t="str"/>
      <x:c r="I10" s="1097" t="str"/>
      <x:c r="J10" s="1097" t="str"/>
      <x:c r="K10" s="1097" t="str"/>
      <x:c r="L10" s="1097" t="str"/>
      <x:c r="M10" s="1097" t="str"/>
      <x:c r="N10" s="1097" t="str"/>
      <x:c r="O10" s="1097" t="str"/>
      <x:c r="P10" s="1097" t="str"/>
    </x:row>
    <x:row r="11">
      <x:c r="A11" s="22" t="str"/>
      <x:c r="B11" s="22" t="str"/>
      <x:c r="C11" s="22" t="str"/>
      <x:c r="D11" s="22" t="str"/>
      <x:c r="E11" s="22" t="str"/>
      <x:c r="F11" s="22" t="str"/>
      <x:c r="G11" s="22" t="str"/>
      <x:c r="H11" s="22" t="str"/>
      <x:c r="I11" s="22" t="str"/>
      <x:c r="J11" s="22" t="str"/>
      <x:c r="K11" s="22" t="str"/>
      <x:c r="L11" s="22" t="str"/>
      <x:c r="M11" s="22" t="str"/>
      <x:c r="N11" s="22" t="str"/>
      <x:c r="O11" s="22" t="str"/>
      <x:c r="P11" s="22" t="str"/>
    </x:row>
    <x:row r="12">
      <x:c r="A12" s="22" t="str"/>
      <x:c r="B12" s="22" t="str"/>
      <x:c r="C12" s="22" t="str"/>
      <x:c r="D12" s="22" t="str"/>
      <x:c r="E12" s="22" t="str"/>
      <x:c r="F12" s="22" t="str"/>
      <x:c r="G12" s="22" t="str"/>
      <x:c r="H12" s="22" t="str"/>
      <x:c r="I12" s="22" t="str"/>
      <x:c r="J12" s="22" t="str"/>
      <x:c r="K12" s="22" t="str"/>
      <x:c r="L12" s="22" t="str"/>
      <x:c r="M12" s="22" t="str"/>
      <x:c r="N12" s="22" t="str"/>
      <x:c r="O12" s="22" t="str"/>
      <x:c r="P12" s="22" t="str"/>
    </x:row>
    <x:row r="13">
      <x:c r="A13" s="22" t="str"/>
      <x:c r="B13" s="22" t="str"/>
      <x:c r="C13" s="22" t="str"/>
      <x:c r="D13" s="22" t="str"/>
      <x:c r="E13" s="22" t="str"/>
      <x:c r="F13" s="22" t="str"/>
      <x:c r="G13" s="22" t="str"/>
      <x:c r="H13" s="22" t="str"/>
      <x:c r="I13" s="22" t="str"/>
      <x:c r="J13" s="22" t="str"/>
      <x:c r="K13" s="22" t="str"/>
      <x:c r="L13" s="22" t="str"/>
      <x:c r="M13" s="22" t="str"/>
      <x:c r="N13" s="22" t="str"/>
      <x:c r="O13" s="22" t="str"/>
      <x:c r="P13" s="22" t="str"/>
    </x:row>
    <x:row r="14">
      <x:c r="A14" s="22" t="str"/>
      <x:c r="B14" s="22" t="str"/>
      <x:c r="C14" s="22" t="str"/>
      <x:c r="D14" s="22" t="str"/>
      <x:c r="E14" s="22" t="str"/>
      <x:c r="F14" s="22" t="str"/>
      <x:c r="G14" s="22" t="str"/>
      <x:c r="H14" s="22" t="str"/>
      <x:c r="I14" s="22" t="str"/>
      <x:c r="J14" s="22" t="str"/>
      <x:c r="K14" s="22" t="str"/>
      <x:c r="L14" s="22" t="str"/>
      <x:c r="M14" s="22" t="str"/>
      <x:c r="N14" s="22" t="str"/>
      <x:c r="O14" s="22" t="str"/>
      <x:c r="P14" s="22" t="str"/>
    </x:row>
    <x:row r="15">
      <x:c r="A15" s="22" t="str"/>
      <x:c r="B15" s="22" t="str"/>
      <x:c r="C15" s="22" t="str"/>
      <x:c r="D15" s="22" t="str"/>
      <x:c r="E15" s="22" t="str"/>
      <x:c r="F15" s="22" t="str"/>
      <x:c r="G15" s="22" t="str"/>
      <x:c r="H15" s="22" t="str"/>
      <x:c r="I15" s="22" t="str"/>
      <x:c r="J15" s="22" t="str"/>
      <x:c r="K15" s="22" t="str"/>
      <x:c r="L15" s="22" t="str"/>
      <x:c r="M15" s="22" t="str"/>
      <x:c r="N15" s="22" t="str"/>
      <x:c r="O15" s="22" t="str"/>
      <x:c r="P15" s="22" t="str"/>
    </x:row>
    <x:row r="16">
      <x:c r="A16" s="22" t="str"/>
      <x:c r="B16" s="22" t="str"/>
      <x:c r="C16" s="22" t="str"/>
      <x:c r="D16" s="22" t="str"/>
      <x:c r="E16" s="22" t="str"/>
      <x:c r="F16" s="22" t="str"/>
      <x:c r="G16" s="22" t="str"/>
      <x:c r="H16" s="22" t="str"/>
      <x:c r="I16" s="22" t="str"/>
      <x:c r="J16" s="22" t="str"/>
      <x:c r="K16" s="22" t="str"/>
      <x:c r="L16" s="22" t="str"/>
      <x:c r="M16" s="22" t="str"/>
      <x:c r="N16" s="22" t="str"/>
      <x:c r="O16" s="22" t="str"/>
      <x:c r="P16" s="22" t="str"/>
    </x:row>
    <x:row r="17">
      <x:c r="A17" s="22" t="str"/>
      <x:c r="B17" s="22" t="str"/>
      <x:c r="C17" s="22" t="str"/>
      <x:c r="D17" s="22" t="str"/>
      <x:c r="E17" s="22" t="str"/>
      <x:c r="F17" s="22" t="str"/>
      <x:c r="G17" s="22" t="str"/>
      <x:c r="H17" s="22" t="str"/>
      <x:c r="I17" s="22" t="str"/>
      <x:c r="J17" s="22" t="str"/>
      <x:c r="K17" s="22" t="str"/>
      <x:c r="L17" s="22" t="str"/>
      <x:c r="M17" s="22" t="str"/>
      <x:c r="N17" s="22" t="str"/>
      <x:c r="O17" s="22" t="str"/>
      <x:c r="P17" s="22" t="str"/>
    </x:row>
    <x:row r="18">
      <x:c r="A18" s="22" t="str"/>
      <x:c r="B18" s="22" t="str"/>
      <x:c r="C18" s="22" t="str"/>
      <x:c r="D18" s="22" t="str"/>
      <x:c r="E18" s="22" t="str"/>
      <x:c r="F18" s="22" t="str"/>
      <x:c r="G18" s="22" t="str"/>
      <x:c r="H18" s="22" t="str"/>
      <x:c r="I18" s="22" t="str"/>
      <x:c r="J18" s="22" t="str"/>
      <x:c r="K18" s="22" t="str"/>
      <x:c r="L18" s="22" t="str"/>
      <x:c r="M18" s="22" t="str"/>
      <x:c r="N18" s="22" t="str"/>
      <x:c r="O18" s="22" t="str"/>
      <x:c r="P18" s="22" t="str"/>
    </x:row>
    <x:row r="19">
      <x:c r="A19" s="22" t="str"/>
      <x:c r="B19" s="22" t="str"/>
      <x:c r="C19" s="22" t="str"/>
      <x:c r="D19" s="22" t="str"/>
      <x:c r="E19" s="22" t="str"/>
      <x:c r="F19" s="22" t="str"/>
      <x:c r="G19" s="22" t="str"/>
      <x:c r="H19" s="22" t="str"/>
      <x:c r="I19" s="22" t="str"/>
      <x:c r="J19" s="22" t="str"/>
      <x:c r="K19" s="22" t="str"/>
      <x:c r="L19" s="22" t="str"/>
      <x:c r="M19" s="22" t="str"/>
      <x:c r="N19" s="22" t="str"/>
      <x:c r="O19" s="22" t="str"/>
      <x:c r="P19" s="22" t="str"/>
    </x:row>
    <x:row r="20">
      <x:c r="A20" s="22" t="str"/>
      <x:c r="B20" s="22" t="str"/>
      <x:c r="C20" s="22" t="str"/>
      <x:c r="D20" s="22" t="str"/>
      <x:c r="E20" s="22" t="str"/>
      <x:c r="F20" s="22" t="str"/>
      <x:c r="G20" s="22" t="str"/>
      <x:c r="H20" s="22" t="str"/>
      <x:c r="I20" s="22" t="str"/>
      <x:c r="J20" s="22" t="str"/>
      <x:c r="K20" s="22" t="str"/>
      <x:c r="L20" s="22" t="str"/>
      <x:c r="M20" s="22" t="str"/>
      <x:c r="N20" s="22" t="str"/>
      <x:c r="O20" s="22" t="str"/>
      <x:c r="P20" s="22" t="str"/>
    </x:row>
    <x:row r="21">
      <x:c r="A21" s="22" t="str"/>
      <x:c r="B21" s="22" t="str"/>
      <x:c r="C21" s="22" t="str"/>
      <x:c r="D21" s="22" t="str"/>
      <x:c r="E21" s="22" t="str"/>
      <x:c r="F21" s="22" t="str"/>
      <x:c r="G21" s="22" t="str"/>
      <x:c r="H21" s="22" t="str"/>
      <x:c r="I21" s="22" t="str"/>
      <x:c r="J21" s="22" t="str"/>
      <x:c r="K21" s="22" t="str"/>
      <x:c r="L21" s="22" t="str"/>
      <x:c r="M21" s="22" t="str"/>
      <x:c r="N21" s="22" t="str"/>
      <x:c r="O21" s="22" t="str"/>
      <x:c r="P21" s="22" t="str"/>
    </x:row>
    <x:row r="22">
      <x:c r="A22" s="22" t="str"/>
      <x:c r="B22" s="22" t="str"/>
      <x:c r="C22" s="22" t="str"/>
      <x:c r="D22" s="22" t="str"/>
      <x:c r="E22" s="22" t="str"/>
      <x:c r="F22" s="22" t="str"/>
      <x:c r="G22" s="22" t="str"/>
      <x:c r="H22" s="22" t="str"/>
      <x:c r="I22" s="22" t="str"/>
      <x:c r="J22" s="22" t="str"/>
      <x:c r="K22" s="22" t="str"/>
      <x:c r="L22" s="22" t="str"/>
      <x:c r="M22" s="22" t="str"/>
      <x:c r="N22" s="22" t="str"/>
      <x:c r="O22" s="22" t="str"/>
      <x:c r="P22" s="22" t="str"/>
    </x:row>
    <x:row r="23">
      <x:c r="A23" s="22" t="str"/>
      <x:c r="B23" s="22" t="str"/>
      <x:c r="C23" s="22" t="str"/>
      <x:c r="D23" s="22" t="str"/>
      <x:c r="E23" s="22" t="str"/>
      <x:c r="F23" s="22" t="str"/>
      <x:c r="G23" s="22" t="str"/>
      <x:c r="H23" s="22" t="str"/>
      <x:c r="I23" s="22" t="str"/>
      <x:c r="J23" s="22" t="str"/>
      <x:c r="K23" s="22" t="str"/>
      <x:c r="L23" s="22" t="str"/>
      <x:c r="M23" s="22" t="str"/>
      <x:c r="N23" s="22" t="str"/>
      <x:c r="O23" s="22" t="str"/>
      <x:c r="P23" s="22" t="str"/>
    </x:row>
    <x:row r="24">
      <x:c r="A24" s="22" t="str"/>
      <x:c r="B24" s="22" t="str"/>
      <x:c r="C24" s="22" t="str"/>
      <x:c r="D24" s="22" t="str"/>
      <x:c r="E24" s="22" t="str"/>
      <x:c r="F24" s="22" t="str"/>
      <x:c r="G24" s="22" t="str"/>
      <x:c r="H24" s="22" t="str"/>
      <x:c r="I24" s="22" t="str"/>
      <x:c r="J24" s="22" t="str"/>
      <x:c r="K24" s="22" t="str"/>
      <x:c r="L24" s="22" t="str"/>
      <x:c r="M24" s="22" t="str"/>
      <x:c r="N24" s="22" t="str"/>
      <x:c r="O24" s="22" t="str"/>
      <x:c r="P24" s="22" t="str"/>
    </x:row>
    <x:row r="25">
      <x:c r="A25" s="22" t="str"/>
      <x:c r="B25" s="22" t="str"/>
      <x:c r="C25" s="22" t="str"/>
      <x:c r="D25" s="22" t="str"/>
      <x:c r="E25" s="22" t="str"/>
      <x:c r="F25" s="22" t="str"/>
      <x:c r="G25" s="22" t="str"/>
      <x:c r="H25" s="22" t="str"/>
      <x:c r="I25" s="22" t="str"/>
      <x:c r="J25" s="22" t="str"/>
      <x:c r="K25" s="22" t="str"/>
      <x:c r="L25" s="22" t="str"/>
      <x:c r="M25" s="22" t="str"/>
      <x:c r="N25" s="22" t="str"/>
      <x:c r="O25" s="22" t="str"/>
      <x:c r="P25" s="22" t="str"/>
    </x:row>
    <x:row r="26">
      <x:c r="A26" s="22" t="str"/>
      <x:c r="B26" s="22" t="str"/>
      <x:c r="C26" s="22" t="str"/>
      <x:c r="D26" s="22" t="str"/>
      <x:c r="E26" s="22" t="str"/>
      <x:c r="F26" s="22" t="str"/>
      <x:c r="G26" s="22" t="str"/>
      <x:c r="H26" s="22" t="str"/>
      <x:c r="I26" s="22" t="str"/>
      <x:c r="J26" s="22" t="str"/>
      <x:c r="K26" s="22" t="str"/>
      <x:c r="L26" s="22" t="str"/>
      <x:c r="M26" s="22" t="str"/>
      <x:c r="N26" s="22" t="str"/>
      <x:c r="O26" s="22" t="str"/>
      <x:c r="P26" s="22" t="str"/>
    </x:row>
    <x:row r="27">
      <x:c r="A27" s="22" t="str"/>
      <x:c r="B27" s="22" t="str"/>
      <x:c r="C27" s="22" t="str"/>
      <x:c r="D27" s="22" t="str"/>
      <x:c r="E27" s="22" t="str"/>
      <x:c r="F27" s="22" t="str"/>
      <x:c r="G27" s="22" t="str"/>
      <x:c r="H27" s="22" t="str"/>
      <x:c r="I27" s="22" t="str"/>
      <x:c r="J27" s="22" t="str"/>
      <x:c r="K27" s="22" t="str"/>
      <x:c r="L27" s="22" t="str"/>
      <x:c r="M27" s="22" t="str"/>
      <x:c r="N27" s="22" t="str"/>
      <x:c r="O27" s="22" t="str"/>
      <x:c r="P27" s="22" t="str"/>
    </x:row>
    <x:row r="28">
      <x:c r="A28" s="22" t="str"/>
      <x:c r="B28" s="22" t="str"/>
      <x:c r="C28" s="22" t="str"/>
      <x:c r="D28" s="22" t="str"/>
      <x:c r="E28" s="22" t="str"/>
      <x:c r="F28" s="22" t="str"/>
      <x:c r="G28" s="22" t="str"/>
      <x:c r="H28" s="22" t="str"/>
      <x:c r="I28" s="22" t="str"/>
      <x:c r="J28" s="22" t="str"/>
      <x:c r="K28" s="22" t="str"/>
      <x:c r="L28" s="22" t="str"/>
      <x:c r="M28" s="22" t="str"/>
      <x:c r="N28" s="22" t="str"/>
      <x:c r="O28" s="22" t="str"/>
      <x:c r="P28" s="22" t="str"/>
    </x:row>
    <x:row r="29">
      <x:c r="A29" s="22" t="str"/>
      <x:c r="B29" s="22" t="str"/>
      <x:c r="C29" s="22" t="str"/>
      <x:c r="D29" s="22" t="str"/>
      <x:c r="E29" s="22" t="str"/>
      <x:c r="F29" s="22" t="str"/>
      <x:c r="G29" s="22" t="str"/>
      <x:c r="H29" s="22" t="str"/>
      <x:c r="I29" s="22" t="str"/>
      <x:c r="J29" s="22" t="str"/>
      <x:c r="K29" s="22" t="str"/>
      <x:c r="L29" s="22" t="str"/>
      <x:c r="M29" s="22" t="str"/>
      <x:c r="N29" s="22" t="str"/>
      <x:c r="O29" s="22" t="str"/>
      <x:c r="P29" s="22" t="str"/>
    </x:row>
    <x:row r="30">
      <x:c r="A30" s="22" t="str"/>
      <x:c r="B30" s="22" t="str"/>
      <x:c r="C30" s="22" t="str"/>
      <x:c r="D30" s="22" t="str"/>
      <x:c r="E30" s="22" t="str"/>
      <x:c r="F30" s="22" t="str"/>
      <x:c r="G30" s="22" t="str"/>
      <x:c r="H30" s="22" t="str"/>
      <x:c r="I30" s="22" t="str"/>
      <x:c r="J30" s="22" t="str"/>
      <x:c r="K30" s="22" t="str"/>
      <x:c r="L30" s="22" t="str"/>
      <x:c r="M30" s="22" t="str"/>
      <x:c r="N30" s="22" t="str"/>
      <x:c r="O30" s="22" t="str"/>
      <x:c r="P30" s="22" t="str"/>
    </x:row>
  </x:sheetData>
  <x:mergeCells>
    <x:mergeCell ref="A1:P1"/>
    <x:mergeCell ref="A10:P10"/>
  </x:mergeCells>
  <x:pageMargins left="0.7" right="0.7" top="0.75" bottom="0.75" header="0.3" footer="0.3"/>
</x:worksheet>
</file>

<file path=xl/worksheets/sheet24.xml><?xml version="1.0" encoding="utf-8"?>
<x:worksheet xmlns:x="http://schemas.openxmlformats.org/spreadsheetml/2006/main">
  <x:sheetFormatPr defaultRowHeight="15"/>
  <x:cols>
    <x:col min="1" max="1" width="24" hidden="0" customWidth="1"/>
    <x:col min="2" max="2" width="44" hidden="0" customWidth="1"/>
    <x:col min="3" max="3" width="64" hidden="0" customWidth="1"/>
    <x:col min="4" max="4" width="40" hidden="0" customWidth="1"/>
    <x:col min="5" max="5" width="18" hidden="0" customWidth="1"/>
    <x:col min="6" max="6" width="14" hidden="0" customWidth="1"/>
  </x:cols>
  <x:sheetData>
    <x:row r="1">
      <x:c r="A1" s="609" t="str">
        <x:v>Required Claim Moderation and Editorial Corrections</x:v>
      </x:c>
      <x:c r="B1" s="609"/>
      <x:c r="C1" s="609"/>
      <x:c r="D1" s="609"/>
      <x:c r="E1" s="609"/>
      <x:c r="F1" s="609"/>
    </x:row>
    <x:row r="2">
      <x:c r="A2" s="610"/>
      <x:c r="B2" s="610"/>
      <x:c r="C2" s="610"/>
      <x:c r="D2" s="610"/>
      <x:c r="E2" s="610"/>
      <x:c r="F2" s="610"/>
    </x:row>
    <x:row r="3">
      <x:c r="A3" s="611" t="str">
        <x:v>Location / issue</x:v>
      </x:c>
      <x:c r="B3" s="611" t="str">
        <x:v>Current or risky wording</x:v>
      </x:c>
      <x:c r="C3" s="611" t="str">
        <x:v>Recommended replacement</x:v>
      </x:c>
      <x:c r="D3" s="611" t="str">
        <x:v>Reason</x:v>
      </x:c>
      <x:c r="E3" s="611" t="str">
        <x:v>Reviewer comment addressed</x:v>
      </x:c>
      <x:c r="F3" s="611" t="str">
        <x:v>Priority</x:v>
      </x:c>
    </x:row>
    <x:row r="4">
      <x:c r="A4" s="22" t="str">
        <x:v>Abstract</x:v>
      </x:c>
      <x:c r="B4" s="22" t="str">
        <x:v>'propose a new framework that enhances clinical reliability'</x:v>
      </x:c>
      <x:c r="C4" s="22" t="str">
        <x:v>'propose a conceptual auditing framework intended to support systematic evaluation of concept-level reasoning; its effect on clinical reliability remains to be empirically validated'</x:v>
      </x:c>
      <x:c r="D4" s="22" t="str">
        <x:v>Avoids implying validated clinical benefit</x:v>
      </x:c>
      <x:c r="E4" s="22" t="n">
        <x:v>4</x:v>
      </x:c>
      <x:c r="F4" s="22" t="str">
        <x:v>Critical</x:v>
      </x:c>
    </x:row>
    <x:row r="5">
      <x:c r="A5" s="22" t="str">
        <x:v>Abstract</x:v>
      </x:c>
      <x:c r="B5" s="22" t="str">
        <x:v>'supports safer deployment'</x:v>
      </x:c>
      <x:c r="C5" s="22" t="str">
        <x:v>'defines evaluation objectives that could support future safety assessment and deployment studies'</x:v>
      </x:c>
      <x:c r="D5" s="22" t="str">
        <x:v>Safety claim currently unvalidated</x:v>
      </x:c>
      <x:c r="E5" s="22" t="n">
        <x:v>4</x:v>
      </x:c>
      <x:c r="F5" s="22" t="str">
        <x:v>Critical</x:v>
      </x:c>
    </x:row>
    <x:row r="6">
      <x:c r="A6" s="22" t="str">
        <x:v>Introduction</x:v>
      </x:c>
      <x:c r="B6" s="22" t="str">
        <x:v>'This paper addresses this critical gap'</x:v>
      </x:c>
      <x:c r="C6" s="22" t="str">
        <x:v>'This review addresses an under-synthesised area in the current literature'</x:v>
      </x:c>
      <x:c r="D6" s="22" t="str">
        <x:v>Moderates categorical novelty claim</x:v>
      </x:c>
      <x:c r="E6" s="22" t="n">
        <x:v>2</x:v>
      </x:c>
      <x:c r="F6" s="22" t="str">
        <x:v>High</x:v>
      </x:c>
    </x:row>
    <x:row r="7">
      <x:c r="A7" s="22" t="str">
        <x:v>Contributions</x:v>
      </x:c>
      <x:c r="B7" s="22" t="str">
        <x:v>'three pivotal contributions'</x:v>
      </x:c>
      <x:c r="C7" s="22" t="str">
        <x:v>'three contributions'</x:v>
      </x:c>
      <x:c r="D7" s="22" t="str">
        <x:v>Avoids self-evaluative superlative</x:v>
      </x:c>
      <x:c r="E7" s="22" t="n">
        <x:v>2</x:v>
      </x:c>
      <x:c r="F7" s="22" t="str">
        <x:v>High</x:v>
      </x:c>
    </x:row>
    <x:row r="8">
      <x:c r="A8" s="22" t="str">
        <x:v>Contributions</x:v>
      </x:c>
      <x:c r="B8" s="22" t="str">
        <x:v>'Refined Taxonomy... comprehensive taxonomy'</x:v>
      </x:c>
      <x:c r="C8" s="22" t="str">
        <x:v>'retina-focused organising taxonomy synthesising the reviewed literature'</x:v>
      </x:c>
      <x:c r="D8" s="22" t="str">
        <x:v>Separates synthesis from novelty claim</x:v>
      </x:c>
      <x:c r="E8" s="22" t="n">
        <x:v>4</x:v>
      </x:c>
      <x:c r="F8" s="22" t="str">
        <x:v>Critical</x:v>
      </x:c>
    </x:row>
    <x:row r="9">
      <x:c r="A9" s="22" t="str">
        <x:v>Contributions</x:v>
      </x:c>
      <x:c r="B9" s="22" t="str">
        <x:v>'This layer of scrutiny ensures...'</x:v>
      </x:c>
      <x:c r="C9" s="22" t="str">
        <x:v>'This proposed audit layer is intended to test whether...'</x:v>
      </x:c>
      <x:c r="D9" s="22" t="str">
        <x:v>No empirical validation yet</x:v>
      </x:c>
      <x:c r="E9" s="22" t="n">
        <x:v>4</x:v>
      </x:c>
      <x:c r="F9" s="22" t="str">
        <x:v>Critical</x:v>
      </x:c>
    </x:row>
    <x:row r="10">
      <x:c r="A10" s="22" t="str">
        <x:v>Contributions</x:v>
      </x:c>
      <x:c r="B10" s="22" t="str">
        <x:v>'forward-looking roadmap'</x:v>
      </x:c>
      <x:c r="C10" s="22" t="str">
        <x:v>'conceptual design framework and research agenda'</x:v>
      </x:c>
      <x:c r="D10" s="22" t="str">
        <x:v>Moderates broad claim</x:v>
      </x:c>
      <x:c r="E10" s="22" t="n">
        <x:v>2</x:v>
      </x:c>
      <x:c r="F10" s="22" t="str">
        <x:v>High</x:v>
      </x:c>
    </x:row>
    <x:row r="11">
      <x:c r="A11" s="22" t="str">
        <x:v>Section 2.2</x:v>
      </x:c>
      <x:c r="B11" s="22" t="str">
        <x:v>'direct readout of its reasoning'</x:v>
      </x:c>
      <x:c r="C11" s="22" t="str">
        <x:v>'architecturally exposed intermediate concept representation'</x:v>
      </x:c>
      <x:c r="D11" s="22" t="str">
        <x:v>Concept layer may not capture all causal reasoning</x:v>
      </x:c>
      <x:c r="E11" s="22" t="n">
        <x:v>11</x:v>
      </x:c>
      <x:c r="F11" s="22" t="str">
        <x:v>Critical</x:v>
      </x:c>
    </x:row>
    <x:row r="12">
      <x:c r="A12" s="22" t="str">
        <x:v>Section 2.2</x:v>
      </x:c>
      <x:c r="B12" s="22" t="str">
        <x:v>'very high degree of faithfulness'</x:v>
      </x:c>
      <x:c r="C12" s="22" t="str">
        <x:v>'potentially stronger architectural traceability, but faithfulness remains empirical'</x:v>
      </x:c>
      <x:c r="D12" s="22" t="str">
        <x:v>Interpretability-by-design does not prove faithfulness</x:v>
      </x:c>
      <x:c r="E12" s="22" t="n">
        <x:v>11</x:v>
      </x:c>
      <x:c r="F12" s="22" t="str">
        <x:v>Critical</x:v>
      </x:c>
    </x:row>
    <x:row r="13">
      <x:c r="A13" s="22" t="str">
        <x:v>Table 1</x:v>
      </x:c>
      <x:c r="B13" s="22" t="str">
        <x:v>'High and Inherent' faithfulness</x:v>
      </x:c>
      <x:c r="C13" s="22" t="str">
        <x:v>'Architecture-linked; requires empirical faithfulness testing'</x:v>
      </x:c>
      <x:c r="D13" s="22" t="str">
        <x:v>Addresses categorical claim</x:v>
      </x:c>
      <x:c r="E13" s="22" t="n">
        <x:v>11</x:v>
      </x:c>
      <x:c r="F13" s="22" t="str">
        <x:v>Critical</x:v>
      </x:c>
    </x:row>
    <x:row r="14">
      <x:c r="A14" s="22" t="str">
        <x:v>Table 1</x:v>
      </x:c>
      <x:c r="B14" s="22" t="str">
        <x:v>'Robust' explanation</x:v>
      </x:c>
      <x:c r="C14" s="22" t="str">
        <x:v>'Potentially more stable, but sensitive to concept set, annotation noise and residual pathways'</x:v>
      </x:c>
      <x:c r="D14" s="22" t="str">
        <x:v>Addresses categorical robustness claim</x:v>
      </x:c>
      <x:c r="E14" s="22" t="n">
        <x:v>11</x:v>
      </x:c>
      <x:c r="F14" s="22" t="str">
        <x:v>Critical</x:v>
      </x:c>
    </x:row>
    <x:row r="15">
      <x:c r="A15" s="22" t="str">
        <x:v>Section 2.2 / limitations</x:v>
      </x:c>
      <x:c r="B15" s="22" t="str">
        <x:v>Missing CBM caveats</x:v>
      </x:c>
      <x:c r="C15" s="22" t="str">
        <x:v>Add: 'CBMs may suffer from concept leakage, incomplete or correlated concept sets, annotation noise, and residual predictive pathways; these risks can weaken causal and clinical validity.'</x:v>
      </x:c>
      <x:c r="D15" s="22" t="str">
        <x:v>Direct reviewer request</x:v>
      </x:c>
      <x:c r="E15" s="22" t="n">
        <x:v>11</x:v>
      </x:c>
      <x:c r="F15" s="22" t="str">
        <x:v>Critical</x:v>
      </x:c>
    </x:row>
    <x:row r="16">
      <x:c r="A16" s="22" t="str">
        <x:v>Section 1.1 typo</x:v>
      </x:c>
      <x:c r="B16" s="22" t="str">
        <x:v>'structured LENs serves...'</x:v>
      </x:c>
      <x:c r="C16" s="22" t="str">
        <x:v>Replace with 'structured taxonomy serves...'</x:v>
      </x:c>
      <x:c r="D16" s="22" t="str">
        <x:v>Apparent typographical error noted by reviewer</x:v>
      </x:c>
      <x:c r="E16" s="22" t="n">
        <x:v>12</x:v>
      </x:c>
      <x:c r="F16" s="22" t="str">
        <x:v>High</x:v>
      </x:c>
    </x:row>
    <x:row r="17">
      <x:c r="A17" s="22" t="str">
        <x:v>Throughout</x:v>
      </x:c>
      <x:c r="B17" s="22" t="str">
        <x:v>Repeated tutorial-style explanations</x:v>
      </x:c>
      <x:c r="C17" s="22" t="str">
        <x:v>Condense background definitions and move implementation detail to tables/supplement</x:v>
      </x:c>
      <x:c r="D17" s="22" t="str">
        <x:v>Improves scholarly synthesis and reduces repetition</x:v>
      </x:c>
      <x:c r="E17" s="22" t="n">
        <x:v>12</x:v>
      </x:c>
      <x:c r="F17" s="22" t="str">
        <x:v>Medium</x:v>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defaultRowHeight="15"/>
  <x:cols>
    <x:col min="1" max="1" width="10" hidden="0" customWidth="1"/>
    <x:col min="2" max="2" width="90" hidden="0" customWidth="1"/>
    <x:col min="3" max="3" width="55" hidden="0" customWidth="1"/>
    <x:col min="4" max="4" width="38" hidden="0" customWidth="1"/>
  </x:cols>
  <x:sheetData>
    <x:row r="1">
      <x:c r="A1" s="609" t="str">
        <x:v>Draft Response Letter — Reviewer #1 (All 12 Comments)</x:v>
      </x:c>
      <x:c r="B1" s="609"/>
      <x:c r="C1" s="609"/>
      <x:c r="D1" s="609"/>
    </x:row>
    <x:row r="2">
      <x:c r="A2" s="610"/>
      <x:c r="B2" s="610"/>
      <x:c r="C2" s="610"/>
      <x:c r="D2" s="610"/>
    </x:row>
    <x:row r="3">
      <x:c r="A3" s="611" t="str">
        <x:v>Comment</x:v>
      </x:c>
      <x:c r="B3" s="611" t="str">
        <x:v>Response draft</x:v>
      </x:c>
      <x:c r="C3" s="611" t="str">
        <x:v>Changes to report</x:v>
      </x:c>
      <x:c r="D3" s="611" t="str">
        <x:v>Submission status</x:v>
      </x:c>
    </x:row>
    <x:row r="4">
      <x:c r="A4" s="22" t="n">
        <x:v>1</x:v>
      </x:c>
      <x:c r="B4" s="22" t="str">
        <x:v>We thank the reviewer for this important reproducibility comment. The revised audit trail documents the exact database-specific searches, dates, counts, record-capture rules, citation chasing, duplicate resolution, bibliographic verification, title/abstract screening, report retrieval, full-text eligibility, and exclusion reason. The final register contains 722 source instances; 143 duplicates and four unverifiable artifacts were removed, leaving 575 valid records. The corresponding author conducted the searches and primary screening (109 Include, 465 Exclude, 1 Unclear). All 110 reports sought were retrieved and assessed; 109 were included and GS-04-008 was excluded for E5. Two additional authors performed random spot checks on selected papers against the eligibility criteria. The final PRISMA flow and supplementary search log have been completed.</x:v>
      </x:c>
      <x:c r="C4" s="22" t="str">
        <x:v>Methods; PRISMA flow; Supplementary Tables S1–S4; master audit register; full-text exclusion log.</x:v>
      </x:c>
      <x:c r="D4" s="22" t="str">
        <x:v>Complete; corresponding-author workflow and random co-author verification documented.</x:v>
      </x:c>
    </x:row>
    <x:row r="5">
      <x:c r="A5" s="22" t="n">
        <x:v>2</x:v>
      </x:c>
      <x:c r="B5" s="22" t="str">
        <x:v>We agree that the original evidence base was too small for the breadth of the claims. The search was expanded using concept bottleneck, prototype learning, case-based reasoning, neuro-symbolic AI, concept activation, self-explaining network and concept-based explanation terminology across retinal/ophthalmic modalities and diseases. The final synthesis contains 109 reports: 47 direct retinal/ophthalmic reports and 62 contextual medical concept-XAI reports. We also replaced 'state-of-the-art' and categorical novelty language with a proportional, evidence-based title and conclusions.</x:v>
      </x:c>
      <x:c r="C5" s="22" t="str">
        <x:v>Expanded search strings; final role classification; moderated title, Abstract and Conclusion.</x:v>
      </x:c>
      <x:c r="D5" s="22" t="str">
        <x:v>Complete.</x:v>
      </x:c>
    </x:row>
    <x:row r="6">
      <x:c r="A6" s="22" t="n">
        <x:v>3</x:v>
      </x:c>
      <x:c r="B6" s="22" t="str">
        <x:v>We added a structured nine-domain appraisal covering dataset/sample reporting, external validation, patient-level splitting, annotation quality, ophthalmologist involvement, code availability, explanation faithfulness, robustness/stability and clinical usability. Scoring was informed by CLAIM 2024 and MI-CLAIM, with PROBAST+AI principles used only where applicable. NR was retained when evidence was not reported. Across 109 reports, dataset/sample information was reported in 53, external or multi-dataset validation in 12, split unit in 3, clinical-expert involvement in 28, code availability in 14 and task-based clinical usability in 4. Because appraisal evidence was abstract/indexed-record based, NR fields are flagged for full-text confirmation rather than treated as confirmed omissions.</x:v>
      </x:c>
      <x:c r="C6" s="22" t="str">
        <x:v>New Methods subsection; Quality Appraisal 109; quality-domain summary in Evidence Synthesis Final.</x:v>
      </x:c>
      <x:c r="D6" s="22" t="str">
        <x:v>Completed at abstract level; full-text confirmation recommended for NR fields.</x:v>
      </x:c>
    </x:row>
    <x:row r="7">
      <x:c r="A7" s="22" t="n">
        <x:v>4</x:v>
      </x:c>
      <x:c r="B7" s="22" t="str">
        <x:v>We agree and have clearly separated the reviewed evidence from the authors' proposal. The taxonomy is framed as an organising synthesis of prior work, whereas the SMILE-based component is explicitly labelled a proposed auditing design. Claims that it already enhances clinical reliability or enables safer deployment have been replaced with hypotheses and design objectives requiring empirical and ophthalmologist-led validation.</x:v>
      </x:c>
      <x:c r="C7" s="22" t="str">
        <x:v>Abstract; Contributions; Section 4; Conclusion.</x:v>
      </x:c>
      <x:c r="D7" s="22" t="str">
        <x:v>Replacement text prepared.</x:v>
      </x:c>
    </x:row>
    <x:row r="8">
      <x:c r="A8" s="22" t="n">
        <x:v>5</x:v>
      </x:c>
      <x:c r="B8" s="22" t="str">
        <x:v>We operationalised spatial alignment using overlap with expert reference regions (for example, IoU or Dice); concept purity using coherence/intruder tests and representation separation; intervention consistency using prespecified directional changes under controlled concept perturbation; label leakage using residual-pathway probes, shuffling and auxiliary prediction; and expert verification using agreement and task-based reader outcomes. Thresholds are benchmark-specific and are not presented as universal clinical cut-offs.</x:v>
      </x:c>
      <x:c r="C8" s="22" t="str">
        <x:v>Operational-definitions table and benchmark protocol in Section 4.</x:v>
      </x:c>
      <x:c r="D8" s="22" t="str">
        <x:v>Prepared.</x:v>
      </x:c>
    </x:row>
    <x:row r="9">
      <x:c r="A9" s="22" t="n">
        <x:v>6</x:v>
      </x:c>
      <x:c r="B9" s="22" t="str">
        <x:v>We expanded the clinical-validation discussion to distinguish plausibility from demonstrated clinical benefit. The revision addresses variability in retinal concept definitions, independent annotation followed by adjudication, Cohen/Fleiss kappa or ICC as appropriate, and reader-study outcomes including diagnostic accuracy, calibration, referral decisions and reading time. Only 4 of 109 reports provided task-based clinical-usability evidence in the available abstracts, which is now identified as a major gap.</x:v>
      </x:c>
      <x:c r="C9" s="22" t="str">
        <x:v>Clinical-validation subsection; quality and synthesis tables.</x:v>
      </x:c>
      <x:c r="D9" s="22" t="str">
        <x:v>Prepared and evidence quantified.</x:v>
      </x:c>
    </x:row>
    <x:row r="10">
      <x:c r="A10" s="22" t="n">
        <x:v>7</x:v>
      </x:c>
      <x:c r="B10" s="22" t="str">
        <x:v>We added modality-specific synthesis. Among the 47 direct retinal/ophthalmic reports, fundus photography was identified in 18 and OCT in 16; angiography was identified in one, while 15 abstracts did not specify the modality. No direct OCT-A report was identifiable from the extracted abstract evidence. Multi-modality studies can contribute to more than one category. This imbalance and the absence/under-reporting of OCT-A and fluorescein-angiography evidence are now reported explicitly.</x:v>
      </x:c>
      <x:c r="C10" s="22" t="str">
        <x:v>Modality-specific Results and Discussion; Evidence Synthesis Final.</x:v>
      </x:c>
      <x:c r="D10" s="22" t="str">
        <x:v>Prepared and quantified.</x:v>
      </x:c>
    </x:row>
    <x:row r="11">
      <x:c r="A11" s="22" t="n">
        <x:v>8</x:v>
      </x:c>
      <x:c r="B11" s="22" t="str">
        <x:v>We added a subsection explaining how U-Net-type segmentation can instantiate lesion and anatomical concepts such as vessels, optic disc, macula, exudates and haemorrhages. The revision explains how false-positive or false-negative masks propagate into concept presence, spatial alignment, concept scores and downstream explanation metrics, and recommends reporting segmentation performance and sensitivity to segmentation uncertainty.</x:v>
      </x:c>
      <x:c r="C11" s="22" t="str">
        <x:v>Segmentation-to-concept subsection and revised discussion.</x:v>
      </x:c>
      <x:c r="D11" s="22" t="str">
        <x:v>Prepared; final bibliography check required for the reviewer-recommended review.</x:v>
      </x:c>
    </x:row>
    <x:row r="12">
      <x:c r="A12" s="22" t="n">
        <x:v>9</x:v>
      </x:c>
      <x:c r="B12" s="22" t="str">
        <x:v>We added radiomic texture, intensity, morphology, vessel and spatial-heterogeneity features as candidate quantitative concepts and discuss their integration into concept bottlenecks and multimodal retinal decision support. The revision also emphasises feature repeatability, acquisition harmonisation and external validation because handcrafted features are not automatically robust or causally meaningful.</x:v>
      </x:c>
      <x:c r="C12" s="22" t="str">
        <x:v>Radiomics subsection and future-work integration.</x:v>
      </x:c>
      <x:c r="D12" s="22" t="str">
        <x:v>Prepared; final bibliography check required.</x:v>
      </x:c>
    </x:row>
    <x:row r="13">
      <x:c r="A13" s="22" t="n">
        <x:v>10</x:v>
      </x:c>
      <x:c r="B13" s="22" t="str">
        <x:v>We replaced the illustrative template with a completed 109-report evidence table. Each row identifies evidence role, report type, modality/disease, method family and architecture, concept source, explanation output, dataset/sample, explanation metric, main performance result, external validation, ophthalmologist involvement, code availability, limitations and appraisal outcome. Fields not reported in the available evidence are explicitly marked NR or described as not reported rather than inferred.</x:v>
      </x:c>
      <x:c r="C13" s="22" t="str">
        <x:v>Evidence Table Final; Data Extraction 109; Quality Appraisal 109.</x:v>
      </x:c>
      <x:c r="D13" s="22" t="str">
        <x:v>Complete at abstract level; NR fields flagged for full-text verification.</x:v>
      </x:c>
    </x:row>
    <x:row r="14">
      <x:c r="A14" s="22" t="n">
        <x:v>11</x:v>
      </x:c>
      <x:c r="B14" s="22" t="str">
        <x:v>We removed categorical statements equating explainable-by-design architectures with inherent faithfulness or robustness. The replacement text states that architectural exposure can improve traceability but does not establish causal faithfulness, robustness or clinical validity. Concept leakage, incomplete/correlated concept sets, annotation noise, residual pathways and distribution shift are presented as unresolved limitations.</x:v>
      </x:c>
      <x:c r="C14" s="22" t="str">
        <x:v>Section 2; comparison tables; limitations and Conclusion.</x:v>
      </x:c>
      <x:c r="D14" s="22" t="str">
        <x:v>Replacement text prepared.</x:v>
      </x:c>
    </x:row>
    <x:row r="15">
      <x:c r="A15" s="22" t="n">
        <x:v>12</x:v>
      </x:c>
      <x:c r="B15" s="22" t="str">
        <x:v>We performed an editorial revision plan that corrects 'structured LENs', standardises C-XAI terminology and capitalisation, removes repeated tutorial-style explanations, shortens categorical passages and adopts evidence-oriented wording. Copy-ready replacement sections are supplied for integration into the editable LaTeX source.</x:v>
      </x:c>
      <x:c r="C15" s="22" t="str">
        <x:v>Manuscript revision pack; final author proof in the editable source.</x:v>
      </x:c>
      <x:c r="D15" s="22" t="str">
        <x:v>Revision pack complete; source merge and author proof remain.</x:v>
      </x:c>
    </x:row>
  </x:sheetData>
  <x:mergeCells>
    <x:mergeCell ref="A1:D1"/>
  </x:mergeCells>
  <x:pageMargins left="0.7" right="0.7" top="0.75" bottom="0.75" header="0.3" footer="0.3"/>
</x:worksheet>
</file>

<file path=xl/worksheets/sheet26.xml><?xml version="1.0" encoding="utf-8"?>
<x:worksheet xmlns:x="http://schemas.openxmlformats.org/spreadsheetml/2006/main">
  <x:sheetFormatPr defaultRowHeight="15"/>
  <x:cols>
    <x:col min="1" max="1" width="30" hidden="0" customWidth="1"/>
    <x:col min="2" max="2" width="48" hidden="0" customWidth="1"/>
    <x:col min="3" max="3" width="58" hidden="0" customWidth="1"/>
    <x:col min="4" max="4" width="38" hidden="0" customWidth="1"/>
    <x:col min="5" max="5" width="46" hidden="0" customWidth="1"/>
  </x:cols>
  <x:sheetData>
    <x:row r="1">
      <x:c r="A1" s="609" t="str">
        <x:v>Non-Delegable / Evidence-Dependent Items Before Submission</x:v>
      </x:c>
      <x:c r="B1" s="609"/>
      <x:c r="C1" s="609"/>
      <x:c r="D1" s="609"/>
      <x:c r="E1" s="609"/>
    </x:row>
    <x:row r="2">
      <x:c r="A2" s="610"/>
      <x:c r="B2" s="610"/>
      <x:c r="C2" s="610"/>
      <x:c r="D2" s="610"/>
      <x:c r="E2" s="610"/>
    </x:row>
    <x:row r="3">
      <x:c r="A3" s="611" t="str">
        <x:v>Item</x:v>
      </x:c>
      <x:c r="B3" s="611" t="str">
        <x:v>Why AI cannot ethically finalise it as fact</x:v>
      </x:c>
      <x:c r="C3" s="611" t="str">
        <x:v>Exact human action</x:v>
      </x:c>
      <x:c r="D3" s="611" t="str">
        <x:v>Where to enter result</x:v>
      </x:c>
      <x:c r="E3" s="611" t="str">
        <x:v>Completion criterion</x:v>
      </x:c>
    </x:row>
    <x:row r="4">
      <x:c r="A4" s="22" t="str">
        <x:v>Author verification disclosure</x:v>
      </x:c>
      <x:c r="B4" s="22" t="str">
        <x:v>The corresponding author conducted the searches and primary screening; two additional authors performed random spot checks on selected papers.</x:v>
      </x:c>
      <x:c r="C4" s="22" t="str">
        <x:v>State the author roles consistently in Methods, the response letter, and the PRISMA documentation.</x:v>
      </x:c>
      <x:c r="D4" s="22" t="str">
        <x:v>Methodology Draft; Response to Reviewer; manuscript Methods/Limitations</x:v>
      </x:c>
      <x:c r="E4" s="22" t="str">
        <x:v>Author responsibilities and the random spot-check procedure are stated consistently.</x:v>
      </x:c>
    </x:row>
    <x:row r="5">
      <x:c r="A5" s="22" t="str">
        <x:v>Human full-text eligibility assessment — complete</x:v>
      </x:c>
      <x:c r="B5" s="22" t="str">
        <x:v>The corresponding author supplied and confirmed the final eligibility decision for all 110 retrieved reports.</x:v>
      </x:c>
      <x:c r="C5" s="22" t="str">
        <x:v>Preserve the 109 Include and 1 Exclude decisions and the documented GS-04-008 E5 reason.</x:v>
      </x:c>
      <x:c r="D5" s="22" t="str">
        <x:v>Master Records; Full-Text Retrieval Log; Full-Text Exclusions; Abstract Rationale Audit</x:v>
      </x:c>
      <x:c r="E5" s="22" t="str">
        <x:v>All 110 retrieved reports have a decision: 109 Include and 1 Exclude; zero reports remain not retrieved.</x:v>
      </x:c>
    </x:row>
    <x:row r="6">
      <x:c r="A6" s="22" t="str">
        <x:v>Random spot-check documentation</x:v>
      </x:c>
      <x:c r="B6" s="22" t="str">
        <x:v>The two co-authors' random verification is a quality-control step and should be described accurately.</x:v>
      </x:c>
      <x:c r="C6" s="22" t="str">
        <x:v>Preserve any available record-level spot-check documentation; do not infer unsupported results.</x:v>
      </x:c>
      <x:c r="D6" s="22" t="str">
        <x:v>Author Verification</x:v>
      </x:c>
      <x:c r="E6" s="22" t="str">
        <x:v>Process documented without unsupported statistical claims.</x:v>
      </x:c>
    </x:row>
    <x:row r="7">
      <x:c r="A7" s="22" t="str">
        <x:v>Final PRISMA screening counts — complete</x:v>
      </x:c>
      <x:c r="B7" s="22" t="str">
        <x:v>Counts reconcile with bibliographic verification and the final human full-text decisions.</x:v>
      </x:c>
      <x:c r="C7" s="22" t="str">
        <x:v>Preserve the linked counts unless a documented screening decision is formally amended.</x:v>
      </x:c>
      <x:c r="D7" s="22" t="str">
        <x:v>PRISMA Counts / PRISMA Flow</x:v>
      </x:c>
      <x:c r="E7" s="22" t="str">
        <x:v>722 identified; 143 duplicates; 4 invalid artifacts removed; 575 screened; 110 sought, retrieved and assessed; 109 included; 1 excluded; 0 not retrieved.</x:v>
      </x:c>
    </x:row>
    <x:row r="8">
      <x:c r="A8" s="22" t="str">
        <x:v>Study-level quality scores</x:v>
      </x:c>
      <x:c r="B8" s="22" t="str">
        <x:v>Scores require evidence from each included paper/full text.</x:v>
      </x:c>
      <x:c r="C8" s="22" t="str">
        <x:v>Extract evidence from included full texts; mark NR when not reported.</x:v>
      </x:c>
      <x:c r="D8" s="22" t="str">
        <x:v>Quality Assessment Tool</x:v>
      </x:c>
      <x:c r="E8" s="22" t="str">
        <x:v>Every included study has a completed evidence-supported row.</x:v>
      </x:c>
    </x:row>
    <x:row r="9">
      <x:c r="A9" s="22" t="str">
        <x:v>Evidence-oriented comparison table</x:v>
      </x:c>
      <x:c r="B9" s="22" t="str">
        <x:v>Fields such as sample size, external validation and ophthalmologist assessment require full-text extraction.</x:v>
      </x:c>
      <x:c r="C9" s="22" t="str">
        <x:v>Populate only from included studies; do not infer missing information.</x:v>
      </x:c>
      <x:c r="D9" s="22" t="str">
        <x:v>Evidence Table Template</x:v>
      </x:c>
      <x:c r="E9" s="22" t="str">
        <x:v>All included studies have a row; NR used transparently.</x:v>
      </x:c>
    </x:row>
    <x:row r="10">
      <x:c r="A10" s="22" t="str">
        <x:v>Final manuscript language pass</x:v>
      </x:c>
      <x:c r="B10" s="22" t="str">
        <x:v>Scientific edits may create new repetition, cross-reference or terminology issues.</x:v>
      </x:c>
      <x:c r="C10" s="22" t="str">
        <x:v>Proofread the editable R1 source after all tables/sections are inserted.</x:v>
      </x:c>
      <x:c r="D10" s="22" t="str">
        <x:v>Manuscript/Overleaf</x:v>
      </x:c>
      <x:c r="E10" s="22" t="str">
        <x:v>No inconsistent terminology, broken refs or unsupported claims remain.</x:v>
      </x:c>
    </x:row>
  </x:sheetData>
  <x:mergeCells>
    <x:mergeCell ref="A1:E1"/>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3" hidden="0" customWidth="1"/>
    <x:col min="4" max="4" width="52" hidden="0" customWidth="1"/>
    <x:col min="5" max="5" width="16" hidden="0" customWidth="1"/>
    <x:col min="6" max="6" width="48" hidden="0" customWidth="1"/>
    <x:col min="7" max="7" width="17" hidden="0" customWidth="1"/>
    <x:col min="8" max="8" width="16" hidden="0" customWidth="1"/>
    <x:col min="9" max="9" width="48" hidden="0" customWidth="1"/>
    <x:col min="10" max="10" width="20" hidden="0" customWidth="1"/>
    <x:col min="11" max="11" width="38" hidden="0" customWidth="1"/>
    <x:col min="12" max="12" width="34" hidden="0" customWidth="1"/>
    <x:col min="13" max="13" width="10" hidden="0" customWidth="1"/>
    <x:col min="14" max="14" width="20" hidden="0" customWidth="1"/>
    <x:col min="15" max="15" width="16" hidden="0" customWidth="1"/>
    <x:col min="16" max="16" width="38" hidden="0" customWidth="1"/>
  </x:cols>
  <x:sheetData>
    <x:row r="1" ht="28" customHeight="1">
      <x:c r="A1" s="667" t="str">
        <x:v>Provisional AI-Assisted Title/Abstract Screening — Author Quality-Control Record</x:v>
      </x:c>
      <x:c r="B1" s="667"/>
      <x:c r="C1" s="667"/>
      <x:c r="D1" s="667"/>
      <x:c r="E1" s="667"/>
      <x:c r="F1" s="667"/>
      <x:c r="G1" s="667"/>
      <x:c r="H1" s="667"/>
      <x:c r="I1" s="667"/>
      <x:c r="J1" s="667"/>
      <x:c r="K1" s="667"/>
      <x:c r="L1" s="667"/>
      <x:c r="M1" s="667"/>
      <x:c r="N1" s="667"/>
      <x:c r="O1" s="667"/>
      <x:c r="P1" s="667"/>
    </x:row>
    <x:row r="3" ht="34" customHeight="1">
      <x:c r="A3" s="682" t="str">
        <x:v>RESEARCH-INTEGRITY NOTICE: The two AI passes are quality-control aids and are distinct from the author verification process. Final title/abstract decisions were made by the corresponding author; two additional authors performed random spot checks on selected papers.</x:v>
      </x:c>
      <x:c r="B3" s="683"/>
      <x:c r="C3" s="683"/>
      <x:c r="D3" s="683"/>
      <x:c r="E3" s="683"/>
      <x:c r="F3" s="683"/>
      <x:c r="G3" s="683"/>
      <x:c r="H3" s="683"/>
      <x:c r="I3" s="683"/>
      <x:c r="J3" s="683"/>
      <x:c r="K3" s="683"/>
      <x:c r="L3" s="683"/>
      <x:c r="M3" s="683"/>
      <x:c r="N3" s="683"/>
      <x:c r="O3" s="683"/>
      <x:c r="P3" s="684"/>
    </x:row>
    <x:row r="4" ht="34" customHeight="1">
      <x:c r="A4" s="685"/>
      <x:c r="B4" s="686"/>
      <x:c r="C4" s="686"/>
      <x:c r="D4" s="686"/>
      <x:c r="E4" s="686"/>
      <x:c r="F4" s="686"/>
      <x:c r="G4" s="686"/>
      <x:c r="H4" s="686"/>
      <x:c r="I4" s="686"/>
      <x:c r="J4" s="686"/>
      <x:c r="K4" s="686"/>
      <x:c r="L4" s="686"/>
      <x:c r="M4" s="686"/>
      <x:c r="N4" s="686"/>
      <x:c r="O4" s="686"/>
      <x:c r="P4" s="687"/>
    </x:row>
    <x:row r="6" ht="32" customHeight="1">
      <x:c r="A6" s="693" t="str">
        <x:v>Eligibility basis: Review paper §1.4; thesis §2.1.1; Screening Codebook I1–I5/E1–E8. Direct retinal/ophthalmic concept-XAI is prioritised; medical concept-XAI may be contextual; saliency-only, non-concept, duplicate, non-original, and clearly unrelated work is excluded. Missing detail is classified Unclear.</x:v>
      </x:c>
      <x:c r="B6" s="694"/>
      <x:c r="C6" s="694"/>
      <x:c r="D6" s="694"/>
      <x:c r="E6" s="694"/>
      <x:c r="F6" s="694"/>
      <x:c r="G6" s="694"/>
      <x:c r="H6" s="694"/>
      <x:c r="I6" s="694"/>
      <x:c r="J6" s="694"/>
      <x:c r="K6" s="694"/>
      <x:c r="L6" s="694"/>
      <x:c r="M6" s="694"/>
      <x:c r="N6" s="694"/>
      <x:c r="O6" s="694"/>
      <x:c r="P6" s="695"/>
    </x:row>
    <x:row r="8">
      <x:c r="A8" s="722" t="str">
        <x:v>Decision summary</x:v>
      </x:c>
      <x:c r="B8" s="722" t="str">
        <x:v>AI Pass 1 — broad Responsible-AI lens</x:v>
      </x:c>
      <x:c r="C8" s="722" t="str">
        <x:v>AI Pass 2 — strict supervisory lens</x:v>
      </x:c>
      <x:c r="D8" s="722" t="str">
        <x:v>Conservative recommendation</x:v>
      </x:c>
      <x:c r="E8" s="701"/>
      <x:c r="F8" s="723" t="str">
        <x:v>AI-pass diagnostic</x:v>
      </x:c>
      <x:c r="G8" s="723" t="str">
        <x:v>Result</x:v>
      </x:c>
    </x:row>
    <x:row r="9">
      <x:c r="A9" s="724" t="str">
        <x:v>Include</x:v>
      </x:c>
      <x:c r="B9" s="703" t="n">
        <x:f>COUNTIF($E$17:$E$646,"Include")</x:f>
        <x:v>77</x:v>
      </x:c>
      <x:c r="C9" s="703" t="n">
        <x:f>COUNTIF($H$17:$H$646,"Include")</x:f>
        <x:v>27</x:v>
      </x:c>
      <x:c r="D9" s="703" t="n">
        <x:f>COUNTIF($J$17:$J$646,"Include")</x:f>
        <x:v>27</x:v>
      </x:c>
      <x:c r="E9" s="701"/>
      <x:c r="F9" s="724" t="str">
        <x:v>Exact agreements</x:v>
      </x:c>
      <x:c r="G9" s="725" t="n">
        <x:f>COUNTIFS($E$17:$E$646,"Include",$H$17:$H$646,"Include")+COUNTIFS($E$17:$E$646,"Unclear",$H$17:$H$646,"Unclear")+COUNTIFS($E$17:$E$646,"Exclude",$H$17:$H$646,"Exclude")</x:f>
        <x:v>499</x:v>
      </x:c>
    </x:row>
    <x:row r="10">
      <x:c r="A10" s="724" t="str">
        <x:v>Unclear</x:v>
      </x:c>
      <x:c r="B10" s="703" t="n">
        <x:f>COUNTIF($E$17:$E$646,"Unclear")</x:f>
        <x:v>62</x:v>
      </x:c>
      <x:c r="C10" s="703" t="n">
        <x:f>COUNTIF($H$17:$H$646,"Unclear")</x:f>
        <x:v>86</x:v>
      </x:c>
      <x:c r="D10" s="703" t="n">
        <x:f>COUNTIF($J$17:$J$646,"Unclear")</x:f>
        <x:v>112</x:v>
      </x:c>
      <x:c r="E10" s="701"/>
      <x:c r="F10" s="724" t="str">
        <x:v>Agreement rate</x:v>
      </x:c>
      <x:c r="G10" s="726" t="n">
        <x:f>G9/B12</x:f>
        <x:v>0.8678260869565217</x:v>
      </x:c>
    </x:row>
    <x:row r="11">
      <x:c r="A11" s="724" t="str">
        <x:v>Exclude</x:v>
      </x:c>
      <x:c r="B11" s="703" t="n">
        <x:f>COUNTIF($E$17:$E$646,"Exclude")</x:f>
        <x:v>436</x:v>
      </x:c>
      <x:c r="C11" s="703" t="n">
        <x:f>COUNTIF($H$17:$H$646,"Exclude")</x:f>
        <x:v>462</x:v>
      </x:c>
      <x:c r="D11" s="703" t="n">
        <x:f>COUNTIF($J$17:$J$646,"Exclude")</x:f>
        <x:v>436</x:v>
      </x:c>
      <x:c r="E11" s="701"/>
      <x:c r="F11" s="724" t="str">
        <x:v>Expected agreement</x:v>
      </x:c>
      <x:c r="G11" s="726" t="n">
        <x:f>(B9*C9+B10*C10+B11*C11)/(B12^2)</x:f>
        <x:v>0.631661247637051</x:v>
      </x:c>
    </x:row>
    <x:row r="12">
      <x:c r="A12" s="724" t="str">
        <x:v>Total</x:v>
      </x:c>
      <x:c r="B12" s="703" t="n">
        <x:f>SUM(B9:B11)</x:f>
        <x:v>575</x:v>
      </x:c>
      <x:c r="C12" s="703" t="n">
        <x:f>SUM(C9:C11)</x:f>
        <x:v>575</x:v>
      </x:c>
      <x:c r="D12" s="703" t="n">
        <x:f>SUM(D9:D11)</x:f>
        <x:v>575</x:v>
      </x:c>
      <x:c r="E12" s="701"/>
      <x:c r="F12" s="724" t="str">
        <x:v>AI-pass chance-corrected agreement</x:v>
      </x:c>
      <x:c r="G12" s="726" t="n">
        <x:f>(G10-G11)/(1-G11)</x:f>
        <x:v>0.6411620764973478</x:v>
      </x:c>
    </x:row>
    <x:row r="13">
      <x:c r="A13" s="701"/>
      <x:c r="B13" s="701"/>
      <x:c r="C13" s="701"/>
      <x:c r="D13" s="701"/>
      <x:c r="E13" s="701"/>
      <x:c r="F13" s="724" t="str">
        <x:v>Reporting rule</x:v>
      </x:c>
      <x:c r="G13" s="725" t="str">
        <x:v>AI quality-control only — not human reviewer agreement</x:v>
      </x:c>
    </x:row>
    <x:row r="16">
      <x:c r="A16" s="709" t="str">
        <x:v>Record ID</x:v>
      </x:c>
      <x:c r="B16" s="709" t="str">
        <x:v>Database</x:v>
      </x:c>
      <x:c r="C16" s="709" t="str">
        <x:v>Search ID</x:v>
      </x:c>
      <x:c r="D16" s="709" t="str">
        <x:v>Title</x:v>
      </x:c>
      <x:c r="E16" s="709" t="str">
        <x:v>AI Pass 1 Decision</x:v>
      </x:c>
      <x:c r="F16" s="709" t="str">
        <x:v>AI Pass 1 Reason</x:v>
      </x:c>
      <x:c r="G16" s="709" t="str">
        <x:v>Evidence Basis</x:v>
      </x:c>
      <x:c r="H16" s="709" t="str">
        <x:v>AI Pass 2 Decision</x:v>
      </x:c>
      <x:c r="I16" s="709" t="str">
        <x:v>AI Pass 2 Reason</x:v>
      </x:c>
      <x:c r="J16" s="709" t="str">
        <x:v>Conservative Recommendation</x:v>
      </x:c>
      <x:c r="K16" s="709" t="str">
        <x:v>Resolution Note</x:v>
      </x:c>
      <x:c r="L16" s="709" t="str">
        <x:v>Authors</x:v>
      </x:c>
      <x:c r="M16" s="709" t="str">
        <x:v>Year</x:v>
      </x:c>
      <x:c r="N16" s="709" t="str">
        <x:v>Document Type</x:v>
      </x:c>
      <x:c r="O16" s="709" t="str">
        <x:v>Abstract Available</x:v>
      </x:c>
      <x:c r="P16" s="709" t="str">
        <x:v>URL</x:v>
      </x:c>
    </x:row>
    <x:row r="17" ht="38" customHeight="1">
      <x:c r="A17" s="716" t="str">
        <x:v>PM-001</x:v>
      </x:c>
      <x:c r="B17" s="716" t="str">
        <x:v>PubMed</x:v>
      </x:c>
      <x:c r="C17" s="716" t="str">
        <x:v>PUBMED-01</x:v>
      </x:c>
      <x:c r="D17" s="719" t="str">
        <x:v>Vision language models in ophthalmology</x:v>
      </x:c>
      <x:c r="E17" s="716" t="str">
        <x:v>Exclude</x:v>
      </x:c>
      <x:c r="F17" s="719" t="str">
        <x:v>Non-original evidence (review, editorial, response, protocol, or similar); retain only for background/citation chasing (E4).</x:v>
      </x:c>
      <x:c r="G17" s="716" t="str">
        <x:v>Title + abstract</x:v>
      </x:c>
      <x:c r="H17" s="716" t="str">
        <x:v>Exclude</x:v>
      </x:c>
      <x:c r="I17" s="719" t="str">
        <x:v>Non-original evidence (review, editorial, response, protocol, or similar); retain only for background/citation chasing (E4).</x:v>
      </x:c>
      <x:c r="J17" s="716" t="str">
        <x:f>IF(E17=H17,E17,"Unclear")</x:f>
        <x:v>Exclude</x:v>
      </x:c>
      <x:c r="K17" s="719" t="str">
        <x:f>IF(E17=H17,"Agreement between both AI passes.","AI-pass disagreement; retain for human discussion.")</x:f>
        <x:v>Agreement between both AI passes.</x:v>
      </x:c>
      <x:c r="L17" s="719" t="str">
        <x:v>Lim G, Elangovan K, Jin L.</x:v>
      </x:c>
      <x:c r="M17" s="727" t="n">
        <x:v>2024</x:v>
      </x:c>
      <x:c r="N17" s="716" t="str">
        <x:v>Journal Article; Review</x:v>
      </x:c>
      <x:c r="O17" s="716" t="str">
        <x:v>Yes</x:v>
      </x:c>
      <x:c r="P17" s="716" t="str">
        <x:v>https://pubmed.ncbi.nlm.nih.gov/39259649/</x:v>
      </x:c>
    </x:row>
    <x:row r="18" ht="38" customHeight="1">
      <x:c r="A18" s="717" t="str">
        <x:v>PM-002</x:v>
      </x:c>
      <x:c r="B18" s="717" t="str">
        <x:v>PubMed</x:v>
      </x:c>
      <x:c r="C18" s="717" t="str">
        <x:v>PUBMED-01</x:v>
      </x:c>
      <x:c r="D18" s="720" t="str">
        <x:v>Foundation models for ophthalmic imaging</x:v>
      </x:c>
      <x:c r="E18" s="717" t="str">
        <x:v>Exclude</x:v>
      </x:c>
      <x:c r="F18" s="720" t="str">
        <x:v>Non-original evidence (review, editorial, response, protocol, or similar); retain only for background/citation chasing (E4).</x:v>
      </x:c>
      <x:c r="G18" s="717" t="str">
        <x:v>Title + abstract</x:v>
      </x:c>
      <x:c r="H18" s="717" t="str">
        <x:v>Exclude</x:v>
      </x:c>
      <x:c r="I18" s="720" t="str">
        <x:v>Non-original evidence (review, editorial, response, protocol, or similar); retain only for background/citation chasing (E4).</x:v>
      </x:c>
      <x:c r="J18" s="717" t="str">
        <x:f>IF(E18=H18,E18,"Unclear")</x:f>
        <x:v>Exclude</x:v>
      </x:c>
      <x:c r="K18" s="720" t="str">
        <x:f>IF(E18=H18,"Agreement between both AI passes.","AI-pass disagreement; retain for human discussion.")</x:f>
        <x:v>Agreement between both AI passes.</x:v>
      </x:c>
      <x:c r="L18" s="720" t="str">
        <x:v>Gharbi K, Wijngaarden PV, Hadoux X.</x:v>
      </x:c>
      <x:c r="M18" s="728" t="n">
        <x:v>2026</x:v>
      </x:c>
      <x:c r="N18" s="717" t="str">
        <x:v>Journal Article; Review</x:v>
      </x:c>
      <x:c r="O18" s="717" t="str">
        <x:v>Yes</x:v>
      </x:c>
      <x:c r="P18" s="717" t="str">
        <x:v>https://pubmed.ncbi.nlm.nih.gov/41619947/</x:v>
      </x:c>
    </x:row>
    <x:row r="19" ht="38" customHeight="1">
      <x:c r="A19" s="717" t="str">
        <x:v>PM-003</x:v>
      </x:c>
      <x:c r="B19" s="717" t="str">
        <x:v>PubMed</x:v>
      </x:c>
      <x:c r="C19" s="717" t="str">
        <x:v>PUBMED-01</x:v>
      </x:c>
      <x:c r="D19" s="720" t="str">
        <x:v>A multimodal vision-language model for generalizable annotation-free pathology localization</x:v>
      </x:c>
      <x:c r="E19" s="717" t="str">
        <x:v>Exclude</x:v>
      </x:c>
      <x:c r="F19" s="720" t="str">
        <x:v>Medical/clinical topic, but no eligible concept-based explainability contribution is evident.</x:v>
      </x:c>
      <x:c r="G19" s="717" t="str">
        <x:v>Title + abstract</x:v>
      </x:c>
      <x:c r="H19" s="717" t="str">
        <x:v>Exclude</x:v>
      </x:c>
      <x:c r="I19" s="720" t="str">
        <x:v>Medical/clinical topic, but no eligible concept-based explainability contribution is evident.</x:v>
      </x:c>
      <x:c r="J19" s="717" t="str">
        <x:f>IF(E19=H19,E19,"Unclear")</x:f>
        <x:v>Exclude</x:v>
      </x:c>
      <x:c r="K19" s="720" t="str">
        <x:f>IF(E19=H19,"Agreement between both AI passes.","AI-pass disagreement; retain for human discussion.")</x:f>
        <x:v>Agreement between both AI passes.</x:v>
      </x:c>
      <x:c r="L19" s="720" t="str">
        <x:v>Yang H, Zhou HY, Liu J, Huang W, Li C, Li Z, Gao Y, Liu Q, Liang Y, Yang Q, Wu S, Tan T, Zheng H, Zhang K, Wang S.</x:v>
      </x:c>
      <x:c r="M19" s="728" t="n">
        <x:v>2026</x:v>
      </x:c>
      <x:c r="N19" s="717" t="str">
        <x:v>Journal Article</x:v>
      </x:c>
      <x:c r="O19" s="717" t="str">
        <x:v>Yes</x:v>
      </x:c>
      <x:c r="P19" s="717" t="str">
        <x:v>https://pubmed.ncbi.nlm.nih.gov/41495192/</x:v>
      </x:c>
    </x:row>
    <x:row r="20" ht="38" customHeight="1">
      <x:c r="A20" s="717" t="str">
        <x:v>PM-004</x:v>
      </x:c>
      <x:c r="B20" s="717" t="str">
        <x:v>PubMed</x:v>
      </x:c>
      <x:c r="C20" s="717" t="str">
        <x:v>PUBMED-01</x:v>
      </x:c>
      <x:c r="D20" s="720" t="str">
        <x:v>An Interpretable and Accurate Deep-Learning Diagnosis Framework Modeled With Fully and Semi-Supervised Reciprocal Learning</x:v>
      </x:c>
      <x:c r="E20" s="717" t="str">
        <x:v>Unclear</x:v>
      </x:c>
      <x:c r="F20" s="720" t="str">
        <x:v>Possible contextual explainability evidence, but concept-level relevance is not confirmed from the available title and abstract.</x:v>
      </x:c>
      <x:c r="G20" s="717" t="str">
        <x:v>Title + abstract</x:v>
      </x:c>
      <x:c r="H20" s="717" t="str">
        <x:v>Exclude</x:v>
      </x:c>
      <x:c r="I20" s="720" t="str">
        <x:v>Medical/clinical topic, but no eligible concept-based explainability contribution is evident.</x:v>
      </x:c>
      <x:c r="J20" s="717" t="str">
        <x:f>IF(E20=H20,E20,"Unclear")</x:f>
        <x:v>Unclear</x:v>
      </x:c>
      <x:c r="K20" s="720" t="str">
        <x:f>IF(E20=H20,"Agreement between both AI passes.","AI-pass disagreement; retain for human discussion.")</x:f>
        <x:v>AI-pass disagreement; retain for human discussion.</x:v>
      </x:c>
      <x:c r="L20" s="720" t="str">
        <x:v>Wang C, Chen Y, Liu F, Elliott M, Kwok CF, Pena-Solorzano C, Frazer H, McCarthy DJ, Carneiro G.</x:v>
      </x:c>
      <x:c r="M20" s="728" t="n">
        <x:v>2024</x:v>
      </x:c>
      <x:c r="N20" s="717" t="str">
        <x:v>Journal Article; Research Support, Non-U.S. Gov't</x:v>
      </x:c>
      <x:c r="O20" s="717" t="str">
        <x:v>Yes</x:v>
      </x:c>
      <x:c r="P20" s="717" t="str">
        <x:v>https://pubmed.ncbi.nlm.nih.gov/37603481/</x:v>
      </x:c>
    </x:row>
    <x:row r="21" ht="38" customHeight="1">
      <x:c r="A21" s="717" t="str">
        <x:v>PM-005</x:v>
      </x:c>
      <x:c r="B21" s="717" t="str">
        <x:v>PubMed</x:v>
      </x:c>
      <x:c r="C21" s="717" t="str">
        <x:v>PUBMED-01</x:v>
      </x:c>
      <x:c r="D21" s="720" t="str">
        <x:v>Concept-based AI interpretability in physiological time-series data: Example of abnormality detection in electroencephalography</x:v>
      </x:c>
      <x:c r="E21" s="717" t="str">
        <x:v>Include</x:v>
      </x:c>
      <x:c r="F21" s="720" t="str">
        <x:v>Foundational concept-XAI method relevant to the review taxonomy or reliability analysis (title and abstract).</x:v>
      </x:c>
      <x:c r="G21" s="717" t="str">
        <x:v>Title + abstract</x:v>
      </x:c>
      <x:c r="H21" s="717" t="str">
        <x:v>Unclear</x:v>
      </x:c>
      <x:c r="I21" s="720" t="str">
        <x:v>Concept-XAI method may be useful as foundational/contextual evidence; retinal or medical applicability requires discussion (title and abstract).</x:v>
      </x:c>
      <x:c r="J21" s="717" t="str">
        <x:f>IF(E21=H21,E21,"Unclear")</x:f>
        <x:v>Unclear</x:v>
      </x:c>
      <x:c r="K21" s="720" t="str">
        <x:f>IF(E21=H21,"Agreement between both AI passes.","AI-pass disagreement; retain for human discussion.")</x:f>
        <x:v>AI-pass disagreement; retain for human discussion.</x:v>
      </x:c>
      <x:c r="L21" s="720" t="str">
        <x:v>Brenner A, Knispel F, Fischer FP, Rossmanith P, Weber Y, Koch H, Röhrig R, Varghese J, Kutafina E.</x:v>
      </x:c>
      <x:c r="M21" s="728" t="n">
        <x:v>2024</x:v>
      </x:c>
      <x:c r="N21" s="717" t="str">
        <x:v>Journal Article</x:v>
      </x:c>
      <x:c r="O21" s="717" t="str">
        <x:v>Yes</x:v>
      </x:c>
      <x:c r="P21" s="717" t="str">
        <x:v>https://pubmed.ncbi.nlm.nih.gov/39395304/</x:v>
      </x:c>
    </x:row>
    <x:row r="22" ht="38" customHeight="1">
      <x:c r="A22" s="717" t="str">
        <x:v>PM-006</x:v>
      </x:c>
      <x:c r="B22" s="717" t="str">
        <x:v>PubMed</x:v>
      </x:c>
      <x:c r="C22" s="717" t="str">
        <x:v>PUBMED-01</x:v>
      </x:c>
      <x:c r="D22" s="720" t="str">
        <x:v>An integrated language-vision foundation model for conversational diagnostics and triaging in primary eye care</x:v>
      </x:c>
      <x:c r="E22" s="717" t="str">
        <x:v>Exclude</x:v>
      </x:c>
      <x:c r="F22" s="720" t="str">
        <x:v>Medical/clinical topic, but no eligible concept-based explainability contribution is evident.</x:v>
      </x:c>
      <x:c r="G22" s="717" t="str">
        <x:v>Title + abstract</x:v>
      </x:c>
      <x:c r="H22" s="717" t="str">
        <x:v>Exclude</x:v>
      </x:c>
      <x:c r="I22" s="720" t="str">
        <x:v>Medical/clinical topic, but no eligible concept-based explainability contribution is evident.</x:v>
      </x:c>
      <x:c r="J22" s="717" t="str">
        <x:f>IF(E22=H22,E22,"Unclear")</x:f>
        <x:v>Exclude</x:v>
      </x:c>
      <x:c r="K22" s="720" t="str">
        <x:f>IF(E22=H22,"Agreement between both AI passes.","AI-pass disagreement; retain for human discussion.")</x:f>
        <x:v>Agreement between both AI passes.</x:v>
      </x:c>
      <x:c r="L22" s="720" t="str">
        <x:v>Soh ZD, Bai Y, Yu K, Zhou Y, Lei X, Thakur S, Lee Z, Phang LCL, Peng Q, Xue CC, Chong RS, Hoang QV, Raghavan L, Tham YC, Sabanayagam C, Wu WC, Ho MC, He J, Gupta P, Lamoureux E, Saw SM, Nangia V, Panda-Jonas S, Xu J, Wang YX, Xu X, Jonas JB, Wong TY, Goh RSM, Liu Y, Cheng CY.</x:v>
      </x:c>
      <x:c r="M22" s="728" t="n">
        <x:v>2025</x:v>
      </x:c>
      <x:c r="N22" s="717" t="str">
        <x:v>Journal Article</x:v>
      </x:c>
      <x:c r="O22" s="717" t="str">
        <x:v>Yes</x:v>
      </x:c>
      <x:c r="P22" s="717" t="str">
        <x:v>https://pubmed.ncbi.nlm.nih.gov/41349528/</x:v>
      </x:c>
    </x:row>
    <x:row r="23" ht="38" customHeight="1">
      <x:c r="A23" s="717" t="str">
        <x:v>PM-007</x:v>
      </x:c>
      <x:c r="B23" s="717" t="str">
        <x:v>PubMed</x:v>
      </x:c>
      <x:c r="C23" s="717" t="str">
        <x:v>PUBMED-01</x:v>
      </x:c>
      <x:c r="D23" s="720" t="str">
        <x:v>Robust and Interpretable Convolutional Neural Networks to Detect Glaucoma in Optical Coherence Tomography Images</x:v>
      </x:c>
      <x:c r="E23" s="717" t="str">
        <x:v>Unclear</x:v>
      </x:c>
      <x:c r="F23" s="720" t="str">
        <x:v>Retinal/ophthalmic AI is evident, but the concept-based mechanism is not confirmed from the available title and abstract.</x:v>
      </x:c>
      <x:c r="G23" s="717" t="str">
        <x:v>Title + abstract</x:v>
      </x:c>
      <x:c r="H23" s="717" t="str">
        <x:v>Unclear</x:v>
      </x:c>
      <x:c r="I23" s="720" t="str">
        <x:v>Retinal/ophthalmic AI is evident, but the concept-based mechanism is not confirmed from the available title and abstract.</x:v>
      </x:c>
      <x:c r="J23" s="717" t="str">
        <x:f>IF(E23=H23,E23,"Unclear")</x:f>
        <x:v>Unclear</x:v>
      </x:c>
      <x:c r="K23" s="720" t="str">
        <x:f>IF(E23=H23,"Agreement between both AI passes.","AI-pass disagreement; retain for human discussion.")</x:f>
        <x:v>Agreement between both AI passes.</x:v>
      </x:c>
      <x:c r="L23" s="720" t="str">
        <x:v>Thakoor KA, Koorathota SC, Hood DC, Sajda P.</x:v>
      </x:c>
      <x:c r="M23" s="728" t="n">
        <x:v>2021</x:v>
      </x:c>
      <x:c r="N23" s="717" t="str">
        <x:v>Journal Article; Research Support, N.I.H., Extramural; Research Support, U.S....</x:v>
      </x:c>
      <x:c r="O23" s="717" t="str">
        <x:v>Yes</x:v>
      </x:c>
      <x:c r="P23" s="717" t="str">
        <x:v>https://pubmed.ncbi.nlm.nih.gov/33290209/</x:v>
      </x:c>
    </x:row>
    <x:row r="24" ht="38" customHeight="1">
      <x:c r="A24" s="717" t="str">
        <x:v>PM-008</x:v>
      </x:c>
      <x:c r="B24" s="717" t="str">
        <x:v>PubMed</x:v>
      </x:c>
      <x:c r="C24" s="717" t="str">
        <x:v>PUBMED-01</x:v>
      </x:c>
      <x:c r="D24" s="720" t="str">
        <x:v>Neurosymbolic AI Framework for Explainable Retinal Disease Classification From OCT Images</x:v>
      </x:c>
      <x:c r="E24" s="717" t="str">
        <x:v>Include</x:v>
      </x:c>
      <x:c r="F24" s="720" t="str">
        <x:v>Potential direct retinal/ophthalmic concept-based XAI evidence (title and abstract).</x:v>
      </x:c>
      <x:c r="G24" s="717" t="str">
        <x:v>Title + abstract</x:v>
      </x:c>
      <x:c r="H24" s="717" t="str">
        <x:v>Include</x:v>
      </x:c>
      <x:c r="I24" s="720" t="str">
        <x:v>Potential direct retinal/ophthalmic concept-based XAI evidence (title and abstract).</x:v>
      </x:c>
      <x:c r="J24" s="717" t="str">
        <x:f>IF(E24=H24,E24,"Unclear")</x:f>
        <x:v>Include</x:v>
      </x:c>
      <x:c r="K24" s="720" t="str">
        <x:f>IF(E24=H24,"Agreement between both AI passes.","AI-pass disagreement; retain for human discussion.")</x:f>
        <x:v>Agreement between both AI passes.</x:v>
      </x:c>
      <x:c r="L24" s="720" t="str">
        <x:v>Miladinovic A, Biscontin A, Ajcevic M, Kresevic S, Accardo A, Tognetto D, Inferrera L.</x:v>
      </x:c>
      <x:c r="M24" s="728" t="n">
        <x:v>2026</x:v>
      </x:c>
      <x:c r="N24" s="717" t="str">
        <x:v>Journal Article</x:v>
      </x:c>
      <x:c r="O24" s="717" t="str">
        <x:v>Yes</x:v>
      </x:c>
      <x:c r="P24" s="717" t="str">
        <x:v>https://pubmed.ncbi.nlm.nih.gov/41533847/</x:v>
      </x:c>
    </x:row>
    <x:row r="25" ht="38" customHeight="1">
      <x:c r="A25" s="717" t="str">
        <x:v>PM-009</x:v>
      </x:c>
      <x:c r="B25" s="717" t="str">
        <x:v>PubMed</x:v>
      </x:c>
      <x:c r="C25" s="717" t="str">
        <x:v>PUBMED-01</x:v>
      </x:c>
      <x:c r="D25" s="720" t="str">
        <x:v>Grounded report generation for enhancing ophthalmic ultrasound interpretation using Vision-Language Segmentation models</x:v>
      </x:c>
      <x:c r="E25" s="717" t="str">
        <x:v>Unclear</x:v>
      </x:c>
      <x:c r="F25" s="720" t="str">
        <x:v>Retinal/ophthalmic AI is evident, but the concept-based mechanism is not confirmed from the available title and abstract.</x:v>
      </x:c>
      <x:c r="G25" s="717" t="str">
        <x:v>Title + abstract</x:v>
      </x:c>
      <x:c r="H25" s="717" t="str">
        <x:v>Unclear</x:v>
      </x:c>
      <x:c r="I25" s="720" t="str">
        <x:v>Retinal/ophthalmic AI is evident, but the concept-based mechanism is not confirmed from the available title and abstract.</x:v>
      </x:c>
      <x:c r="J25" s="717" t="str">
        <x:f>IF(E25=H25,E25,"Unclear")</x:f>
        <x:v>Unclear</x:v>
      </x:c>
      <x:c r="K25" s="720" t="str">
        <x:f>IF(E25=H25,"Agreement between both AI passes.","AI-pass disagreement; retain for human discussion.")</x:f>
        <x:v>Agreement between both AI passes.</x:v>
      </x:c>
      <x:c r="L25" s="720" t="str">
        <x:v>Jin K, Sun Q, Kang D, Luo Z, Yu T, Han W, Zhang Y, Wang M, Shi D, Grzybowski A.</x:v>
      </x:c>
      <x:c r="M25" s="728" t="n">
        <x:v>2026</x:v>
      </x:c>
      <x:c r="N25" s="717" t="str">
        <x:v>Journal Article</x:v>
      </x:c>
      <x:c r="O25" s="717" t="str">
        <x:v>Yes</x:v>
      </x:c>
      <x:c r="P25" s="717" t="str">
        <x:v>https://pubmed.ncbi.nlm.nih.gov/41484436/</x:v>
      </x:c>
    </x:row>
    <x:row r="26" ht="38" customHeight="1">
      <x:c r="A26" s="717" t="str">
        <x:v>PM-010</x:v>
      </x:c>
      <x:c r="B26" s="717" t="str">
        <x:v>PubMed</x:v>
      </x:c>
      <x:c r="C26" s="717" t="str">
        <x:v>PUBMED-01</x:v>
      </x:c>
      <x:c r="D26" s="720" t="str">
        <x:v>Comparative evaluation of large language models and clinicians in real-world glaucoma clinical reasoning</x:v>
      </x:c>
      <x:c r="E26" s="717" t="str">
        <x:v>Exclude</x:v>
      </x:c>
      <x:c r="F26" s="720" t="str">
        <x:v>Retinal/ophthalmic topic, but no concept-based or structured explainability method is evident.</x:v>
      </x:c>
      <x:c r="G26" s="717" t="str">
        <x:v>Title only</x:v>
      </x:c>
      <x:c r="H26" s="717" t="str">
        <x:v>Exclude</x:v>
      </x:c>
      <x:c r="I26" s="720" t="str">
        <x:v>Retinal/ophthalmic topic, but no concept-based or structured explainability method is evident.</x:v>
      </x:c>
      <x:c r="J26" s="717" t="str">
        <x:f>IF(E26=H26,E26,"Unclear")</x:f>
        <x:v>Exclude</x:v>
      </x:c>
      <x:c r="K26" s="720" t="str">
        <x:f>IF(E26=H26,"Agreement between both AI passes.","AI-pass disagreement; retain for human discussion.")</x:f>
        <x:v>Agreement between both AI passes.</x:v>
      </x:c>
      <x:c r="L26" s="720" t="str">
        <x:v>Yin H, Shen L, Cai H, Wu W, Grzybowski A, Jin K.</x:v>
      </x:c>
      <x:c r="M26" s="728" t="n">
        <x:v>2026</x:v>
      </x:c>
      <x:c r="N26" s="717" t="str">
        <x:v>PubMed record</x:v>
      </x:c>
      <x:c r="O26" s="717" t="str">
        <x:v>No</x:v>
      </x:c>
      <x:c r="P26" s="717" t="str">
        <x:v>https://pubmed.ncbi.nlm.nih.gov/42560500/</x:v>
      </x:c>
    </x:row>
    <x:row r="27" ht="38" customHeight="1">
      <x:c r="A27" s="717" t="str">
        <x:v>PM-011</x:v>
      </x:c>
      <x:c r="B27" s="717" t="str">
        <x:v>PubMed</x:v>
      </x:c>
      <x:c r="C27" s="717" t="str">
        <x:v>PUBMED-01</x:v>
      </x:c>
      <x:c r="D27" s="720" t="str">
        <x:v>Overview of State-of-the-Art Learning-Based Classification Methods in Medical Imaging</x:v>
      </x:c>
      <x:c r="E27" s="717" t="str">
        <x:v>Exclude</x:v>
      </x:c>
      <x:c r="F27" s="720" t="str">
        <x:v>Non-original evidence (review, editorial, response, protocol, or similar); retain only for background/citation chasing (E4).</x:v>
      </x:c>
      <x:c r="G27" s="717" t="str">
        <x:v>Title + abstract</x:v>
      </x:c>
      <x:c r="H27" s="717" t="str">
        <x:v>Exclude</x:v>
      </x:c>
      <x:c r="I27" s="720" t="str">
        <x:v>Non-original evidence (review, editorial, response, protocol, or similar); retain only for background/citation chasing (E4).</x:v>
      </x:c>
      <x:c r="J27" s="717" t="str">
        <x:f>IF(E27=H27,E27,"Unclear")</x:f>
        <x:v>Exclude</x:v>
      </x:c>
      <x:c r="K27" s="720" t="str">
        <x:f>IF(E27=H27,"Agreement between both AI passes.","AI-pass disagreement; retain for human discussion.")</x:f>
        <x:v>Agreement between both AI passes.</x:v>
      </x:c>
      <x:c r="L27" s="720" t="str">
        <x:v>Ghaffar Nia N, Manwar R, Avanaki K.</x:v>
      </x:c>
      <x:c r="M27" s="728" t="n">
        <x:v>2026</x:v>
      </x:c>
      <x:c r="N27" s="717" t="str">
        <x:v>Journal Article; Review</x:v>
      </x:c>
      <x:c r="O27" s="717" t="str">
        <x:v>Yes</x:v>
      </x:c>
      <x:c r="P27" s="717" t="str">
        <x:v>https://pubmed.ncbi.nlm.nih.gov/42303852/</x:v>
      </x:c>
    </x:row>
    <x:row r="28" ht="38" customHeight="1">
      <x:c r="A28" s="717" t="str">
        <x:v>PM-012</x:v>
      </x:c>
      <x:c r="B28" s="717" t="str">
        <x:v>PubMed</x:v>
      </x:c>
      <x:c r="C28" s="717" t="str">
        <x:v>PUBMED-01</x:v>
      </x:c>
      <x:c r="D28" s="720" t="str">
        <x:v>Cross- and Intra-Image Prototypical Learning for Multi-Label Disease Diagnosis and Interpretation</x:v>
      </x:c>
      <x:c r="E28" s="717" t="str">
        <x:v>Include</x:v>
      </x:c>
      <x:c r="F28" s="720" t="str">
        <x:v>Potential contextual medical-imaging concept-XAI evidence (title only).</x:v>
      </x:c>
      <x:c r="G28" s="717" t="str">
        <x:v>Title only</x:v>
      </x:c>
      <x:c r="H28" s="717" t="str">
        <x:v>Unclear</x:v>
      </x:c>
      <x:c r="I28" s="720" t="str">
        <x:v>Possible contextual explainability evidence, but concept-level relevance is not confirmed from the available title only.</x:v>
      </x:c>
      <x:c r="J28" s="717" t="str">
        <x:f>IF(E28=H28,E28,"Unclear")</x:f>
        <x:v>Unclear</x:v>
      </x:c>
      <x:c r="K28" s="720" t="str">
        <x:f>IF(E28=H28,"Agreement between both AI passes.","AI-pass disagreement; retain for human discussion.")</x:f>
        <x:v>AI-pass disagreement; retain for human discussion.</x:v>
      </x:c>
      <x:c r="L28" s="720" t="str">
        <x:v>Wang C, Liu F, Chen Y, Frazer H, Carneiro G.</x:v>
      </x:c>
      <x:c r="M28" s="728" t="n">
        <x:v>2025</x:v>
      </x:c>
      <x:c r="N28" s="717" t="str">
        <x:v>PubMed record</x:v>
      </x:c>
      <x:c r="O28" s="717" t="str">
        <x:v>No</x:v>
      </x:c>
      <x:c r="P28" s="717" t="str">
        <x:v>https://pubmed.ncbi.nlm.nih.gov/40036430/</x:v>
      </x:c>
    </x:row>
    <x:row r="29" ht="38" customHeight="1">
      <x:c r="A29" s="717" t="str">
        <x:v>PM-013</x:v>
      </x:c>
      <x:c r="B29" s="717" t="str">
        <x:v>PubMed</x:v>
      </x:c>
      <x:c r="C29" s="717" t="str">
        <x:v>PUBMED-01</x:v>
      </x:c>
      <x:c r="D29" s="720" t="str">
        <x:v>A systematic review of vision and vision-language foundation models in ophthalmology</x:v>
      </x:c>
      <x:c r="E29" s="717" t="str">
        <x:v>Exclude</x:v>
      </x:c>
      <x:c r="F29" s="720" t="str">
        <x:v>Non-original evidence (review, editorial, response, protocol, or similar); retain only for background/citation chasing (E4).</x:v>
      </x:c>
      <x:c r="G29" s="717" t="str">
        <x:v>Title only</x:v>
      </x:c>
      <x:c r="H29" s="717" t="str">
        <x:v>Exclude</x:v>
      </x:c>
      <x:c r="I29" s="720" t="str">
        <x:v>Non-original evidence (review, editorial, response, protocol, or similar); retain only for background/citation chasing (E4).</x:v>
      </x:c>
      <x:c r="J29" s="717" t="str">
        <x:f>IF(E29=H29,E29,"Unclear")</x:f>
        <x:v>Exclude</x:v>
      </x:c>
      <x:c r="K29" s="720" t="str">
        <x:f>IF(E29=H29,"Agreement between both AI passes.","AI-pass disagreement; retain for human discussion.")</x:f>
        <x:v>Agreement between both AI passes.</x:v>
      </x:c>
      <x:c r="L29" s="720" t="str">
        <x:v>Jin K, Yu T, Ying GS, Ge Z, Li KZ, Zhou Y, Shi D, Wang M, Goktas P, Grzybowski A.</x:v>
      </x:c>
      <x:c r="M29" s="728" t="n">
        <x:v>2025</x:v>
      </x:c>
      <x:c r="N29" s="717" t="str">
        <x:v>PubMed record</x:v>
      </x:c>
      <x:c r="O29" s="717" t="str">
        <x:v>No</x:v>
      </x:c>
      <x:c r="P29" s="717" t="str">
        <x:v>https://pubmed.ncbi.nlm.nih.gov/41532028/</x:v>
      </x:c>
    </x:row>
    <x:row r="30" ht="38" customHeight="1">
      <x:c r="A30" s="717" t="str">
        <x:v>PM-014</x:v>
      </x:c>
      <x:c r="B30" s="717" t="str">
        <x:v>PubMed</x:v>
      </x:c>
      <x:c r="C30" s="717" t="str">
        <x:v>PUBMED-01</x:v>
      </x:c>
      <x:c r="D30" s="720" t="str">
        <x:v>Making Chatbots more human: deep reasoning large language models in ophthalmology</x:v>
      </x:c>
      <x:c r="E30" s="717" t="str">
        <x:v>Exclude</x:v>
      </x:c>
      <x:c r="F30" s="720" t="str">
        <x:v>Retinal/ophthalmic topic, but no concept-based or structured explainability method is evident.</x:v>
      </x:c>
      <x:c r="G30" s="717" t="str">
        <x:v>Title only</x:v>
      </x:c>
      <x:c r="H30" s="717" t="str">
        <x:v>Exclude</x:v>
      </x:c>
      <x:c r="I30" s="720" t="str">
        <x:v>Retinal/ophthalmic topic, but no concept-based or structured explainability method is evident.</x:v>
      </x:c>
      <x:c r="J30" s="717" t="str">
        <x:f>IF(E30=H30,E30,"Unclear")</x:f>
        <x:v>Exclude</x:v>
      </x:c>
      <x:c r="K30" s="720" t="str">
        <x:f>IF(E30=H30,"Agreement between both AI passes.","AI-pass disagreement; retain for human discussion.")</x:f>
        <x:v>Agreement between both AI passes.</x:v>
      </x:c>
      <x:c r="L30" s="720" t="str">
        <x:v>Lin X, Yang Y, Ren Y.</x:v>
      </x:c>
      <x:c r="M30" s="728" t="n">
        <x:v>2026</x:v>
      </x:c>
      <x:c r="N30" s="717" t="str">
        <x:v>PubMed record</x:v>
      </x:c>
      <x:c r="O30" s="717" t="str">
        <x:v>No</x:v>
      </x:c>
      <x:c r="P30" s="717" t="str">
        <x:v>https://pubmed.ncbi.nlm.nih.gov/41601784/</x:v>
      </x:c>
    </x:row>
    <x:row r="31" ht="38" customHeight="1">
      <x:c r="A31" s="717" t="str">
        <x:v>PM-015</x:v>
      </x:c>
      <x:c r="B31" s="717" t="str">
        <x:v>PubMed</x:v>
      </x:c>
      <x:c r="C31" s="717" t="str">
        <x:v>PUBMED-01</x:v>
      </x:c>
      <x:c r="D31" s="720" t="str">
        <x:v>SAVLT: Structure-Aware Vision-Language Tuning for Multi-Center Cervical OCT Diagnosis</x:v>
      </x:c>
      <x:c r="E31" s="717" t="str">
        <x:v>Exclude</x:v>
      </x:c>
      <x:c r="F31" s="720" t="str">
        <x:v>Medical/clinical topic, but no eligible concept-based explainability contribution is evident.</x:v>
      </x:c>
      <x:c r="G31" s="717" t="str">
        <x:v>Title only</x:v>
      </x:c>
      <x:c r="H31" s="717" t="str">
        <x:v>Exclude</x:v>
      </x:c>
      <x:c r="I31" s="720" t="str">
        <x:v>Medical/clinical topic, but no eligible concept-based explainability contribution is evident.</x:v>
      </x:c>
      <x:c r="J31" s="717" t="str">
        <x:f>IF(E31=H31,E31,"Unclear")</x:f>
        <x:v>Exclude</x:v>
      </x:c>
      <x:c r="K31" s="720" t="str">
        <x:f>IF(E31=H31,"Agreement between both AI passes.","AI-pass disagreement; retain for human discussion.")</x:f>
        <x:v>Agreement between both AI passes.</x:v>
      </x:c>
      <x:c r="L31" s="720" t="str">
        <x:v>Yin M, Pei Y, Zou Y, Zhang Y, Ma Y.</x:v>
      </x:c>
      <x:c r="M31" s="728" t="n">
        <x:v>2026</x:v>
      </x:c>
      <x:c r="N31" s="717" t="str">
        <x:v>PubMed record</x:v>
      </x:c>
      <x:c r="O31" s="717" t="str">
        <x:v>No</x:v>
      </x:c>
      <x:c r="P31" s="717" t="str">
        <x:v>https://pubmed.ncbi.nlm.nih.gov/42044002/</x:v>
      </x:c>
    </x:row>
    <x:row r="32" ht="38" customHeight="1">
      <x:c r="A32" s="717" t="str">
        <x:v>PM-016</x:v>
      </x:c>
      <x:c r="B32" s="717" t="str">
        <x:v>PubMed</x:v>
      </x:c>
      <x:c r="C32" s="717" t="str">
        <x:v>PUBMED-01</x:v>
      </x:c>
      <x:c r="D32" s="720" t="str">
        <x:v>An Explainable AI Framework for Corneal Imaging Interpretation and Refractive Surgery Decision Support</x:v>
      </x:c>
      <x:c r="E32" s="717" t="str">
        <x:v>Unclear</x:v>
      </x:c>
      <x:c r="F32" s="720" t="str">
        <x:v>Retinal/ophthalmic AI is evident, but the concept-based mechanism is not confirmed from the available title only.</x:v>
      </x:c>
      <x:c r="G32" s="717" t="str">
        <x:v>Title only</x:v>
      </x:c>
      <x:c r="H32" s="717" t="str">
        <x:v>Unclear</x:v>
      </x:c>
      <x:c r="I32" s="720" t="str">
        <x:v>Retinal/ophthalmic AI is evident, but the concept-based mechanism is not confirmed from the available title only.</x:v>
      </x:c>
      <x:c r="J32" s="717" t="str">
        <x:f>IF(E32=H32,E32,"Unclear")</x:f>
        <x:v>Unclear</x:v>
      </x:c>
      <x:c r="K32" s="720" t="str">
        <x:f>IF(E32=H32,"Agreement between both AI passes.","AI-pass disagreement; retain for human discussion.")</x:f>
        <x:v>Agreement between both AI passes.</x:v>
      </x:c>
      <x:c r="L32" s="720" t="str">
        <x:v>Wang MH.</x:v>
      </x:c>
      <x:c r="M32" s="728" t="n">
        <x:v>2025</x:v>
      </x:c>
      <x:c r="N32" s="717" t="str">
        <x:v>PubMed record</x:v>
      </x:c>
      <x:c r="O32" s="717" t="str">
        <x:v>No</x:v>
      </x:c>
      <x:c r="P32" s="717" t="str">
        <x:v>https://pubmed.ncbi.nlm.nih.gov/41301129/</x:v>
      </x:c>
    </x:row>
    <x:row r="33" ht="38" customHeight="1">
      <x:c r="A33" s="717" t="str">
        <x:v>PM-017</x:v>
      </x:c>
      <x:c r="B33" s="717" t="str">
        <x:v>PubMed</x:v>
      </x:c>
      <x:c r="C33" s="717" t="str">
        <x:v>PUBMED-01</x:v>
      </x:c>
      <x:c r="D33" s="720" t="str">
        <x:v>Explainable Artificial Intelligence Framework for Predicting Treatment Outcomes in Age-Related Macular Degeneration</x:v>
      </x:c>
      <x:c r="E33" s="717" t="str">
        <x:v>Unclear</x:v>
      </x:c>
      <x:c r="F33" s="720" t="str">
        <x:v>Retinal/ophthalmic AI is evident, but the concept-based mechanism is not confirmed from the available title only.</x:v>
      </x:c>
      <x:c r="G33" s="717" t="str">
        <x:v>Title only</x:v>
      </x:c>
      <x:c r="H33" s="717" t="str">
        <x:v>Unclear</x:v>
      </x:c>
      <x:c r="I33" s="720" t="str">
        <x:v>Retinal/ophthalmic AI is evident, but the concept-based mechanism is not confirmed from the available title only.</x:v>
      </x:c>
      <x:c r="J33" s="717" t="str">
        <x:f>IF(E33=H33,E33,"Unclear")</x:f>
        <x:v>Unclear</x:v>
      </x:c>
      <x:c r="K33" s="720" t="str">
        <x:f>IF(E33=H33,"Agreement between both AI passes.","AI-pass disagreement; retain for human discussion.")</x:f>
        <x:v>Agreement between both AI passes.</x:v>
      </x:c>
      <x:c r="L33" s="720" t="str">
        <x:v>Wang MH.</x:v>
      </x:c>
      <x:c r="M33" s="728" t="n">
        <x:v>2025</x:v>
      </x:c>
      <x:c r="N33" s="717" t="str">
        <x:v>PubMed record</x:v>
      </x:c>
      <x:c r="O33" s="717" t="str">
        <x:v>No</x:v>
      </x:c>
      <x:c r="P33" s="717" t="str">
        <x:v>https://pubmed.ncbi.nlm.nih.gov/41305085/</x:v>
      </x:c>
    </x:row>
    <x:row r="34" ht="38" customHeight="1">
      <x:c r="A34" s="717" t="str">
        <x:v>PM-018</x:v>
      </x:c>
      <x:c r="B34" s="717" t="str">
        <x:v>PubMed</x:v>
      </x:c>
      <x:c r="C34" s="717" t="str">
        <x:v>PUBMED-01</x:v>
      </x:c>
      <x:c r="D34" s="720" t="str">
        <x:v>Explainable neuro-symbolic artificial intelligence for automated interpretation of corneal topography and early keratoconus detection</x:v>
      </x:c>
      <x:c r="E34" s="717" t="str">
        <x:v>Include</x:v>
      </x:c>
      <x:c r="F34" s="720" t="str">
        <x:v>Potential direct retinal/ophthalmic concept-based XAI evidence (title only).</x:v>
      </x:c>
      <x:c r="G34" s="717" t="str">
        <x:v>Title only</x:v>
      </x:c>
      <x:c r="H34" s="717" t="str">
        <x:v>Include</x:v>
      </x:c>
      <x:c r="I34" s="720" t="str">
        <x:v>Potential direct retinal/ophthalmic concept-based XAI evidence (title only).</x:v>
      </x:c>
      <x:c r="J34" s="717" t="str">
        <x:f>IF(E34=H34,E34,"Unclear")</x:f>
        <x:v>Include</x:v>
      </x:c>
      <x:c r="K34" s="720" t="str">
        <x:f>IF(E34=H34,"Agreement between both AI passes.","AI-pass disagreement; retain for human discussion.")</x:f>
        <x:v>Agreement between both AI passes.</x:v>
      </x:c>
      <x:c r="L34" s="720" t="str">
        <x:v>Wang MH, Qin S.</x:v>
      </x:c>
      <x:c r="M34" s="728" t="n">
        <x:v>2026</x:v>
      </x:c>
      <x:c r="N34" s="717" t="str">
        <x:v>PubMed record</x:v>
      </x:c>
      <x:c r="O34" s="717" t="str">
        <x:v>No</x:v>
      </x:c>
      <x:c r="P34" s="717" t="str">
        <x:v>https://pubmed.ncbi.nlm.nih.gov/42052214/</x:v>
      </x:c>
    </x:row>
    <x:row r="35" ht="38" customHeight="1">
      <x:c r="A35" s="717" t="str">
        <x:v>PM-020</x:v>
      </x:c>
      <x:c r="B35" s="717" t="str">
        <x:v>PubMed</x:v>
      </x:c>
      <x:c r="C35" s="717" t="str">
        <x:v>PUBMED-01</x:v>
      </x:c>
      <x:c r="D35" s="720" t="str">
        <x:v>Compact vision language models enable efficient and interpretable optical coherence tomography through layer-specific multimodal learning</x:v>
      </x:c>
      <x:c r="E35" s="717" t="str">
        <x:v>Unclear</x:v>
      </x:c>
      <x:c r="F35" s="720" t="str">
        <x:v>Retinal/ophthalmic AI is evident, but the concept-based mechanism is not confirmed from the available title only.</x:v>
      </x:c>
      <x:c r="G35" s="717" t="str">
        <x:v>Title only</x:v>
      </x:c>
      <x:c r="H35" s="717" t="str">
        <x:v>Unclear</x:v>
      </x:c>
      <x:c r="I35" s="720" t="str">
        <x:v>Retinal/ophthalmic AI is evident, but the concept-based mechanism is not confirmed from the available title only.</x:v>
      </x:c>
      <x:c r="J35" s="717" t="str">
        <x:f>IF(E35=H35,E35,"Unclear")</x:f>
        <x:v>Unclear</x:v>
      </x:c>
      <x:c r="K35" s="720" t="str">
        <x:f>IF(E35=H35,"Agreement between both AI passes.","AI-pass disagreement; retain for human discussion.")</x:f>
        <x:v>Agreement between both AI passes.</x:v>
      </x:c>
      <x:c r="L35" s="720" t="str">
        <x:v>Haghighi T, Gholami S, Sokol JT, Biswas A, Lim JI, Leng T, Thompson AC, Tabkhi H, Alam MN.</x:v>
      </x:c>
      <x:c r="M35" s="728" t="n">
        <x:v>2025</x:v>
      </x:c>
      <x:c r="N35" s="717" t="str">
        <x:v>PubMed record</x:v>
      </x:c>
      <x:c r="O35" s="717" t="str">
        <x:v>No</x:v>
      </x:c>
      <x:c r="P35" s="717" t="str">
        <x:v>https://pubmed.ncbi.nlm.nih.gov/41455821/</x:v>
      </x:c>
    </x:row>
    <x:row r="36" ht="38" customHeight="1">
      <x:c r="A36" s="717" t="str">
        <x:v>PM-021</x:v>
      </x:c>
      <x:c r="B36" s="717" t="str">
        <x:v>PubMed</x:v>
      </x:c>
      <x:c r="C36" s="717" t="str">
        <x:v>PUBMED-01</x:v>
      </x:c>
      <x:c r="D36" s="720" t="str">
        <x:v>ORBIT-AMD: Ordinal Risk, Bilateral Imaging, and Trajectory Learning for Age-Related Macular Degeneration in Multi-Cohorts</x:v>
      </x:c>
      <x:c r="E36" s="717" t="str">
        <x:v>Exclude</x:v>
      </x:c>
      <x:c r="F36" s="720" t="str">
        <x:v>Retinal/ophthalmic topic, but no concept-based or structured explainability method is evident.</x:v>
      </x:c>
      <x:c r="G36" s="717" t="str">
        <x:v>Title only</x:v>
      </x:c>
      <x:c r="H36" s="717" t="str">
        <x:v>Exclude</x:v>
      </x:c>
      <x:c r="I36" s="720" t="str">
        <x:v>Retinal/ophthalmic topic, but no concept-based or structured explainability method is evident.</x:v>
      </x:c>
      <x:c r="J36" s="717" t="str">
        <x:f>IF(E36=H36,E36,"Unclear")</x:f>
        <x:v>Exclude</x:v>
      </x:c>
      <x:c r="K36" s="720" t="str">
        <x:f>IF(E36=H36,"Agreement between both AI passes.","AI-pass disagreement; retain for human discussion.")</x:f>
        <x:v>Agreement between both AI passes.</x:v>
      </x:c>
      <x:c r="L36" s="720" t="str">
        <x:v>Cui X, Wen D, Yu-Wai-Man P, Li X.</x:v>
      </x:c>
      <x:c r="M36" s="728" t="n">
        <x:v>2026</x:v>
      </x:c>
      <x:c r="N36" s="717" t="str">
        <x:v>PubMed record</x:v>
      </x:c>
      <x:c r="O36" s="717" t="str">
        <x:v>No</x:v>
      </x:c>
      <x:c r="P36" s="717" t="str">
        <x:v>https://pubmed.ncbi.nlm.nih.gov/42363829/</x:v>
      </x:c>
    </x:row>
    <x:row r="37" ht="38" customHeight="1">
      <x:c r="A37" s="717" t="str">
        <x:v>PM-022</x:v>
      </x:c>
      <x:c r="B37" s="717" t="str">
        <x:v>PubMed</x:v>
      </x:c>
      <x:c r="C37" s="717" t="str">
        <x:v>PUBMED-01</x:v>
      </x:c>
      <x:c r="D37" s="720" t="str">
        <x:v>The choroid vascular index and its association with visual acuity in children and young adults with high myopia</x:v>
      </x:c>
      <x:c r="E37" s="717" t="str">
        <x:v>Exclude</x:v>
      </x:c>
      <x:c r="F37" s="720" t="str">
        <x:v>Clearly outside retinal/ophthalmic concept-based explainable AI.</x:v>
      </x:c>
      <x:c r="G37" s="717" t="str">
        <x:v>Title only</x:v>
      </x:c>
      <x:c r="H37" s="717" t="str">
        <x:v>Exclude</x:v>
      </x:c>
      <x:c r="I37" s="720" t="str">
        <x:v>Clearly outside retinal/ophthalmic concept-based explainable AI.</x:v>
      </x:c>
      <x:c r="J37" s="717" t="str">
        <x:f>IF(E37=H37,E37,"Unclear")</x:f>
        <x:v>Exclude</x:v>
      </x:c>
      <x:c r="K37" s="720" t="str">
        <x:f>IF(E37=H37,"Agreement between both AI passes.","AI-pass disagreement; retain for human discussion.")</x:f>
        <x:v>Agreement between both AI passes.</x:v>
      </x:c>
      <x:c r="L37" s="720" t="str">
        <x:v>Han R, Chang W, Ding X, Jiang R, Chang Q, Xu G, Yu Z, Wei Q.</x:v>
      </x:c>
      <x:c r="M37" s="728" t="n">
        <x:v>2023</x:v>
      </x:c>
      <x:c r="N37" s="717" t="str">
        <x:v>PubMed record</x:v>
      </x:c>
      <x:c r="O37" s="717" t="str">
        <x:v>No</x:v>
      </x:c>
      <x:c r="P37" s="717" t="str">
        <x:v>https://pubmed.ncbi.nlm.nih.gov/36539600/</x:v>
      </x:c>
    </x:row>
    <x:row r="38" ht="38" customHeight="1">
      <x:c r="A38" s="717" t="str">
        <x:v>PM-023</x:v>
      </x:c>
      <x:c r="B38" s="717" t="str">
        <x:v>PubMed</x:v>
      </x:c>
      <x:c r="C38" s="717" t="str">
        <x:v>PUBMED-01</x:v>
      </x:c>
      <x:c r="D38" s="720" t="str">
        <x:v>Using Provenance Dispersion to Triage Uncertain Neurosymbolic OCT Diagnoses</x:v>
      </x:c>
      <x:c r="E38" s="717" t="str">
        <x:v>Include</x:v>
      </x:c>
      <x:c r="F38" s="720" t="str">
        <x:v>Potential direct retinal/ophthalmic concept-based XAI evidence (title only).</x:v>
      </x:c>
      <x:c r="G38" s="717" t="str">
        <x:v>Title only</x:v>
      </x:c>
      <x:c r="H38" s="717" t="str">
        <x:v>Include</x:v>
      </x:c>
      <x:c r="I38" s="720" t="str">
        <x:v>Potential direct retinal/ophthalmic concept-based XAI evidence (title only).</x:v>
      </x:c>
      <x:c r="J38" s="717" t="str">
        <x:f>IF(E38=H38,E38,"Unclear")</x:f>
        <x:v>Include</x:v>
      </x:c>
      <x:c r="K38" s="720" t="str">
        <x:f>IF(E38=H38,"Agreement between both AI passes.","AI-pass disagreement; retain for human discussion.")</x:f>
        <x:v>Agreement between both AI passes.</x:v>
      </x:c>
      <x:c r="L38" s="720" t="str">
        <x:v>Bair H.</x:v>
      </x:c>
      <x:c r="M38" s="728" t="n">
        <x:v>2026</x:v>
      </x:c>
      <x:c r="N38" s="717" t="str">
        <x:v>PubMed record</x:v>
      </x:c>
      <x:c r="O38" s="717" t="str">
        <x:v>No</x:v>
      </x:c>
      <x:c r="P38" s="717" t="str">
        <x:v>https://pubmed.ncbi.nlm.nih.gov/41800851/</x:v>
      </x:c>
    </x:row>
    <x:row r="39" ht="38" customHeight="1">
      <x:c r="A39" s="717" t="str">
        <x:v>PM-024</x:v>
      </x:c>
      <x:c r="B39" s="717" t="str">
        <x:v>PubMed</x:v>
      </x:c>
      <x:c r="C39" s="717" t="str">
        <x:v>PUBMED-01</x:v>
      </x:c>
      <x:c r="D39" s="720" t="str">
        <x:v>Explainable multimodal AI and neuro-symbolic clinical decision support system for chronic eye disease management: a digital health implementation study</x:v>
      </x:c>
      <x:c r="E39" s="717" t="str">
        <x:v>Include</x:v>
      </x:c>
      <x:c r="F39" s="720" t="str">
        <x:v>Foundational concept-XAI method relevant to the review taxonomy or reliability analysis (title only).</x:v>
      </x:c>
      <x:c r="G39" s="717" t="str">
        <x:v>Title only</x:v>
      </x:c>
      <x:c r="H39" s="717" t="str">
        <x:v>Unclear</x:v>
      </x:c>
      <x:c r="I39" s="720" t="str">
        <x:v>Concept-XAI method may be useful as foundational/contextual evidence; retinal or medical applicability requires discussion (title only).</x:v>
      </x:c>
      <x:c r="J39" s="717" t="str">
        <x:f>IF(E39=H39,E39,"Unclear")</x:f>
        <x:v>Unclear</x:v>
      </x:c>
      <x:c r="K39" s="720" t="str">
        <x:f>IF(E39=H39,"Agreement between both AI passes.","AI-pass disagreement; retain for human discussion.")</x:f>
        <x:v>AI-pass disagreement; retain for human discussion.</x:v>
      </x:c>
      <x:c r="L39" s="720" t="str">
        <x:v>Wang MH, Lee SMY, Hou G, Wang Y, Alves JC, Xie R, He Y, Liu J, Fang X, Yang Y, Cai X, Zheng S, Yu Z, Lin EZ, Cheang C, Ian KK, Qin S.</x:v>
      </x:c>
      <x:c r="M39" s="728" t="n">
        <x:v>2026</x:v>
      </x:c>
      <x:c r="N39" s="717" t="str">
        <x:v>PubMed record</x:v>
      </x:c>
      <x:c r="O39" s="717" t="str">
        <x:v>No</x:v>
      </x:c>
      <x:c r="P39" s="717" t="str">
        <x:v>https://pubmed.ncbi.nlm.nih.gov/42495049/</x:v>
      </x:c>
    </x:row>
    <x:row r="40" ht="38" customHeight="1">
      <x:c r="A40" s="717" t="str">
        <x:v>PM-025</x:v>
      </x:c>
      <x:c r="B40" s="717" t="str">
        <x:v>PubMed</x:v>
      </x:c>
      <x:c r="C40" s="717" t="str">
        <x:v>PUBMED-01</x:v>
      </x:c>
      <x:c r="D40" s="720" t="str">
        <x:v>Author Response: Using Provenance Dispersion to Triage Uncertain Neurosymbolic OCT Diagnoses</x:v>
      </x:c>
      <x:c r="E40" s="717" t="str">
        <x:v>Exclude</x:v>
      </x:c>
      <x:c r="F40" s="720" t="str">
        <x:v>Non-original evidence (review, editorial, response, protocol, or similar); retain only for background/citation chasing (E4).</x:v>
      </x:c>
      <x:c r="G40" s="717" t="str">
        <x:v>Title only</x:v>
      </x:c>
      <x:c r="H40" s="717" t="str">
        <x:v>Exclude</x:v>
      </x:c>
      <x:c r="I40" s="720" t="str">
        <x:v>Non-original evidence (review, editorial, response, protocol, or similar); retain only for background/citation chasing (E4).</x:v>
      </x:c>
      <x:c r="J40" s="717" t="str">
        <x:f>IF(E40=H40,E40,"Unclear")</x:f>
        <x:v>Exclude</x:v>
      </x:c>
      <x:c r="K40" s="720" t="str">
        <x:f>IF(E40=H40,"Agreement between both AI passes.","AI-pass disagreement; retain for human discussion.")</x:f>
        <x:v>Agreement between both AI passes.</x:v>
      </x:c>
      <x:c r="L40" s="720" t="str">
        <x:v>Miladinovic A, Biscontin A, Ajcevic M, Kresevic S, Accardo A, Tognetto D, Inferrera L.</x:v>
      </x:c>
      <x:c r="M40" s="728" t="n">
        <x:v>2026</x:v>
      </x:c>
      <x:c r="N40" s="717" t="str">
        <x:v>PubMed record</x:v>
      </x:c>
      <x:c r="O40" s="717" t="str">
        <x:v>No</x:v>
      </x:c>
      <x:c r="P40" s="717" t="str">
        <x:v>https://pubmed.ncbi.nlm.nih.gov/41972869/</x:v>
      </x:c>
    </x:row>
    <x:row r="41" ht="38" customHeight="1">
      <x:c r="A41" s="717" t="str">
        <x:v>IEEE-001</x:v>
      </x:c>
      <x:c r="B41" s="717" t="str">
        <x:v>IEEE Xplore</x:v>
      </x:c>
      <x:c r="C41" s="717" t="str">
        <x:v>IEEE-01</x:v>
      </x:c>
      <x:c r="D41" s="720" t="str">
        <x:v>Case Based Reasoning in Retina Abnormalities Detection</x:v>
      </x:c>
      <x:c r="E41" s="717" t="str">
        <x:v>Include</x:v>
      </x:c>
      <x:c r="F41" s="720" t="str">
        <x:v>Potential direct retinal/ophthalmic concept-based XAI evidence (title and abstract).</x:v>
      </x:c>
      <x:c r="G41" s="717" t="str">
        <x:v>Title + abstract</x:v>
      </x:c>
      <x:c r="H41" s="717" t="str">
        <x:v>Include</x:v>
      </x:c>
      <x:c r="I41" s="720" t="str">
        <x:v>Potential direct retinal/ophthalmic concept-based XAI evidence (title and abstract).</x:v>
      </x:c>
      <x:c r="J41" s="717" t="str">
        <x:f>IF(E41=H41,E41,"Unclear")</x:f>
        <x:v>Include</x:v>
      </x:c>
      <x:c r="K41" s="720" t="str">
        <x:f>IF(E41=H41,"Agreement between both AI passes.","AI-pass disagreement; retain for human discussion.")</x:f>
        <x:v>Agreement between both AI passes.</x:v>
      </x:c>
      <x:c r="L41" s="720" t="str">
        <x:v>A. R. Chowdhury; S. Banerjee</x:v>
      </x:c>
      <x:c r="M41" s="728" t="str">
        <x:v>2019</x:v>
      </x:c>
      <x:c r="N41" s="717" t="str">
        <x:v>IEEE Conferences</x:v>
      </x:c>
      <x:c r="O41" s="717" t="str">
        <x:v>Yes</x:v>
      </x:c>
      <x:c r="P41" s="717" t="str">
        <x:v>https://ieeexplore.ieee.org/stamp/stamp.jsp?arnumber=9036318</x:v>
      </x:c>
    </x:row>
    <x:row r="42" ht="38" customHeight="1">
      <x:c r="A42" s="717" t="str">
        <x:v>IEEE-002</x:v>
      </x:c>
      <x:c r="B42" s="717" t="str">
        <x:v>IEEE Xplore</x:v>
      </x:c>
      <x:c r="C42" s="717" t="str">
        <x:v>IEEE-01</x:v>
      </x:c>
      <x:c r="D42" s="720" t="str">
        <x:v>Protostage-NET: A Clinically Guided Foundation Model With Prototypical Learni...</x:v>
      </x:c>
      <x:c r="E42" s="717" t="str">
        <x:v>Include</x:v>
      </x:c>
      <x:c r="F42" s="720" t="str">
        <x:v>Potential direct retinal/ophthalmic concept-based XAI evidence (title and abstract).</x:v>
      </x:c>
      <x:c r="G42" s="717" t="str">
        <x:v>Title + abstract</x:v>
      </x:c>
      <x:c r="H42" s="717" t="str">
        <x:v>Include</x:v>
      </x:c>
      <x:c r="I42" s="720" t="str">
        <x:v>Potential direct retinal/ophthalmic concept-based XAI evidence (title and abstract).</x:v>
      </x:c>
      <x:c r="J42" s="717" t="str">
        <x:f>IF(E42=H42,E42,"Unclear")</x:f>
        <x:v>Include</x:v>
      </x:c>
      <x:c r="K42" s="720" t="str">
        <x:f>IF(E42=H42,"Agreement between both AI passes.","AI-pass disagreement; retain for human discussion.")</x:f>
        <x:v>Agreement between both AI passes.</x:v>
      </x:c>
      <x:c r="L42" s="720" t="str">
        <x:v>M. Elsharkawy; M. El-Melegy; A. Ali; A. Mahmoud; M. Ghazal; A. Khalil; W. Wan...</x:v>
      </x:c>
      <x:c r="M42" s="728" t="str">
        <x:v>2026</x:v>
      </x:c>
      <x:c r="N42" s="717" t="str">
        <x:v>IEEE Conferences</x:v>
      </x:c>
      <x:c r="O42" s="717" t="str">
        <x:v>Yes</x:v>
      </x:c>
      <x:c r="P42" s="717" t="str">
        <x:v>https://ieeexplore.ieee.org/stamp/stamp.jsp?arnumber=11515452</x:v>
      </x:c>
    </x:row>
    <x:row r="43" ht="38" customHeight="1">
      <x:c r="A43" s="717" t="str">
        <x:v>IEEE-004</x:v>
      </x:c>
      <x:c r="B43" s="717" t="str">
        <x:v>IEEE Xplore</x:v>
      </x:c>
      <x:c r="C43" s="717" t="str">
        <x:v>IEEE-01</x:v>
      </x:c>
      <x:c r="D43" s="720" t="str">
        <x:v>A Neuro-Symbolic Framework for Automated Glaucoma Detection using Optic Disc-...</x:v>
      </x:c>
      <x:c r="E43" s="717" t="str">
        <x:v>Include</x:v>
      </x:c>
      <x:c r="F43" s="720" t="str">
        <x:v>Potential direct retinal/ophthalmic concept-based XAI evidence (title and abstract).</x:v>
      </x:c>
      <x:c r="G43" s="717" t="str">
        <x:v>Title + abstract</x:v>
      </x:c>
      <x:c r="H43" s="717" t="str">
        <x:v>Include</x:v>
      </x:c>
      <x:c r="I43" s="720" t="str">
        <x:v>Potential direct retinal/ophthalmic concept-based XAI evidence (title and abstract).</x:v>
      </x:c>
      <x:c r="J43" s="717" t="str">
        <x:f>IF(E43=H43,E43,"Unclear")</x:f>
        <x:v>Include</x:v>
      </x:c>
      <x:c r="K43" s="720" t="str">
        <x:f>IF(E43=H43,"Agreement between both AI passes.","AI-pass disagreement; retain for human discussion.")</x:f>
        <x:v>Agreement between both AI passes.</x:v>
      </x:c>
      <x:c r="L43" s="720" t="str">
        <x:v>T. Sangeetha; S. U; S. R. Arulprakash; S. R</x:v>
      </x:c>
      <x:c r="M43" s="728" t="str">
        <x:v>2026</x:v>
      </x:c>
      <x:c r="N43" s="717" t="str">
        <x:v>IEEE Conferences</x:v>
      </x:c>
      <x:c r="O43" s="717" t="str">
        <x:v>Yes</x:v>
      </x:c>
      <x:c r="P43" s="717" t="str">
        <x:v>https://ieeexplore.ieee.org/stamp/stamp.jsp?arnumber=11485500</x:v>
      </x:c>
    </x:row>
    <x:row r="44" ht="38" customHeight="1">
      <x:c r="A44" s="717" t="str">
        <x:v>IEEE-005</x:v>
      </x:c>
      <x:c r="B44" s="717" t="str">
        <x:v>IEEE Xplore</x:v>
      </x:c>
      <x:c r="C44" s="717" t="str">
        <x:v>IEEE-01</x:v>
      </x:c>
      <x:c r="D44" s="720" t="str">
        <x:v>Classification of Eye Diseases and Detection of Cataract using Digital Fundus...</x:v>
      </x:c>
      <x:c r="E44" s="717" t="str">
        <x:v>Exclude</x:v>
      </x:c>
      <x:c r="F44" s="720" t="str">
        <x:v>Retinal/ophthalmic topic, but no concept-based or structured explainability method is evident.</x:v>
      </x:c>
      <x:c r="G44" s="717" t="str">
        <x:v>Title + abstract</x:v>
      </x:c>
      <x:c r="H44" s="717" t="str">
        <x:v>Exclude</x:v>
      </x:c>
      <x:c r="I44" s="720" t="str">
        <x:v>Retinal/ophthalmic topic, but no concept-based or structured explainability method is evident.</x:v>
      </x:c>
      <x:c r="J44" s="717" t="str">
        <x:f>IF(E44=H44,E44,"Unclear")</x:f>
        <x:v>Exclude</x:v>
      </x:c>
      <x:c r="K44" s="720" t="str">
        <x:f>IF(E44=H44,"Agreement between both AI passes.","AI-pass disagreement; retain for human discussion.")</x:f>
        <x:v>Agreement between both AI passes.</x:v>
      </x:c>
      <x:c r="L44" s="720" t="str">
        <x:v>A. Raza; M. U. Khan; Z. Saeed; S. Samer; A. Mobeen; A. Samer</x:v>
      </x:c>
      <x:c r="M44" s="728" t="str">
        <x:v>2021</x:v>
      </x:c>
      <x:c r="N44" s="717" t="str">
        <x:v>IEEE Conferences</x:v>
      </x:c>
      <x:c r="O44" s="717" t="str">
        <x:v>Yes</x:v>
      </x:c>
      <x:c r="P44" s="717" t="str">
        <x:v>https://ieeexplore.ieee.org/stamp/stamp.jsp?arnumber=9701378</x:v>
      </x:c>
    </x:row>
    <x:row r="45" ht="38" customHeight="1">
      <x:c r="A45" s="717" t="str">
        <x:v>IEEE-006</x:v>
      </x:c>
      <x:c r="B45" s="717" t="str">
        <x:v>IEEE Xplore</x:v>
      </x:c>
      <x:c r="C45" s="717" t="str">
        <x:v>IEEE-01</x:v>
      </x:c>
      <x:c r="D45" s="720" t="str">
        <x:v>Inception V3 Based Approach for the Recognition of Age-related macular degene...</x:v>
      </x:c>
      <x:c r="E45" s="717" t="str">
        <x:v>Exclude</x:v>
      </x:c>
      <x:c r="F45" s="720" t="str">
        <x:v>Retinal/ophthalmic topic, but no concept-based or structured explainability method is evident.</x:v>
      </x:c>
      <x:c r="G45" s="717" t="str">
        <x:v>Title + abstract</x:v>
      </x:c>
      <x:c r="H45" s="717" t="str">
        <x:v>Exclude</x:v>
      </x:c>
      <x:c r="I45" s="720" t="str">
        <x:v>Retinal/ophthalmic topic, but no concept-based or structured explainability method is evident.</x:v>
      </x:c>
      <x:c r="J45" s="717" t="str">
        <x:f>IF(E45=H45,E45,"Unclear")</x:f>
        <x:v>Exclude</x:v>
      </x:c>
      <x:c r="K45" s="720" t="str">
        <x:f>IF(E45=H45,"Agreement between both AI passes.","AI-pass disagreement; retain for human discussion.")</x:f>
        <x:v>Agreement between both AI passes.</x:v>
      </x:c>
      <x:c r="L45" s="720" t="str">
        <x:v>R. O. Ogundokun; A. T. Abdulahi; A. R. Adenike; A. N. Babatunde; R. S. Babatunde</x:v>
      </x:c>
      <x:c r="M45" s="728" t="str">
        <x:v>2023</x:v>
      </x:c>
      <x:c r="N45" s="717" t="str">
        <x:v>IEEE Conferences</x:v>
      </x:c>
      <x:c r="O45" s="717" t="str">
        <x:v>Yes</x:v>
      </x:c>
      <x:c r="P45" s="717" t="str">
        <x:v>https://ieeexplore.ieee.org/stamp/stamp.jsp?arnumber=10124539</x:v>
      </x:c>
    </x:row>
    <x:row r="46" ht="38" customHeight="1">
      <x:c r="A46" s="717" t="str">
        <x:v>IEEE-007</x:v>
      </x:c>
      <x:c r="B46" s="717" t="str">
        <x:v>IEEE Xplore</x:v>
      </x:c>
      <x:c r="C46" s="717" t="str">
        <x:v>IEEE-01</x:v>
      </x:c>
      <x:c r="D46" s="720" t="str">
        <x:v>Fairness-Aware Multimodal Glaucoma Detection via Neurosymbolic Learning with ...</x:v>
      </x:c>
      <x:c r="E46" s="717" t="str">
        <x:v>Include</x:v>
      </x:c>
      <x:c r="F46" s="720" t="str">
        <x:v>Potential direct retinal/ophthalmic concept-based XAI evidence (title and abstract).</x:v>
      </x:c>
      <x:c r="G46" s="717" t="str">
        <x:v>Title + abstract</x:v>
      </x:c>
      <x:c r="H46" s="717" t="str">
        <x:v>Include</x:v>
      </x:c>
      <x:c r="I46" s="720" t="str">
        <x:v>Potential direct retinal/ophthalmic concept-based XAI evidence (title and abstract).</x:v>
      </x:c>
      <x:c r="J46" s="717" t="str">
        <x:f>IF(E46=H46,E46,"Unclear")</x:f>
        <x:v>Include</x:v>
      </x:c>
      <x:c r="K46" s="720" t="str">
        <x:f>IF(E46=H46,"Agreement between both AI passes.","AI-pass disagreement; retain for human discussion.")</x:f>
        <x:v>Agreement between both AI passes.</x:v>
      </x:c>
      <x:c r="L46" s="720" t="str">
        <x:v>A. Ferraro; M. Iammarino; F. Pecorelli; S. Mondal; G. De Pietro</x:v>
      </x:c>
      <x:c r="M46" s="728" t="str">
        <x:v>2026</x:v>
      </x:c>
      <x:c r="N46" s="717" t="str">
        <x:v>IEEE Conferences</x:v>
      </x:c>
      <x:c r="O46" s="717" t="str">
        <x:v>Yes</x:v>
      </x:c>
      <x:c r="P46" s="717" t="str">
        <x:v>https://ieeexplore.ieee.org/stamp/stamp.jsp?arnumber=11607573</x:v>
      </x:c>
    </x:row>
    <x:row r="47" ht="38" customHeight="1">
      <x:c r="A47" s="717" t="str">
        <x:v>IEEE-008</x:v>
      </x:c>
      <x:c r="B47" s="717" t="str">
        <x:v>IEEE Xplore</x:v>
      </x:c>
      <x:c r="C47" s="717" t="str">
        <x:v>IEEE-01</x:v>
      </x:c>
      <x:c r="D47" s="720" t="str">
        <x:v>Calibration Matters: Prototype-Aware Diffusion for OCT Cervical Classificatio...</x:v>
      </x:c>
      <x:c r="E47" s="717" t="str">
        <x:v>Exclude</x:v>
      </x:c>
      <x:c r="F47" s="720" t="str">
        <x:v>Clearly outside retinal/ophthalmic concept-based explainable AI.</x:v>
      </x:c>
      <x:c r="G47" s="717" t="str">
        <x:v>Title + abstract</x:v>
      </x:c>
      <x:c r="H47" s="717" t="str">
        <x:v>Exclude</x:v>
      </x:c>
      <x:c r="I47" s="720" t="str">
        <x:v>Clearly outside retinal/ophthalmic concept-based explainable AI.</x:v>
      </x:c>
      <x:c r="J47" s="717" t="str">
        <x:f>IF(E47=H47,E47,"Unclear")</x:f>
        <x:v>Exclude</x:v>
      </x:c>
      <x:c r="K47" s="720" t="str">
        <x:f>IF(E47=H47,"Agreement between both AI passes.","AI-pass disagreement; retain for human discussion.")</x:f>
        <x:v>Agreement between both AI passes.</x:v>
      </x:c>
      <x:c r="L47" s="720" t="str">
        <x:v>Y. Xiong; Z. Zhao; Y. Xu; Y. Zhang; B. Du</x:v>
      </x:c>
      <x:c r="M47" s="728" t="str">
        <x:v>2025</x:v>
      </x:c>
      <x:c r="N47" s="717" t="str">
        <x:v>IEEE Journals</x:v>
      </x:c>
      <x:c r="O47" s="717" t="str">
        <x:v>Yes</x:v>
      </x:c>
      <x:c r="P47" s="717" t="str">
        <x:v>https://ieeexplore.ieee.org/stamp/stamp.jsp?arnumber=10806844</x:v>
      </x:c>
    </x:row>
    <x:row r="48" ht="38" customHeight="1">
      <x:c r="A48" s="717" t="str">
        <x:v>IEEE-009</x:v>
      </x:c>
      <x:c r="B48" s="717" t="str">
        <x:v>IEEE Xplore</x:v>
      </x:c>
      <x:c r="C48" s="717" t="str">
        <x:v>IEEE-01</x:v>
      </x:c>
      <x:c r="D48" s="720" t="str">
        <x:v>Managing uncertainty during CBR systems vocabulary maintenance using Relation...</x:v>
      </x:c>
      <x:c r="E48" s="717" t="str">
        <x:v>Exclude</x:v>
      </x:c>
      <x:c r="F48" s="720" t="str">
        <x:v>Clearly outside retinal/ophthalmic concept-based explainable AI.</x:v>
      </x:c>
      <x:c r="G48" s="717" t="str">
        <x:v>Title + abstract</x:v>
      </x:c>
      <x:c r="H48" s="717" t="str">
        <x:v>Exclude</x:v>
      </x:c>
      <x:c r="I48" s="720" t="str">
        <x:v>Clearly outside retinal/ophthalmic concept-based explainable AI.</x:v>
      </x:c>
      <x:c r="J48" s="717" t="str">
        <x:f>IF(E48=H48,E48,"Unclear")</x:f>
        <x:v>Exclude</x:v>
      </x:c>
      <x:c r="K48" s="720" t="str">
        <x:f>IF(E48=H48,"Agreement between both AI passes.","AI-pass disagreement; retain for human discussion.")</x:f>
        <x:v>Agreement between both AI passes.</x:v>
      </x:c>
      <x:c r="L48" s="720" t="str">
        <x:v>S. Ben Ayed; Z. Elouedi; E. Lefevre</x:v>
      </x:c>
      <x:c r="M48" s="728" t="str">
        <x:v>2020</x:v>
      </x:c>
      <x:c r="N48" s="717" t="str">
        <x:v>IEEE Conferences</x:v>
      </x:c>
      <x:c r="O48" s="717" t="str">
        <x:v>Yes</x:v>
      </x:c>
      <x:c r="P48" s="717" t="str">
        <x:v>https://ieeexplore.ieee.org/stamp/stamp.jsp?arnumber=9151771</x:v>
      </x:c>
    </x:row>
    <x:row r="49" ht="38" customHeight="1">
      <x:c r="A49" s="717" t="str">
        <x:v>IEEE-010</x:v>
      </x:c>
      <x:c r="B49" s="717" t="str">
        <x:v>IEEE Xplore</x:v>
      </x:c>
      <x:c r="C49" s="717" t="str">
        <x:v>IEEE-01</x:v>
      </x:c>
      <x:c r="D49" s="720" t="str">
        <x:v>MedXAI-MM: A Unified Multi-Modality Explainable Artificial Intelligence Frame...</x:v>
      </x:c>
      <x:c r="E49" s="717" t="str">
        <x:v>Exclude</x:v>
      </x:c>
      <x:c r="F49" s="720" t="str">
        <x:v>Generic explainability topic outside the retinal/medical concept-XAI scope.</x:v>
      </x:c>
      <x:c r="G49" s="717" t="str">
        <x:v>Title + abstract</x:v>
      </x:c>
      <x:c r="H49" s="717" t="str">
        <x:v>Exclude</x:v>
      </x:c>
      <x:c r="I49" s="720" t="str">
        <x:v>Generic explainability topic outside the retinal/medical concept-XAI scope.</x:v>
      </x:c>
      <x:c r="J49" s="717" t="str">
        <x:f>IF(E49=H49,E49,"Unclear")</x:f>
        <x:v>Exclude</x:v>
      </x:c>
      <x:c r="K49" s="720" t="str">
        <x:f>IF(E49=H49,"Agreement between both AI passes.","AI-pass disagreement; retain for human discussion.")</x:f>
        <x:v>Agreement between both AI passes.</x:v>
      </x:c>
      <x:c r="L49" s="720" t="str">
        <x:v>O. Ghribi; M. Kharrat; M. Chaabane</x:v>
      </x:c>
      <x:c r="M49" s="728" t="str">
        <x:v>2025</x:v>
      </x:c>
      <x:c r="N49" s="717" t="str">
        <x:v>IEEE Conferences</x:v>
      </x:c>
      <x:c r="O49" s="717" t="str">
        <x:v>Yes</x:v>
      </x:c>
      <x:c r="P49" s="717" t="str">
        <x:v>https://ieeexplore.ieee.org/stamp/stamp.jsp?arnumber=11364859</x:v>
      </x:c>
    </x:row>
    <x:row r="50" ht="38" customHeight="1">
      <x:c r="A50" s="717" t="str">
        <x:v>IEEE-011</x:v>
      </x:c>
      <x:c r="B50" s="717" t="str">
        <x:v>IEEE Xplore</x:v>
      </x:c>
      <x:c r="C50" s="717" t="str">
        <x:v>IEEE-01</x:v>
      </x:c>
      <x:c r="D50" s="720" t="str">
        <x:v>Expert System for Diagnosis of Cataracts in Children With Bayes Theorem</x:v>
      </x:c>
      <x:c r="E50" s="717" t="str">
        <x:v>Exclude</x:v>
      </x:c>
      <x:c r="F50" s="720" t="str">
        <x:v>Medical/clinical topic, but no eligible concept-based explainability contribution is evident.</x:v>
      </x:c>
      <x:c r="G50" s="717" t="str">
        <x:v>Title + abstract</x:v>
      </x:c>
      <x:c r="H50" s="717" t="str">
        <x:v>Exclude</x:v>
      </x:c>
      <x:c r="I50" s="720" t="str">
        <x:v>Medical/clinical topic, but no eligible concept-based explainability contribution is evident.</x:v>
      </x:c>
      <x:c r="J50" s="717" t="str">
        <x:f>IF(E50=H50,E50,"Unclear")</x:f>
        <x:v>Exclude</x:v>
      </x:c>
      <x:c r="K50" s="720" t="str">
        <x:f>IF(E50=H50,"Agreement between both AI passes.","AI-pass disagreement; retain for human discussion.")</x:f>
        <x:v>Agreement between both AI passes.</x:v>
      </x:c>
      <x:c r="L50" s="720" t="str">
        <x:v>R. Sovia; S. Defit</x:v>
      </x:c>
      <x:c r="M50" s="728" t="str">
        <x:v>2021</x:v>
      </x:c>
      <x:c r="N50" s="717" t="str">
        <x:v>IEEE Conferences</x:v>
      </x:c>
      <x:c r="O50" s="717" t="str">
        <x:v>Yes</x:v>
      </x:c>
      <x:c r="P50" s="717" t="str">
        <x:v>https://ieeexplore.ieee.org/stamp/stamp.jsp?arnumber=9791931</x:v>
      </x:c>
    </x:row>
    <x:row r="51" ht="38" customHeight="1">
      <x:c r="A51" s="717" t="str">
        <x:v>IEEE-013</x:v>
      </x:c>
      <x:c r="B51" s="717" t="str">
        <x:v>IEEE Xplore</x:v>
      </x:c>
      <x:c r="C51" s="717" t="str">
        <x:v>IEEE-01</x:v>
      </x:c>
      <x:c r="D51" s="720" t="str">
        <x:v>ProtoD2C2: Prototype-Based Dual-Supervision, Dual-Consistency, and Dual-Contr...</x:v>
      </x:c>
      <x:c r="E51" s="717" t="str">
        <x:v>Exclude</x:v>
      </x:c>
      <x:c r="F51" s="720" t="str">
        <x:v>Clearly outside retinal/ophthalmic concept-based explainable AI.</x:v>
      </x:c>
      <x:c r="G51" s="717" t="str">
        <x:v>Title + abstract</x:v>
      </x:c>
      <x:c r="H51" s="717" t="str">
        <x:v>Exclude</x:v>
      </x:c>
      <x:c r="I51" s="720" t="str">
        <x:v>Clearly outside retinal/ophthalmic concept-based explainable AI.</x:v>
      </x:c>
      <x:c r="J51" s="717" t="str">
        <x:f>IF(E51=H51,E51,"Unclear")</x:f>
        <x:v>Exclude</x:v>
      </x:c>
      <x:c r="K51" s="720" t="str">
        <x:f>IF(E51=H51,"Agreement between both AI passes.","AI-pass disagreement; retain for human discussion.")</x:f>
        <x:v>Agreement between both AI passes.</x:v>
      </x:c>
      <x:c r="L51" s="720" t="str">
        <x:v>J. Liu; M. Zhang; Q. Tang; Y. Li; X. Wei; H. Zhang</x:v>
      </x:c>
      <x:c r="M51" s="728" t="str">
        <x:v>2025</x:v>
      </x:c>
      <x:c r="N51" s="717" t="str">
        <x:v>IEEE Conferences</x:v>
      </x:c>
      <x:c r="O51" s="717" t="str">
        <x:v>Yes</x:v>
      </x:c>
      <x:c r="P51" s="717" t="str">
        <x:v>https://ieeexplore.ieee.org/stamp/stamp.jsp?arnumber=11356061</x:v>
      </x:c>
    </x:row>
    <x:row r="52" ht="38" customHeight="1">
      <x:c r="A52" s="717" t="str">
        <x:v>IEEE-014</x:v>
      </x:c>
      <x:c r="B52" s="717" t="str">
        <x:v>IEEE Xplore</x:v>
      </x:c>
      <x:c r="C52" s="717" t="str">
        <x:v>IEEE-01</x:v>
      </x:c>
      <x:c r="D52" s="720" t="str">
        <x:v>Cross-Modality Image Interpretation via Concept Decomposition Vector of Visua...</x:v>
      </x:c>
      <x:c r="E52" s="717" t="str">
        <x:v>Include</x:v>
      </x:c>
      <x:c r="F52" s="720" t="str">
        <x:v>Foundational concept-XAI method relevant to the review taxonomy or reliability analysis (title and abstract).</x:v>
      </x:c>
      <x:c r="G52" s="717" t="str">
        <x:v>Title + abstract</x:v>
      </x:c>
      <x:c r="H52" s="717" t="str">
        <x:v>Unclear</x:v>
      </x:c>
      <x:c r="I52" s="720" t="str">
        <x:v>Concept-XAI method may be useful as foundational/contextual evidence; retinal or medical applicability requires discussion (title and abstract).</x:v>
      </x:c>
      <x:c r="J52" s="717" t="str">
        <x:f>IF(E52=H52,E52,"Unclear")</x:f>
        <x:v>Unclear</x:v>
      </x:c>
      <x:c r="K52" s="720" t="str">
        <x:f>IF(E52=H52,"Agreement between both AI passes.","AI-pass disagreement; retain for human discussion.")</x:f>
        <x:v>AI-pass disagreement; retain for human discussion.</x:v>
      </x:c>
      <x:c r="L52" s="720" t="str">
        <x:v>Z. Fang; Z. Yuan; Z. Li; J. Chen; K. Kuang; Y. -F. Yao; F. Wu</x:v>
      </x:c>
      <x:c r="M52" s="728" t="str">
        <x:v>2025</x:v>
      </x:c>
      <x:c r="N52" s="717" t="str">
        <x:v>IEEE Journals</x:v>
      </x:c>
      <x:c r="O52" s="717" t="str">
        <x:v>Yes</x:v>
      </x:c>
      <x:c r="P52" s="717" t="str">
        <x:v>https://ieeexplore.ieee.org/stamp/stamp.jsp?arnumber=10535313</x:v>
      </x:c>
    </x:row>
    <x:row r="53" ht="38" customHeight="1">
      <x:c r="A53" s="717" t="str">
        <x:v>IEEE-015</x:v>
      </x:c>
      <x:c r="B53" s="717" t="str">
        <x:v>IEEE Xplore</x:v>
      </x:c>
      <x:c r="C53" s="717" t="str">
        <x:v>IEEE-01</x:v>
      </x:c>
      <x:c r="D53" s="720" t="str">
        <x:v>Noisy Pixels, Credible Decisions – A Robust, Edge-Ready Neuro-Symbolic Archit...</x:v>
      </x:c>
      <x:c r="E53" s="717" t="str">
        <x:v>Include</x:v>
      </x:c>
      <x:c r="F53" s="720" t="str">
        <x:v>Potential contextual medical-imaging concept-XAI evidence (title and abstract).</x:v>
      </x:c>
      <x:c r="G53" s="717" t="str">
        <x:v>Title + abstract</x:v>
      </x:c>
      <x:c r="H53" s="717" t="str">
        <x:v>Unclear</x:v>
      </x:c>
      <x:c r="I53" s="720" t="str">
        <x:v>Possible contextual explainability evidence, but concept-level relevance is not confirmed from the available title and abstract.</x:v>
      </x:c>
      <x:c r="J53" s="717" t="str">
        <x:f>IF(E53=H53,E53,"Unclear")</x:f>
        <x:v>Unclear</x:v>
      </x:c>
      <x:c r="K53" s="720" t="str">
        <x:f>IF(E53=H53,"Agreement between both AI passes.","AI-pass disagreement; retain for human discussion.")</x:f>
        <x:v>AI-pass disagreement; retain for human discussion.</x:v>
      </x:c>
      <x:c r="L53" s="720" t="str">
        <x:v>C. K. Kubakisa; K. Kyamakya; W. V. Kambale; I. Lukusa Kayembe; D. K. Kabeya; ...</x:v>
      </x:c>
      <x:c r="M53" s="728" t="str">
        <x:v>2025</x:v>
      </x:c>
      <x:c r="N53" s="717" t="str">
        <x:v>IEEE Conferences</x:v>
      </x:c>
      <x:c r="O53" s="717" t="str">
        <x:v>Yes</x:v>
      </x:c>
      <x:c r="P53" s="717" t="str">
        <x:v>https://ieeexplore.ieee.org/stamp/stamp.jsp?arnumber=11533754</x:v>
      </x:c>
    </x:row>
    <x:row r="54" ht="38" customHeight="1">
      <x:c r="A54" s="717" t="str">
        <x:v>IEEE-016</x:v>
      </x:c>
      <x:c r="B54" s="717" t="str">
        <x:v>IEEE Xplore</x:v>
      </x:c>
      <x:c r="C54" s="717" t="str">
        <x:v>IEEE-01</x:v>
      </x:c>
      <x:c r="D54" s="720" t="str">
        <x:v>Exploring AI Integration in Autonomous Robotics for Precision Farming to Enha...</x:v>
      </x:c>
      <x:c r="E54" s="717" t="str">
        <x:v>Exclude</x:v>
      </x:c>
      <x:c r="F54" s="720" t="str">
        <x:v>Clearly outside retinal/ophthalmic concept-based explainable AI.</x:v>
      </x:c>
      <x:c r="G54" s="717" t="str">
        <x:v>Title + abstract</x:v>
      </x:c>
      <x:c r="H54" s="717" t="str">
        <x:v>Exclude</x:v>
      </x:c>
      <x:c r="I54" s="720" t="str">
        <x:v>Clearly outside retinal/ophthalmic concept-based explainable AI.</x:v>
      </x:c>
      <x:c r="J54" s="717" t="str">
        <x:f>IF(E54=H54,E54,"Unclear")</x:f>
        <x:v>Exclude</x:v>
      </x:c>
      <x:c r="K54" s="720" t="str">
        <x:f>IF(E54=H54,"Agreement between both AI passes.","AI-pass disagreement; retain for human discussion.")</x:f>
        <x:v>Agreement between both AI passes.</x:v>
      </x:c>
      <x:c r="L54" s="720" t="str">
        <x:v>J. Osei-Asiamah; J. R. R. Al-Assal; V. S. Rao; S. S. C. Mary; S. P; S. V</x:v>
      </x:c>
      <x:c r="M54" s="728" t="str">
        <x:v>2025</x:v>
      </x:c>
      <x:c r="N54" s="717" t="str">
        <x:v>IEEE Conferences</x:v>
      </x:c>
      <x:c r="O54" s="717" t="str">
        <x:v>Yes</x:v>
      </x:c>
      <x:c r="P54" s="717" t="str">
        <x:v>https://ieeexplore.ieee.org/stamp/stamp.jsp?arnumber=11378750</x:v>
      </x:c>
    </x:row>
    <x:row r="55" ht="38" customHeight="1">
      <x:c r="A55" s="717" t="str">
        <x:v>IEEE-017</x:v>
      </x:c>
      <x:c r="B55" s="717" t="str">
        <x:v>IEEE Xplore</x:v>
      </x:c>
      <x:c r="C55" s="717" t="str">
        <x:v>IEEE-01</x:v>
      </x:c>
      <x:c r="D55" s="720" t="str">
        <x:v>Predicting Early Risk of Diabetes using Hierarchical Fuzzy Logic</x:v>
      </x:c>
      <x:c r="E55" s="717" t="str">
        <x:v>Exclude</x:v>
      </x:c>
      <x:c r="F55" s="720" t="str">
        <x:v>Medical/clinical topic, but no eligible concept-based explainability contribution is evident.</x:v>
      </x:c>
      <x:c r="G55" s="717" t="str">
        <x:v>Title + abstract</x:v>
      </x:c>
      <x:c r="H55" s="717" t="str">
        <x:v>Exclude</x:v>
      </x:c>
      <x:c r="I55" s="720" t="str">
        <x:v>Medical/clinical topic, but no eligible concept-based explainability contribution is evident.</x:v>
      </x:c>
      <x:c r="J55" s="717" t="str">
        <x:f>IF(E55=H55,E55,"Unclear")</x:f>
        <x:v>Exclude</x:v>
      </x:c>
      <x:c r="K55" s="720" t="str">
        <x:f>IF(E55=H55,"Agreement between both AI passes.","AI-pass disagreement; retain for human discussion.")</x:f>
        <x:v>Agreement between both AI passes.</x:v>
      </x:c>
      <x:c r="L55" s="720" t="str">
        <x:v>K. Ananya; P. Nayak; V. Trivedi; A. S. Hanuman; K. Swaraja; A. Alkhayyat</x:v>
      </x:c>
      <x:c r="M55" s="728" t="str">
        <x:v>2024</x:v>
      </x:c>
      <x:c r="N55" s="717" t="str">
        <x:v>IEEE Conferences</x:v>
      </x:c>
      <x:c r="O55" s="717" t="str">
        <x:v>Yes</x:v>
      </x:c>
      <x:c r="P55" s="717" t="str">
        <x:v>https://ieeexplore.ieee.org/stamp/stamp.jsp?arnumber=10763099</x:v>
      </x:c>
    </x:row>
    <x:row r="56" ht="38" customHeight="1">
      <x:c r="A56" s="717" t="str">
        <x:v>IEEE-018</x:v>
      </x:c>
      <x:c r="B56" s="717" t="str">
        <x:v>IEEE Xplore</x:v>
      </x:c>
      <x:c r="C56" s="717" t="str">
        <x:v>IEEE-01</x:v>
      </x:c>
      <x:c r="D56" s="720" t="str">
        <x:v>Novel Robust Photoplethysmogram-Based Authentication</x:v>
      </x:c>
      <x:c r="E56" s="717" t="str">
        <x:v>Exclude</x:v>
      </x:c>
      <x:c r="F56" s="720" t="str">
        <x:v>Clearly outside retinal/ophthalmic concept-based explainable AI.</x:v>
      </x:c>
      <x:c r="G56" s="717" t="str">
        <x:v>Title + abstract</x:v>
      </x:c>
      <x:c r="H56" s="717" t="str">
        <x:v>Exclude</x:v>
      </x:c>
      <x:c r="I56" s="720" t="str">
        <x:v>Clearly outside retinal/ophthalmic concept-based explainable AI.</x:v>
      </x:c>
      <x:c r="J56" s="717" t="str">
        <x:f>IF(E56=H56,E56,"Unclear")</x:f>
        <x:v>Exclude</x:v>
      </x:c>
      <x:c r="K56" s="720" t="str">
        <x:f>IF(E56=H56,"Agreement between both AI passes.","AI-pass disagreement; retain for human discussion.")</x:f>
        <x:v>Agreement between both AI passes.</x:v>
      </x:c>
      <x:c r="L56" s="720" t="str">
        <x:v>L. Pu; P. J. Chacon; H. -C. Wu; J. -W. Choi</x:v>
      </x:c>
      <x:c r="M56" s="728" t="str">
        <x:v>2022</x:v>
      </x:c>
      <x:c r="N56" s="717" t="str">
        <x:v>IEEE Journals</x:v>
      </x:c>
      <x:c r="O56" s="717" t="str">
        <x:v>Yes</x:v>
      </x:c>
      <x:c r="P56" s="717" t="str">
        <x:v>https://ieeexplore.ieee.org/stamp/stamp.jsp?arnumber=9691326</x:v>
      </x:c>
    </x:row>
    <x:row r="57" ht="38" customHeight="1">
      <x:c r="A57" s="717" t="str">
        <x:v>IEEE-019</x:v>
      </x:c>
      <x:c r="B57" s="717" t="str">
        <x:v>IEEE Xplore</x:v>
      </x:c>
      <x:c r="C57" s="717" t="str">
        <x:v>IEEE-01</x:v>
      </x:c>
      <x:c r="D57" s="720" t="str">
        <x:v>On Interpretability of Deep Learning based Skin Lesion Classifiers using Conc...</x:v>
      </x:c>
      <x:c r="E57" s="717" t="str">
        <x:v>Unclear</x:v>
      </x:c>
      <x:c r="F57" s="720" t="str">
        <x:v>Possible contextual explainability evidence, but concept-level relevance is not confirmed from the available title and abstract.</x:v>
      </x:c>
      <x:c r="G57" s="717" t="str">
        <x:v>Title + abstract</x:v>
      </x:c>
      <x:c r="H57" s="717" t="str">
        <x:v>Unclear</x:v>
      </x:c>
      <x:c r="I57" s="720" t="str">
        <x:v>Possible contextual explainability evidence, but concept-level relevance is not confirmed from the available title and abstract.</x:v>
      </x:c>
      <x:c r="J57" s="717" t="str">
        <x:f>IF(E57=H57,E57,"Unclear")</x:f>
        <x:v>Unclear</x:v>
      </x:c>
      <x:c r="K57" s="720" t="str">
        <x:f>IF(E57=H57,"Agreement between both AI passes.","AI-pass disagreement; retain for human discussion.")</x:f>
        <x:v>Agreement between both AI passes.</x:v>
      </x:c>
      <x:c r="L57" s="720" t="str">
        <x:v>A. Lucieri; M. N. Bajwa; S. Alexander Braun; M. I. Malik; A. Dengel; S. Ahmed</x:v>
      </x:c>
      <x:c r="M57" s="728" t="str">
        <x:v>2020</x:v>
      </x:c>
      <x:c r="N57" s="717" t="str">
        <x:v>IEEE Conferences</x:v>
      </x:c>
      <x:c r="O57" s="717" t="str">
        <x:v>Yes</x:v>
      </x:c>
      <x:c r="P57" s="717" t="str">
        <x:v>https://ieeexplore.ieee.org/stamp/stamp.jsp?arnumber=9206946</x:v>
      </x:c>
    </x:row>
    <x:row r="58" ht="38" customHeight="1">
      <x:c r="A58" s="717" t="str">
        <x:v>GS-01-002</x:v>
      </x:c>
      <x:c r="B58" s="717" t="str">
        <x:v>Google Scholar</x:v>
      </x:c>
      <x:c r="C58" s="717" t="str">
        <x:v>GS-01</x:v>
      </x:c>
      <x:c r="D58" s="720" t="str">
        <x:v>Vision-language models guided graph concept reasoning for interpretable diabetic retinopathy diagnosis</x:v>
      </x:c>
      <x:c r="E58" s="717" t="str">
        <x:v>Include</x:v>
      </x:c>
      <x:c r="F58" s="720" t="str">
        <x:v>Potential direct retinal/ophthalmic concept-based XAI evidence (title only).</x:v>
      </x:c>
      <x:c r="G58" s="717" t="str">
        <x:v>Title only</x:v>
      </x:c>
      <x:c r="H58" s="717" t="str">
        <x:v>Include</x:v>
      </x:c>
      <x:c r="I58" s="720" t="str">
        <x:v>Potential direct retinal/ophthalmic concept-based XAI evidence (title only).</x:v>
      </x:c>
      <x:c r="J58" s="717" t="str">
        <x:f>IF(E58=H58,E58,"Unclear")</x:f>
        <x:v>Include</x:v>
      </x:c>
      <x:c r="K58" s="720" t="str">
        <x:f>IF(E58=H58,"Agreement between both AI passes.","AI-pass disagreement; retain for human discussion.")</x:f>
        <x:v>Agreement between both AI passes.</x:v>
      </x:c>
      <x:c r="L58" s="720" t="str">
        <x:v>O Xu XLuo, ¥ Lin. Cliu Y¥Hu Jli XLyu + Proceedings af tna AAAI 2026</x:v>
      </x:c>
      <x:c r="M58" s="728" t="n">
        <x:v>2026</x:v>
      </x:c>
      <x:c r="N58" s="717" t="str">
        <x:v>Google Scholar result</x:v>
      </x:c>
      <x:c r="O58" s="717" t="str">
        <x:v>No</x:v>
      </x:c>
      <x:c r="P58" s="717"/>
    </x:row>
    <x:row r="59" ht="38" customHeight="1">
      <x:c r="A59" s="717" t="str">
        <x:v>GS-01-003</x:v>
      </x:c>
      <x:c r="B59" s="717" t="str">
        <x:v>Google Scholar</x:v>
      </x:c>
      <x:c r="C59" s="717" t="str">
        <x:v>GS-01</x:v>
      </x:c>
      <x:c r="D59" s="720" t="str">
        <x:v>MultEYE: Dataset and benchmark for OC T-enhanced retinal disease recognition from fundus images</x:v>
      </x:c>
      <x:c r="E59" s="717" t="str">
        <x:v>Exclude</x:v>
      </x:c>
      <x:c r="F59" s="720" t="str">
        <x:v>Retinal/ophthalmic topic, but no concept-based or structured explainability method is evident.</x:v>
      </x:c>
      <x:c r="G59" s="717" t="str">
        <x:v>Title only</x:v>
      </x:c>
      <x:c r="H59" s="717" t="str">
        <x:v>Exclude</x:v>
      </x:c>
      <x:c r="I59" s="720" t="str">
        <x:v>Retinal/ophthalmic topic, but no concept-based or structured explainability method is evident.</x:v>
      </x:c>
      <x:c r="J59" s="717" t="str">
        <x:f>IF(E59=H59,E59,"Unclear")</x:f>
        <x:v>Exclude</x:v>
      </x:c>
      <x:c r="K59" s="720" t="str">
        <x:f>IF(E59=H59,"Agreement between both AI passes.","AI-pass disagreement; retain for human discussion.")</x:f>
        <x:v>Agreement between both AI passes.</x:v>
      </x:c>
      <x:c r="L59" s="720" t="str">
        <x:v>LWang CCi.o Cu LAr MJic</x:v>
      </x:c>
      <x:c r="M59" s="728"/>
      <x:c r="N59" s="717" t="str">
        <x:v>Google Scholar result</x:v>
      </x:c>
      <x:c r="O59" s="717" t="str">
        <x:v>No</x:v>
      </x:c>
      <x:c r="P59" s="717"/>
    </x:row>
    <x:row r="60" ht="38" customHeight="1">
      <x:c r="A60" s="717" t="str">
        <x:v>GS-01-005</x:v>
      </x:c>
      <x:c r="B60" s="717" t="str">
        <x:v>Google Scholar</x:v>
      </x:c>
      <x:c r="C60" s="717" t="str">
        <x:v>GS-01</x:v>
      </x:c>
      <x:c r="D60" s="720" t="str">
        <x:v>Mitigating domain shift in concept bottleneck models for diadatic retinopathy grading via learnable concept projection</x:v>
      </x:c>
      <x:c r="E60" s="717" t="str">
        <x:v>Include</x:v>
      </x:c>
      <x:c r="F60" s="720" t="str">
        <x:v>Potential direct retinal/ophthalmic concept-based XAI evidence (title only).</x:v>
      </x:c>
      <x:c r="G60" s="717" t="str">
        <x:v>Title only</x:v>
      </x:c>
      <x:c r="H60" s="717" t="str">
        <x:v>Include</x:v>
      </x:c>
      <x:c r="I60" s="720" t="str">
        <x:v>Potential direct retinal/ophthalmic concept-based XAI evidence (title only).</x:v>
      </x:c>
      <x:c r="J60" s="717" t="str">
        <x:f>IF(E60=H60,E60,"Unclear")</x:f>
        <x:v>Include</x:v>
      </x:c>
      <x:c r="K60" s="720" t="str">
        <x:f>IF(E60=H60,"Agreement between both AI passes.","AI-pass disagreement; retain for human discussion.")</x:f>
        <x:v>Agreement between both AI passes.</x:v>
      </x:c>
      <x:c r="L60" s="720" t="str">
        <x:v>Yea ELee- Medical Imaging 2926 tage Perceptian §«—-2126</x:v>
      </x:c>
      <x:c r="M60" s="728"/>
      <x:c r="N60" s="717" t="str">
        <x:v>Google Scholar result</x:v>
      </x:c>
      <x:c r="O60" s="717" t="str">
        <x:v>No</x:v>
      </x:c>
      <x:c r="P60" s="717"/>
    </x:row>
    <x:row r="61" ht="38" customHeight="1">
      <x:c r="A61" s="717" t="str">
        <x:v>GS-01-006</x:v>
      </x:c>
      <x:c r="B61" s="717" t="str">
        <x:v>Google Scholar</x:v>
      </x:c>
      <x:c r="C61" s="717" t="str">
        <x:v>GS-01</x:v>
      </x:c>
      <x:c r="D61" s="720" t="str">
        <x:v>Concept-based lesion aware transformer for interpretable retinal disease diagnosis</x:v>
      </x:c>
      <x:c r="E61" s="717" t="str">
        <x:v>Include</x:v>
      </x:c>
      <x:c r="F61" s="720" t="str">
        <x:v>Potential direct retinal/ophthalmic concept-based XAI evidence (title only).</x:v>
      </x:c>
      <x:c r="G61" s="717" t="str">
        <x:v>Title only</x:v>
      </x:c>
      <x:c r="H61" s="717" t="str">
        <x:v>Include</x:v>
      </x:c>
      <x:c r="I61" s="720" t="str">
        <x:v>Potential direct retinal/ophthalmic concept-based XAI evidence (title only).</x:v>
      </x:c>
      <x:c r="J61" s="717" t="str">
        <x:f>IF(E61=H61,E61,"Unclear")</x:f>
        <x:v>Include</x:v>
      </x:c>
      <x:c r="K61" s="720" t="str">
        <x:f>IF(E61=H61,"Agreement between both AI passes.","AI-pass disagreement; retain for human discussion.")</x:f>
        <x:v>Agreement between both AI passes.</x:v>
      </x:c>
      <x:c r="L61" s="720" t="str">
        <x:v>CwWer MY2 HLi Tohen</x:v>
      </x:c>
      <x:c r="M61" s="728" t="n">
        <x:v>2024</x:v>
      </x:c>
      <x:c r="N61" s="717" t="str">
        <x:v>Google Scholar result</x:v>
      </x:c>
      <x:c r="O61" s="717" t="str">
        <x:v>No</x:v>
      </x:c>
      <x:c r="P61" s="717"/>
    </x:row>
    <x:row r="62" ht="38" customHeight="1">
      <x:c r="A62" s="717" t="str">
        <x:v>GS-01-007</x:v>
      </x:c>
      <x:c r="B62" s="717" t="str">
        <x:v>Google Scholar</x:v>
      </x:c>
      <x:c r="C62" s="717" t="str">
        <x:v>GS-01</x:v>
      </x:c>
      <x:c r="D62" s="720" t="str">
        <x:v>Adacbm An adaplive concept bottleneck model for explainable and accurate diagnasis</x:v>
      </x:c>
      <x:c r="E62" s="717" t="str">
        <x:v>Include</x:v>
      </x:c>
      <x:c r="F62" s="720" t="str">
        <x:v>Foundational concept-XAI method relevant to the review taxonomy or reliability analysis (title only).</x:v>
      </x:c>
      <x:c r="G62" s="717" t="str">
        <x:v>Title only</x:v>
      </x:c>
      <x:c r="H62" s="717" t="str">
        <x:v>Unclear</x:v>
      </x:c>
      <x:c r="I62" s="720" t="str">
        <x:v>Concept-XAI method may be useful as foundational/contextual evidence; retinal or medical applicability requires discussion (title only).</x:v>
      </x:c>
      <x:c r="J62" s="717" t="str">
        <x:f>IF(E62=H62,E62,"Unclear")</x:f>
        <x:v>Unclear</x:v>
      </x:c>
      <x:c r="K62" s="720" t="str">
        <x:f>IF(E62=H62,"Agreement between both AI passes.","AI-pass disagreement; retain for human discussion.")</x:f>
        <x:v>AI-pass disagreement; retain for human discussion.</x:v>
      </x:c>
      <x:c r="L62" s="720" t="str">
        <x:v>TF Chowdhury YMH Phan KLiao MSTo</x:v>
      </x:c>
      <x:c r="M62" s="728" t="n">
        <x:v>2024</x:v>
      </x:c>
      <x:c r="N62" s="717" t="str">
        <x:v>Google Scholar result</x:v>
      </x:c>
      <x:c r="O62" s="717" t="str">
        <x:v>No</x:v>
      </x:c>
      <x:c r="P62" s="717"/>
    </x:row>
    <x:row r="63" ht="38" customHeight="1">
      <x:c r="A63" s="717" t="str">
        <x:v>GS-01-008</x:v>
      </x:c>
      <x:c r="B63" s="717" t="str">
        <x:v>Google Scholar</x:v>
      </x:c>
      <x:c r="C63" s="717" t="str">
        <x:v>GS-01</x:v>
      </x:c>
      <x:c r="D63" s="720" t="str">
        <x:v>Mvp-cbm: Mult-layer visual preference-enhanced concept bottleneck model for explainable medical image classificatian</x:v>
      </x:c>
      <x:c r="E63" s="717" t="str">
        <x:v>Include</x:v>
      </x:c>
      <x:c r="F63" s="720" t="str">
        <x:v>Potential contextual medical-imaging concept-XAI evidence (title only).</x:v>
      </x:c>
      <x:c r="G63" s="717" t="str">
        <x:v>Title only</x:v>
      </x:c>
      <x:c r="H63" s="717" t="str">
        <x:v>Unclear</x:v>
      </x:c>
      <x:c r="I63" s="720" t="str">
        <x:v>Possible contextual explainability evidence, but concept-level relevance is not confirmed from the available title only.</x:v>
      </x:c>
      <x:c r="J63" s="717" t="str">
        <x:f>IF(E63=H63,E63,"Unclear")</x:f>
        <x:v>Unclear</x:v>
      </x:c>
      <x:c r="K63" s="720" t="str">
        <x:f>IF(E63=H63,"Agreement between both AI passes.","AI-pass disagreement; retain for human discussion.")</x:f>
        <x:v>AI-pass disagreement; retain for human discussion.</x:v>
      </x:c>
      <x:c r="L63" s="720" t="str">
        <x:v>Cyvang Kgharg ¥Liv,2He. X90</x:v>
      </x:c>
      <x:c r="M63" s="728" t="n">
        <x:v>2025</x:v>
      </x:c>
      <x:c r="N63" s="717" t="str">
        <x:v>Google Scholar result</x:v>
      </x:c>
      <x:c r="O63" s="717" t="str">
        <x:v>No</x:v>
      </x:c>
      <x:c r="P63" s="717"/>
    </x:row>
    <x:row r="64" ht="38" customHeight="1">
      <x:c r="A64" s="717" t="str">
        <x:v>GS-01-009</x:v>
      </x:c>
      <x:c r="B64" s="717" t="str">
        <x:v>Google Scholar</x:v>
      </x:c>
      <x:c r="C64" s="717" t="str">
        <x:v>GS-01</x:v>
      </x:c>
      <x:c r="D64" s="720" t="str">
        <x:v>Robust and interpretable medical image classifiers via concept bottleneck models</x:v>
      </x:c>
      <x:c r="E64" s="717" t="str">
        <x:v>Include</x:v>
      </x:c>
      <x:c r="F64" s="720" t="str">
        <x:v>Potential contextual medical-imaging concept-XAI evidence (title only).</x:v>
      </x:c>
      <x:c r="G64" s="717" t="str">
        <x:v>Title only</x:v>
      </x:c>
      <x:c r="H64" s="717" t="str">
        <x:v>Unclear</x:v>
      </x:c>
      <x:c r="I64" s="720" t="str">
        <x:v>Possible contextual explainability evidence, but concept-level relevance is not confirmed from the available title only.</x:v>
      </x:c>
      <x:c r="J64" s="717" t="str">
        <x:f>IF(E64=H64,E64,"Unclear")</x:f>
        <x:v>Unclear</x:v>
      </x:c>
      <x:c r="K64" s="720" t="str">
        <x:f>IF(E64=H64,"Agreement between both AI passes.","AI-pass disagreement; retain for human discussion.")</x:f>
        <x:v>AI-pass disagreement; retain for human discussion.</x:v>
      </x:c>
      <x:c r="L64" s="720" t="str">
        <x:v>AYar YwWang YZhong Zhe, PKarypis</x:v>
      </x:c>
      <x:c r="M64" s="728" t="n">
        <x:v>2023</x:v>
      </x:c>
      <x:c r="N64" s="717" t="str">
        <x:v>Google Scholar result</x:v>
      </x:c>
      <x:c r="O64" s="717" t="str">
        <x:v>No</x:v>
      </x:c>
      <x:c r="P64" s="717"/>
    </x:row>
    <x:row r="65" ht="38" customHeight="1">
      <x:c r="A65" s="717" t="str">
        <x:v>GS-01-010</x:v>
      </x:c>
      <x:c r="B65" s="717" t="str">
        <x:v>Google Scholar</x:v>
      </x:c>
      <x:c r="C65" s="717" t="str">
        <x:v>GS-01</x:v>
      </x:c>
      <x:c r="D65" s="720" t="str">
        <x:v>Concept bottleneck models</x:v>
      </x:c>
      <x:c r="E65" s="717" t="str">
        <x:v>Unclear</x:v>
      </x:c>
      <x:c r="F65" s="720" t="str">
        <x:v>Concept-XAI method may be useful as foundational/contextual evidence; retinal or medical applicability requires discussion (title only).</x:v>
      </x:c>
      <x:c r="G65" s="717" t="str">
        <x:v>Title only</x:v>
      </x:c>
      <x:c r="H65" s="717" t="str">
        <x:v>Exclude</x:v>
      </x:c>
      <x:c r="I65" s="720" t="str">
        <x:v>Clearly outside retinal/ophthalmic concept-based explainable AI.</x:v>
      </x:c>
      <x:c r="J65" s="717" t="str">
        <x:f>IF(E65=H65,E65,"Unclear")</x:f>
        <x:v>Unclear</x:v>
      </x:c>
      <x:c r="K65" s="720" t="str">
        <x:f>IF(E65=H65,"Agreement between both AI passes.","AI-pass disagreement; retain for human discussion.")</x:f>
        <x:v>AI-pass disagreement; retain for human discussion.</x:v>
      </x:c>
      <x:c r="L65" s="720" t="str">
        <x:v>PW Kob Laven YS Tang -Iniernational 2023</x:v>
      </x:c>
      <x:c r="M65" s="728" t="n">
        <x:v>2023</x:v>
      </x:c>
      <x:c r="N65" s="717" t="str">
        <x:v>Google Scholar result</x:v>
      </x:c>
      <x:c r="O65" s="717" t="str">
        <x:v>No</x:v>
      </x:c>
      <x:c r="P65" s="717"/>
    </x:row>
    <x:row r="66" ht="38" customHeight="1">
      <x:c r="A66" s="717" t="str">
        <x:v>GS-01-011</x:v>
      </x:c>
      <x:c r="B66" s="717" t="str">
        <x:v>Google Scholar</x:v>
      </x:c>
      <x:c r="C66" s="717" t="str">
        <x:v>GS-01</x:v>
      </x:c>
      <x:c r="D66" s="720" t="str">
        <x:v>Learning optimal summanies of clinical tme-series with concept bottleneck models</x:v>
      </x:c>
      <x:c r="E66" s="717" t="str">
        <x:v>Unclear</x:v>
      </x:c>
      <x:c r="F66" s="720" t="str">
        <x:v>Concept-XAI method may be useful as foundational/contextual evidence; retinal or medical applicability requires discussion (title only).</x:v>
      </x:c>
      <x:c r="G66" s="717" t="str">
        <x:v>Title only</x:v>
      </x:c>
      <x:c r="H66" s="717" t="str">
        <x:v>Exclude</x:v>
      </x:c>
      <x:c r="I66" s="720" t="str">
        <x:v>Medical/clinical topic, but no eligible concept-based explainability contribution is evident.</x:v>
      </x:c>
      <x:c r="J66" s="717" t="str">
        <x:f>IF(E66=H66,E66,"Unclear")</x:f>
        <x:v>Unclear</x:v>
      </x:c>
      <x:c r="K66" s="720" t="str">
        <x:f>IF(E66=H66,"Agreement between both AI passes.","AI-pass disagreement; retain for human discussion.")</x:f>
        <x:v>AI-pass disagreement; retain for human discussion.</x:v>
      </x:c>
      <x:c r="L66" s="720" t="str">
        <x:v>CwWu § Parbhso M~avasi -MachineLearnngfor 2022</x:v>
      </x:c>
      <x:c r="M66" s="728" t="n">
        <x:v>2022</x:v>
      </x:c>
      <x:c r="N66" s="717" t="str">
        <x:v>Google Scholar result</x:v>
      </x:c>
      <x:c r="O66" s="717" t="str">
        <x:v>No</x:v>
      </x:c>
      <x:c r="P66" s="717"/>
    </x:row>
    <x:row r="67" ht="38" customHeight="1">
      <x:c r="A67" s="717" t="str">
        <x:v>GS-01-012</x:v>
      </x:c>
      <x:c r="B67" s="717" t="str">
        <x:v>Google Scholar</x:v>
      </x:c>
      <x:c r="C67" s="717" t="str">
        <x:v>GS-01</x:v>
      </x:c>
      <x:c r="D67" s="720" t="str">
        <x:v>Graph integrated multimodal concept bottleneck model</x:v>
      </x:c>
      <x:c r="E67" s="717" t="str">
        <x:v>Unclear</x:v>
      </x:c>
      <x:c r="F67" s="720" t="str">
        <x:v>Concept-XAI method may be useful as foundational/contextual evidence; retinal or medical applicability requires discussion (title only).</x:v>
      </x:c>
      <x:c r="G67" s="717" t="str">
        <x:v>Title only</x:v>
      </x:c>
      <x:c r="H67" s="717" t="str">
        <x:v>Exclude</x:v>
      </x:c>
      <x:c r="I67" s="720" t="str">
        <x:v>Clearly outside retinal/ophthalmic concept-based explainable AI.</x:v>
      </x:c>
      <x:c r="J67" s="717" t="str">
        <x:f>IF(E67=H67,E67,"Unclear")</x:f>
        <x:v>Unclear</x:v>
      </x:c>
      <x:c r="K67" s="720" t="str">
        <x:f>IF(E67=H67,"Agreement between both AI passes.","AI-pass disagreement; retain for human discussion.")</x:f>
        <x:v>AI-pass disagreement; retain for human discussion.</x:v>
      </x:c>
      <x:c r="L67" s="720" t="str">
        <x:v>JLin J Zhang GLu- arXiv preprini arXiv 2510 OC701 2026</x:v>
      </x:c>
      <x:c r="M67" s="728" t="n">
        <x:v>2026</x:v>
      </x:c>
      <x:c r="N67" s="717" t="str">
        <x:v>Google Scholar result</x:v>
      </x:c>
      <x:c r="O67" s="717" t="str">
        <x:v>No</x:v>
      </x:c>
      <x:c r="P67" s="717"/>
    </x:row>
    <x:row r="68" ht="38" customHeight="1">
      <x:c r="A68" s="717" t="str">
        <x:v>GS-01-013</x:v>
      </x:c>
      <x:c r="B68" s="717" t="str">
        <x:v>Google Scholar</x:v>
      </x:c>
      <x:c r="C68" s="717" t="str">
        <x:v>GS-01</x:v>
      </x:c>
      <x:c r="D68" s="720" t="str">
        <x:v>Hyperbolic Concept Bottleneck Model for Interpretable Fine-grained Image Classification</x:v>
      </x:c>
      <x:c r="E68" s="717" t="str">
        <x:v>Include</x:v>
      </x:c>
      <x:c r="F68" s="720" t="str">
        <x:v>Foundational concept-XAI method relevant to the review taxonomy or reliability analysis (title only).</x:v>
      </x:c>
      <x:c r="G68" s="717" t="str">
        <x:v>Title only</x:v>
      </x:c>
      <x:c r="H68" s="717" t="str">
        <x:v>Unclear</x:v>
      </x:c>
      <x:c r="I68" s="720" t="str">
        <x:v>Concept-XAI method may be useful as foundational/contextual evidence; retinal or medical applicability requires discussion (title only).</x:v>
      </x:c>
      <x:c r="J68" s="717" t="str">
        <x:f>IF(E68=H68,E68,"Unclear")</x:f>
        <x:v>Unclear</x:v>
      </x:c>
      <x:c r="K68" s="720" t="str">
        <x:f>IF(E68=H68,"Agreement between both AI passes.","AI-pass disagreement; retain for human discussion.")</x:f>
        <x:v>AI-pass disagreement; retain for human discussion.</x:v>
      </x:c>
      <x:c r="L68" s="720" t="str">
        <x:v>HM Zhou S Zhacg.- Fu. J Z-ang + EEE Teansactonson 2025</x:v>
      </x:c>
      <x:c r="M68" s="728" t="n">
        <x:v>2025</x:v>
      </x:c>
      <x:c r="N68" s="717" t="str">
        <x:v>Google Scholar result</x:v>
      </x:c>
      <x:c r="O68" s="717" t="str">
        <x:v>No</x:v>
      </x:c>
      <x:c r="P68" s="717"/>
    </x:row>
    <x:row r="69" ht="38" customHeight="1">
      <x:c r="A69" s="717" t="str">
        <x:v>GS-01-014</x:v>
      </x:c>
      <x:c r="B69" s="717" t="str">
        <x:v>Google Scholar</x:v>
      </x:c>
      <x:c r="C69" s="717" t="str">
        <x:v>GS-01</x:v>
      </x:c>
      <x:c r="D69" s="720" t="str">
        <x:v>Explainable Visual Anomaly Detection via Concept Bottleneck Models</x:v>
      </x:c>
      <x:c r="E69" s="717" t="str">
        <x:v>Include</x:v>
      </x:c>
      <x:c r="F69" s="720" t="str">
        <x:v>Foundational concept-XAI method relevant to the review taxonomy or reliability analysis (title only).</x:v>
      </x:c>
      <x:c r="G69" s="717" t="str">
        <x:v>Title only</x:v>
      </x:c>
      <x:c r="H69" s="717" t="str">
        <x:v>Unclear</x:v>
      </x:c>
      <x:c r="I69" s="720" t="str">
        <x:v>Concept-XAI method may be useful as foundational/contextual evidence; retinal or medical applicability requires discussion (title only).</x:v>
      </x:c>
      <x:c r="J69" s="717" t="str">
        <x:f>IF(E69=H69,E69,"Unclear")</x:f>
        <x:v>Unclear</x:v>
      </x:c>
      <x:c r="K69" s="720" t="str">
        <x:f>IF(E69=H69,"Agreement between both AI passes.","AI-pass disagreement; retain for human discussion.")</x:f>
        <x:v>AI-pass disagreement; retain for human discussion.</x:v>
      </x:c>
      <x:c r="L69" s="720" t="str">
        <x:v>ASircpen V Zaccaria EF Borsatti OD Pazze =~ arXiv preprin! arXiv 2025</x:v>
      </x:c>
      <x:c r="M69" s="728" t="n">
        <x:v>2025</x:v>
      </x:c>
      <x:c r="N69" s="717" t="str">
        <x:v>Google Scholar result</x:v>
      </x:c>
      <x:c r="O69" s="717" t="str">
        <x:v>No</x:v>
      </x:c>
      <x:c r="P69" s="717"/>
    </x:row>
    <x:row r="70" ht="38" customHeight="1">
      <x:c r="A70" s="717" t="str">
        <x:v>GS-01-015</x:v>
      </x:c>
      <x:c r="B70" s="717" t="str">
        <x:v>Google Scholar</x:v>
      </x:c>
      <x:c r="C70" s="717" t="str">
        <x:v>GS-01</x:v>
      </x:c>
      <x:c r="D70" s="720" t="str">
        <x:v>interpretable model-agnostic plausibility verification for 2d object detectors using domain-invariant concept bottleneck models</x:v>
      </x:c>
      <x:c r="E70" s="717" t="str">
        <x:v>Include</x:v>
      </x:c>
      <x:c r="F70" s="720" t="str">
        <x:v>Foundational concept-XAI method relevant to the review taxonomy or reliability analysis (title only).</x:v>
      </x:c>
      <x:c r="G70" s="717" t="str">
        <x:v>Title only</x:v>
      </x:c>
      <x:c r="H70" s="717" t="str">
        <x:v>Unclear</x:v>
      </x:c>
      <x:c r="I70" s="720" t="str">
        <x:v>Concept-XAI method may be useful as foundational/contextual evidence; retinal or medical applicability requires discussion (title only).</x:v>
      </x:c>
      <x:c r="J70" s="717" t="str">
        <x:f>IF(E70=H70,E70,"Unclear")</x:f>
        <x:v>Unclear</x:v>
      </x:c>
      <x:c r="K70" s="720" t="str">
        <x:f>IF(E70=H70,"Agreement between both AI passes.","AI-pass disagreement; retain for human discussion.")</x:f>
        <x:v>AI-pass disagreement; retain for human discussion.</x:v>
      </x:c>
      <x:c r="L70" s="720" t="str">
        <x:v>M Xeser G Schwalbe ANowzad -7027 IEEE:CVF 2023 -ieeexplore ees org</x:v>
      </x:c>
      <x:c r="M70" s="728" t="n">
        <x:v>2023</x:v>
      </x:c>
      <x:c r="N70" s="717" t="str">
        <x:v>Google Scholar result</x:v>
      </x:c>
      <x:c r="O70" s="717" t="str">
        <x:v>No</x:v>
      </x:c>
      <x:c r="P70" s="717"/>
    </x:row>
    <x:row r="71" ht="38" customHeight="1">
      <x:c r="A71" s="717" t="str">
        <x:v>GS-01-016</x:v>
      </x:c>
      <x:c r="B71" s="717" t="str">
        <x:v>Google Scholar</x:v>
      </x:c>
      <x:c r="C71" s="717" t="str">
        <x:v>GS-01</x:v>
      </x:c>
      <x:c r="D71" s="720" t="str">
        <x:v>Concept bottleneck model with additional unsupervised concepts</x:v>
      </x:c>
      <x:c r="E71" s="717" t="str">
        <x:v>Unclear</x:v>
      </x:c>
      <x:c r="F71" s="720" t="str">
        <x:v>Concept-XAI method may be useful as foundational/contextual evidence; retinal or medical applicability requires discussion (title only).</x:v>
      </x:c>
      <x:c r="G71" s="717" t="str">
        <x:v>Title only</x:v>
      </x:c>
      <x:c r="H71" s="717" t="str">
        <x:v>Exclude</x:v>
      </x:c>
      <x:c r="I71" s="720" t="str">
        <x:v>Clearly outside retinal/ophthalmic concept-based explainable AI.</x:v>
      </x:c>
      <x:c r="J71" s="717" t="str">
        <x:f>IF(E71=H71,E71,"Unclear")</x:f>
        <x:v>Unclear</x:v>
      </x:c>
      <x:c r="K71" s="720" t="str">
        <x:f>IF(E71=H71,"Agreement between both AI passes.","AI-pass disagreement; retain for human discussion.")</x:f>
        <x:v>AI-pass disagreement; retain for human discussion.</x:v>
      </x:c>
      <x:c r="L71" s="720" t="str">
        <x:v>Y Sawada. K Nakamura</x:v>
      </x:c>
      <x:c r="M71" s="728" t="n">
        <x:v>2022</x:v>
      </x:c>
      <x:c r="N71" s="717" t="str">
        <x:v>Google Scholar result</x:v>
      </x:c>
      <x:c r="O71" s="717" t="str">
        <x:v>No</x:v>
      </x:c>
      <x:c r="P71" s="717"/>
    </x:row>
    <x:row r="72" ht="38" customHeight="1">
      <x:c r="A72" s="717" t="str">
        <x:v>GS-01-017</x:v>
      </x:c>
      <x:c r="B72" s="717" t="str">
        <x:v>Google Scholar</x:v>
      </x:c>
      <x:c r="C72" s="717" t="str">
        <x:v>GS-01</x:v>
      </x:c>
      <x:c r="D72" s="720" t="str">
        <x:v>Spatally Graunded Concept Bottleneck Models for Trustworthy Breast Ultrasound Diagnasis</x:v>
      </x:c>
      <x:c r="E72" s="717" t="str">
        <x:v>Include</x:v>
      </x:c>
      <x:c r="F72" s="720" t="str">
        <x:v>Potential contextual medical-imaging concept-XAI evidence (title only).</x:v>
      </x:c>
      <x:c r="G72" s="717" t="str">
        <x:v>Title only</x:v>
      </x:c>
      <x:c r="H72" s="717" t="str">
        <x:v>Unclear</x:v>
      </x:c>
      <x:c r="I72" s="720" t="str">
        <x:v>Possible contextual explainability evidence, but concept-level relevance is not confirmed from the available title only.</x:v>
      </x:c>
      <x:c r="J72" s="717" t="str">
        <x:f>IF(E72=H72,E72,"Unclear")</x:f>
        <x:v>Unclear</x:v>
      </x:c>
      <x:c r="K72" s="720" t="str">
        <x:f>IF(E72=H72,"Agreement between both AI passes.","AI-pass disagreement; retain for human discussion.")</x:f>
        <x:v>AI-pass disagreement; retain for human discussion.</x:v>
      </x:c>
      <x:c r="L72" s="720" t="str">
        <x:v>MR Tonriey DO She HY Adarbah. ANgere</x:v>
      </x:c>
      <x:c r="M72" s="728" t="n">
        <x:v>2026</x:v>
      </x:c>
      <x:c r="N72" s="717" t="str">
        <x:v>Google Scholar result</x:v>
      </x:c>
      <x:c r="O72" s="717" t="str">
        <x:v>No</x:v>
      </x:c>
      <x:c r="P72" s="717"/>
    </x:row>
    <x:row r="73" ht="38" customHeight="1">
      <x:c r="A73" s="717" t="str">
        <x:v>GS-01-018</x:v>
      </x:c>
      <x:c r="B73" s="717" t="str">
        <x:v>Google Scholar</x:v>
      </x:c>
      <x:c r="C73" s="717" t="str">
        <x:v>GS-01</x:v>
      </x:c>
      <x:c r="D73" s="720" t="str">
        <x:v>Explaring the impact af canceptual bottlenecks on adversanal robustness of deep neural networks</x:v>
      </x:c>
      <x:c r="E73" s="717" t="str">
        <x:v>Exclude</x:v>
      </x:c>
      <x:c r="F73" s="720" t="str">
        <x:v>Clearly outside retinal/ophthalmic concept-based explainable AI.</x:v>
      </x:c>
      <x:c r="G73" s="717" t="str">
        <x:v>Title only</x:v>
      </x:c>
      <x:c r="H73" s="717" t="str">
        <x:v>Exclude</x:v>
      </x:c>
      <x:c r="I73" s="720" t="str">
        <x:v>Clearly outside retinal/ophthalmic concept-based explainable AI.</x:v>
      </x:c>
      <x:c r="J73" s="717" t="str">
        <x:f>IF(E73=H73,E73,"Unclear")</x:f>
        <x:v>Exclude</x:v>
      </x:c>
      <x:c r="K73" s="720" t="str">
        <x:f>IF(E73=H73,"Agreement between both AI passes.","AI-pass disagreement; retain for human discussion.")</x:f>
        <x:v>Agreement between both AI passes.</x:v>
      </x:c>
      <x:c r="L73" s="720" t="str">
        <x:v>BRasheed MAbderamid AKhan IMenezes</x:v>
      </x:c>
      <x:c r="M73" s="728" t="n">
        <x:v>2024</x:v>
      </x:c>
      <x:c r="N73" s="717" t="str">
        <x:v>Google Scholar result</x:v>
      </x:c>
      <x:c r="O73" s="717" t="str">
        <x:v>No</x:v>
      </x:c>
      <x:c r="P73" s="717"/>
    </x:row>
    <x:row r="74" ht="38" customHeight="1">
      <x:c r="A74" s="717" t="str">
        <x:v>GS-01-019</x:v>
      </x:c>
      <x:c r="B74" s="717" t="str">
        <x:v>Google Scholar</x:v>
      </x:c>
      <x:c r="C74" s="717" t="str">
        <x:v>GS-01</x:v>
      </x:c>
      <x:c r="D74" s="720" t="str">
        <x:v>Counterfactual concept bottleneck models</x:v>
      </x:c>
      <x:c r="E74" s="717" t="str">
        <x:v>Include</x:v>
      </x:c>
      <x:c r="F74" s="720" t="str">
        <x:v>Foundational concept-XAI method relevant to the review taxonomy or reliability analysis (title only).</x:v>
      </x:c>
      <x:c r="G74" s="717" t="str">
        <x:v>Title only</x:v>
      </x:c>
      <x:c r="H74" s="717" t="str">
        <x:v>Unclear</x:v>
      </x:c>
      <x:c r="I74" s="720" t="str">
        <x:v>Concept-XAI method may be useful as foundational/contextual evidence; retinal or medical applicability requires discussion (title only).</x:v>
      </x:c>
      <x:c r="J74" s="717" t="str">
        <x:f>IF(E74=H74,E74,"Unclear")</x:f>
        <x:v>Unclear</x:v>
      </x:c>
      <x:c r="K74" s="720" t="str">
        <x:f>IF(E74=H74,"Agreement between both AI passes.","AI-pass disagreement; retain for human discussion.")</x:f>
        <x:v>AI-pass disagreement; retain for human discussion.</x:v>
      </x:c>
      <x:c r="L74" s="720" t="str">
        <x:v>G Dominic) P Barbero F Giansing -Intemational 2025</x:v>
      </x:c>
      <x:c r="M74" s="728" t="n">
        <x:v>2025</x:v>
      </x:c>
      <x:c r="N74" s="717" t="str">
        <x:v>Google Scholar result</x:v>
      </x:c>
      <x:c r="O74" s="717" t="str">
        <x:v>No</x:v>
      </x:c>
      <x:c r="P74" s="717"/>
    </x:row>
    <x:row r="75" ht="38" customHeight="1">
      <x:c r="A75" s="717" t="str">
        <x:v>GS-01-020</x:v>
      </x:c>
      <x:c r="B75" s="717" t="str">
        <x:v>Google Scholar</x:v>
      </x:c>
      <x:c r="C75" s="717" t="str">
        <x:v>GS-01</x:v>
      </x:c>
      <x:c r="D75" s="720" t="str">
        <x:v>Explainable neural network-based madulation classification via concept bottleneck models</x:v>
      </x:c>
      <x:c r="E75" s="717" t="str">
        <x:v>Include</x:v>
      </x:c>
      <x:c r="F75" s="720" t="str">
        <x:v>Foundational concept-XAI method relevant to the review taxonomy or reliability analysis (title only).</x:v>
      </x:c>
      <x:c r="G75" s="717" t="str">
        <x:v>Title only</x:v>
      </x:c>
      <x:c r="H75" s="717" t="str">
        <x:v>Unclear</x:v>
      </x:c>
      <x:c r="I75" s="720" t="str">
        <x:v>Concept-XAI method may be useful as foundational/contextual evidence; retinal or medical applicability requires discussion (title only).</x:v>
      </x:c>
      <x:c r="J75" s="717" t="str">
        <x:f>IF(E75=H75,E75,"Unclear")</x:f>
        <x:v>Unclear</x:v>
      </x:c>
      <x:c r="K75" s="720" t="str">
        <x:f>IF(E75=H75,"Agreement between both AI passes.","AI-pass disagreement; retain for human discussion.")</x:f>
        <x:v>AI-pass disagreement; retain for human discussion.</x:v>
      </x:c>
      <x:c r="L75" s="720" t="str">
        <x:v>Le “eng, S$ McPherson</x:v>
      </x:c>
      <x:c r="M75" s="728" t="n">
        <x:v>2021</x:v>
      </x:c>
      <x:c r="N75" s="717" t="str">
        <x:v>Google Scholar result</x:v>
      </x:c>
      <x:c r="O75" s="717" t="str">
        <x:v>No</x:v>
      </x:c>
      <x:c r="P75" s="717"/>
    </x:row>
    <x:row r="76" ht="38" customHeight="1">
      <x:c r="A76" s="717" t="str">
        <x:v>GS-01-021</x:v>
      </x:c>
      <x:c r="B76" s="717" t="str">
        <x:v>Google Scholar</x:v>
      </x:c>
      <x:c r="C76" s="717" t="str">
        <x:v>GS-01</x:v>
      </x:c>
      <x:c r="D76" s="720" t="str">
        <x:v>A concept-based interpretable model for tha diagnosis of choraid necplasias using multimodal data</x:v>
      </x:c>
      <x:c r="E76" s="717" t="str">
        <x:v>Include</x:v>
      </x:c>
      <x:c r="F76" s="720" t="str">
        <x:v>Foundational concept-XAI method relevant to the review taxonomy or reliability analysis (title only).</x:v>
      </x:c>
      <x:c r="G76" s="717" t="str">
        <x:v>Title only</x:v>
      </x:c>
      <x:c r="H76" s="717" t="str">
        <x:v>Unclear</x:v>
      </x:c>
      <x:c r="I76" s="720" t="str">
        <x:v>Concept-XAI method may be useful as foundational/contextual evidence; retinal or medical applicability requires discussion (title only).</x:v>
      </x:c>
      <x:c r="J76" s="717" t="str">
        <x:f>IF(E76=H76,E76,"Unclear")</x:f>
        <x:v>Unclear</x:v>
      </x:c>
      <x:c r="K76" s="720" t="str">
        <x:f>IF(E76=H76,"Agreement between both AI passes.","AI-pass disagreement; retain for human discussion.")</x:f>
        <x:v>AI-pass disagreement; retain for human discussion.</x:v>
      </x:c>
      <x:c r="L76" s="720" t="str">
        <x:v>Yiwu, ¥ iu Y Yang MS Yao W Yang XShi...- Nature. 2025</x:v>
      </x:c>
      <x:c r="M76" s="728" t="n">
        <x:v>2025</x:v>
      </x:c>
      <x:c r="N76" s="717" t="str">
        <x:v>Google Scholar result</x:v>
      </x:c>
      <x:c r="O76" s="717" t="str">
        <x:v>No</x:v>
      </x:c>
      <x:c r="P76" s="717"/>
    </x:row>
    <x:row r="77" ht="38" customHeight="1">
      <x:c r="A77" s="717" t="str">
        <x:v>GS-01-022</x:v>
      </x:c>
      <x:c r="B77" s="717" t="str">
        <x:v>Google Scholar</x:v>
      </x:c>
      <x:c r="C77" s="717" t="str">
        <x:v>GS-01</x:v>
      </x:c>
      <x:c r="D77" s="720" t="str">
        <x:v>Cancepts from neurons’ Building interpretable medica! image diagnostic models by dissecting opaque neural networks</x:v>
      </x:c>
      <x:c r="E77" s="717" t="str">
        <x:v>Unclear</x:v>
      </x:c>
      <x:c r="F77" s="720" t="str">
        <x:v>Possible contextual explainability evidence, but concept-level relevance is not confirmed from the available title only.</x:v>
      </x:c>
      <x:c r="G77" s="717" t="str">
        <x:v>Title only</x:v>
      </x:c>
      <x:c r="H77" s="717" t="str">
        <x:v>Unclear</x:v>
      </x:c>
      <x:c r="I77" s="720" t="str">
        <x:v>Possible contextual explainability evidence, but concept-level relevance is not confirmed from the available title only.</x:v>
      </x:c>
      <x:c r="J77" s="717" t="str">
        <x:f>IF(E77=H77,E77,"Unclear")</x:f>
        <x:v>Unclear</x:v>
      </x:c>
      <x:c r="K77" s="720" t="str">
        <x:f>IF(E77=H77,"Agreement between both AI passes.","AI-pass disagreement; retain for human discussion.")</x:f>
        <x:v>Agreement between both AI passes.</x:v>
      </x:c>
      <x:c r="L77" s="720" t="str">
        <x:v>S Song H Wang X Zhang QO Dou</x:v>
      </x:c>
      <x:c r="M77" s="728" t="n">
        <x:v>2025</x:v>
      </x:c>
      <x:c r="N77" s="717" t="str">
        <x:v>Google Scholar result</x:v>
      </x:c>
      <x:c r="O77" s="717" t="str">
        <x:v>No</x:v>
      </x:c>
      <x:c r="P77" s="717"/>
    </x:row>
    <x:row r="78" ht="38" customHeight="1">
      <x:c r="A78" s="717" t="str">
        <x:v>GS-01-023</x:v>
      </x:c>
      <x:c r="B78" s="717" t="str">
        <x:v>Google Scholar</x:v>
      </x:c>
      <x:c r="C78" s="717" t="str">
        <x:v>GS-01</x:v>
      </x:c>
      <x:c r="D78" s="720" t="str">
        <x:v>Enhancing concept tocalization in clip-based concept bottleneck models</x:v>
      </x:c>
      <x:c r="E78" s="717" t="str">
        <x:v>Unclear</x:v>
      </x:c>
      <x:c r="F78" s="720" t="str">
        <x:v>Concept-XAI method may be useful as foundational/contextual evidence; retinal or medical applicability requires discussion (title only).</x:v>
      </x:c>
      <x:c r="G78" s="717" t="str">
        <x:v>Title only</x:v>
      </x:c>
      <x:c r="H78" s="717" t="str">
        <x:v>Exclude</x:v>
      </x:c>
      <x:c r="I78" s="720" t="str">
        <x:v>Clearly outside retinal/ophthalmic concept-based explainable AI.</x:v>
      </x:c>
      <x:c r="J78" s="717" t="str">
        <x:f>IF(E78=H78,E78,"Unclear")</x:f>
        <x:v>Unclear</x:v>
      </x:c>
      <x:c r="K78" s="720" t="str">
        <x:f>IF(E78=H78,"Agreement between both AI passes.","AI-pass disagreement; retain for human discussion.")</x:f>
        <x:v>AI-pass disagreement; retain for human discussion.</x:v>
      </x:c>
      <x:c r="L78" s="720" t="str">
        <x:v>R Kazmerczak SAzzolin E Berthier Gfrehse</x:v>
      </x:c>
      <x:c r="M78" s="728" t="n">
        <x:v>2025</x:v>
      </x:c>
      <x:c r="N78" s="717" t="str">
        <x:v>Google Scholar result</x:v>
      </x:c>
      <x:c r="O78" s="717" t="str">
        <x:v>No</x:v>
      </x:c>
      <x:c r="P78" s="717"/>
    </x:row>
    <x:row r="79" ht="38" customHeight="1">
      <x:c r="A79" s="717" t="str">
        <x:v>GS-01-024</x:v>
      </x:c>
      <x:c r="B79" s="717" t="str">
        <x:v>Google Scholar</x:v>
      </x:c>
      <x:c r="C79" s="717" t="str">
        <x:v>GS-01</x:v>
      </x:c>
      <x:c r="D79" s="720" t="str">
        <x:v>Process-Guided Concept Bottleneck Nlodel</x:v>
      </x:c>
      <x:c r="E79" s="717" t="str">
        <x:v>Unclear</x:v>
      </x:c>
      <x:c r="F79" s="720" t="str">
        <x:v>Concept-XAI method may be useful as foundational/contextual evidence; retinal or medical applicability requires discussion (title only).</x:v>
      </x:c>
      <x:c r="G79" s="717" t="str">
        <x:v>Title only</x:v>
      </x:c>
      <x:c r="H79" s="717" t="str">
        <x:v>Exclude</x:v>
      </x:c>
      <x:c r="I79" s="720" t="str">
        <x:v>Clearly outside retinal/ophthalmic concept-based explainable AI.</x:v>
      </x:c>
      <x:c r="J79" s="717" t="str">
        <x:f>IF(E79=H79,E79,"Unclear")</x:f>
        <x:v>Unclear</x:v>
      </x:c>
      <x:c r="K79" s="720" t="str">
        <x:f>IF(E79=H79,"Agreement between both AI passes.","AI-pass disagreement; retain for human discussion.")</x:f>
        <x:v>AI-pass disagreement; retain for human discussion.</x:v>
      </x:c>
      <x:c r="L79" s="720" t="str">
        <x:v>RM Asiyabi. 5 Partnership. Skancock + arXw preprintarXiy =. 2026</x:v>
      </x:c>
      <x:c r="M79" s="728" t="n">
        <x:v>2026</x:v>
      </x:c>
      <x:c r="N79" s="717" t="str">
        <x:v>Google Scholar result</x:v>
      </x:c>
      <x:c r="O79" s="717" t="str">
        <x:v>No</x:v>
      </x:c>
      <x:c r="P79" s="717"/>
    </x:row>
    <x:row r="80" ht="38" customHeight="1">
      <x:c r="A80" s="717" t="str">
        <x:v>GS-01-025</x:v>
      </x:c>
      <x:c r="B80" s="717" t="str">
        <x:v>Google Scholar</x:v>
      </x:c>
      <x:c r="C80" s="717" t="str">
        <x:v>GS-01</x:v>
      </x:c>
      <x:c r="D80" s="720" t="str">
        <x:v>Post-hoc stochastic concept bottleneck models</x:v>
      </x:c>
      <x:c r="E80" s="717" t="str">
        <x:v>Unclear</x:v>
      </x:c>
      <x:c r="F80" s="720" t="str">
        <x:v>Concept-XAI method may be useful as foundational/contextual evidence; retinal or medical applicability requires discussion (title only).</x:v>
      </x:c>
      <x:c r="G80" s="717" t="str">
        <x:v>Title only</x:v>
      </x:c>
      <x:c r="H80" s="717" t="str">
        <x:v>Exclude</x:v>
      </x:c>
      <x:c r="I80" s="720" t="str">
        <x:v>Clearly outside retinal/ophthalmic concept-based explainable AI.</x:v>
      </x:c>
      <x:c r="J80" s="717" t="str">
        <x:f>IF(E80=H80,E80,"Unclear")</x:f>
        <x:v>Unclear</x:v>
      </x:c>
      <x:c r="K80" s="720" t="str">
        <x:f>IF(E80=H80,"Agreement between both AI passes.","AI-pass disagreement; retain for human discussion.")</x:f>
        <x:v>AI-pass disagreement; retain for human discussion.</x:v>
      </x:c>
      <x:c r="L80" s="720" t="str">
        <x:v>WJ Foffmann, S Laguna. Af Yandeahirtzg</x:v>
      </x:c>
      <x:c r="M80" s="728" t="n">
        <x:v>2025</x:v>
      </x:c>
      <x:c r="N80" s="717" t="str">
        <x:v>Google Scholar result</x:v>
      </x:c>
      <x:c r="O80" s="717" t="str">
        <x:v>No</x:v>
      </x:c>
      <x:c r="P80" s="717"/>
    </x:row>
    <x:row r="81" ht="38" customHeight="1">
      <x:c r="A81" s="717" t="str">
        <x:v>GS-01-026</x:v>
      </x:c>
      <x:c r="B81" s="717" t="str">
        <x:v>Google Scholar</x:v>
      </x:c>
      <x:c r="C81" s="717" t="str">
        <x:v>GS-01</x:v>
      </x:c>
      <x:c r="D81" s="720" t="str">
        <x:v>Tree-based leakage inspection and control in concept bottleneck madels</x:v>
      </x:c>
      <x:c r="E81" s="717" t="str">
        <x:v>Unclear</x:v>
      </x:c>
      <x:c r="F81" s="720" t="str">
        <x:v>Concept-XAI method may be useful as foundational/contextual evidence; retinal or medical applicability requires discussion (title only).</x:v>
      </x:c>
      <x:c r="G81" s="717" t="str">
        <x:v>Title only</x:v>
      </x:c>
      <x:c r="H81" s="717" t="str">
        <x:v>Exclude</x:v>
      </x:c>
      <x:c r="I81" s="720" t="str">
        <x:v>Clearly outside retinal/ophthalmic concept-based explainable AI.</x:v>
      </x:c>
      <x:c r="J81" s="717" t="str">
        <x:f>IF(E81=H81,E81,"Unclear")</x:f>
        <x:v>Unclear</x:v>
      </x:c>
      <x:c r="K81" s="720" t="str">
        <x:f>IF(E81=H81,"Agreement between both AI passes.","AI-pass disagreement; retain for human discussion.")</x:f>
        <x:v>AI-pass disagreement; retain for human discussion.</x:v>
      </x:c>
      <x:c r="L81" s="720" t="str">
        <x:v>ARaskousis $ Pacbhgo</x:v>
      </x:c>
      <x:c r="M81" s="728" t="n">
        <x:v>2024</x:v>
      </x:c>
      <x:c r="N81" s="717" t="str">
        <x:v>Google Scholar result</x:v>
      </x:c>
      <x:c r="O81" s="717" t="str">
        <x:v>No</x:v>
      </x:c>
      <x:c r="P81" s="717"/>
    </x:row>
    <x:row r="82" ht="38" customHeight="1">
      <x:c r="A82" s="717" t="str">
        <x:v>GS-01-027</x:v>
      </x:c>
      <x:c r="B82" s="717" t="str">
        <x:v>Google Scholar</x:v>
      </x:c>
      <x:c r="C82" s="717" t="str">
        <x:v>GS-01</x:v>
      </x:c>
      <x:c r="D82" s="720" t="str">
        <x:v>Enhancing interpretable image classification through Ilm agents and canditional concept bottleneck models</x:v>
      </x:c>
      <x:c r="E82" s="717" t="str">
        <x:v>Include</x:v>
      </x:c>
      <x:c r="F82" s="720" t="str">
        <x:v>Foundational concept-XAI method relevant to the review taxonomy or reliability analysis (title only).</x:v>
      </x:c>
      <x:c r="G82" s="717" t="str">
        <x:v>Title only</x:v>
      </x:c>
      <x:c r="H82" s="717" t="str">
        <x:v>Unclear</x:v>
      </x:c>
      <x:c r="I82" s="720" t="str">
        <x:v>Concept-XAI method may be useful as foundational/contextual evidence; retinal or medical applicability requires discussion (title only).</x:v>
      </x:c>
      <x:c r="J82" s="717" t="str">
        <x:f>IF(E82=H82,E82,"Unclear")</x:f>
        <x:v>Unclear</x:v>
      </x:c>
      <x:c r="K82" s="720" t="str">
        <x:f>IF(E82=H82,"Agreement between both AI passes.","AI-pass disagreement; retain for human discussion.")</x:f>
        <x:v>AI-pass disagreement; retain for human discussion.</x:v>
      </x:c>
      <x:c r="L82" s="720" t="str">
        <x:v>Yang, Dhehta Feng 2Ge- aithe 63rdAanual Meetingof . 2025</x:v>
      </x:c>
      <x:c r="M82" s="728" t="n">
        <x:v>2025</x:v>
      </x:c>
      <x:c r="N82" s="717" t="str">
        <x:v>Google Scholar result</x:v>
      </x:c>
      <x:c r="O82" s="717" t="str">
        <x:v>No</x:v>
      </x:c>
      <x:c r="P82" s="717"/>
    </x:row>
    <x:row r="83" ht="38" customHeight="1">
      <x:c r="A83" s="717" t="str">
        <x:v>GS-01-028</x:v>
      </x:c>
      <x:c r="B83" s="717" t="str">
        <x:v>Google Scholar</x:v>
      </x:c>
      <x:c r="C83" s="717" t="str">
        <x:v>GS-01</x:v>
      </x:c>
      <x:c r="D83" s="720" t="str">
        <x:v>Stable visian concept transformers for medical diagnosis</x:v>
      </x:c>
      <x:c r="E83" s="717" t="str">
        <x:v>Exclude</x:v>
      </x:c>
      <x:c r="F83" s="720" t="str">
        <x:v>Medical/clinical topic, but no eligible concept-based explainability contribution is evident.</x:v>
      </x:c>
      <x:c r="G83" s="717" t="str">
        <x:v>Title only</x:v>
      </x:c>
      <x:c r="H83" s="717" t="str">
        <x:v>Exclude</x:v>
      </x:c>
      <x:c r="I83" s="720" t="str">
        <x:v>Medical/clinical topic, but no eligible concept-based explainability contribution is evident.</x:v>
      </x:c>
      <x:c r="J83" s="717" t="str">
        <x:f>IF(E83=H83,E83,"Unclear")</x:f>
        <x:v>Exclude</x:v>
      </x:c>
      <x:c r="K83" s="720" t="str">
        <x:f>IF(E83=H83,"Agreement between both AI passes.","AI-pass disagreement; retain for human discussion.")</x:f>
        <x:v>Agreement between both AI passes.</x:v>
      </x:c>
      <x:c r="L83" s="720" t="str">
        <x:v>Ley Slai yHua. S$ %ang JZhang</x:v>
      </x:c>
      <x:c r="M83" s="728" t="n">
        <x:v>2025</x:v>
      </x:c>
      <x:c r="N83" s="717" t="str">
        <x:v>Google Scholar result</x:v>
      </x:c>
      <x:c r="O83" s="717" t="str">
        <x:v>No</x:v>
      </x:c>
      <x:c r="P83" s="717"/>
    </x:row>
    <x:row r="84" ht="38" customHeight="1">
      <x:c r="A84" s="717" t="str">
        <x:v>GS-01-029</x:v>
      </x:c>
      <x:c r="B84" s="717" t="str">
        <x:v>Google Scholar</x:v>
      </x:c>
      <x:c r="C84" s="717" t="str">
        <x:v>GS-01</x:v>
      </x:c>
      <x:c r="D84" s="720" t="str">
        <x:v>tkTML] CBYLKI Training-free explainable cancept- based large vision lanquage models for medical image classification</x:v>
      </x:c>
      <x:c r="E84" s="717" t="str">
        <x:v>Unclear</x:v>
      </x:c>
      <x:c r="F84" s="720" t="str">
        <x:v>Possible contextual explainability evidence, but concept-level relevance is not confirmed from the available title only.</x:v>
      </x:c>
      <x:c r="G84" s="717" t="str">
        <x:v>Title only</x:v>
      </x:c>
      <x:c r="H84" s="717" t="str">
        <x:v>Unclear</x:v>
      </x:c>
      <x:c r="I84" s="720" t="str">
        <x:v>Possible contextual explainability evidence, but concept-level relevance is not confirmed from the available title only.</x:v>
      </x:c>
      <x:c r="J84" s="717" t="str">
        <x:f>IF(E84=H84,E84,"Unclear")</x:f>
        <x:v>Unclear</x:v>
      </x:c>
      <x:c r="K84" s="720" t="str">
        <x:f>IF(E84=H84,"Agreement between both AI passes.","AI-pass disagreement; retain for human discussion.")</x:f>
        <x:v>Agreement between both AI passes.</x:v>
      </x:c>
      <x:c r="L84" s="720" t="str">
        <x:v>C Patricio. |Rio-Toro JS Cardesc LE Teixeira -Compulers in Bology , 2025</x:v>
      </x:c>
      <x:c r="M84" s="728" t="n">
        <x:v>2025</x:v>
      </x:c>
      <x:c r="N84" s="717" t="str">
        <x:v>Google Scholar result</x:v>
      </x:c>
      <x:c r="O84" s="717" t="str">
        <x:v>No</x:v>
      </x:c>
      <x:c r="P84" s="717"/>
    </x:row>
    <x:row r="85" ht="38" customHeight="1">
      <x:c r="A85" s="717" t="str">
        <x:v>GS-01-030</x:v>
      </x:c>
      <x:c r="B85" s="717" t="str">
        <x:v>Google Scholar</x:v>
      </x:c>
      <x:c r="C85" s="717" t="str">
        <x:v>GS-01</x:v>
      </x:c>
      <x:c r="D85" s="720" t="str">
        <x:v>Surrocbm Concept bottleneck surragate models for generative post-hoc explanation</x:v>
      </x:c>
      <x:c r="E85" s="717" t="str">
        <x:v>Include</x:v>
      </x:c>
      <x:c r="F85" s="720" t="str">
        <x:v>Foundational concept-XAI method relevant to the review taxonomy or reliability analysis (title only).</x:v>
      </x:c>
      <x:c r="G85" s="717" t="str">
        <x:v>Title only</x:v>
      </x:c>
      <x:c r="H85" s="717" t="str">
        <x:v>Unclear</x:v>
      </x:c>
      <x:c r="I85" s="720" t="str">
        <x:v>Concept-XAI method may be useful as foundational/contextual evidence; retinal or medical applicability requires discussion (title only).</x:v>
      </x:c>
      <x:c r="J85" s="717" t="str">
        <x:f>IF(E85=H85,E85,"Unclear")</x:f>
        <x:v>Unclear</x:v>
      </x:c>
      <x:c r="K85" s="720" t="str">
        <x:f>IF(E85=H85,"Agreement between both AI passes.","AI-pass disagreement; retain for human discussion.")</x:f>
        <x:v>AI-pass disagreement; retain for human discussion.</x:v>
      </x:c>
      <x:c r="L85" s="720" t="str">
        <x:v>Bar Zhi, ¥ Zhang LZhago</x:v>
      </x:c>
      <x:c r="M85" s="728" t="n">
        <x:v>2023</x:v>
      </x:c>
      <x:c r="N85" s="717" t="str">
        <x:v>Google Scholar result</x:v>
      </x:c>
      <x:c r="O85" s="717" t="str">
        <x:v>No</x:v>
      </x:c>
      <x:c r="P85" s="717"/>
    </x:row>
    <x:row r="86" ht="38" customHeight="1">
      <x:c r="A86" s="717" t="str">
        <x:v>GS-01-031</x:v>
      </x:c>
      <x:c r="B86" s="717" t="str">
        <x:v>Google Scholar</x:v>
      </x:c>
      <x:c r="C86" s="717" t="str">
        <x:v>GS-01</x:v>
      </x:c>
      <x:c r="D86" s="720" t="str">
        <x:v>(PpF] Climbing the tadder of interpretability with counterfactual concept bottleneck models</x:v>
      </x:c>
      <x:c r="E86" s="717" t="str">
        <x:v>Include</x:v>
      </x:c>
      <x:c r="F86" s="720" t="str">
        <x:v>Foundational concept-XAI method relevant to the review taxonomy or reliability analysis (title only).</x:v>
      </x:c>
      <x:c r="G86" s="717" t="str">
        <x:v>Title only</x:v>
      </x:c>
      <x:c r="H86" s="717" t="str">
        <x:v>Unclear</x:v>
      </x:c>
      <x:c r="I86" s="720" t="str">
        <x:v>Concept-XAI method may be useful as foundational/contextual evidence; retinal or medical applicability requires discussion (title only).</x:v>
      </x:c>
      <x:c r="J86" s="717" t="str">
        <x:f>IF(E86=H86,E86,"Unclear")</x:f>
        <x:v>Unclear</x:v>
      </x:c>
      <x:c r="K86" s="720" t="str">
        <x:f>IF(E86=H86,"Agreement between both AI passes.","AI-pass disagreement; retain for human discussion.")</x:f>
        <x:v>AI-pass disagreement; retain for human discussion.</x:v>
      </x:c>
      <x:c r="L86" s="720" t="str">
        <x:v>G Donini¢ei P Barbie's F Giantini.</x:v>
      </x:c>
      <x:c r="M86" s="728" t="n">
        <x:v>2024</x:v>
      </x:c>
      <x:c r="N86" s="717" t="str">
        <x:v>Google Scholar result</x:v>
      </x:c>
      <x:c r="O86" s="717" t="str">
        <x:v>No</x:v>
      </x:c>
      <x:c r="P86" s="717"/>
    </x:row>
    <x:row r="87" ht="38" customHeight="1">
      <x:c r="A87" s="717" t="str">
        <x:v>GS-01-033</x:v>
      </x:c>
      <x:c r="B87" s="717" t="str">
        <x:v>Google Scholar</x:v>
      </x:c>
      <x:c r="C87" s="717" t="str">
        <x:v>GS-01</x:v>
      </x:c>
      <x:c r="D87" s="720" t="str">
        <x:v>Cross-moadality image interpretation via concept decomposition vector of visual- languags models</x:v>
      </x:c>
      <x:c r="E87" s="717"/>
      <x:c r="F87" s="720" t="str">
        <x:v>Confirmed duplicate DG-077; removed before screening.</x:v>
      </x:c>
      <x:c r="G87" s="717" t="str">
        <x:v>Duplicate check</x:v>
      </x:c>
      <x:c r="H87" s="717"/>
      <x:c r="I87" s="720" t="str">
        <x:v>Confirmed duplicate DG-077; removed before screening.</x:v>
      </x:c>
      <x:c r="J87" s="717"/>
      <x:c r="K87" s="720" t="str">
        <x:v>Removed from the screening denominator after human-confirmed deduplication.</x:v>
      </x:c>
      <x:c r="L87" s="720" t="str">
        <x:v>2 Fang. ZYua*e Zi J Chen KKuang</x:v>
      </x:c>
      <x:c r="M87" s="728" t="n">
        <x:v>2024</x:v>
      </x:c>
      <x:c r="N87" s="717" t="str">
        <x:v>Google Scholar result</x:v>
      </x:c>
      <x:c r="O87" s="717" t="str">
        <x:v>Yes</x:v>
      </x:c>
      <x:c r="P87" s="717"/>
    </x:row>
    <x:row r="88" ht="38" customHeight="1">
      <x:c r="A88" s="717" t="str">
        <x:v>GS-01-034</x:v>
      </x:c>
      <x:c r="B88" s="717" t="str">
        <x:v>Google Scholar</x:v>
      </x:c>
      <x:c r="C88" s="717" t="str">
        <x:v>GS-01</x:v>
      </x:c>
      <x:c r="D88" s="720" t="str">
        <x:v>Escaping Low-Rank Traps: Interpretable Visual Concept Learning via Implicit Vector Quantization</x:v>
      </x:c>
      <x:c r="E88" s="717" t="str">
        <x:v>Include</x:v>
      </x:c>
      <x:c r="F88" s="720" t="str">
        <x:v>Foundational concept-XAI method relevant to the review taxonomy or reliability analysis (title only).</x:v>
      </x:c>
      <x:c r="G88" s="717" t="str">
        <x:v>Title only</x:v>
      </x:c>
      <x:c r="H88" s="717" t="str">
        <x:v>Unclear</x:v>
      </x:c>
      <x:c r="I88" s="720" t="str">
        <x:v>Concept-XAI method may be useful as foundational/contextual evidence; retinal or medical applicability requires discussion (title only).</x:v>
      </x:c>
      <x:c r="J88" s="717" t="str">
        <x:f>IF(E88=H88,E88,"Unclear")</x:f>
        <x:v>Unclear</x:v>
      </x:c>
      <x:c r="K88" s="720" t="str">
        <x:f>IF(E88=H88,"Agreement between both AI passes.","AI-pass disagreement; retain for human discussion.")</x:f>
        <x:v>AI-pass disagreement; retain for human discussion.</x:v>
      </x:c>
      <x:c r="L88" s="720" t="str">
        <x:v>S Gao Y Wang CMa X Gao J Yan. -Inlemationa .. 2026</x:v>
      </x:c>
      <x:c r="M88" s="728" t="n">
        <x:v>2026</x:v>
      </x:c>
      <x:c r="N88" s="717" t="str">
        <x:v>Google Scholar result</x:v>
      </x:c>
      <x:c r="O88" s="717" t="str">
        <x:v>No</x:v>
      </x:c>
      <x:c r="P88" s="717"/>
    </x:row>
    <x:row r="89" ht="38" customHeight="1">
      <x:c r="A89" s="717" t="str">
        <x:v>GS-01-035</x:v>
      </x:c>
      <x:c r="B89" s="717" t="str">
        <x:v>Google Scholar</x:v>
      </x:c>
      <x:c r="C89" s="717" t="str">
        <x:v>GS-01</x:v>
      </x:c>
      <x:c r="D89" s="720" t="str">
        <x:v>Cancept-Aware Adaptive Multimodal Fusion With Knowledge Distillation for Medical Image Diagnosis</x:v>
      </x:c>
      <x:c r="E89" s="717" t="str">
        <x:v>Exclude</x:v>
      </x:c>
      <x:c r="F89" s="720" t="str">
        <x:v>Medical/clinical topic, but no eligible concept-based explainability contribution is evident.</x:v>
      </x:c>
      <x:c r="G89" s="717" t="str">
        <x:v>Title only</x:v>
      </x:c>
      <x:c r="H89" s="717" t="str">
        <x:v>Exclude</x:v>
      </x:c>
      <x:c r="I89" s="720" t="str">
        <x:v>Medical/clinical topic, but no eligible concept-based explainability contribution is evident.</x:v>
      </x:c>
      <x:c r="J89" s="717" t="str">
        <x:f>IF(E89=H89,E89,"Unclear")</x:f>
        <x:v>Exclude</x:v>
      </x:c>
      <x:c r="K89" s="720" t="str">
        <x:f>IF(E89=H89,"Agreement between both AI passes.","AI-pass disagreement; retain for human discussion.")</x:f>
        <x:v>Agreement between both AI passes.</x:v>
      </x:c>
      <x:c r="L89" s="720" t="str">
        <x:v>JLi XZherg ¥ Zheng YMeng</x:v>
      </x:c>
      <x:c r="M89" s="728" t="n">
        <x:v>2025</x:v>
      </x:c>
      <x:c r="N89" s="717" t="str">
        <x:v>Google Scholar result</x:v>
      </x:c>
      <x:c r="O89" s="717" t="str">
        <x:v>No</x:v>
      </x:c>
      <x:c r="P89" s="717"/>
    </x:row>
    <x:row r="90" ht="38" customHeight="1">
      <x:c r="A90" s="717" t="str">
        <x:v>GS-01-036</x:v>
      </x:c>
      <x:c r="B90" s="717" t="str">
        <x:v>Google Scholar</x:v>
      </x:c>
      <x:c r="C90" s="717" t="str">
        <x:v>GS-01</x:v>
      </x:c>
      <x:c r="D90" s="720" t="str">
        <x:v>(POF) Can Viston-Language Models Enable More Efficient Concept-Based Learning with Less Supervision for Interpretable Lung Nadule Diagnosis?</x:v>
      </x:c>
      <x:c r="E90" s="717" t="str">
        <x:v>Include</x:v>
      </x:c>
      <x:c r="F90" s="720" t="str">
        <x:v>Foundational concept-XAI method relevant to the review taxonomy or reliability analysis (title only).</x:v>
      </x:c>
      <x:c r="G90" s="717" t="str">
        <x:v>Title only</x:v>
      </x:c>
      <x:c r="H90" s="717" t="str">
        <x:v>Unclear</x:v>
      </x:c>
      <x:c r="I90" s="720" t="str">
        <x:v>Concept-XAI method may be useful as foundational/contextual evidence; retinal or medical applicability requires discussion (title only).</x:v>
      </x:c>
      <x:c r="J90" s="717" t="str">
        <x:f>IF(E90=H90,E90,"Unclear")</x:f>
        <x:v>Unclear</x:v>
      </x:c>
      <x:c r="K90" s="720" t="str">
        <x:f>IF(E90=H90,"Agreement between both AI passes.","AI-pass disagreement; retain for human discussion.")</x:f>
        <x:v>AI-pass disagreement; retain for human discussion.</x:v>
      </x:c>
      <x:c r="L90" s="720" t="str">
        <x:v>B Ma D Madz.a-Madzou. J Ouyang K Gilhuys</x:v>
      </x:c>
      <x:c r="M90" s="728"/>
      <x:c r="N90" s="717" t="str">
        <x:v>Google Scholar result</x:v>
      </x:c>
      <x:c r="O90" s="717" t="str">
        <x:v>No</x:v>
      </x:c>
      <x:c r="P90" s="717"/>
    </x:row>
    <x:row r="91" ht="38" customHeight="1">
      <x:c r="A91" s="717" t="str">
        <x:v>GS-01-037</x:v>
      </x:c>
      <x:c r="B91" s="717" t="str">
        <x:v>Google Scholar</x:v>
      </x:c>
      <x:c r="C91" s="717" t="str">
        <x:v>GS-01</x:v>
      </x:c>
      <x:c r="D91" s="720" t="str">
        <x:v>Training -free test-time improvement for explainable medical image classification</x:v>
      </x:c>
      <x:c r="E91" s="717" t="str">
        <x:v>Unclear</x:v>
      </x:c>
      <x:c r="F91" s="720" t="str">
        <x:v>Possible contextual explainability evidence, but concept-level relevance is not confirmed from the available title only.</x:v>
      </x:c>
      <x:c r="G91" s="717" t="str">
        <x:v>Title only</x:v>
      </x:c>
      <x:c r="H91" s="717" t="str">
        <x:v>Unclear</x:v>
      </x:c>
      <x:c r="I91" s="720" t="str">
        <x:v>Possible contextual explainability evidence, but concept-level relevance is not confirmed from the available title only.</x:v>
      </x:c>
      <x:c r="J91" s="717" t="str">
        <x:f>IF(E91=H91,E91,"Unclear")</x:f>
        <x:v>Unclear</x:v>
      </x:c>
      <x:c r="K91" s="720" t="str">
        <x:f>IF(E91=H91,"Agreement between both AI passes.","AI-pass disagreement; retain for human discussion.")</x:f>
        <x:v>Agreement between both AI passes.</x:v>
      </x:c>
      <x:c r="L91" s="720" t="str">
        <x:v>HHe J Tang. Ztu. K Li ¥ Lu</x:v>
      </x:c>
      <x:c r="M91" s="728" t="n">
        <x:v>2025</x:v>
      </x:c>
      <x:c r="N91" s="717" t="str">
        <x:v>Google Scholar result</x:v>
      </x:c>
      <x:c r="O91" s="717" t="str">
        <x:v>No</x:v>
      </x:c>
      <x:c r="P91" s="717"/>
    </x:row>
    <x:row r="92" ht="38" customHeight="1">
      <x:c r="A92" s="717" t="str">
        <x:v>GS-01-038</x:v>
      </x:c>
      <x:c r="B92" s="717" t="str">
        <x:v>Google Scholar</x:v>
      </x:c>
      <x:c r="C92" s="717" t="str">
        <x:v>GS-01</x:v>
      </x:c>
      <x:c r="D92" s="720" t="str">
        <x:v>WISE Weak-supervision-guided step-by-step explanations for multimodal LLMs in image classification</x:v>
      </x:c>
      <x:c r="E92" s="717" t="str">
        <x:v>Exclude</x:v>
      </x:c>
      <x:c r="F92" s="720" t="str">
        <x:v>Clearly outside retinal/ophthalmic concept-based explainable AI.</x:v>
      </x:c>
      <x:c r="G92" s="717" t="str">
        <x:v>Title only</x:v>
      </x:c>
      <x:c r="H92" s="717" t="str">
        <x:v>Exclude</x:v>
      </x:c>
      <x:c r="I92" s="720" t="str">
        <x:v>Clearly outside retinal/ophthalmic concept-based explainable AI.</x:v>
      </x:c>
      <x:c r="J92" s="717" t="str">
        <x:f>IF(E92=H92,E92,"Unclear")</x:f>
        <x:v>Exclude</x:v>
      </x:c>
      <x:c r="K92" s="720" t="str">
        <x:f>IF(E92=H92,"Agreement between both AI passes.","AI-pass disagreement; retain for human discussion.")</x:f>
        <x:v>Agreement between both AI passes.</x:v>
      </x:c>
      <x:c r="L92" s="720" t="str">
        <x:v>¥ Jiang, JMehta S¥sn ¥ Shen -Proceedi-gs ofthe 2025</x:v>
      </x:c>
      <x:c r="M92" s="728" t="n">
        <x:v>2025</x:v>
      </x:c>
      <x:c r="N92" s="717" t="str">
        <x:v>Google Scholar result</x:v>
      </x:c>
      <x:c r="O92" s="717" t="str">
        <x:v>No</x:v>
      </x:c>
      <x:c r="P92" s="717"/>
    </x:row>
    <x:row r="93" ht="38" customHeight="1">
      <x:c r="A93" s="717" t="str">
        <x:v>GS-01-039</x:v>
      </x:c>
      <x:c r="B93" s="717" t="str">
        <x:v>Google Scholar</x:v>
      </x:c>
      <x:c r="C93" s="717" t="str">
        <x:v>GS-01</x:v>
      </x:c>
      <x:c r="D93" s="720" t="str">
        <x:v>Quantifying the Accuracy -Interpretability Trade-Off in Concept-Based Sidechannel Models</x:v>
      </x:c>
      <x:c r="E93" s="717" t="str">
        <x:v>Include</x:v>
      </x:c>
      <x:c r="F93" s="720" t="str">
        <x:v>Foundational concept-XAI method relevant to the review taxonomy or reliability analysis (title only).</x:v>
      </x:c>
      <x:c r="G93" s="717" t="str">
        <x:v>Title only</x:v>
      </x:c>
      <x:c r="H93" s="717" t="str">
        <x:v>Unclear</x:v>
      </x:c>
      <x:c r="I93" s="720" t="str">
        <x:v>Concept-XAI method may be useful as foundational/contextual evidence; retinal or medical applicability requires discussion (title only).</x:v>
      </x:c>
      <x:c r="J93" s="717" t="str">
        <x:f>IF(E93=H93,E93,"Unclear")</x:f>
        <x:v>Unclear</x:v>
      </x:c>
      <x:c r="K93" s="720" t="str">
        <x:f>IF(E93=H93,"Agreement between both AI passes.","AI-pass disagreement; retain for human discussion.")</x:f>
        <x:v>AI-pass disagreement; retain for human discussion.</x:v>
      </x:c>
      <x:c r="L93" s="720" t="str">
        <x:v>DDebst G Mana</x:v>
      </x:c>
      <x:c r="M93" s="728" t="n">
        <x:v>2025</x:v>
      </x:c>
      <x:c r="N93" s="717" t="str">
        <x:v>Google Scholar result</x:v>
      </x:c>
      <x:c r="O93" s="717" t="str">
        <x:v>No</x:v>
      </x:c>
      <x:c r="P93" s="717"/>
    </x:row>
    <x:row r="94" ht="38" customHeight="1">
      <x:c r="A94" s="717" t="str">
        <x:v>GS-01-040</x:v>
      </x:c>
      <x:c r="B94" s="717" t="str">
        <x:v>Google Scholar</x:v>
      </x:c>
      <x:c r="C94" s="717" t="str">
        <x:v>GS-01</x:v>
      </x:c>
      <x:c r="D94" s="720" t="str">
        <x:v>ConceptSMILE’ Auditing the Trustworthiness of Concept-Based Explainable Al</x:v>
      </x:c>
      <x:c r="E94" s="717" t="str">
        <x:v>Include</x:v>
      </x:c>
      <x:c r="F94" s="720" t="str">
        <x:v>Foundational concept-XAI method relevant to the review taxonomy or reliability analysis (title only).</x:v>
      </x:c>
      <x:c r="G94" s="717" t="str">
        <x:v>Title only</x:v>
      </x:c>
      <x:c r="H94" s="717" t="str">
        <x:v>Unclear</x:v>
      </x:c>
      <x:c r="I94" s="720" t="str">
        <x:v>Concept-XAI method may be useful as foundational/contextual evidence; retinal or medical applicability requires discussion (title only).</x:v>
      </x:c>
      <x:c r="J94" s="717" t="str">
        <x:f>IF(E94=H94,E94,"Unclear")</x:f>
        <x:v>Unclear</x:v>
      </x:c>
      <x:c r="K94" s="720" t="str">
        <x:f>IF(E94=H94,"Agreement between both AI passes.","AI-pass disagreement; retain for human discussion.")</x:f>
        <x:v>AI-pass disagreement; retain for human discussion.</x:v>
      </x:c>
      <x:c r="L94" s="720" t="str">
        <x:v>M Mo-lapowr. KAslanselat 2Dehghani</x:v>
      </x:c>
      <x:c r="M94" s="728" t="n">
        <x:v>2026</x:v>
      </x:c>
      <x:c r="N94" s="717" t="str">
        <x:v>Google Scholar result</x:v>
      </x:c>
      <x:c r="O94" s="717" t="str">
        <x:v>No</x:v>
      </x:c>
      <x:c r="P94" s="717"/>
    </x:row>
    <x:row r="95" ht="38" customHeight="1">
      <x:c r="A95" s="717" t="str">
        <x:v>GS-01-041</x:v>
      </x:c>
      <x:c r="B95" s="717" t="str">
        <x:v>Google Scholar</x:v>
      </x:c>
      <x:c r="C95" s="717" t="str">
        <x:v>GS-01</x:v>
      </x:c>
      <x:c r="D95" s="720" t="str">
        <x:v>interpretable concept-based memory reasoning</x:v>
      </x:c>
      <x:c r="E95" s="717" t="str">
        <x:v>Include</x:v>
      </x:c>
      <x:c r="F95" s="720" t="str">
        <x:v>Foundational concept-XAI method relevant to the review taxonomy or reliability analysis (title only).</x:v>
      </x:c>
      <x:c r="G95" s="717" t="str">
        <x:v>Title only</x:v>
      </x:c>
      <x:c r="H95" s="717" t="str">
        <x:v>Unclear</x:v>
      </x:c>
      <x:c r="I95" s="720" t="str">
        <x:v>Concept-XAI method may be useful as foundational/contextual evidence; retinal or medical applicability requires discussion (title only).</x:v>
      </x:c>
      <x:c r="J95" s="717" t="str">
        <x:f>IF(E95=H95,E95,"Unclear")</x:f>
        <x:v>Unclear</x:v>
      </x:c>
      <x:c r="K95" s="720" t="str">
        <x:f>IF(E95=H95,"Agreement between both AI passes.","AI-pass disagreement; retain for human discussion.")</x:f>
        <x:v>AI-pass disagreement; retain for human discussion.</x:v>
      </x:c>
      <x:c r="L95" s="720" t="str">
        <x:v>DO Debot P Barbie'o F Gianniri -Advancesin 2124</x:v>
      </x:c>
      <x:c r="M95" s="728"/>
      <x:c r="N95" s="717" t="str">
        <x:v>Google Scholar result</x:v>
      </x:c>
      <x:c r="O95" s="717" t="str">
        <x:v>No</x:v>
      </x:c>
      <x:c r="P95" s="717"/>
    </x:row>
    <x:row r="96" ht="38" customHeight="1">
      <x:c r="A96" s="717" t="str">
        <x:v>GS-01-042</x:v>
      </x:c>
      <x:c r="B96" s="717" t="str">
        <x:v>Google Scholar</x:v>
      </x:c>
      <x:c r="C96" s="717" t="str">
        <x:v>GS-01</x:v>
      </x:c>
      <x:c r="D96" s="720" t="str">
        <x:v>X-char: A concept-based explainable complex human activity recognition model</x:v>
      </x:c>
      <x:c r="E96" s="717" t="str">
        <x:v>Include</x:v>
      </x:c>
      <x:c r="F96" s="720" t="str">
        <x:v>Foundational concept-XAI method relevant to the review taxonomy or reliability analysis (title only).</x:v>
      </x:c>
      <x:c r="G96" s="717" t="str">
        <x:v>Title only</x:v>
      </x:c>
      <x:c r="H96" s="717" t="str">
        <x:v>Unclear</x:v>
      </x:c>
      <x:c r="I96" s="720" t="str">
        <x:v>Concept-XAI method may be useful as foundational/contextual evidence; retinal or medical applicability requires discussion (title only).</x:v>
      </x:c>
      <x:c r="J96" s="717" t="str">
        <x:f>IF(E96=H96,E96,"Unclear")</x:f>
        <x:v>Unclear</x:v>
      </x:c>
      <x:c r="K96" s="720" t="str">
        <x:f>IF(E96=H96,"Agreement between both AI passes.","AI-pass disagreement; retain for human discussion.")</x:f>
        <x:v>AI-pass disagreement; retain for human discussion.</x:v>
      </x:c>
      <x:c r="L96" s="720" t="str">
        <x:v>JV Jeyakumar 4 Sarker, 4 Garcia + Praceadingscfihe ATM | 2022</x:v>
      </x:c>
      <x:c r="M96" s="728" t="n">
        <x:v>2022</x:v>
      </x:c>
      <x:c r="N96" s="717" t="str">
        <x:v>Google Scholar result</x:v>
      </x:c>
      <x:c r="O96" s="717" t="str">
        <x:v>No</x:v>
      </x:c>
      <x:c r="P96" s="717"/>
    </x:row>
    <x:row r="97" ht="38" customHeight="1">
      <x:c r="A97" s="717" t="str">
        <x:v>GS-01-043</x:v>
      </x:c>
      <x:c r="B97" s="717" t="str">
        <x:v>Google Scholar</x:v>
      </x:c>
      <x:c r="C97" s="717" t="str">
        <x:v>GS-01</x:v>
      </x:c>
      <x:c r="D97" s="720" t="str">
        <x:v>A User-Centric Review and Comparative Analysis of Explainable Al Methods for Social Media Recommender Systems</x:v>
      </x:c>
      <x:c r="E97" s="717" t="str">
        <x:v>Exclude</x:v>
      </x:c>
      <x:c r="F97" s="720" t="str">
        <x:v>Non-original evidence (review, editorial, response, protocol, or similar); retain only for background/citation chasing (E4).</x:v>
      </x:c>
      <x:c r="G97" s="717" t="str">
        <x:v>Title only</x:v>
      </x:c>
      <x:c r="H97" s="717" t="str">
        <x:v>Exclude</x:v>
      </x:c>
      <x:c r="I97" s="720" t="str">
        <x:v>Non-original evidence (review, editorial, response, protocol, or similar); retain only for background/citation chasing (E4).</x:v>
      </x:c>
      <x:c r="J97" s="717" t="str">
        <x:f>IF(E97=H97,E97,"Unclear")</x:f>
        <x:v>Exclude</x:v>
      </x:c>
      <x:c r="K97" s="720" t="str">
        <x:f>IF(E97=H97,"Agreement between both AI passes.","AI-pass disagreement; retain for human discussion.")</x:f>
        <x:v>Agreement between both AI passes.</x:v>
      </x:c>
      <x:c r="L97" s="720" t="str">
        <x:v>BAlkhataeb E Solatman</x:v>
      </x:c>
      <x:c r="M97" s="728" t="n">
        <x:v>2026</x:v>
      </x:c>
      <x:c r="N97" s="717" t="str">
        <x:v>Google Scholar result</x:v>
      </x:c>
      <x:c r="O97" s="717" t="str">
        <x:v>No</x:v>
      </x:c>
      <x:c r="P97" s="717"/>
    </x:row>
    <x:row r="98" ht="38" customHeight="1">
      <x:c r="A98" s="717" t="str">
        <x:v>GS-01-044</x:v>
      </x:c>
      <x:c r="B98" s="717" t="str">
        <x:v>Google Scholar</x:v>
      </x:c>
      <x:c r="C98" s="717" t="str">
        <x:v>GS-01</x:v>
      </x:c>
      <x:c r="D98" s="720" t="str">
        <x:v>(Por CACRC-Pan’ A Concept Annotated Case Report Corpus and Processing Pipeline for Rare Pancreatic Diseases</x:v>
      </x:c>
      <x:c r="E98" s="717" t="str">
        <x:v>Exclude</x:v>
      </x:c>
      <x:c r="F98" s="720" t="str">
        <x:v>Clearly outside retinal/ophthalmic concept-based explainable AI.</x:v>
      </x:c>
      <x:c r="G98" s="717" t="str">
        <x:v>Title only</x:v>
      </x:c>
      <x:c r="H98" s="717" t="str">
        <x:v>Exclude</x:v>
      </x:c>
      <x:c r="I98" s="720" t="str">
        <x:v>Clearly outside retinal/ophthalmic concept-based explainable AI.</x:v>
      </x:c>
      <x:c r="J98" s="717" t="str">
        <x:f>IF(E98=H98,E98,"Unclear")</x:f>
        <x:v>Exclude</x:v>
      </x:c>
      <x:c r="K98" s="720" t="str">
        <x:f>IF(E98=H98,"Agreement between both AI passes.","AI-pass disagreement; retain for human discussion.")</x:f>
        <x:v>Agreement between both AI passes.</x:v>
      </x:c>
      <x:c r="L98" s="720" t="str">
        <x:v>C Mulimb: 4 Fiersns, . Diercke + . tha Personal Gate. 2026</x:v>
      </x:c>
      <x:c r="M98" s="728" t="n">
        <x:v>2026</x:v>
      </x:c>
      <x:c r="N98" s="717" t="str">
        <x:v>Google Scholar result</x:v>
      </x:c>
      <x:c r="O98" s="717" t="str">
        <x:v>No</x:v>
      </x:c>
      <x:c r="P98" s="717"/>
    </x:row>
    <x:row r="99" ht="38" customHeight="1">
      <x:c r="A99" s="717" t="str">
        <x:v>GS-01-045</x:v>
      </x:c>
      <x:c r="B99" s="717" t="str">
        <x:v>Google Scholar</x:v>
      </x:c>
      <x:c r="C99" s="717" t="str">
        <x:v>GS-01</x:v>
      </x:c>
      <x:c r="D99" s="720" t="str">
        <x:v>Concept-based explainable artificial intelligence’ Metrics and benchmarks</x:v>
      </x:c>
      <x:c r="E99" s="717" t="str">
        <x:v>Include</x:v>
      </x:c>
      <x:c r="F99" s="720" t="str">
        <x:v>Foundational concept-XAI method relevant to the review taxonomy or reliability analysis (title only).</x:v>
      </x:c>
      <x:c r="G99" s="717" t="str">
        <x:v>Title only</x:v>
      </x:c>
      <x:c r="H99" s="717" t="str">
        <x:v>Unclear</x:v>
      </x:c>
      <x:c r="I99" s="720" t="str">
        <x:v>Concept-XAI method may be useful as foundational/contextual evidence; retinal or medical applicability requires discussion (title only).</x:v>
      </x:c>
      <x:c r="J99" s="717" t="str">
        <x:f>IF(E99=H99,E99,"Unclear")</x:f>
        <x:v>Unclear</x:v>
      </x:c>
      <x:c r="K99" s="720" t="str">
        <x:f>IF(E99=H99,"Agreement between both AI passes.","AI-pass disagreement; retain for human discussion.")</x:f>
        <x:v>AI-pass disagreement; retain for human discussion.</x:v>
      </x:c>
      <x:c r="L99" s="720" t="str">
        <x:v>HI Aysel X Cai A Onugel-Bennett</x:v>
      </x:c>
      <x:c r="M99" s="728"/>
      <x:c r="N99" s="717" t="str">
        <x:v>Google Scholar result</x:v>
      </x:c>
      <x:c r="O99" s="717" t="str">
        <x:v>No</x:v>
      </x:c>
      <x:c r="P99" s="717"/>
    </x:row>
    <x:row r="100" ht="38" customHeight="1">
      <x:c r="A100" s="717" t="str">
        <x:v>GS-01-046</x:v>
      </x:c>
      <x:c r="B100" s="717" t="str">
        <x:v>Google Scholar</x:v>
      </x:c>
      <x:c r="C100" s="717" t="str">
        <x:v>GS-01</x:v>
      </x:c>
      <x:c r="D100" s="720" t="str">
        <x:v>A Concept-based approach to Voice Disorder Detectian</x:v>
      </x:c>
      <x:c r="E100" s="717" t="str">
        <x:v>Unclear</x:v>
      </x:c>
      <x:c r="F100" s="720" t="str">
        <x:v>Concept-XAI method may be useful as foundational/contextual evidence; retinal or medical applicability requires discussion (title only).</x:v>
      </x:c>
      <x:c r="G100" s="717" t="str">
        <x:v>Title only</x:v>
      </x:c>
      <x:c r="H100" s="717" t="str">
        <x:v>Exclude</x:v>
      </x:c>
      <x:c r="I100" s="720" t="str">
        <x:v>Clearly outside retinal/ophthalmic concept-based explainable AI.</x:v>
      </x:c>
      <x:c r="J100" s="717" t="str">
        <x:f>IF(E100=H100,E100,"Unclear")</x:f>
        <x:v>Unclear</x:v>
      </x:c>
      <x:c r="K100" s="720" t="str">
        <x:f>IF(E100=H100,"Agreement between both AI passes.","AI-pass disagreement; retain for human discussion.")</x:f>
        <x:v>AI-pass disagreement; retain for human discussion.</x:v>
      </x:c>
      <x:c r="L100" s="720" t="str">
        <x:v>2Gha GCwayegra AKoudonas MFantni</x:v>
      </x:c>
      <x:c r="M100" s="728" t="n">
        <x:v>2025</x:v>
      </x:c>
      <x:c r="N100" s="717" t="str">
        <x:v>Google Scholar result</x:v>
      </x:c>
      <x:c r="O100" s="717" t="str">
        <x:v>No</x:v>
      </x:c>
      <x:c r="P100" s="717"/>
    </x:row>
    <x:row r="101" ht="38" customHeight="1">
      <x:c r="A101" s="717" t="str">
        <x:v>GS-01-047</x:v>
      </x:c>
      <x:c r="B101" s="717" t="str">
        <x:v>Google Scholar</x:v>
      </x:c>
      <x:c r="C101" s="717" t="str">
        <x:v>GS-01</x:v>
      </x:c>
      <x:c r="D101" s="720" t="str">
        <x:v>A counterintuitive approach to explainabte Al in healthcare. balancing transparency efficiency, and cost</x:v>
      </x:c>
      <x:c r="E101" s="717" t="str">
        <x:v>Unclear</x:v>
      </x:c>
      <x:c r="F101" s="720" t="str">
        <x:v>Possible contextual explainability evidence, but concept-level relevance is not confirmed from the available title only.</x:v>
      </x:c>
      <x:c r="G101" s="717" t="str">
        <x:v>Title only</x:v>
      </x:c>
      <x:c r="H101" s="717" t="str">
        <x:v>Exclude</x:v>
      </x:c>
      <x:c r="I101" s="720" t="str">
        <x:v>Medical/clinical topic, but no eligible concept-based explainability contribution is evident.</x:v>
      </x:c>
      <x:c r="J101" s="717" t="str">
        <x:f>IF(E101=H101,E101,"Unclear")</x:f>
        <x:v>Unclear</x:v>
      </x:c>
      <x:c r="K101" s="720" t="str">
        <x:f>IF(E101=H101,"Agreement between both AI passes.","AI-pass disagreement; retain for human discussion.")</x:f>
        <x:v>AI-pass disagreement; retain for human discussion.</x:v>
      </x:c>
      <x:c r="L101" s="720" t="str">
        <x:v>¥ Dnilips</x:v>
      </x:c>
      <x:c r="M101" s="728"/>
      <x:c r="N101" s="717" t="str">
        <x:v>Google Scholar result</x:v>
      </x:c>
      <x:c r="O101" s="717" t="str">
        <x:v>No</x:v>
      </x:c>
      <x:c r="P101" s="717"/>
    </x:row>
    <x:row r="102" ht="38" customHeight="1">
      <x:c r="A102" s="717" t="str">
        <x:v>GS-01-048</x:v>
      </x:c>
      <x:c r="B102" s="717" t="str">
        <x:v>Google Scholar</x:v>
      </x:c>
      <x:c r="C102" s="717" t="str">
        <x:v>GS-01</x:v>
      </x:c>
      <x:c r="D102" s="720" t="str">
        <x:v>CONAN CONcept-Onented ANomaly Detector far Interpretable Zero-Shot Detection</x:v>
      </x:c>
      <x:c r="E102" s="717" t="str">
        <x:v>Exclude</x:v>
      </x:c>
      <x:c r="F102" s="720" t="str">
        <x:v>Generic explainability topic outside the retinal/medical concept-XAI scope.</x:v>
      </x:c>
      <x:c r="G102" s="717" t="str">
        <x:v>Title only</x:v>
      </x:c>
      <x:c r="H102" s="717" t="str">
        <x:v>Exclude</x:v>
      </x:c>
      <x:c r="I102" s="720" t="str">
        <x:v>Generic explainability topic outside the retinal/medical concept-XAI scope.</x:v>
      </x:c>
      <x:c r="J102" s="717" t="str">
        <x:f>IF(E102=H102,E102,"Unclear")</x:f>
        <x:v>Exclude</x:v>
      </x:c>
      <x:c r="K102" s="720" t="str">
        <x:f>IF(E102=H102,"Agreement between both AI passes.","AI-pass disagreement; retain for human discussion.")</x:f>
        <x:v>Agreement between both AI passes.</x:v>
      </x:c>
      <x:c r="L102" s="720" t="str">
        <x:v>Ylee Eleo JKwon, See KKim S¥u_ -Faciic-Asia Conference = 2026</x:v>
      </x:c>
      <x:c r="M102" s="728" t="n">
        <x:v>2026</x:v>
      </x:c>
      <x:c r="N102" s="717" t="str">
        <x:v>Google Scholar result</x:v>
      </x:c>
      <x:c r="O102" s="717" t="str">
        <x:v>No</x:v>
      </x:c>
      <x:c r="P102" s="717"/>
    </x:row>
    <x:row r="103" ht="38" customHeight="1">
      <x:c r="A103" s="717" t="str">
        <x:v>GS-01-049</x:v>
      </x:c>
      <x:c r="B103" s="717" t="str">
        <x:v>Google Scholar</x:v>
      </x:c>
      <x:c r="C103" s="717" t="str">
        <x:v>GS-01</x:v>
      </x:c>
      <x:c r="D103" s="720" t="str">
        <x:v>Promises and pitfalls of black-box cancept learning models</x:v>
      </x:c>
      <x:c r="E103" s="717" t="str">
        <x:v>Exclude</x:v>
      </x:c>
      <x:c r="F103" s="720" t="str">
        <x:v>Clearly outside retinal/ophthalmic concept-based explainable AI.</x:v>
      </x:c>
      <x:c r="G103" s="717" t="str">
        <x:v>Title only</x:v>
      </x:c>
      <x:c r="H103" s="717" t="str">
        <x:v>Exclude</x:v>
      </x:c>
      <x:c r="I103" s="720" t="str">
        <x:v>Clearly outside retinal/ophthalmic concept-based explainable AI.</x:v>
      </x:c>
      <x:c r="J103" s="717" t="str">
        <x:f>IF(E103=H103,E103,"Unclear")</x:f>
        <x:v>Exclude</x:v>
      </x:c>
      <x:c r="K103" s="720" t="str">
        <x:f>IF(E103=H103,"Agreement between both AI passes.","AI-pass disagreement; retain for human discussion.")</x:f>
        <x:v>Agreement between both AI passes.</x:v>
      </x:c>
      <x:c r="L103" s="720" t="str">
        <x:v>Atfabinpaj Clark | age © Doshi-Velez</x:v>
      </x:c>
      <x:c r="M103" s="728" t="n">
        <x:v>2021</x:v>
      </x:c>
      <x:c r="N103" s="717" t="str">
        <x:v>Google Scholar result</x:v>
      </x:c>
      <x:c r="O103" s="717" t="str">
        <x:v>No</x:v>
      </x:c>
      <x:c r="P103" s="717"/>
    </x:row>
    <x:row r="104" ht="38" customHeight="1">
      <x:c r="A104" s="717" t="str">
        <x:v>GS-01-050</x:v>
      </x:c>
      <x:c r="B104" s="717" t="str">
        <x:v>Google Scholar</x:v>
      </x:c>
      <x:c r="C104" s="717" t="str">
        <x:v>GS-01</x:v>
      </x:c>
      <x:c r="D104" s="720" t="str">
        <x:v>NeRD Neuro-Sympbalic Rute Distillation for Efficient Ontology-Grounded Chain- of-Thougnht in Medical image Diagnosis</x:v>
      </x:c>
      <x:c r="E104" s="717" t="str">
        <x:v>Exclude</x:v>
      </x:c>
      <x:c r="F104" s="720" t="str">
        <x:v>Medical/clinical topic, but no eligible concept-based explainability contribution is evident.</x:v>
      </x:c>
      <x:c r="G104" s="717" t="str">
        <x:v>Title only</x:v>
      </x:c>
      <x:c r="H104" s="717" t="str">
        <x:v>Exclude</x:v>
      </x:c>
      <x:c r="I104" s="720" t="str">
        <x:v>Medical/clinical topic, but no eligible concept-based explainability contribution is evident.</x:v>
      </x:c>
      <x:c r="J104" s="717" t="str">
        <x:f>IF(E104=H104,E104,"Unclear")</x:f>
        <x:v>Exclude</x:v>
      </x:c>
      <x:c r="K104" s="720" t="str">
        <x:f>IF(E104=H104,"Agreement between both AI passes.","AI-pass disagreement; retain for human discussion.")</x:f>
        <x:v>Agreement between both AI passes.</x:v>
      </x:c>
      <x:c r="L104" s="720" t="str">
        <x:v>HYang Yuigng SYai s Crow ELI, CO Poon</x:v>
      </x:c>
      <x:c r="M104" s="728" t="n">
        <x:v>2026</x:v>
      </x:c>
      <x:c r="N104" s="717" t="str">
        <x:v>Google Scholar result</x:v>
      </x:c>
      <x:c r="O104" s="717" t="str">
        <x:v>No</x:v>
      </x:c>
      <x:c r="P104" s="717"/>
    </x:row>
    <x:row r="105" ht="38" customHeight="1">
      <x:c r="A105" s="717" t="str">
        <x:v>GS-01-051</x:v>
      </x:c>
      <x:c r="B105" s="717" t="str">
        <x:v>Google Scholar</x:v>
      </x:c>
      <x:c r="C105" s="717" t="str">
        <x:v>GS-01</x:v>
      </x:c>
      <x:c r="D105" s="720" t="str">
        <x:v>Now yau see me (cme) concept-based model extraction</x:v>
      </x:c>
      <x:c r="E105" s="717" t="str">
        <x:v>Unclear</x:v>
      </x:c>
      <x:c r="F105" s="720" t="str">
        <x:v>Concept-XAI method may be useful as foundational/contextual evidence; retinal or medical applicability requires discussion (title only).</x:v>
      </x:c>
      <x:c r="G105" s="717" t="str">
        <x:v>Title only</x:v>
      </x:c>
      <x:c r="H105" s="717" t="str">
        <x:v>Exclude</x:v>
      </x:c>
      <x:c r="I105" s="720" t="str">
        <x:v>Clearly outside retinal/ophthalmic concept-based explainable AI.</x:v>
      </x:c>
      <x:c r="J105" s="717" t="str">
        <x:f>IF(E105=H105,E105,"Unclear")</x:f>
        <x:v>Unclear</x:v>
      </x:c>
      <x:c r="K105" s="720" t="str">
        <x:f>IF(E105=H105,"Agreement between both AI passes.","AI-pass disagreement; retain for human discussion.")</x:f>
        <x:v>AI-pass disagreement; retain for human discussion.</x:v>
      </x:c>
      <x:c r="L105" s="720" t="str">
        <x:v>D Kazhdan B Dimanoy. M Jamk, Pio) + arXiv prepriniasXiv = 2020</x:v>
      </x:c>
      <x:c r="M105" s="728" t="n">
        <x:v>2020</x:v>
      </x:c>
      <x:c r="N105" s="717" t="str">
        <x:v>Google Scholar result</x:v>
      </x:c>
      <x:c r="O105" s="717" t="str">
        <x:v>No</x:v>
      </x:c>
      <x:c r="P105" s="717"/>
    </x:row>
    <x:row r="106" ht="38" customHeight="1">
      <x:c r="A106" s="717" t="str">
        <x:v>GS-01-052</x:v>
      </x:c>
      <x:c r="B106" s="717" t="str">
        <x:v>Google Scholar</x:v>
      </x:c>
      <x:c r="C106" s="717" t="str">
        <x:v>GS-01</x:v>
      </x:c>
      <x:c r="D106" s="720" t="str">
        <x:v>ViConEx-Med: Visual Concept Explainability via Multi-Concept Token Transformer for Medical Image Analysis</x:v>
      </x:c>
      <x:c r="E106" s="717" t="str">
        <x:v>Include</x:v>
      </x:c>
      <x:c r="F106" s="720" t="str">
        <x:v>Potential contextual medical-imaging concept-XAI evidence (title only).</x:v>
      </x:c>
      <x:c r="G106" s="717" t="str">
        <x:v>Title only</x:v>
      </x:c>
      <x:c r="H106" s="717" t="str">
        <x:v>Unclear</x:v>
      </x:c>
      <x:c r="I106" s="720" t="str">
        <x:v>Possible contextual explainability evidence, but concept-level relevance is not confirmed from the available title only.</x:v>
      </x:c>
      <x:c r="J106" s="717" t="str">
        <x:f>IF(E106=H106,E106,"Unclear")</x:f>
        <x:v>Unclear</x:v>
      </x:c>
      <x:c r="K106" s="720" t="str">
        <x:f>IF(E106=H106,"Agreement between both AI passes.","AI-pass disagreement; retain for human discussion.")</x:f>
        <x:v>AI-pass disagreement; retain for human discussion.</x:v>
      </x:c>
      <x:c r="L106" s="720" t="str">
        <x:v>C Patricio. .F Teixeis .C Neves</x:v>
      </x:c>
      <x:c r="M106" s="728" t="n">
        <x:v>2025</x:v>
      </x:c>
      <x:c r="N106" s="717" t="str">
        <x:v>Google Scholar result</x:v>
      </x:c>
      <x:c r="O106" s="717" t="str">
        <x:v>No</x:v>
      </x:c>
      <x:c r="P106" s="717"/>
    </x:row>
    <x:row r="107" ht="38" customHeight="1">
      <x:c r="A107" s="717" t="str">
        <x:v>GS-01-053</x:v>
      </x:c>
      <x:c r="B107" s="717" t="str">
        <x:v>Google Scholar</x:v>
      </x:c>
      <x:c r="C107" s="717" t="str">
        <x:v>GS-01</x:v>
      </x:c>
      <x:c r="D107" s="720" t="str">
        <x:v>xAI-CV An Overvisw of Explainable Artificial Intellhgence in Computer Vision</x:v>
      </x:c>
      <x:c r="E107" s="717" t="str">
        <x:v>Exclude</x:v>
      </x:c>
      <x:c r="F107" s="720" t="str">
        <x:v>Generic explainability topic outside the retinal/medical concept-XAI scope.</x:v>
      </x:c>
      <x:c r="G107" s="717" t="str">
        <x:v>Title only</x:v>
      </x:c>
      <x:c r="H107" s="717" t="str">
        <x:v>Exclude</x:v>
      </x:c>
      <x:c r="I107" s="720" t="str">
        <x:v>Generic explainability topic outside the retinal/medical concept-XAI scope.</x:v>
      </x:c>
      <x:c r="J107" s="717" t="str">
        <x:f>IF(E107=H107,E107,"Unclear")</x:f>
        <x:v>Exclude</x:v>
      </x:c>
      <x:c r="K107" s="720" t="str">
        <x:f>IF(E107=H107,"Agreement between both AI passes.","AI-pass disagreement; retain for human discussion.")</x:f>
        <x:v>Agreement between both AI passes.</x:v>
      </x:c>
      <x:c r="L107" s="720" t="str">
        <x:v>Yan Tu PN Long Vr Viet</x:v>
      </x:c>
      <x:c r="M107" s="728"/>
      <x:c r="N107" s="717" t="str">
        <x:v>Google Scholar result</x:v>
      </x:c>
      <x:c r="O107" s="717" t="str">
        <x:v>No</x:v>
      </x:c>
      <x:c r="P107" s="717"/>
    </x:row>
    <x:row r="108" ht="38" customHeight="1">
      <x:c r="A108" s="717" t="str">
        <x:v>GS-01-054</x:v>
      </x:c>
      <x:c r="B108" s="717" t="str">
        <x:v>Google Scholar</x:v>
      </x:c>
      <x:c r="C108" s="717" t="str">
        <x:v>GS-01</x:v>
      </x:c>
      <x:c r="D108" s="720" t="str">
        <x:v>XDR-LVLM: An explainable vision-language large model for diabstic retinopathy diagnosis</x:v>
      </x:c>
      <x:c r="E108" s="717" t="str">
        <x:v>Unclear</x:v>
      </x:c>
      <x:c r="F108" s="720" t="str">
        <x:v>Retinal/ophthalmic AI is evident, but the concept-based mechanism is not confirmed from the available title only.</x:v>
      </x:c>
      <x:c r="G108" s="717" t="str">
        <x:v>Title only</x:v>
      </x:c>
      <x:c r="H108" s="717" t="str">
        <x:v>Unclear</x:v>
      </x:c>
      <x:c r="I108" s="720" t="str">
        <x:v>Retinal/ophthalmic AI is evident, but the concept-based mechanism is not confirmed from the available title only.</x:v>
      </x:c>
      <x:c r="J108" s="717" t="str">
        <x:f>IF(E108=H108,E108,"Unclear")</x:f>
        <x:v>Unclear</x:v>
      </x:c>
      <x:c r="K108" s="720" t="str">
        <x:f>IF(E108=H108,"Agreement between both AI passes.","AI-pass disagreement; retain for human discussion.")</x:f>
        <x:v>Agreement between both AI passes.</x:v>
      </x:c>
      <x:c r="L108" s="720" t="str">
        <x:v>M lio. K Tanaka K Matsuds. A Nakaysma</x:v>
      </x:c>
      <x:c r="M108" s="728" t="n">
        <x:v>2025</x:v>
      </x:c>
      <x:c r="N108" s="717" t="str">
        <x:v>Google Scholar result</x:v>
      </x:c>
      <x:c r="O108" s="717" t="str">
        <x:v>No</x:v>
      </x:c>
      <x:c r="P108" s="717"/>
    </x:row>
    <x:row r="109" ht="38" customHeight="1">
      <x:c r="A109" s="717" t="str">
        <x:v>GS-01-055</x:v>
      </x:c>
      <x:c r="B109" s="717" t="str">
        <x:v>Google Scholar</x:v>
      </x:c>
      <x:c r="C109" s="717" t="str">
        <x:v>GS-01</x:v>
      </x:c>
      <x:c r="D109" s="720" t="str">
        <x:v>Explainability through human-centric design for XAl in lung cancer detection</x:v>
      </x:c>
      <x:c r="E109" s="717" t="str">
        <x:v>Unclear</x:v>
      </x:c>
      <x:c r="F109" s="720" t="str">
        <x:v>Possible contextual explainability evidence, but concept-level relevance is not confirmed from the available title only.</x:v>
      </x:c>
      <x:c r="G109" s="717" t="str">
        <x:v>Title only</x:v>
      </x:c>
      <x:c r="H109" s="717" t="str">
        <x:v>Exclude</x:v>
      </x:c>
      <x:c r="I109" s="720" t="str">
        <x:v>Medical/clinical topic, but no eligible concept-based explainability contribution is evident.</x:v>
      </x:c>
      <x:c r="J109" s="717" t="str">
        <x:f>IF(E109=H109,E109,"Unclear")</x:f>
        <x:v>Unclear</x:v>
      </x:c>
      <x:c r="K109" s="720" t="str">
        <x:f>IF(E109=H109,"Agreement between both AI passes.","AI-pass disagreement; retain for human discussion.")</x:f>
        <x:v>AI-pass disagreement; retain for human discussion.</x:v>
      </x:c>
      <x:c r="L109" s="720" t="str">
        <x:v>ARafery RRamags: 4 Rajan</x:v>
      </x:c>
      <x:c r="M109" s="728" t="n">
        <x:v>2025</x:v>
      </x:c>
      <x:c r="N109" s="717" t="str">
        <x:v>Google Scholar result</x:v>
      </x:c>
      <x:c r="O109" s="717" t="str">
        <x:v>No</x:v>
      </x:c>
      <x:c r="P109" s="717"/>
    </x:row>
    <x:row r="110" ht="38" customHeight="1">
      <x:c r="A110" s="717" t="str">
        <x:v>GS-01-056</x:v>
      </x:c>
      <x:c r="B110" s="717" t="str">
        <x:v>Google Scholar</x:v>
      </x:c>
      <x:c r="C110" s="717" t="str">
        <x:v>GS-01</x:v>
      </x:c>
      <x:c r="D110" s="720" t="str">
        <x:v>Sem)-Supervised Concept Infused Pseudo-Label Refining For Interpretable Olabetic Retinopathy Grading</x:v>
      </x:c>
      <x:c r="E110" s="717" t="str">
        <x:v>Include</x:v>
      </x:c>
      <x:c r="F110" s="720" t="str">
        <x:v>Potential direct retinal/ophthalmic concept-based XAI evidence (title only).</x:v>
      </x:c>
      <x:c r="G110" s="717" t="str">
        <x:v>Title only</x:v>
      </x:c>
      <x:c r="H110" s="717" t="str">
        <x:v>Include</x:v>
      </x:c>
      <x:c r="I110" s="720" t="str">
        <x:v>Potential direct retinal/ophthalmic concept-based XAI evidence (title only).</x:v>
      </x:c>
      <x:c r="J110" s="717" t="str">
        <x:f>IF(E110=H110,E110,"Unclear")</x:f>
        <x:v>Include</x:v>
      </x:c>
      <x:c r="K110" s="720" t="str">
        <x:f>IF(E110=H110,"Agreement between both AI passes.","AI-pass disagreement; retain for human discussion.")</x:f>
        <x:v>Agreement between both AI passes.</x:v>
      </x:c>
      <x:c r="L110" s="720" t="str">
        <x:v>¥ Gao Ci\¥en, 4h QTan Ye</x:v>
      </x:c>
      <x:c r="M110" s="728" t="n">
        <x:v>2026</x:v>
      </x:c>
      <x:c r="N110" s="717" t="str">
        <x:v>Google Scholar result</x:v>
      </x:c>
      <x:c r="O110" s="717" t="str">
        <x:v>No</x:v>
      </x:c>
      <x:c r="P110" s="717"/>
    </x:row>
    <x:row r="111" ht="38" customHeight="1">
      <x:c r="A111" s="717" t="str">
        <x:v>GS-01-057</x:v>
      </x:c>
      <x:c r="B111" s="717" t="str">
        <x:v>Google Scholar</x:v>
      </x:c>
      <x:c r="C111" s="717" t="str">
        <x:v>GS-01</x:v>
      </x:c>
      <x:c r="D111" s="720" t="str">
        <x:v>Concept embedding analysis’ A review</x:v>
      </x:c>
      <x:c r="E111" s="717" t="str">
        <x:v>Exclude</x:v>
      </x:c>
      <x:c r="F111" s="720" t="str">
        <x:v>Non-original evidence (review, editorial, response, protocol, or similar); retain only for background/citation chasing (E4).</x:v>
      </x:c>
      <x:c r="G111" s="717" t="str">
        <x:v>Title only</x:v>
      </x:c>
      <x:c r="H111" s="717" t="str">
        <x:v>Exclude</x:v>
      </x:c>
      <x:c r="I111" s="720" t="str">
        <x:v>Non-original evidence (review, editorial, response, protocol, or similar); retain only for background/citation chasing (E4).</x:v>
      </x:c>
      <x:c r="J111" s="717" t="str">
        <x:f>IF(E111=H111,E111,"Unclear")</x:f>
        <x:v>Exclude</x:v>
      </x:c>
      <x:c r="K111" s="720" t="str">
        <x:f>IF(E111=H111,"Agreement between both AI passes.","AI-pass disagreement; retain for human discussion.")</x:f>
        <x:v>Agreement between both AI passes.</x:v>
      </x:c>
      <x:c r="L111" s="720" t="str">
        <x:v>G Schwabe</x:v>
      </x:c>
      <x:c r="M111" s="728" t="n">
        <x:v>2022</x:v>
      </x:c>
      <x:c r="N111" s="717" t="str">
        <x:v>Google Scholar result</x:v>
      </x:c>
      <x:c r="O111" s="717" t="str">
        <x:v>No</x:v>
      </x:c>
      <x:c r="P111" s="717"/>
    </x:row>
    <x:row r="112" ht="38" customHeight="1">
      <x:c r="A112" s="717" t="str">
        <x:v>GS-01-058</x:v>
      </x:c>
      <x:c r="B112" s="717" t="str">
        <x:v>Google Scholar</x:v>
      </x:c>
      <x:c r="C112" s="717" t="str">
        <x:v>GS-01</x:v>
      </x:c>
      <x:c r="D112" s="720" t="str">
        <x:v>Open-Linguistic Concept Unified Learning for Cross-Site Interpretable Dermatolagy Image Diagnosis</x:v>
      </x:c>
      <x:c r="E112" s="717" t="str">
        <x:v>Unclear</x:v>
      </x:c>
      <x:c r="F112" s="720" t="str">
        <x:v>Possible contextual explainability evidence, but concept-level relevance is not confirmed from the available title only.</x:v>
      </x:c>
      <x:c r="G112" s="717" t="str">
        <x:v>Title only</x:v>
      </x:c>
      <x:c r="H112" s="717" t="str">
        <x:v>Unclear</x:v>
      </x:c>
      <x:c r="I112" s="720" t="str">
        <x:v>Possible contextual explainability evidence, but concept-level relevance is not confirmed from the available title only.</x:v>
      </x:c>
      <x:c r="J112" s="717" t="str">
        <x:f>IF(E112=H112,E112,"Unclear")</x:f>
        <x:v>Unclear</x:v>
      </x:c>
      <x:c r="K112" s="720" t="str">
        <x:f>IF(E112=H112,"Agreement between both AI passes.","AI-pass disagreement; retain for human discussion.")</x:f>
        <x:v>Agreement between both AI passes.</x:v>
      </x:c>
      <x:c r="L112" s="720" t="str">
        <x:v>Cy ddan luo, Wang Vien</x:v>
      </x:c>
      <x:c r="M112" s="728" t="n">
        <x:v>2026</x:v>
      </x:c>
      <x:c r="N112" s="717" t="str">
        <x:v>Google Scholar result</x:v>
      </x:c>
      <x:c r="O112" s="717" t="str">
        <x:v>No</x:v>
      </x:c>
      <x:c r="P112" s="717"/>
    </x:row>
    <x:row r="113" ht="38" customHeight="1">
      <x:c r="A113" s="717" t="str">
        <x:v>GS-01-059</x:v>
      </x:c>
      <x:c r="B113" s="717" t="str">
        <x:v>Google Scholar</x:v>
      </x:c>
      <x:c r="C113" s="717" t="str">
        <x:v>GS-01</x:v>
      </x:c>
      <x:c r="D113" s="720" t="str">
        <x:v>Stable Vision Concept Transformers far Medical Diagnosis</x:v>
      </x:c>
      <x:c r="E113" s="717"/>
      <x:c r="F113" s="720" t="str">
        <x:v>Confirmed duplicate during enhanced OCR-variant deduplication.</x:v>
      </x:c>
      <x:c r="G113" s="717" t="str">
        <x:v>Duplicate control</x:v>
      </x:c>
      <x:c r="H113" s="717"/>
      <x:c r="I113" s="720" t="str">
        <x:v>Confirmed duplicate during enhanced OCR-variant deduplication.</x:v>
      </x:c>
      <x:c r="J113" s="717"/>
      <x:c r="K113" s="720" t="str">
        <x:v>Removed from the final title/abstract denominator before full-text retrieval.</x:v>
      </x:c>
      <x:c r="L113" s="720" t="str">
        <x:v>$ Yang J Zhang D Wang</x:v>
      </x:c>
      <x:c r="M113" s="728"/>
      <x:c r="N113" s="717" t="str">
        <x:v>Google Scholar result</x:v>
      </x:c>
      <x:c r="O113" s="717" t="str">
        <x:v>No</x:v>
      </x:c>
      <x:c r="P113" s="717"/>
    </x:row>
    <x:row r="114" ht="38" customHeight="1">
      <x:c r="A114" s="717" t="str">
        <x:v>GS-01-060</x:v>
      </x:c>
      <x:c r="B114" s="717" t="str">
        <x:v>Google Scholar</x:v>
      </x:c>
      <x:c r="C114" s="717" t="str">
        <x:v>GS-01</x:v>
      </x:c>
      <x:c r="D114" s="720" t="str">
        <x:v>Concept-based Visual Caunterfactual Explanations with Diffusion Models</x:v>
      </x:c>
      <x:c r="E114" s="717" t="str">
        <x:v>Unclear</x:v>
      </x:c>
      <x:c r="F114" s="720" t="str">
        <x:v>Concept-XAI method may be useful as foundational/contextual evidence; retinal or medical applicability requires discussion (title only).</x:v>
      </x:c>
      <x:c r="G114" s="717" t="str">
        <x:v>Title only</x:v>
      </x:c>
      <x:c r="H114" s="717" t="str">
        <x:v>Exclude</x:v>
      </x:c>
      <x:c r="I114" s="720" t="str">
        <x:v>Clearly outside retinal/ophthalmic concept-based explainable AI.</x:v>
      </x:c>
      <x:c r="J114" s="717" t="str">
        <x:f>IF(E114=H114,E114,"Unclear")</x:f>
        <x:v>Unclear</x:v>
      </x:c>
      <x:c r="K114" s="720" t="str">
        <x:f>IF(E114=H114,"Agreement between both AI passes.","AI-pass disagreement; retain for human discussion.")</x:f>
        <x:v>AI-pass disagreement; retain for human discussion.</x:v>
      </x:c>
      <x:c r="L114" s="720" t="str">
        <x:v>¥ Ouesiat D Kinlanks MM Gjoresk</x:v>
      </x:c>
      <x:c r="M114" s="728" t="n">
        <x:v>2026</x:v>
      </x:c>
      <x:c r="N114" s="717" t="str">
        <x:v>Google Scholar result</x:v>
      </x:c>
      <x:c r="O114" s="717" t="str">
        <x:v>No</x:v>
      </x:c>
      <x:c r="P114" s="717"/>
    </x:row>
    <x:row r="115" ht="38" customHeight="1">
      <x:c r="A115" s="717" t="str">
        <x:v>GS-01-061</x:v>
      </x:c>
      <x:c r="B115" s="717" t="str">
        <x:v>Google Scholar</x:v>
      </x:c>
      <x:c r="C115" s="717" t="str">
        <x:v>GS-01</x:v>
      </x:c>
      <x:c r="D115" s="720" t="str">
        <x:v>Generalizable Al predicts immunotherapy outcomes across cancers and treatments</x:v>
      </x:c>
      <x:c r="E115" s="717" t="str">
        <x:v>Exclude</x:v>
      </x:c>
      <x:c r="F115" s="720" t="str">
        <x:v>Clearly outside retinal/ophthalmic concept-based explainable AI.</x:v>
      </x:c>
      <x:c r="G115" s="717" t="str">
        <x:v>Title only</x:v>
      </x:c>
      <x:c r="H115" s="717" t="str">
        <x:v>Exclude</x:v>
      </x:c>
      <x:c r="I115" s="720" t="str">
        <x:v>Clearly outside retinal/ophthalmic concept-based explainable AI.</x:v>
      </x:c>
      <x:c r="J115" s="717" t="str">
        <x:f>IF(E115=H115,E115,"Unclear")</x:f>
        <x:v>Exclude</x:v>
      </x:c>
      <x:c r="K115" s="720" t="str">
        <x:f>IF(E115=H115,"Agreement between both AI passes.","AI-pass disagreement; retain for human discussion.")</x:f>
        <x:v>Agreement between both AI passes.</x:v>
      </x:c>
      <x:c r="L115" s="720" t="str">
        <x:v>W Shen [Moon TH Nquyan MM, Y Huang N Nair</x:v>
      </x:c>
      <x:c r="M115" s="728" t="n">
        <x:v>2026</x:v>
      </x:c>
      <x:c r="N115" s="717" t="str">
        <x:v>Google Scholar result</x:v>
      </x:c>
      <x:c r="O115" s="717" t="str">
        <x:v>No</x:v>
      </x:c>
      <x:c r="P115" s="717"/>
    </x:row>
    <x:row r="116" ht="38" customHeight="1">
      <x:c r="A116" s="717" t="str">
        <x:v>GS-01-062</x:v>
      </x:c>
      <x:c r="B116" s="717" t="str">
        <x:v>Google Scholar</x:v>
      </x:c>
      <x:c r="C116" s="717" t="str">
        <x:v>GS-01</x:v>
      </x:c>
      <x:c r="D116" s="720" t="str">
        <x:v>Aligning human knowledge with visual concepts towards explainable medical Image classification</x:v>
      </x:c>
      <x:c r="E116" s="717" t="str">
        <x:v>Unclear</x:v>
      </x:c>
      <x:c r="F116" s="720" t="str">
        <x:v>Possible contextual explainability evidence, but concept-level relevance is not confirmed from the available title only.</x:v>
      </x:c>
      <x:c r="G116" s="717" t="str">
        <x:v>Title only</x:v>
      </x:c>
      <x:c r="H116" s="717" t="str">
        <x:v>Unclear</x:v>
      </x:c>
      <x:c r="I116" s="720" t="str">
        <x:v>Possible contextual explainability evidence, but concept-level relevance is not confirmed from the available title only.</x:v>
      </x:c>
      <x:c r="J116" s="717" t="str">
        <x:f>IF(E116=H116,E116,"Unclear")</x:f>
        <x:v>Unclear</x:v>
      </x:c>
      <x:c r="K116" s="720" t="str">
        <x:f>IF(E116=H116,"Agreement between both AI passes.","AI-pass disagreement; retain for human discussion.")</x:f>
        <x:v>Agreement between both AI passes.</x:v>
      </x:c>
      <x:c r="L116" s="720" t="str">
        <x:v>¥Gae.D Gu MZhot DO Metaxas</x:v>
      </x:c>
      <x:c r="M116" s="728" t="n">
        <x:v>2024</x:v>
      </x:c>
      <x:c r="N116" s="717" t="str">
        <x:v>Google Scholar result</x:v>
      </x:c>
      <x:c r="O116" s="717" t="str">
        <x:v>No</x:v>
      </x:c>
      <x:c r="P116" s="717"/>
    </x:row>
    <x:row r="117" ht="38" customHeight="1">
      <x:c r="A117" s="717" t="str">
        <x:v>GS-01-063</x:v>
      </x:c>
      <x:c r="B117" s="717" t="str">
        <x:v>Google Scholar</x:v>
      </x:c>
      <x:c r="C117" s="717" t="str">
        <x:v>GS-01</x:v>
      </x:c>
      <x:c r="D117" s="720" t="str">
        <x:v>interpretable Neuropsychiatric Diagnosis via Concept-Guided Graph Neural Networks</x:v>
      </x:c>
      <x:c r="E117" s="717" t="str">
        <x:v>Include</x:v>
      </x:c>
      <x:c r="F117" s="720" t="str">
        <x:v>Foundational concept-XAI method relevant to the review taxonomy or reliability analysis (title only).</x:v>
      </x:c>
      <x:c r="G117" s="717" t="str">
        <x:v>Title only</x:v>
      </x:c>
      <x:c r="H117" s="717" t="str">
        <x:v>Unclear</x:v>
      </x:c>
      <x:c r="I117" s="720" t="str">
        <x:v>Concept-XAI method may be useful as foundational/contextual evidence; retinal or medical applicability requires discussion (title only).</x:v>
      </x:c>
      <x:c r="J117" s="717" t="str">
        <x:f>IF(E117=H117,E117,"Unclear")</x:f>
        <x:v>Unclear</x:v>
      </x:c>
      <x:c r="K117" s="720" t="str">
        <x:f>IF(E117=H117,"Agreement between both AI passes.","AI-pass disagreement; retain for human discussion.")</x:f>
        <x:v>AI-pass disagreement; retain for human discussion.</x:v>
      </x:c>
      <x:c r="L117" s="720" t="str">
        <x:v>S Wang ZLei ZTan JLi JRasep AZrang. ~- arXiv praprintarXiy 2025</x:v>
      </x:c>
      <x:c r="M117" s="728" t="n">
        <x:v>2025</x:v>
      </x:c>
      <x:c r="N117" s="717" t="str">
        <x:v>Google Scholar result</x:v>
      </x:c>
      <x:c r="O117" s="717" t="str">
        <x:v>No</x:v>
      </x:c>
      <x:c r="P117" s="717"/>
    </x:row>
    <x:row r="118" ht="38" customHeight="1">
      <x:c r="A118" s="717" t="str">
        <x:v>GS-01-064</x:v>
      </x:c>
      <x:c r="B118" s="717" t="str">
        <x:v>Google Scholar</x:v>
      </x:c>
      <x:c r="C118" s="717" t="str">
        <x:v>GS-01</x:v>
      </x:c>
      <x:c r="D118" s="720" t="str">
        <x:v>AMD-AgentDx Transparent Agentic Al Framework on Consumer Electronics for Specialist-Comparable Multimodal Diagnosis</x:v>
      </x:c>
      <x:c r="E118" s="717"/>
      <x:c r="F118" s="720" t="str">
        <x:v>Removed during bibliographic verification: the screenshot/OCR-derived title could not be matched to an authoritative scholarly record. Retained only in the audit trail and excluded from all active denominators.</x:v>
      </x:c>
      <x:c r="G118" s="717" t="str">
        <x:v>Bibliographic verification</x:v>
      </x:c>
      <x:c r="H118" s="717"/>
      <x:c r="I118" s="720" t="str">
        <x:v>Removed during bibliographic verification: the screenshot/OCR-derived title could not be matched to an authoritative scholarly record. Retained only in the audit trail and excluded from all active denominators.</x:v>
      </x:c>
      <x:c r="J118" s="717"/>
      <x:c r="K118" s="720" t="str">
        <x:v>Removed from the active analytic set; original AI recommendations are superseded by bibliographic verification.</x:v>
      </x:c>
      <x:c r="L118" s="720" t="str">
        <x:v>2Warc . Bai X Zhang RZ-ang JTaa + EEE T‘ansachons 2024</x:v>
      </x:c>
      <x:c r="M118" s="728" t="n">
        <x:v>2024</x:v>
      </x:c>
      <x:c r="N118" s="717" t="str">
        <x:v>Google Scholar result</x:v>
      </x:c>
      <x:c r="O118" s="717" t="str">
        <x:v>No</x:v>
      </x:c>
      <x:c r="P118" s="717"/>
    </x:row>
    <x:row r="119" ht="38" customHeight="1">
      <x:c r="A119" s="717" t="str">
        <x:v>GS-01-065</x:v>
      </x:c>
      <x:c r="B119" s="717" t="str">
        <x:v>Google Scholar</x:v>
      </x:c>
      <x:c r="C119" s="717" t="str">
        <x:v>GS-01</x:v>
      </x:c>
      <x:c r="D119" s="720" t="str">
        <x:v>POF] From Images to Concepts: interpretable Image Classification with CLIP- Derived Visual Concepts</x:v>
      </x:c>
      <x:c r="E119" s="717" t="str">
        <x:v>Exclude</x:v>
      </x:c>
      <x:c r="F119" s="720" t="str">
        <x:v>Generic explainability topic outside the retinal/medical concept-XAI scope.</x:v>
      </x:c>
      <x:c r="G119" s="717" t="str">
        <x:v>Title only</x:v>
      </x:c>
      <x:c r="H119" s="717" t="str">
        <x:v>Exclude</x:v>
      </x:c>
      <x:c r="I119" s="720" t="str">
        <x:v>Generic explainability topic outside the retinal/medical concept-XAI scope.</x:v>
      </x:c>
      <x:c r="J119" s="717" t="str">
        <x:f>IF(E119=H119,E119,"Unclear")</x:f>
        <x:v>Exclude</x:v>
      </x:c>
      <x:c r="K119" s="720" t="str">
        <x:f>IF(E119=H119,"Agreement between both AI passes.","AI-pass disagreement; retain for human discussion.")</x:f>
        <x:v>Agreement between both AI passes.</x:v>
      </x:c>
      <x:c r="L119" s="720" t="str">
        <x:v>TMa. CM Truorg. JH Nquyen, JK Dang. PATha</x:v>
      </x:c>
      <x:c r="M119" s="728"/>
      <x:c r="N119" s="717" t="str">
        <x:v>Google Scholar result</x:v>
      </x:c>
      <x:c r="O119" s="717" t="str">
        <x:v>No</x:v>
      </x:c>
      <x:c r="P119" s="717"/>
    </x:row>
    <x:row r="120" ht="38" customHeight="1">
      <x:c r="A120" s="717" t="str">
        <x:v>GS-01-066</x:v>
      </x:c>
      <x:c r="B120" s="717" t="str">
        <x:v>Google Scholar</x:v>
      </x:c>
      <x:c r="C120" s="717" t="str">
        <x:v>GS-01</x:v>
      </x:c>
      <x:c r="D120" s="720" t="str">
        <x:v>(nterpretable Deep Learning Models for Rare Genetic Disorder Detection in Low- Resource Settings</x:v>
      </x:c>
      <x:c r="E120" s="717" t="str">
        <x:v>Exclude</x:v>
      </x:c>
      <x:c r="F120" s="720" t="str">
        <x:v>Clearly outside retinal/ophthalmic concept-based explainable AI.</x:v>
      </x:c>
      <x:c r="G120" s="717" t="str">
        <x:v>Title only</x:v>
      </x:c>
      <x:c r="H120" s="717" t="str">
        <x:v>Exclude</x:v>
      </x:c>
      <x:c r="I120" s="720" t="str">
        <x:v>Clearly outside retinal/ophthalmic concept-based explainable AI.</x:v>
      </x:c>
      <x:c r="J120" s="717" t="str">
        <x:f>IF(E120=H120,E120,"Unclear")</x:f>
        <x:v>Exclude</x:v>
      </x:c>
      <x:c r="K120" s="720" t="str">
        <x:f>IF(E120=H120,"Agreement between both AI passes.","AI-pass disagreement; retain for human discussion.")</x:f>
        <x:v>Agreement between both AI passes.</x:v>
      </x:c>
      <x:c r="L120" s="720" t="str">
        <x:v>GU Dev. B Maram</x:v>
      </x:c>
      <x:c r="M120" s="728" t="n">
        <x:v>2026</x:v>
      </x:c>
      <x:c r="N120" s="717" t="str">
        <x:v>Google Scholar result</x:v>
      </x:c>
      <x:c r="O120" s="717" t="str">
        <x:v>No</x:v>
      </x:c>
      <x:c r="P120" s="717"/>
    </x:row>
    <x:row r="121" ht="38" customHeight="1">
      <x:c r="A121" s="717" t="str">
        <x:v>GS-01-067</x:v>
      </x:c>
      <x:c r="B121" s="717" t="str">
        <x:v>Google Scholar</x:v>
      </x:c>
      <x:c r="C121" s="717" t="str">
        <x:v>GS-01</x:v>
      </x:c>
      <x:c r="D121" s="720" t="str">
        <x:v>Incorporating expert rules into neural networks in the framework of concept- based learning</x:v>
      </x:c>
      <x:c r="E121" s="717" t="str">
        <x:v>Exclude</x:v>
      </x:c>
      <x:c r="F121" s="720" t="str">
        <x:v>Clearly outside retinal/ophthalmic concept-based explainable AI.</x:v>
      </x:c>
      <x:c r="G121" s="717" t="str">
        <x:v>Title only</x:v>
      </x:c>
      <x:c r="H121" s="717" t="str">
        <x:v>Exclude</x:v>
      </x:c>
      <x:c r="I121" s="720" t="str">
        <x:v>Clearly outside retinal/ophthalmic concept-based explainable AI.</x:v>
      </x:c>
      <x:c r="J121" s="717" t="str">
        <x:f>IF(E121=H121,E121,"Unclear")</x:f>
        <x:v>Exclude</x:v>
      </x:c>
      <x:c r="K121" s="720" t="str">
        <x:f>IF(E121=H121,"Agreement between both AI passes.","AI-pass disagreement; retain for human discussion.")</x:f>
        <x:v>Agreement between both AI passes.</x:v>
      </x:c>
      <x:c r="L121" s="720" t="str">
        <x:v>AV Konstantinoy LY Wikia</x:v>
      </x:c>
      <x:c r="M121" s="728" t="n">
        <x:v>2024</x:v>
      </x:c>
      <x:c r="N121" s="717" t="str">
        <x:v>Google Scholar result</x:v>
      </x:c>
      <x:c r="O121" s="717" t="str">
        <x:v>No</x:v>
      </x:c>
      <x:c r="P121" s="717"/>
    </x:row>
    <x:row r="122" ht="38" customHeight="1">
      <x:c r="A122" s="717" t="str">
        <x:v>GS-01-068</x:v>
      </x:c>
      <x:c r="B122" s="717" t="str">
        <x:v>Google Scholar</x:v>
      </x:c>
      <x:c r="C122" s="717" t="str">
        <x:v>GS-01</x:v>
      </x:c>
      <x:c r="D122" s="720" t="str">
        <x:v>(n-hoc concept representations to regularise deep leaming in medical imaging</x:v>
      </x:c>
      <x:c r="E122" s="717"/>
      <x:c r="F122" s="720" t="str">
        <x:v>Confirmed duplicate during enhanced OCR-variant deduplication.</x:v>
      </x:c>
      <x:c r="G122" s="717" t="str">
        <x:v>Duplicate control</x:v>
      </x:c>
      <x:c r="H122" s="717"/>
      <x:c r="I122" s="720" t="str">
        <x:v>Confirmed duplicate during enhanced OCR-variant deduplication.</x:v>
      </x:c>
      <x:c r="J122" s="717"/>
      <x:c r="K122" s="720" t="str">
        <x:v>Removed from the final title/abstract denominator before full-text retrieval.</x:v>
      </x:c>
      <x:c r="L122" s="720" t="str">
        <x:v>¥ Vorbetla FS Dijkstra. 8 Beeis-Tan -20251EEE/CVF 2025</x:v>
      </x:c>
      <x:c r="M122" s="728" t="n">
        <x:v>2025</x:v>
      </x:c>
      <x:c r="N122" s="717" t="str">
        <x:v>Google Scholar result</x:v>
      </x:c>
      <x:c r="O122" s="717" t="str">
        <x:v>No</x:v>
      </x:c>
      <x:c r="P122" s="717"/>
    </x:row>
    <x:row r="123" ht="38" customHeight="1">
      <x:c r="A123" s="717" t="str">
        <x:v>GS-01-069</x:v>
      </x:c>
      <x:c r="B123" s="717" t="str">
        <x:v>Google Scholar</x:v>
      </x:c>
      <x:c r="C123" s="717" t="str">
        <x:v>GS-01</x:v>
      </x:c>
      <x:c r="D123" s="720" t="str">
        <x:v>Can In-Context Leaming Enable Large Vision Language Models to Detect ECG Abnormalities?</x:v>
      </x:c>
      <x:c r="E123" s="717" t="str">
        <x:v>Exclude</x:v>
      </x:c>
      <x:c r="F123" s="720" t="str">
        <x:v>Clearly outside retinal/ophthalmic concept-based explainable AI.</x:v>
      </x:c>
      <x:c r="G123" s="717" t="str">
        <x:v>Title only</x:v>
      </x:c>
      <x:c r="H123" s="717" t="str">
        <x:v>Exclude</x:v>
      </x:c>
      <x:c r="I123" s="720" t="str">
        <x:v>Clearly outside retinal/ophthalmic concept-based explainable AI.</x:v>
      </x:c>
      <x:c r="J123" s="717" t="str">
        <x:f>IF(E123=H123,E123,"Unclear")</x:f>
        <x:v>Exclude</x:v>
      </x:c>
      <x:c r="K123" s="720" t="str">
        <x:f>IF(E123=H123,"Agreement between both AI passes.","AI-pass disagreement; retain for human discussion.")</x:f>
        <x:v>Agreement between both AI passes.</x:v>
      </x:c>
      <x:c r="L123" s="720" t="str">
        <x:v>S$ Camba A Qlero. DGacsia L Sanchez</x:v>
      </x:c>
      <x:c r="M123" s="728" t="n">
        <x:v>2025</x:v>
      </x:c>
      <x:c r="N123" s="717" t="str">
        <x:v>Google Scholar result</x:v>
      </x:c>
      <x:c r="O123" s="717" t="str">
        <x:v>No</x:v>
      </x:c>
      <x:c r="P123" s="717"/>
    </x:row>
    <x:row r="124" ht="38" customHeight="1">
      <x:c r="A124" s="717" t="str">
        <x:v>GS-01-070</x:v>
      </x:c>
      <x:c r="B124" s="717" t="str">
        <x:v>Google Scholar</x:v>
      </x:c>
      <x:c r="C124" s="717" t="str">
        <x:v>GS-01</x:v>
      </x:c>
      <x:c r="D124" s="720" t="str">
        <x:v>When, How Long and How Much? Interpretable Neural Networks for Time Senes Regression by Learning to Mask and Aggregate</x:v>
      </x:c>
      <x:c r="E124" s="717" t="str">
        <x:v>Exclude</x:v>
      </x:c>
      <x:c r="F124" s="720" t="str">
        <x:v>Generic explainability topic outside the retinal/medical concept-XAI scope.</x:v>
      </x:c>
      <x:c r="G124" s="717" t="str">
        <x:v>Title only</x:v>
      </x:c>
      <x:c r="H124" s="717" t="str">
        <x:v>Exclude</x:v>
      </x:c>
      <x:c r="I124" s="720" t="str">
        <x:v>Generic explainability topic outside the retinal/medical concept-XAI scope.</x:v>
      </x:c>
      <x:c r="J124" s="717" t="str">
        <x:f>IF(E124=H124,E124,"Unclear")</x:f>
        <x:v>Exclude</x:v>
      </x:c>
      <x:c r="K124" s="720" t="str">
        <x:f>IF(E124=H124,"Agreement between both AI passes.","AI-pass disagreement; retain for human discussion.")</x:f>
        <x:v>Agreement between both AI passes.</x:v>
      </x:c>
      <x:c r="L124" s="720" t="str">
        <x:v>Eforest AiWej. O Fick</x:v>
      </x:c>
      <x:c r="M124" s="728" t="n">
        <x:v>2025</x:v>
      </x:c>
      <x:c r="N124" s="717" t="str">
        <x:v>Google Scholar result</x:v>
      </x:c>
      <x:c r="O124" s="717" t="str">
        <x:v>No</x:v>
      </x:c>
      <x:c r="P124" s="717"/>
    </x:row>
    <x:row r="125" ht="38" customHeight="1">
      <x:c r="A125" s="717" t="str">
        <x:v>GS-01-071</x:v>
      </x:c>
      <x:c r="B125" s="717" t="str">
        <x:v>Google Scholar</x:v>
      </x:c>
      <x:c r="C125" s="717" t="str">
        <x:v>GS-01</x:v>
      </x:c>
      <x:c r="D125" s="720" t="str">
        <x:v>Aligning Characteristic Descriptors with Images for Human-Expert-like Explainability</x:v>
      </x:c>
      <x:c r="E125" s="717" t="str">
        <x:v>Exclude</x:v>
      </x:c>
      <x:c r="F125" s="720" t="str">
        <x:v>Generic explainability topic outside the retinal/medical concept-XAI scope.</x:v>
      </x:c>
      <x:c r="G125" s="717" t="str">
        <x:v>Title only</x:v>
      </x:c>
      <x:c r="H125" s="717" t="str">
        <x:v>Exclude</x:v>
      </x:c>
      <x:c r="I125" s="720" t="str">
        <x:v>Generic explainability topic outside the retinal/medical concept-XAI scope.</x:v>
      </x:c>
      <x:c r="J125" s="717" t="str">
        <x:f>IF(E125=H125,E125,"Unclear")</x:f>
        <x:v>Exclude</x:v>
      </x:c>
      <x:c r="K125" s="720" t="str">
        <x:f>IF(E125=H125,"Agreement between both AI passes.","AI-pass disagreement; retain for human discussion.")</x:f>
        <x:v>Agreement between both AI passes.</x:v>
      </x:c>
      <x:c r="L125" s="720" t="str">
        <x:v>BC Yalavarthi N Ratha</x:v>
      </x:c>
      <x:c r="M125" s="728" t="n">
        <x:v>2024</x:v>
      </x:c>
      <x:c r="N125" s="717" t="str">
        <x:v>Google Scholar result</x:v>
      </x:c>
      <x:c r="O125" s="717" t="str">
        <x:v>No</x:v>
      </x:c>
      <x:c r="P125" s="717"/>
    </x:row>
    <x:row r="126" ht="38" customHeight="1">
      <x:c r="A126" s="717" t="str">
        <x:v>GS-01-072</x:v>
      </x:c>
      <x:c r="B126" s="717" t="str">
        <x:v>Google Scholar</x:v>
      </x:c>
      <x:c r="C126" s="717" t="str">
        <x:v>GS-01</x:v>
      </x:c>
      <x:c r="D126" s="720" t="str">
        <x:v>SketchXplain Intuitive Visual Explanations of Image Classifiers with Sketches</x:v>
      </x:c>
      <x:c r="E126" s="717"/>
      <x:c r="F126" s="720" t="str">
        <x:v>Removed during bibliographic verification: the screenshot/OCR-derived title could not be matched to an authoritative scholarly record. Retained only in the audit trail and excluded from all active denominators.</x:v>
      </x:c>
      <x:c r="G126" s="717" t="str">
        <x:v>Bibliographic verification</x:v>
      </x:c>
      <x:c r="H126" s="717"/>
      <x:c r="I126" s="720" t="str">
        <x:v>Removed during bibliographic verification: the screenshot/OCR-derived title could not be matched to an authoritative scholarly record. Retained only in the audit trail and excluded from all active denominators.</x:v>
      </x:c>
      <x:c r="J126" s="717"/>
      <x:c r="K126" s="720" t="str">
        <x:v>Removed from the active analytic set; original AI recommendations are superseded by bibliographic verification.</x:v>
      </x:c>
      <x:c r="L126" s="720" t="str">
        <x:v>W Zhang, M Michelessa X Zhao BY Wir</x:v>
      </x:c>
      <x:c r="M126" s="728" t="n">
        <x:v>2026</x:v>
      </x:c>
      <x:c r="N126" s="717" t="str">
        <x:v>Google Scholar result</x:v>
      </x:c>
      <x:c r="O126" s="717" t="str">
        <x:v>No</x:v>
      </x:c>
      <x:c r="P126" s="717"/>
    </x:row>
    <x:row r="127" ht="38" customHeight="1">
      <x:c r="A127" s="717" t="str">
        <x:v>GS-01-073</x:v>
      </x:c>
      <x:c r="B127" s="717" t="str">
        <x:v>Google Scholar</x:v>
      </x:c>
      <x:c r="C127" s="717" t="str">
        <x:v>GS-01</x:v>
      </x:c>
      <x:c r="D127" s="720" t="str">
        <x:v>(Par) Automatic Concept Extraction and Its Use in Explaining Video Classification</x:v>
      </x:c>
      <x:c r="E127" s="717" t="str">
        <x:v>Exclude</x:v>
      </x:c>
      <x:c r="F127" s="720" t="str">
        <x:v>Clearly outside retinal/ophthalmic concept-based explainable AI.</x:v>
      </x:c>
      <x:c r="G127" s="717" t="str">
        <x:v>Title only</x:v>
      </x:c>
      <x:c r="H127" s="717" t="str">
        <x:v>Exclude</x:v>
      </x:c>
      <x:c r="I127" s="720" t="str">
        <x:v>Clearly outside retinal/ophthalmic concept-based explainable AI.</x:v>
      </x:c>
      <x:c r="J127" s="717" t="str">
        <x:f>IF(E127=H127,E127,"Unclear")</x:f>
        <x:v>Exclude</x:v>
      </x:c>
      <x:c r="K127" s="720" t="str">
        <x:f>IF(E127=H127,"Agreement between both AI passes.","AI-pass disagreement; retain for human discussion.")</x:f>
        <x:v>Agreement between both AI passes.</x:v>
      </x:c>
      <x:c r="L127" s="720" t="str">
        <x:v>R Parac, A Russo L Dickens R Chatlay</x:v>
      </x:c>
      <x:c r="M127" s="728"/>
      <x:c r="N127" s="717" t="str">
        <x:v>Google Scholar result</x:v>
      </x:c>
      <x:c r="O127" s="717" t="str">
        <x:v>No</x:v>
      </x:c>
      <x:c r="P127" s="717"/>
    </x:row>
    <x:row r="128" ht="38" customHeight="1">
      <x:c r="A128" s="717" t="str">
        <x:v>GS-01-074</x:v>
      </x:c>
      <x:c r="B128" s="717" t="str">
        <x:v>Google Scholar</x:v>
      </x:c>
      <x:c r="C128" s="717" t="str">
        <x:v>GS-01</x:v>
      </x:c>
      <x:c r="D128" s="720" t="str">
        <x:v>DIRECT dual interpretable racommendation with multi-aspect word attribution</x:v>
      </x:c>
      <x:c r="E128" s="717" t="str">
        <x:v>Exclude</x:v>
      </x:c>
      <x:c r="F128" s="720" t="str">
        <x:v>Generic explainability topic outside the retinal/medical concept-XAI scope.</x:v>
      </x:c>
      <x:c r="G128" s="717" t="str">
        <x:v>Title only</x:v>
      </x:c>
      <x:c r="H128" s="717" t="str">
        <x:v>Exclude</x:v>
      </x:c>
      <x:c r="I128" s="720" t="str">
        <x:v>Generic explainability topic outside the retinal/medical concept-XAI scope.</x:v>
      </x:c>
      <x:c r="J128" s="717" t="str">
        <x:f>IF(E128=H128,E128,"Unclear")</x:f>
        <x:v>Exclude</x:v>
      </x:c>
      <x:c r="K128" s="720" t="str">
        <x:f>IF(E128=H128,"Agreement between both AI passes.","AI-pass disagreement; retain for human discussion.")</x:f>
        <x:v>Agreement between both AI passes.</x:v>
      </x:c>
      <x:c r="L128" s="720" t="str">
        <x:v>X Wie Vian Q Tan ¥¥ Yao. N Liu. CM Trarsaciions on Intelligent | 2024~ dl acm og</x:v>
      </x:c>
      <x:c r="M128" s="728" t="n">
        <x:v>2024</x:v>
      </x:c>
      <x:c r="N128" s="717" t="str">
        <x:v>Google Scholar result</x:v>
      </x:c>
      <x:c r="O128" s="717" t="str">
        <x:v>No</x:v>
      </x:c>
      <x:c r="P128" s="717"/>
    </x:row>
    <x:row r="129" ht="38" customHeight="1">
      <x:c r="A129" s="717" t="str">
        <x:v>GS-01-075</x:v>
      </x:c>
      <x:c r="B129" s="717" t="str">
        <x:v>Google Scholar</x:v>
      </x:c>
      <x:c r="C129" s="717" t="str">
        <x:v>GS-01</x:v>
      </x:c>
      <x:c r="D129" s="720" t="str">
        <x:v>Concept logic trees enabling user interaction for transparent image classification and human-in-the-loop learning’ DM Rodriguez et al</x:v>
      </x:c>
      <x:c r="E129" s="717" t="str">
        <x:v>Exclude</x:v>
      </x:c>
      <x:c r="F129" s="720" t="str">
        <x:v>Generic explainability topic outside the retinal/medical concept-XAI scope.</x:v>
      </x:c>
      <x:c r="G129" s="717" t="str">
        <x:v>Title only</x:v>
      </x:c>
      <x:c r="H129" s="717" t="str">
        <x:v>Exclude</x:v>
      </x:c>
      <x:c r="I129" s="720" t="str">
        <x:v>Generic explainability topic outside the retinal/medical concept-XAI scope.</x:v>
      </x:c>
      <x:c r="J129" s="717" t="str">
        <x:f>IF(E129=H129,E129,"Unclear")</x:f>
        <x:v>Exclude</x:v>
      </x:c>
      <x:c r="K129" s="720" t="str">
        <x:f>IF(E129=H129,"Agreement between both AI passes.","AI-pass disagreement; retain for human discussion.")</x:f>
        <x:v>Agreement between both AI passes.</x:v>
      </x:c>
      <x:c r="L129" s="720" t="str">
        <x:v>DM Rodriguez, MP Crallar DP Morales</x:v>
      </x:c>
      <x:c r="M129" s="728"/>
      <x:c r="N129" s="717" t="str">
        <x:v>Google Scholar result</x:v>
      </x:c>
      <x:c r="O129" s="717" t="str">
        <x:v>No</x:v>
      </x:c>
      <x:c r="P129" s="717"/>
    </x:row>
    <x:row r="130" ht="38" customHeight="1">
      <x:c r="A130" s="717" t="str">
        <x:v>GS-01-076</x:v>
      </x:c>
      <x:c r="B130" s="717" t="str">
        <x:v>Google Scholar</x:v>
      </x:c>
      <x:c r="C130" s="717" t="str">
        <x:v>GS-01</x:v>
      </x:c>
      <x:c r="D130" s="720" t="str">
        <x:v>Naming the Concepts Classifiers Rely On Lanquage-Anchared Decomposition for Faithful Explanation</x:v>
      </x:c>
      <x:c r="E130" s="717" t="str">
        <x:v>Exclude</x:v>
      </x:c>
      <x:c r="F130" s="720" t="str">
        <x:v>Generic explainability topic outside the retinal/medical concept-XAI scope.</x:v>
      </x:c>
      <x:c r="G130" s="717" t="str">
        <x:v>Title only</x:v>
      </x:c>
      <x:c r="H130" s="717" t="str">
        <x:v>Exclude</x:v>
      </x:c>
      <x:c r="I130" s="720" t="str">
        <x:v>Generic explainability topic outside the retinal/medical concept-XAI scope.</x:v>
      </x:c>
      <x:c r="J130" s="717" t="str">
        <x:f>IF(E130=H130,E130,"Unclear")</x:f>
        <x:v>Exclude</x:v>
      </x:c>
      <x:c r="K130" s="720" t="str">
        <x:f>IF(E130=H130,"Agreement between both AI passes.","AI-pass disagreement; retain for human discussion.")</x:f>
        <x:v>Agreement between both AI passes.</x:v>
      </x:c>
      <x:c r="L130" s="720" t="str">
        <x:v>AH Akash. 2 Bhusal. S Jones, DAAdjeroh =</x:v>
      </x:c>
      <x:c r="M130" s="728" t="n">
        <x:v>2026</x:v>
      </x:c>
      <x:c r="N130" s="717" t="str">
        <x:v>Google Scholar result</x:v>
      </x:c>
      <x:c r="O130" s="717" t="str">
        <x:v>No</x:v>
      </x:c>
      <x:c r="P130" s="717"/>
    </x:row>
    <x:row r="131" ht="38" customHeight="1">
      <x:c r="A131" s="717" t="str">
        <x:v>GS-01-077</x:v>
      </x:c>
      <x:c r="B131" s="717" t="str">
        <x:v>Google Scholar</x:v>
      </x:c>
      <x:c r="C131" s="717" t="str">
        <x:v>GS-01</x:v>
      </x:c>
      <x:c r="D131" s="720" t="str">
        <x:v>Self-explainable ai for medical image analysis: A survey and new outlooks</x:v>
      </x:c>
      <x:c r="E131" s="717" t="str">
        <x:v>Exclude</x:v>
      </x:c>
      <x:c r="F131" s="720" t="str">
        <x:v>Non-original evidence (review, editorial, response, protocol, or similar); retain only for background/citation chasing (E4).</x:v>
      </x:c>
      <x:c r="G131" s="717" t="str">
        <x:v>Title only</x:v>
      </x:c>
      <x:c r="H131" s="717" t="str">
        <x:v>Exclude</x:v>
      </x:c>
      <x:c r="I131" s="720" t="str">
        <x:v>Non-original evidence (review, editorial, response, protocol, or similar); retain only for background/citation chasing (E4).</x:v>
      </x:c>
      <x:c r="J131" s="717" t="str">
        <x:f>IF(E131=H131,E131,"Unclear")</x:f>
        <x:v>Exclude</x:v>
      </x:c>
      <x:c r="K131" s="720" t="str">
        <x:f>IF(E131=H131,"Agreement between both AI passes.","AI-pass disagreement; retain for human discussion.")</x:f>
        <x:v>Agreement between both AI passes.</x:v>
      </x:c>
      <x:c r="L131" s="720" t="str">
        <x:v>dHoy Sliv. ¥ Bie H wang ATgn Lluo = -aXiv prepcnt arXiv =. 2024</x:v>
      </x:c>
      <x:c r="M131" s="728" t="n">
        <x:v>2024</x:v>
      </x:c>
      <x:c r="N131" s="717" t="str">
        <x:v>Google Scholar result</x:v>
      </x:c>
      <x:c r="O131" s="717" t="str">
        <x:v>No</x:v>
      </x:c>
      <x:c r="P131" s="717"/>
    </x:row>
    <x:row r="132" ht="38" customHeight="1">
      <x:c r="A132" s="717" t="str">
        <x:v>GS-01-078</x:v>
      </x:c>
      <x:c r="B132" s="717" t="str">
        <x:v>Google Scholar</x:v>
      </x:c>
      <x:c r="C132" s="717" t="str">
        <x:v>GS-01</x:v>
      </x:c>
      <x:c r="D132" s="720" t="str">
        <x:v>A Tool Bottleneck Framework for Clinically-Informed and Interpretable Medical (mage Understanding</x:v>
      </x:c>
      <x:c r="E132" s="717" t="str">
        <x:v>Unclear</x:v>
      </x:c>
      <x:c r="F132" s="720" t="str">
        <x:v>Possible contextual explainability evidence, but concept-level relevance is not confirmed from the available title only.</x:v>
      </x:c>
      <x:c r="G132" s="717" t="str">
        <x:v>Title only</x:v>
      </x:c>
      <x:c r="H132" s="717" t="str">
        <x:v>Exclude</x:v>
      </x:c>
      <x:c r="I132" s="720" t="str">
        <x:v>Medical/clinical topic, but no eligible concept-based explainability contribution is evident.</x:v>
      </x:c>
      <x:c r="J132" s="717" t="str">
        <x:f>IF(E132=H132,E132,"Unclear")</x:f>
        <x:v>Unclear</x:v>
      </x:c>
      <x:c r="K132" s="720" t="str">
        <x:f>IF(E132=H132,"Agreement between both AI passes.","AI-pass disagreement; retain for human discussion.")</x:f>
        <x:v>AI-pass disagreement; retain for human discussion.</x:v>
      </x:c>
      <x:c r="L132" s="720" t="str">
        <x:v>Clip 4G Wang. JHsy. J Ws EAdelj</x:v>
      </x:c>
      <x:c r="M132" s="728" t="n">
        <x:v>2025</x:v>
      </x:c>
      <x:c r="N132" s="717" t="str">
        <x:v>Google Scholar result</x:v>
      </x:c>
      <x:c r="O132" s="717" t="str">
        <x:v>No</x:v>
      </x:c>
      <x:c r="P132" s="717"/>
    </x:row>
    <x:row r="133" ht="38" customHeight="1">
      <x:c r="A133" s="717" t="str">
        <x:v>GS-01-079</x:v>
      </x:c>
      <x:c r="B133" s="717" t="str">
        <x:v>Google Scholar</x:v>
      </x:c>
      <x:c r="C133" s="717" t="str">
        <x:v>GS-01</x:v>
      </x:c>
      <x:c r="D133" s="720" t="str">
        <x:v>Financial Time Senes Analysis Based on Deep Learning</x:v>
      </x:c>
      <x:c r="E133" s="717" t="str">
        <x:v>Exclude</x:v>
      </x:c>
      <x:c r="F133" s="720" t="str">
        <x:v>Clearly outside retinal/ophthalmic concept-based explainable AI.</x:v>
      </x:c>
      <x:c r="G133" s="717" t="str">
        <x:v>Title only</x:v>
      </x:c>
      <x:c r="H133" s="717" t="str">
        <x:v>Exclude</x:v>
      </x:c>
      <x:c r="I133" s="720" t="str">
        <x:v>Clearly outside retinal/ophthalmic concept-based explainable AI.</x:v>
      </x:c>
      <x:c r="J133" s="717" t="str">
        <x:f>IF(E133=H133,E133,"Unclear")</x:f>
        <x:v>Exclude</x:v>
      </x:c>
      <x:c r="K133" s="720" t="str">
        <x:f>IF(E133=H133,"Agreement between both AI passes.","AI-pass disagreement; retain for human discussion.")</x:f>
        <x:v>Agreement between both AI passes.</x:v>
      </x:c>
      <x:c r="L133" s="720" t="str">
        <x:v>C YIN</x:v>
      </x:c>
      <x:c r="M133" s="728"/>
      <x:c r="N133" s="717" t="str">
        <x:v>Google Scholar result</x:v>
      </x:c>
      <x:c r="O133" s="717" t="str">
        <x:v>No</x:v>
      </x:c>
      <x:c r="P133" s="717"/>
    </x:row>
    <x:row r="134" ht="38" customHeight="1">
      <x:c r="A134" s="717" t="str">
        <x:v>GS-01-080</x:v>
      </x:c>
      <x:c r="B134" s="717" t="str">
        <x:v>Google Scholar</x:v>
      </x:c>
      <x:c r="C134" s="717" t="str">
        <x:v>GS-01</x:v>
      </x:c>
      <x:c r="D134" s="720" t="str">
        <x:v>Causal Neural Probabilistic Circuits</x:v>
      </x:c>
      <x:c r="E134" s="717" t="str">
        <x:v>Exclude</x:v>
      </x:c>
      <x:c r="F134" s="720" t="str">
        <x:v>Clearly outside retinal/ophthalmic concept-based explainable AI.</x:v>
      </x:c>
      <x:c r="G134" s="717" t="str">
        <x:v>Title only</x:v>
      </x:c>
      <x:c r="H134" s="717" t="str">
        <x:v>Exclude</x:v>
      </x:c>
      <x:c r="I134" s="720" t="str">
        <x:v>Clearly outside retinal/ophthalmic concept-based explainable AI.</x:v>
      </x:c>
      <x:c r="J134" s="717" t="str">
        <x:f>IF(E134=H134,E134,"Unclear")</x:f>
        <x:v>Exclude</x:v>
      </x:c>
      <x:c r="K134" s="720" t="str">
        <x:f>IF(E134=H134,"Agreement between both AI passes.","AI-pass disagreement; retain for human discussion.")</x:f>
        <x:v>Agreement between both AI passes.</x:v>
      </x:c>
      <x:c r="L134" s="720" t="str">
        <x:v>YiChen Zhao</x:v>
      </x:c>
      <x:c r="M134" s="728" t="n">
        <x:v>2026</x:v>
      </x:c>
      <x:c r="N134" s="717" t="str">
        <x:v>Google Scholar result</x:v>
      </x:c>
      <x:c r="O134" s="717" t="str">
        <x:v>No</x:v>
      </x:c>
      <x:c r="P134" s="717"/>
    </x:row>
    <x:row r="135" ht="38" customHeight="1">
      <x:c r="A135" s="717" t="str">
        <x:v>GS-01-081</x:v>
      </x:c>
      <x:c r="B135" s="717" t="str">
        <x:v>Google Scholar</x:v>
      </x:c>
      <x:c r="C135" s="717" t="str">
        <x:v>GS-01</x:v>
      </x:c>
      <x:c r="D135" s="720" t="str">
        <x:v>A panoplic segmentation approach for tumor-infiltrating lymphocyte assessment development of the KluTILs model and PanopTILs dataset</x:v>
      </x:c>
      <x:c r="E135" s="717" t="str">
        <x:v>Exclude</x:v>
      </x:c>
      <x:c r="F135" s="720" t="str">
        <x:v>Medical/clinical topic, but no eligible concept-based explainability contribution is evident.</x:v>
      </x:c>
      <x:c r="G135" s="717" t="str">
        <x:v>Title only</x:v>
      </x:c>
      <x:c r="H135" s="717" t="str">
        <x:v>Exclude</x:v>
      </x:c>
      <x:c r="I135" s="720" t="str">
        <x:v>Medical/clinical topic, but no eligible concept-based explainability contribution is evident.</x:v>
      </x:c>
      <x:c r="J135" s="717" t="str">
        <x:f>IF(E135=H135,E135,"Unclear")</x:f>
        <x:v>Exclude</x:v>
      </x:c>
      <x:c r="K135" s="720" t="str">
        <x:f>IF(E135=H135,"Agreement between both AI passes.","AI-pass disagreement; retain for human discussion.")</x:f>
        <x:v>Agreement between both AI passes.</x:v>
      </x:c>
      <x:c r="L135" s="720" t="str">
        <x:v>S$ iu MAmgad MARathore R Salgado LAD Cocper</x:v>
      </x:c>
      <x:c r="M135" s="728" t="n">
        <x:v>2022</x:v>
      </x:c>
      <x:c r="N135" s="717" t="str">
        <x:v>Google Scholar result</x:v>
      </x:c>
      <x:c r="O135" s="717" t="str">
        <x:v>No</x:v>
      </x:c>
      <x:c r="P135" s="717"/>
    </x:row>
    <x:row r="136" ht="38" customHeight="1">
      <x:c r="A136" s="717" t="str">
        <x:v>GS-01-082</x:v>
      </x:c>
      <x:c r="B136" s="717" t="str">
        <x:v>Google Scholar</x:v>
      </x:c>
      <x:c r="C136" s="717" t="str">
        <x:v>GS-01</x:v>
      </x:c>
      <x:c r="D136" s="720" t="str">
        <x:v>TCNL: Transparent and controllable network learning via embedding human guided concepts</x:v>
      </x:c>
      <x:c r="E136" s="717" t="str">
        <x:v>Exclude</x:v>
      </x:c>
      <x:c r="F136" s="720" t="str">
        <x:v>Generic explainability topic outside the retinal/medical concept-XAI scope.</x:v>
      </x:c>
      <x:c r="G136" s="717" t="str">
        <x:v>Title only</x:v>
      </x:c>
      <x:c r="H136" s="717" t="str">
        <x:v>Exclude</x:v>
      </x:c>
      <x:c r="I136" s="720" t="str">
        <x:v>Generic explainability topic outside the retinal/medical concept-XAI scope.</x:v>
      </x:c>
      <x:c r="J136" s="717" t="str">
        <x:f>IF(E136=H136,E136,"Unclear")</x:f>
        <x:v>Exclude</x:v>
      </x:c>
      <x:c r="K136" s="720" t="str">
        <x:f>IF(E136=H136,"Agreement between both AI passes.","AI-pass disagreement; retain for human discussion.")</x:f>
        <x:v>Agreement between both AI passes.</x:v>
      </x:c>
      <x:c r="L136" s="720" t="str">
        <x:v>2Warg. 2 Zhi + Procaadings of the 2723 Sin Inlematianal Conference = 2023</x:v>
      </x:c>
      <x:c r="M136" s="728" t="n">
        <x:v>2023</x:v>
      </x:c>
      <x:c r="N136" s="717" t="str">
        <x:v>Google Scholar result</x:v>
      </x:c>
      <x:c r="O136" s="717" t="str">
        <x:v>No</x:v>
      </x:c>
      <x:c r="P136" s="717"/>
    </x:row>
    <x:row r="137" ht="38" customHeight="1">
      <x:c r="A137" s="717" t="str">
        <x:v>GS-01-083</x:v>
      </x:c>
      <x:c r="B137" s="717" t="str">
        <x:v>Google Scholar</x:v>
      </x:c>
      <x:c r="C137" s="717" t="str">
        <x:v>GS-01</x:v>
      </x:c>
      <x:c r="D137" s="720" t="str">
        <x:v>CELF A Self-Superised Multimodal Framework for Concspt-Based (nterpretability</x:v>
      </x:c>
      <x:c r="E137" s="717" t="str">
        <x:v>Exclude</x:v>
      </x:c>
      <x:c r="F137" s="720" t="str">
        <x:v>Clearly outside retinal/ophthalmic concept-based explainable AI.</x:v>
      </x:c>
      <x:c r="G137" s="717" t="str">
        <x:v>Title only</x:v>
      </x:c>
      <x:c r="H137" s="717" t="str">
        <x:v>Exclude</x:v>
      </x:c>
      <x:c r="I137" s="720" t="str">
        <x:v>Clearly outside retinal/ophthalmic concept-based explainable AI.</x:v>
      </x:c>
      <x:c r="J137" s="717" t="str">
        <x:f>IF(E137=H137,E137,"Unclear")</x:f>
        <x:v>Exclude</x:v>
      </x:c>
      <x:c r="K137" s="720" t="str">
        <x:f>IF(E137=H137,"Agreement between both AI passes.","AI-pass disagreement; retain for human discussion.")</x:f>
        <x:v>Agreement between both AI passes.</x:v>
      </x:c>
      <x:c r="L137" s="720" t="str">
        <x:v>M Siva H Ganboa AY Car-airo + opanreview nat</x:v>
      </x:c>
      <x:c r="M137" s="728"/>
      <x:c r="N137" s="717" t="str">
        <x:v>Google Scholar result</x:v>
      </x:c>
      <x:c r="O137" s="717" t="str">
        <x:v>No</x:v>
      </x:c>
      <x:c r="P137" s="717"/>
    </x:row>
    <x:row r="138" ht="38" customHeight="1">
      <x:c r="A138" s="717" t="str">
        <x:v>GS-01-084</x:v>
      </x:c>
      <x:c r="B138" s="717" t="str">
        <x:v>Google Scholar</x:v>
      </x:c>
      <x:c r="C138" s="717" t="str">
        <x:v>GS-01</x:v>
      </x:c>
      <x:c r="D138" s="720" t="str">
        <x:v>Static and dynamic concepts for self-supervised video representation learning</x:v>
      </x:c>
      <x:c r="E138" s="717" t="str">
        <x:v>Exclude</x:v>
      </x:c>
      <x:c r="F138" s="720" t="str">
        <x:v>Clearly outside retinal/ophthalmic concept-based explainable AI.</x:v>
      </x:c>
      <x:c r="G138" s="717" t="str">
        <x:v>Title only</x:v>
      </x:c>
      <x:c r="H138" s="717" t="str">
        <x:v>Exclude</x:v>
      </x:c>
      <x:c r="I138" s="720" t="str">
        <x:v>Clearly outside retinal/ophthalmic concept-based explainable AI.</x:v>
      </x:c>
      <x:c r="J138" s="717" t="str">
        <x:f>IF(E138=H138,E138,"Unclear")</x:f>
        <x:v>Exclude</x:v>
      </x:c>
      <x:c r="K138" s="720" t="str">
        <x:f>IF(E138=H138,"Agreement between both AI passes.","AI-pass disagreement; retain for human discussion.")</x:f>
        <x:v>Agreement between both AI passes.</x:v>
      </x:c>
      <x:c r="L138" s="720" t="str">
        <x:v>R Qian §$ Ding, X i. D Lin</x:v>
      </x:c>
      <x:c r="M138" s="728" t="n">
        <x:v>2022</x:v>
      </x:c>
      <x:c r="N138" s="717" t="str">
        <x:v>Google Scholar result</x:v>
      </x:c>
      <x:c r="O138" s="717" t="str">
        <x:v>No</x:v>
      </x:c>
      <x:c r="P138" s="717"/>
    </x:row>
    <x:row r="139" ht="38" customHeight="1">
      <x:c r="A139" s="717" t="str">
        <x:v>GS-01-085</x:v>
      </x:c>
      <x:c r="B139" s="717" t="str">
        <x:v>Google Scholar</x:v>
      </x:c>
      <x:c r="C139" s="717" t="str">
        <x:v>GS-01</x:v>
      </x:c>
      <x:c r="D139" s="720" t="str">
        <x:v>Knowing the Unknown Interpretable Open-World Object Detection via Concept Decomposition Model</x:v>
      </x:c>
      <x:c r="E139" s="717" t="str">
        <x:v>Include</x:v>
      </x:c>
      <x:c r="F139" s="720" t="str">
        <x:v>Foundational concept-XAI method relevant to the review taxonomy or reliability analysis (title only).</x:v>
      </x:c>
      <x:c r="G139" s="717" t="str">
        <x:v>Title only</x:v>
      </x:c>
      <x:c r="H139" s="717" t="str">
        <x:v>Unclear</x:v>
      </x:c>
      <x:c r="I139" s="720" t="str">
        <x:v>Concept-XAI method may be useful as foundational/contextual evidence; retinal or medical applicability requires discussion (title only).</x:v>
      </x:c>
      <x:c r="J139" s="717" t="str">
        <x:f>IF(E139=H139,E139,"Unclear")</x:f>
        <x:v>Unclear</x:v>
      </x:c>
      <x:c r="K139" s="720" t="str">
        <x:f>IF(E139=H139,"Agreement between both AI passes.","AI-pass disagreement; retain for human discussion.")</x:f>
        <x:v>AI-pass disagreement; retain for human discussion.</x:v>
      </x:c>
      <x:c r="L139" s="720" t="str">
        <x:v>Xv S2nang ¥ Xing C Xu. P Yang</x:v>
      </x:c>
      <x:c r="M139" s="728" t="n">
        <x:v>2024</x:v>
      </x:c>
      <x:c r="N139" s="717" t="str">
        <x:v>Google Scholar result</x:v>
      </x:c>
      <x:c r="O139" s="717" t="str">
        <x:v>No</x:v>
      </x:c>
      <x:c r="P139" s="717"/>
    </x:row>
    <x:row r="140" ht="38" customHeight="1">
      <x:c r="A140" s="717" t="str">
        <x:v>GS-01-086</x:v>
      </x:c>
      <x:c r="B140" s="717" t="str">
        <x:v>Google Scholar</x:v>
      </x:c>
      <x:c r="C140" s="717" t="str">
        <x:v>GS-01</x:v>
      </x:c>
      <x:c r="D140" s="720" t="str">
        <x:v>(POF) Hierarchical Attention and Systematic Fusian Optimizing Multimodal Learning for Interpretable Thoracic Disease Classification</x:v>
      </x:c>
      <x:c r="E140" s="717" t="str">
        <x:v>Unclear</x:v>
      </x:c>
      <x:c r="F140" s="720" t="str">
        <x:v>Possible contextual explainability evidence, but concept-level relevance is not confirmed from the available title only.</x:v>
      </x:c>
      <x:c r="G140" s="717" t="str">
        <x:v>Title only</x:v>
      </x:c>
      <x:c r="H140" s="717" t="str">
        <x:v>Unclear</x:v>
      </x:c>
      <x:c r="I140" s="720" t="str">
        <x:v>Possible contextual explainability evidence, but concept-level relevance is not confirmed from the available title only.</x:v>
      </x:c>
      <x:c r="J140" s="717" t="str">
        <x:f>IF(E140=H140,E140,"Unclear")</x:f>
        <x:v>Unclear</x:v>
      </x:c>
      <x:c r="K140" s="720" t="str">
        <x:f>IF(E140=H140,"Agreement between both AI passes.","AI-pass disagreement; retain for human discussion.")</x:f>
        <x:v>Agreement between both AI passes.</x:v>
      </x:c>
      <x:c r="L140" s="720" t="str">
        <x:v>HP Rayskota PC Huang</x:v>
      </x:c>
      <x:c r="M140" s="728"/>
      <x:c r="N140" s="717" t="str">
        <x:v>Google Scholar result</x:v>
      </x:c>
      <x:c r="O140" s="717" t="str">
        <x:v>No</x:v>
      </x:c>
      <x:c r="P140" s="717"/>
    </x:row>
    <x:row r="141" ht="38" customHeight="1">
      <x:c r="A141" s="717" t="str">
        <x:v>GS-01-087</x:v>
      </x:c>
      <x:c r="B141" s="717" t="str">
        <x:v>Google Scholar</x:v>
      </x:c>
      <x:c r="C141" s="717" t="str">
        <x:v>GS-01</x:v>
      </x:c>
      <x:c r="D141" s="720" t="str">
        <x:v>(Por) Interpretability of Time Series Transformers</x:v>
      </x:c>
      <x:c r="E141" s="717" t="str">
        <x:v>Exclude</x:v>
      </x:c>
      <x:c r="F141" s="720" t="str">
        <x:v>Generic explainability topic outside the retinal/medical concept-XAI scope.</x:v>
      </x:c>
      <x:c r="G141" s="717" t="str">
        <x:v>Title only</x:v>
      </x:c>
      <x:c r="H141" s="717" t="str">
        <x:v>Exclude</x:v>
      </x:c>
      <x:c r="I141" s="720" t="str">
        <x:v>Generic explainability topic outside the retinal/medical concept-XAI scope.</x:v>
      </x:c>
      <x:c r="J141" s="717" t="str">
        <x:f>IF(E141=H141,E141,"Unclear")</x:f>
        <x:v>Exclude</x:v>
      </x:c>
      <x:c r="K141" s="720" t="str">
        <x:f>IF(E141=H141,"Agreement between both AI passes.","AI-pass disagreement; retain for human discussion.")</x:f>
        <x:v>Agreement between both AI passes.</x:v>
      </x:c>
      <x:c r="L141" s="720" t="str">
        <x:v>Avan Spranga+ = pages centralesupeec fF</x:v>
      </x:c>
      <x:c r="M141" s="728"/>
      <x:c r="N141" s="717" t="str">
        <x:v>Google Scholar result</x:v>
      </x:c>
      <x:c r="O141" s="717" t="str">
        <x:v>No</x:v>
      </x:c>
      <x:c r="P141" s="717"/>
    </x:row>
    <x:row r="142" ht="38" customHeight="1">
      <x:c r="A142" s="717" t="str">
        <x:v>GS-01-088</x:v>
      </x:c>
      <x:c r="B142" s="717" t="str">
        <x:v>Google Scholar</x:v>
      </x:c>
      <x:c r="C142" s="717" t="str">
        <x:v>GS-01</x:v>
      </x:c>
      <x:c r="D142" s="720" t="str">
        <x:v>An explainable biamedical foundation model via large-scale concept-enhanced vision-language pre-training</x:v>
      </x:c>
      <x:c r="E142" s="717" t="str">
        <x:v>Exclude</x:v>
      </x:c>
      <x:c r="F142" s="720" t="str">
        <x:v>Generic explainability topic outside the retinal/medical concept-XAI scope.</x:v>
      </x:c>
      <x:c r="G142" s="717" t="str">
        <x:v>Title only</x:v>
      </x:c>
      <x:c r="H142" s="717" t="str">
        <x:v>Exclude</x:v>
      </x:c>
      <x:c r="I142" s="720" t="str">
        <x:v>Generic explainability topic outside the retinal/medical concept-XAI scope.</x:v>
      </x:c>
      <x:c r="J142" s="717" t="str">
        <x:f>IF(E142=H142,E142,"Unclear")</x:f>
        <x:v>Exclude</x:v>
      </x:c>
      <x:c r="K142" s="720" t="str">
        <x:f>IF(E142=H142,"Agreement between both AI passes.","AI-pass disagreement; retain for human discussion.")</x:f>
        <x:v>Agreement between both AI passes.</x:v>
      </x:c>
      <x:c r="L142" s="720" t="str">
        <x:v>YNie SHe Y Bie ¥ Wang ZChen S$¥ang -a‘XivpraprintarX ©2125</x:v>
      </x:c>
      <x:c r="M142" s="728"/>
      <x:c r="N142" s="717" t="str">
        <x:v>Google Scholar result</x:v>
      </x:c>
      <x:c r="O142" s="717" t="str">
        <x:v>No</x:v>
      </x:c>
      <x:c r="P142" s="717"/>
    </x:row>
    <x:row r="143" ht="38" customHeight="1">
      <x:c r="A143" s="717" t="str">
        <x:v>GS-01-089</x:v>
      </x:c>
      <x:c r="B143" s="717" t="str">
        <x:v>Google Scholar</x:v>
      </x:c>
      <x:c r="C143" s="717" t="str">
        <x:v>GS-01</x:v>
      </x:c>
      <x:c r="D143" s="720" t="str">
        <x:v>ConVLM: Concept-Guided Vision-Language Models for Exptainable Dermatological Diagnosis</x:v>
      </x:c>
      <x:c r="E143" s="717" t="str">
        <x:v>Include</x:v>
      </x:c>
      <x:c r="F143" s="720" t="str">
        <x:v>Potential contextual medical-imaging concept-XAI evidence (title only).</x:v>
      </x:c>
      <x:c r="G143" s="717" t="str">
        <x:v>Title only</x:v>
      </x:c>
      <x:c r="H143" s="717" t="str">
        <x:v>Unclear</x:v>
      </x:c>
      <x:c r="I143" s="720" t="str">
        <x:v>Possible contextual explainability evidence, but concept-level relevance is not confirmed from the available title only.</x:v>
      </x:c>
      <x:c r="J143" s="717" t="str">
        <x:f>IF(E143=H143,E143,"Unclear")</x:f>
        <x:v>Unclear</x:v>
      </x:c>
      <x:c r="K143" s="720" t="str">
        <x:f>IF(E143=H143,"Agreement between both AI passes.","AI-pass disagreement; retain for human discussion.")</x:f>
        <x:v>AI-pass disagreement; retain for human discussion.</x:v>
      </x:c>
      <x:c r="L143" s="720" t="str">
        <x:v>A Davis</x:v>
      </x:c>
      <x:c r="M143" s="728"/>
      <x:c r="N143" s="717" t="str">
        <x:v>Google Scholar result</x:v>
      </x:c>
      <x:c r="O143" s="717" t="str">
        <x:v>No</x:v>
      </x:c>
      <x:c r="P143" s="717"/>
    </x:row>
    <x:row r="144" ht="38" customHeight="1">
      <x:c r="A144" s="717" t="str">
        <x:v>GS-01-090</x:v>
      </x:c>
      <x:c r="B144" s="717" t="str">
        <x:v>Google Scholar</x:v>
      </x:c>
      <x:c r="C144" s="717" t="str">
        <x:v>GS-01</x:v>
      </x:c>
      <x:c r="D144" s="720" t="str">
        <x:v>Artificial intelligence in ophthalmology opportunities, challenges and ethical considerations</x:v>
      </x:c>
      <x:c r="E144" s="717" t="str">
        <x:v>Exclude</x:v>
      </x:c>
      <x:c r="F144" s="720" t="str">
        <x:v>Retinal/ophthalmic topic, but no concept-based or structured explainability method is evident.</x:v>
      </x:c>
      <x:c r="G144" s="717" t="str">
        <x:v>Title only</x:v>
      </x:c>
      <x:c r="H144" s="717" t="str">
        <x:v>Exclude</x:v>
      </x:c>
      <x:c r="I144" s="720" t="str">
        <x:v>Retinal/ophthalmic topic, but no concept-based or structured explainability method is evident.</x:v>
      </x:c>
      <x:c r="J144" s="717" t="str">
        <x:f>IF(E144=H144,E144,"Unclear")</x:f>
        <x:v>Exclude</x:v>
      </x:c>
      <x:c r="K144" s="720" t="str">
        <x:f>IF(E144=H144,"Agreement between both AI passes.","AI-pass disagreement; retain for human discussion.")</x:f>
        <x:v>Agreement between both AI passes.</x:v>
      </x:c>
      <x:c r="L144" s="720" t="str">
        <x:v>K Kazemzadeh- =. Discovery and Innovation in Ophthailmolegy 20625</x:v>
      </x:c>
      <x:c r="M144" s="728"/>
      <x:c r="N144" s="717" t="str">
        <x:v>Google Scholar result</x:v>
      </x:c>
      <x:c r="O144" s="717" t="str">
        <x:v>No</x:v>
      </x:c>
      <x:c r="P144" s="717"/>
    </x:row>
    <x:row r="145" ht="38" customHeight="1">
      <x:c r="A145" s="717" t="str">
        <x:v>GS-01-091</x:v>
      </x:c>
      <x:c r="B145" s="717" t="str">
        <x:v>Google Scholar</x:v>
      </x:c>
      <x:c r="C145" s="717" t="str">
        <x:v>GS-01</x:v>
      </x:c>
      <x:c r="D145" s="720" t="str">
        <x:v>Detamnining fetal orientations from blind sweep ultrasound video</x:v>
      </x:c>
      <x:c r="E145" s="717" t="str">
        <x:v>Exclude</x:v>
      </x:c>
      <x:c r="F145" s="720" t="str">
        <x:v>Medical/clinical topic, but no eligible concept-based explainability contribution is evident.</x:v>
      </x:c>
      <x:c r="G145" s="717" t="str">
        <x:v>Title only</x:v>
      </x:c>
      <x:c r="H145" s="717" t="str">
        <x:v>Exclude</x:v>
      </x:c>
      <x:c r="I145" s="720" t="str">
        <x:v>Medical/clinical topic, but no eligible concept-based explainability contribution is evident.</x:v>
      </x:c>
      <x:c r="J145" s="717" t="str">
        <x:f>IF(E145=H145,E145,"Unclear")</x:f>
        <x:v>Exclude</x:v>
      </x:c>
      <x:c r="K145" s="720" t="str">
        <x:f>IF(E145=H145,"Agreement between both AI passes.","AI-pass disagreement; retain for human discussion.")</x:f>
        <x:v>Agreement between both AI passes.</x:v>
      </x:c>
      <x:c r="L145" s="720" t="str">
        <x:v>JM Wisniewsk AN Christersen, MLNga</x:v>
      </x:c>
      <x:c r="M145" s="728"/>
      <x:c r="N145" s="717" t="str">
        <x:v>Google Scholar result</x:v>
      </x:c>
      <x:c r="O145" s="717" t="str">
        <x:v>No</x:v>
      </x:c>
      <x:c r="P145" s="717"/>
    </x:row>
    <x:row r="146" ht="38" customHeight="1">
      <x:c r="A146" s="717" t="str">
        <x:v>GS-01-093</x:v>
      </x:c>
      <x:c r="B146" s="717" t="str">
        <x:v>Google Scholar</x:v>
      </x:c>
      <x:c r="C146" s="717" t="str">
        <x:v>GS-01</x:v>
      </x:c>
      <x:c r="D146" s="720" t="str">
        <x:v>Asynchronous federated learning for web-based OCT image analysis</x:v>
      </x:c>
      <x:c r="E146" s="717" t="str">
        <x:v>Exclude</x:v>
      </x:c>
      <x:c r="F146" s="720" t="str">
        <x:v>Retinal/ophthalmic topic, but no concept-based or structured explainability method is evident.</x:v>
      </x:c>
      <x:c r="G146" s="717" t="str">
        <x:v>Title only</x:v>
      </x:c>
      <x:c r="H146" s="717" t="str">
        <x:v>Exclude</x:v>
      </x:c>
      <x:c r="I146" s="720" t="str">
        <x:v>Retinal/ophthalmic topic, but no concept-based or structured explainability method is evident.</x:v>
      </x:c>
      <x:c r="J146" s="717" t="str">
        <x:f>IF(E146=H146,E146,"Unclear")</x:f>
        <x:v>Exclude</x:v>
      </x:c>
      <x:c r="K146" s="720" t="str">
        <x:f>IF(E146=H146,"Agreement between both AI passes.","AI-pass disagreement; retain for human discussion.")</x:f>
        <x:v>Agreement between both AI passes.</x:v>
      </x:c>
      <x:c r="L146" s="720" t="str">
        <x:v>HMT 4tam T Maurer, AMohamed Seim</x:v>
      </x:c>
      <x:c r="M146" s="728" t="n">
        <x:v>2026</x:v>
      </x:c>
      <x:c r="N146" s="717" t="str">
        <x:v>Google Scholar result</x:v>
      </x:c>
      <x:c r="O146" s="717" t="str">
        <x:v>No</x:v>
      </x:c>
      <x:c r="P146" s="717"/>
    </x:row>
    <x:row r="147" ht="38" customHeight="1">
      <x:c r="A147" s="717" t="str">
        <x:v>GS-01-094</x:v>
      </x:c>
      <x:c r="B147" s="717" t="str">
        <x:v>Google Scholar</x:v>
      </x:c>
      <x:c r="C147" s="717" t="str">
        <x:v>GS-01</x:v>
      </x:c>
      <x:c r="D147" s="720" t="str">
        <x:v>(Por) Explainable Molecular Concept Learning with Large Language Models</x:v>
      </x:c>
      <x:c r="E147" s="717" t="str">
        <x:v>Include</x:v>
      </x:c>
      <x:c r="F147" s="720" t="str">
        <x:v>Foundational concept-XAI method relevant to the review taxonomy or reliability analysis (title only).</x:v>
      </x:c>
      <x:c r="G147" s="717" t="str">
        <x:v>Title only</x:v>
      </x:c>
      <x:c r="H147" s="717" t="str">
        <x:v>Unclear</x:v>
      </x:c>
      <x:c r="I147" s="720" t="str">
        <x:v>Concept-XAI method may be useful as foundational/contextual evidence; retinal or medical applicability requires discussion (title only).</x:v>
      </x:c>
      <x:c r="J147" s="717" t="str">
        <x:f>IF(E147=H147,E147,"Unclear")</x:f>
        <x:v>Unclear</x:v>
      </x:c>
      <x:c r="K147" s="720" t="str">
        <x:f>IF(E147=H147,"Agreement between both AI passes.","AI-pass disagreement; retain for human discussion.")</x:f>
        <x:v>AI-pass disagreement; retain for human discussion.</x:v>
      </x:c>
      <x:c r="L147" s="720" t="str">
        <x:v>QOvtu S Zhang B Xie Z Zhang. F Sun Z Hu Y S.n- xadsci github io</x:v>
      </x:c>
      <x:c r="M147" s="728"/>
      <x:c r="N147" s="717" t="str">
        <x:v>Google Scholar result</x:v>
      </x:c>
      <x:c r="O147" s="717" t="str">
        <x:v>No</x:v>
      </x:c>
      <x:c r="P147" s="717"/>
    </x:row>
    <x:row r="148" ht="38" customHeight="1">
      <x:c r="A148" s="717" t="str">
        <x:v>GS-01-095</x:v>
      </x:c>
      <x:c r="B148" s="717" t="str">
        <x:v>Google Scholar</x:v>
      </x:c>
      <x:c r="C148" s="717" t="str">
        <x:v>GS-01</x:v>
      </x:c>
      <x:c r="D148" s="720" t="str">
        <x:v>Aligning Characteristic Descriptors With Images for Improved Interpretability</x:v>
      </x:c>
      <x:c r="E148" s="717"/>
      <x:c r="F148" s="720" t="str">
        <x:v>Confirmed duplicate during enhanced OCR-variant deduplication.</x:v>
      </x:c>
      <x:c r="G148" s="717" t="str">
        <x:v>Duplicate control</x:v>
      </x:c>
      <x:c r="H148" s="717"/>
      <x:c r="I148" s="720" t="str">
        <x:v>Confirmed duplicate during enhanced OCR-variant deduplication.</x:v>
      </x:c>
      <x:c r="J148" s="717"/>
      <x:c r="K148" s="720" t="str">
        <x:v>Removed from the final title/abstract denominator before full-text retrieval.</x:v>
      </x:c>
      <x:c r="L148" s="720" t="str">
        <x:v>BC Yalavartri</x:v>
      </x:c>
      <x:c r="M148" s="728" t="n">
        <x:v>2024</x:v>
      </x:c>
      <x:c r="N148" s="717" t="str">
        <x:v>Google Scholar result</x:v>
      </x:c>
      <x:c r="O148" s="717" t="str">
        <x:v>No</x:v>
      </x:c>
      <x:c r="P148" s="717"/>
    </x:row>
    <x:row r="149" ht="38" customHeight="1">
      <x:c r="A149" s="717" t="str">
        <x:v>GS-01-096</x:v>
      </x:c>
      <x:c r="B149" s="717" t="str">
        <x:v>Google Scholar</x:v>
      </x:c>
      <x:c r="C149" s="717" t="str">
        <x:v>GS-01</x:v>
      </x:c>
      <x:c r="D149" s="720" t="str">
        <x:v>AC-MIL Weakly Supervised Atrial LGE-MRI Quality Assessment via Adversarial Concept Disentanglement</x:v>
      </x:c>
      <x:c r="E149" s="717" t="str">
        <x:v>Exclude</x:v>
      </x:c>
      <x:c r="F149" s="720" t="str">
        <x:v>Medical/clinical topic, but no eligible concept-based explainability contribution is evident.</x:v>
      </x:c>
      <x:c r="G149" s="717" t="str">
        <x:v>Title only</x:v>
      </x:c>
      <x:c r="H149" s="717" t="str">
        <x:v>Exclude</x:v>
      </x:c>
      <x:c r="I149" s="720" t="str">
        <x:v>Medical/clinical topic, but no eligible concept-based explainability contribution is evident.</x:v>
      </x:c>
      <x:c r="J149" s="717" t="str">
        <x:f>IF(E149=H149,E149,"Unclear")</x:f>
        <x:v>Exclude</x:v>
      </x:c>
      <x:c r="K149" s="720" t="str">
        <x:f>IF(E149=H149,"Agreement between both AI passes.","AI-pass disagreement; retain for human discussion.")</x:f>
        <x:v>Agreement between both AI passes.</x:v>
      </x:c>
      <x:c r="L149" s="720" t="str">
        <x:v>KM Sudan KHansen BOncky AMorris -arXev pregnnt ari = 2926</x:v>
      </x:c>
      <x:c r="M149" s="728"/>
      <x:c r="N149" s="717" t="str">
        <x:v>Google Scholar result</x:v>
      </x:c>
      <x:c r="O149" s="717" t="str">
        <x:v>No</x:v>
      </x:c>
      <x:c r="P149" s="717"/>
    </x:row>
    <x:row r="150" ht="38" customHeight="1">
      <x:c r="A150" s="717" t="str">
        <x:v>GS-01-097</x:v>
      </x:c>
      <x:c r="B150" s="717" t="str">
        <x:v>Google Scholar</x:v>
      </x:c>
      <x:c r="C150" s="717" t="str">
        <x:v>GS-01</x:v>
      </x:c>
      <x:c r="D150" s="720" t="str">
        <x:v>Agua. Aconcept-based explainer for learning-enabled systems</x:v>
      </x:c>
      <x:c r="E150" s="717" t="str">
        <x:v>Unclear</x:v>
      </x:c>
      <x:c r="F150" s="720" t="str">
        <x:v>Concept-XAI method may be useful as foundational/contextual evidence; retinal or medical applicability requires discussion (title only).</x:v>
      </x:c>
      <x:c r="G150" s="717" t="str">
        <x:v>Title only</x:v>
      </x:c>
      <x:c r="H150" s="717" t="str">
        <x:v>Exclude</x:v>
      </x:c>
      <x:c r="I150" s="720" t="str">
        <x:v>Clearly outside retinal/ophthalmic concept-based explainable AI.</x:v>
      </x:c>
      <x:c r="J150" s="717" t="str">
        <x:f>IF(E150=H150,E150,"Unclear")</x:f>
        <x:v>Unclear</x:v>
      </x:c>
      <x:c r="K150" s="720" t="str">
        <x:f>IF(E150=H150,"Agreement between both AI passes.","AI-pass disagreement; retain for human discussion.")</x:f>
        <x:v>AI-pass disagreement; retain for human discussion.</x:v>
      </x:c>
      <x:c r="L150" s="720" t="str">
        <x:v>Sate! Oran NNarodyiska SAJyath -Proceecings of thea ACM = 2326</x:v>
      </x:c>
      <x:c r="M150" s="728"/>
      <x:c r="N150" s="717" t="str">
        <x:v>Google Scholar result</x:v>
      </x:c>
      <x:c r="O150" s="717" t="str">
        <x:v>No</x:v>
      </x:c>
      <x:c r="P150" s="717"/>
    </x:row>
    <x:row r="151" ht="38" customHeight="1">
      <x:c r="A151" s="717" t="str">
        <x:v>GS-01-098</x:v>
      </x:c>
      <x:c r="B151" s="717" t="str">
        <x:v>Google Scholar</x:v>
      </x:c>
      <x:c r="C151" s="717" t="str">
        <x:v>GS-01</x:v>
      </x:c>
      <x:c r="D151" s="720" t="str">
        <x:v>From Black-Box to Bedside’ A Framework for Explainable Al (XAl) in Deep Learning-Based Histopathological Screening of Cervical Cancer</x:v>
      </x:c>
      <x:c r="E151" s="717" t="str">
        <x:v>Unclear</x:v>
      </x:c>
      <x:c r="F151" s="720" t="str">
        <x:v>Possible contextual explainability evidence, but concept-level relevance is not confirmed from the available title only.</x:v>
      </x:c>
      <x:c r="G151" s="717" t="str">
        <x:v>Title only</x:v>
      </x:c>
      <x:c r="H151" s="717" t="str">
        <x:v>Unclear</x:v>
      </x:c>
      <x:c r="I151" s="720" t="str">
        <x:v>Possible contextual explainability evidence, but concept-level relevance is not confirmed from the available title only.</x:v>
      </x:c>
      <x:c r="J151" s="717" t="str">
        <x:f>IF(E151=H151,E151,"Unclear")</x:f>
        <x:v>Unclear</x:v>
      </x:c>
      <x:c r="K151" s="720" t="str">
        <x:f>IF(E151=H151,"Agreement between both AI passes.","AI-pass disagreement; retain for human discussion.")</x:f>
        <x:v>Agreement between both AI passes.</x:v>
      </x:c>
      <x:c r="L151" s="720" t="str">
        <x:v>G Or Af Bulinger, C Shawnae © Juara 4 Okurela</x:v>
      </x:c>
      <x:c r="M151" s="728" t="n">
        <x:v>2025</x:v>
      </x:c>
      <x:c r="N151" s="717" t="str">
        <x:v>Google Scholar result</x:v>
      </x:c>
      <x:c r="O151" s="717" t="str">
        <x:v>No</x:v>
      </x:c>
      <x:c r="P151" s="717"/>
    </x:row>
    <x:row r="152" ht="38" customHeight="1">
      <x:c r="A152" s="717" t="str">
        <x:v>GS-01-099</x:v>
      </x:c>
      <x:c r="B152" s="717" t="str">
        <x:v>Google Scholar</x:v>
      </x:c>
      <x:c r="C152" s="717" t="str">
        <x:v>GS-01</x:v>
      </x:c>
      <x:c r="D152" s="720" t="str">
        <x:v>Bridging the gap between expert and Janguage models concept-guided chess commentary generatian and evaluation</x:v>
      </x:c>
      <x:c r="E152" s="717" t="str">
        <x:v>Include</x:v>
      </x:c>
      <x:c r="F152" s="720" t="str">
        <x:v>Foundational concept-XAI method relevant to the review taxonomy or reliability analysis (title only).</x:v>
      </x:c>
      <x:c r="G152" s="717" t="str">
        <x:v>Title only</x:v>
      </x:c>
      <x:c r="H152" s="717" t="str">
        <x:v>Unclear</x:v>
      </x:c>
      <x:c r="I152" s="720" t="str">
        <x:v>Concept-XAI method may be useful as foundational/contextual evidence; retinal or medical applicability requires discussion (title only).</x:v>
      </x:c>
      <x:c r="J152" s="717" t="str">
        <x:f>IF(E152=H152,E152,"Unclear")</x:f>
        <x:v>Unclear</x:v>
      </x:c>
      <x:c r="K152" s="720" t="str">
        <x:f>IF(E152=H152,"Agreement between both AI passes.","AI-pass disagreement; retain for human discussion.")</x:f>
        <x:v>AI-pass disagreement; retain for human discussion.</x:v>
      </x:c>
      <x:c r="L152" s="720" t="str">
        <x:v>Kim JGoh LHwang JCho JOk</x:v>
      </x:c>
      <x:c r="M152" s="728" t="n">
        <x:v>2025</x:v>
      </x:c>
      <x:c r="N152" s="717" t="str">
        <x:v>Google Scholar result</x:v>
      </x:c>
      <x:c r="O152" s="717" t="str">
        <x:v>No</x:v>
      </x:c>
      <x:c r="P152" s="717"/>
    </x:row>
    <x:row r="153" ht="38" customHeight="1">
      <x:c r="A153" s="717" t="str">
        <x:v>GS-01-100</x:v>
      </x:c>
      <x:c r="B153" s="717" t="str">
        <x:v>Google Scholar</x:v>
      </x:c>
      <x:c r="C153" s="717" t="str">
        <x:v>GS-01</x:v>
      </x:c>
      <x:c r="D153" s="720" t="str">
        <x:v>A ResNet-50 Classifier with Grad-CAM and SHAP for Explainable Breast Cancer Detection in Dense Mammography Comparison with Human Radiologist</x:v>
      </x:c>
      <x:c r="E153" s="717" t="str">
        <x:v>Unclear</x:v>
      </x:c>
      <x:c r="F153" s="720" t="str">
        <x:v>Possible contextual explainability evidence, but concept-level relevance is not confirmed from the available title only.</x:v>
      </x:c>
      <x:c r="G153" s="717" t="str">
        <x:v>Title only</x:v>
      </x:c>
      <x:c r="H153" s="717" t="str">
        <x:v>Unclear</x:v>
      </x:c>
      <x:c r="I153" s="720" t="str">
        <x:v>Possible contextual explainability evidence, but concept-level relevance is not confirmed from the available title only.</x:v>
      </x:c>
      <x:c r="J153" s="717" t="str">
        <x:f>IF(E153=H153,E153,"Unclear")</x:f>
        <x:v>Unclear</x:v>
      </x:c>
      <x:c r="K153" s="720" t="str">
        <x:f>IF(E153=H153,"Agreement between both AI passes.","AI-pass disagreement; retain for human discussion.")</x:f>
        <x:v>Agreement between both AI passes.</x:v>
      </x:c>
      <x:c r="L153" s="720" t="str">
        <x:v>AS Pilg AAbray, MP Cota | Paiva LG Viewa</x:v>
      </x:c>
      <x:c r="M153" s="728" t="n">
        <x:v>2026</x:v>
      </x:c>
      <x:c r="N153" s="717" t="str">
        <x:v>Google Scholar result</x:v>
      </x:c>
      <x:c r="O153" s="717" t="str">
        <x:v>No</x:v>
      </x:c>
      <x:c r="P153" s="717"/>
    </x:row>
    <x:row r="154" ht="38" customHeight="1">
      <x:c r="A154" s="717" t="str">
        <x:v>GS-02-001</x:v>
      </x:c>
      <x:c r="B154" s="717" t="str">
        <x:v>Google Scholar</x:v>
      </x:c>
      <x:c r="C154" s="717" t="str">
        <x:v>GS-02</x:v>
      </x:c>
      <x:c r="D154" s="720" t="str">
        <x:v>(xTML] Protctype-guided promptable retinal lesion segmentation from coarse annotations</x:v>
      </x:c>
      <x:c r="E154" s="717" t="str">
        <x:v>Exclude</x:v>
      </x:c>
      <x:c r="F154" s="720" t="str">
        <x:v>Retinal/ophthalmic topic, but no concept-based or structured explainability method is evident.</x:v>
      </x:c>
      <x:c r="G154" s="717" t="str">
        <x:v>Title only</x:v>
      </x:c>
      <x:c r="H154" s="717" t="str">
        <x:v>Exclude</x:v>
      </x:c>
      <x:c r="I154" s="720" t="str">
        <x:v>Retinal/ophthalmic topic, but no concept-based or structured explainability method is evident.</x:v>
      </x:c>
      <x:c r="J154" s="717" t="str">
        <x:f>IF(E154=H154,E154,"Unclear")</x:f>
        <x:v>Exclude</x:v>
      </x:c>
      <x:c r="K154" s="720" t="str">
        <x:f>IF(E154=H154,"Agreement between both AI passes.","AI-pass disagreement; retain for human discussion.")</x:f>
        <x:v>Agreement between both AI passes.</x:v>
      </x:c>
      <x:c r="L154" s="720" t="str">
        <x:v>O Yu, X Sing</x:v>
      </x:c>
      <x:c r="M154" s="728"/>
      <x:c r="N154" s="717" t="str">
        <x:v>Google Scholar result</x:v>
      </x:c>
      <x:c r="O154" s="717" t="str">
        <x:v>No</x:v>
      </x:c>
      <x:c r="P154" s="717"/>
    </x:row>
    <x:row r="155" ht="38" customHeight="1">
      <x:c r="A155" s="717" t="str">
        <x:v>GS-02-002</x:v>
      </x:c>
      <x:c r="B155" s="717" t="str">
        <x:v>Google Scholar</x:v>
      </x:c>
      <x:c r="C155" s="717" t="str">
        <x:v>GS-02</x:v>
      </x:c>
      <x:c r="D155" s="720" t="str">
        <x:v>Prototype-based interpretable model for glaucoma detection</x:v>
      </x:c>
      <x:c r="E155" s="717"/>
      <x:c r="F155" s="720" t="str">
        <x:v>Removed during bibliographic verification: the screenshot/OCR-derived title could not be matched to an authoritative scholarly record. Retained only in the audit trail and excluded from all active denominators.</x:v>
      </x:c>
      <x:c r="G155" s="717" t="str">
        <x:v>Bibliographic verification</x:v>
      </x:c>
      <x:c r="H155" s="717"/>
      <x:c r="I155" s="720" t="str">
        <x:v>Removed during bibliographic verification: the screenshot/OCR-derived title could not be matched to an authoritative scholarly record. Retained only in the audit trail and excluded from all active denominators.</x:v>
      </x:c>
      <x:c r="J155" s="717"/>
      <x:c r="K155" s="720" t="str">
        <x:v>Removed from the active analytic set; original AI recommendations are superseded by bibliographic verification.</x:v>
      </x:c>
      <x:c r="L155" s="720" t="str">
        <x:v>M Singh BS Vivek J Guobi =</x:v>
      </x:c>
      <x:c r="M155" s="728" t="n">
        <x:v>2024</x:v>
      </x:c>
      <x:c r="N155" s="717" t="str">
        <x:v>Google Scholar result</x:v>
      </x:c>
      <x:c r="O155" s="717" t="str">
        <x:v>No</x:v>
      </x:c>
      <x:c r="P155" s="717"/>
    </x:row>
    <x:row r="156" ht="38" customHeight="1">
      <x:c r="A156" s="717" t="str">
        <x:v>GS-02-004</x:v>
      </x:c>
      <x:c r="B156" s="717" t="str">
        <x:v>Google Scholar</x:v>
      </x:c>
      <x:c r="C156" s="717" t="str">
        <x:v>GS-02</x:v>
      </x:c>
      <x:c r="D156" s="720" t="str">
        <x:v>ProtoPatchNet: An interpretable patch-bassd prototypical network</x:v>
      </x:c>
      <x:c r="E156" s="717" t="str">
        <x:v>Include</x:v>
      </x:c>
      <x:c r="F156" s="720" t="str">
        <x:v>Foundational concept-XAI method relevant to the review taxonomy or reliability analysis (title only).</x:v>
      </x:c>
      <x:c r="G156" s="717" t="str">
        <x:v>Title only</x:v>
      </x:c>
      <x:c r="H156" s="717" t="str">
        <x:v>Unclear</x:v>
      </x:c>
      <x:c r="I156" s="720" t="str">
        <x:v>Concept-XAI method may be useful as foundational/contextual evidence; retinal or medical applicability requires discussion (title only).</x:v>
      </x:c>
      <x:c r="J156" s="717" t="str">
        <x:f>IF(E156=H156,E156,"Unclear")</x:f>
        <x:v>Unclear</x:v>
      </x:c>
      <x:c r="K156" s="720" t="str">
        <x:f>IF(E156=H156,"Agreement between both AI passes.","AI-pass disagreement; retain for human discussion.")</x:f>
        <x:v>AI-pass disagreement; retain for human discussion.</x:v>
      </x:c>
      <x:c r="L156" s="720" t="str">
        <x:v>M Singh J Gubki RY Sabu</x:v>
      </x:c>
      <x:c r="M156" s="728"/>
      <x:c r="N156" s="717" t="str">
        <x:v>Google Scholar result</x:v>
      </x:c>
      <x:c r="O156" s="717" t="str">
        <x:v>No</x:v>
      </x:c>
      <x:c r="P156" s="717"/>
    </x:row>
    <x:row r="157" ht="38" customHeight="1">
      <x:c r="A157" s="717" t="str">
        <x:v>GS-02-006</x:v>
      </x:c>
      <x:c r="B157" s="717" t="str">
        <x:v>Google Scholar</x:v>
      </x:c>
      <x:c r="C157" s="717" t="str">
        <x:v>GS-02</x:v>
      </x:c>
      <x:c r="D157" s="720" t="str">
        <x:v>Decentralized tearning for medical image classification with prototypical contrastive network</x:v>
      </x:c>
      <x:c r="E157" s="717" t="str">
        <x:v>Exclude</x:v>
      </x:c>
      <x:c r="F157" s="720" t="str">
        <x:v>Medical/clinical topic, but no eligible concept-based explainability contribution is evident.</x:v>
      </x:c>
      <x:c r="G157" s="717" t="str">
        <x:v>Title only</x:v>
      </x:c>
      <x:c r="H157" s="717" t="str">
        <x:v>Exclude</x:v>
      </x:c>
      <x:c r="I157" s="720" t="str">
        <x:v>Medical/clinical topic, but no eligible concept-based explainability contribution is evident.</x:v>
      </x:c>
      <x:c r="J157" s="717" t="str">
        <x:f>IF(E157=H157,E157,"Unclear")</x:f>
        <x:v>Exclude</x:v>
      </x:c>
      <x:c r="K157" s="720" t="str">
        <x:f>IF(E157=H157,"Agreement between both AI passes.","AI-pass disagreement; retain for human discussion.")</x:f>
        <x:v>Agreement between both AI passes.</x:v>
      </x:c>
      <x:c r="L157" s="720" t="str">
        <x:v>2Caz ¥Sh.S Zhang H Chan. WLi, GYue -Madical 2025</x:v>
      </x:c>
      <x:c r="M157" s="728" t="n">
        <x:v>2025</x:v>
      </x:c>
      <x:c r="N157" s="717" t="str">
        <x:v>Google Scholar result</x:v>
      </x:c>
      <x:c r="O157" s="717" t="str">
        <x:v>No</x:v>
      </x:c>
      <x:c r="P157" s="717"/>
    </x:row>
    <x:row r="158" ht="38" customHeight="1">
      <x:c r="A158" s="717" t="str">
        <x:v>GS-02-007</x:v>
      </x:c>
      <x:c r="B158" s="717" t="str">
        <x:v>Google Scholar</x:v>
      </x:c>
      <x:c r="C158" s="717" t="str">
        <x:v>GS-02</x:v>
      </x:c>
      <x:c r="D158" s="720" t="str">
        <x:v>A novel few-shot classification framework for diahetic retinopathy detection and grading</x:v>
      </x:c>
      <x:c r="E158" s="717" t="str">
        <x:v>Exclude</x:v>
      </x:c>
      <x:c r="F158" s="720" t="str">
        <x:v>Retinal/ophthalmic topic, but no concept-based or structured explainability method is evident.</x:v>
      </x:c>
      <x:c r="G158" s="717" t="str">
        <x:v>Title only</x:v>
      </x:c>
      <x:c r="H158" s="717" t="str">
        <x:v>Exclude</x:v>
      </x:c>
      <x:c r="I158" s="720" t="str">
        <x:v>Retinal/ophthalmic topic, but no concept-based or structured explainability method is evident.</x:v>
      </x:c>
      <x:c r="J158" s="717" t="str">
        <x:f>IF(E158=H158,E158,"Unclear")</x:f>
        <x:v>Exclude</x:v>
      </x:c>
      <x:c r="K158" s="720" t="str">
        <x:f>IF(E158=H158,"Agreement between both AI passes.","AI-pass disagreement; retain for human discussion.")</x:f>
        <x:v>Agreement between both AI passes.</x:v>
      </x:c>
      <x:c r="L158" s="720" t="str">
        <x:v>MMuugappar NB Prakash R Jeya</x:v>
      </x:c>
      <x:c r="M158" s="728"/>
      <x:c r="N158" s="717" t="str">
        <x:v>Google Scholar result</x:v>
      </x:c>
      <x:c r="O158" s="717" t="str">
        <x:v>No</x:v>
      </x:c>
      <x:c r="P158" s="717"/>
    </x:row>
    <x:row r="159" ht="38" customHeight="1">
      <x:c r="A159" s="717" t="str">
        <x:v>GS-02-008</x:v>
      </x:c>
      <x:c r="B159" s="717" t="str">
        <x:v>Google Scholar</x:v>
      </x:c>
      <x:c r="C159" s="717" t="str">
        <x:v>GS-02</x:v>
      </x:c>
      <x:c r="D159" s="720" t="str">
        <x:v>Protostage-NET A Clinically Guided Foundation Model With Prototypical Learning for Automated Amd Grading From Oct Images</x:v>
      </x:c>
      <x:c r="E159" s="717"/>
      <x:c r="F159" s="720" t="str">
        <x:v>Confirmed duplicate during enhanced OCR-variant deduplication.</x:v>
      </x:c>
      <x:c r="G159" s="717" t="str">
        <x:v>Duplicate control</x:v>
      </x:c>
      <x:c r="H159" s="717"/>
      <x:c r="I159" s="720" t="str">
        <x:v>Confirmed duplicate during enhanced OCR-variant deduplication.</x:v>
      </x:c>
      <x:c r="J159" s="717"/>
      <x:c r="K159" s="720" t="str">
        <x:v>Removed from the final title/abstract denominator before full-text retrieval.</x:v>
      </x:c>
      <x:c r="L159" s="720" t="str">
        <x:v>M Elsrarkawy MElMelegy SAli</x:v>
      </x:c>
      <x:c r="M159" s="728" t="n">
        <x:v>2026</x:v>
      </x:c>
      <x:c r="N159" s="717" t="str">
        <x:v>Google Scholar result</x:v>
      </x:c>
      <x:c r="O159" s="717" t="str">
        <x:v>No</x:v>
      </x:c>
      <x:c r="P159" s="717"/>
    </x:row>
    <x:row r="160" ht="38" customHeight="1">
      <x:c r="A160" s="717" t="str">
        <x:v>GS-02-009</x:v>
      </x:c>
      <x:c r="B160" s="717" t="str">
        <x:v>Google Scholar</x:v>
      </x:c>
      <x:c r="C160" s="717" t="str">
        <x:v>GS-02</x:v>
      </x:c>
      <x:c r="D160" s="720" t="str">
        <x:v>HybridFusionNet: 4 Distnbuted Prototype-Guided Multi-Scale Transfonner-CNN Framework for Robust and Interpretable Diabetic Retinopathy Detection</x:v>
      </x:c>
      <x:c r="E160" s="717" t="str">
        <x:v>Include</x:v>
      </x:c>
      <x:c r="F160" s="720" t="str">
        <x:v>Potential direct retinal/ophthalmic concept-based XAI evidence (title only).</x:v>
      </x:c>
      <x:c r="G160" s="717" t="str">
        <x:v>Title only</x:v>
      </x:c>
      <x:c r="H160" s="717" t="str">
        <x:v>Include</x:v>
      </x:c>
      <x:c r="I160" s="720" t="str">
        <x:v>Potential direct retinal/ophthalmic concept-based XAI evidence (title only).</x:v>
      </x:c>
      <x:c r="J160" s="717" t="str">
        <x:f>IF(E160=H160,E160,"Unclear")</x:f>
        <x:v>Include</x:v>
      </x:c>
      <x:c r="K160" s="720" t="str">
        <x:f>IF(E160=H160,"Agreement between both AI passes.","AI-pass disagreement; retain for human discussion.")</x:f>
        <x:v>Agreement between both AI passes.</x:v>
      </x:c>
      <x:c r="L160" s="720" t="str">
        <x:v>KV Shanthala KC Kundue</x:v>
      </x:c>
      <x:c r="M160" s="728" t="n">
        <x:v>2026</x:v>
      </x:c>
      <x:c r="N160" s="717" t="str">
        <x:v>Google Scholar result</x:v>
      </x:c>
      <x:c r="O160" s="717" t="str">
        <x:v>No</x:v>
      </x:c>
      <x:c r="P160" s="717"/>
    </x:row>
    <x:row r="161" ht="38" customHeight="1">
      <x:c r="A161" s="717" t="str">
        <x:v>GS-02-010</x:v>
      </x:c>
      <x:c r="B161" s="717" t="str">
        <x:v>Google Scholar</x:v>
      </x:c>
      <x:c r="C161" s="717" t="str">
        <x:v>GS-02</x:v>
      </x:c>
      <x:c r="D161" s="720" t="str">
        <x:v>Coarse retinal fesion annotations refinement via prototypical learning</x:v>
      </x:c>
      <x:c r="E161" s="717"/>
      <x:c r="F161" s="720" t="str">
        <x:v>Confirmed duplicate during enhanced OCR-variant deduplication.</x:v>
      </x:c>
      <x:c r="G161" s="717" t="str">
        <x:v>Duplicate control</x:v>
      </x:c>
      <x:c r="H161" s="717"/>
      <x:c r="I161" s="720" t="str">
        <x:v>Confirmed duplicate during enhanced OCR-variant deduplication.</x:v>
      </x:c>
      <x:c r="J161" s="717"/>
      <x:c r="K161" s="720" t="str">
        <x:v>Removed from the final title/abstract denominator before full-text retrieval.</x:v>
      </x:c>
      <x:c r="L161" s="720" t="str">
        <x:v>QY¥u KSang ZZho. ¥ Chen X Ding</x:v>
      </x:c>
      <x:c r="M161" s="728"/>
      <x:c r="N161" s="717" t="str">
        <x:v>Google Scholar result</x:v>
      </x:c>
      <x:c r="O161" s="717" t="str">
        <x:v>No</x:v>
      </x:c>
      <x:c r="P161" s="717"/>
    </x:row>
    <x:row r="162" ht="38" customHeight="1">
      <x:c r="A162" s="717" t="str">
        <x:v>GS-02-011</x:v>
      </x:c>
      <x:c r="B162" s="717" t="str">
        <x:v>Google Scholar</x:v>
      </x:c>
      <x:c r="C162" s="717" t="str">
        <x:v>GS-02</x:v>
      </x:c>
      <x:c r="D162" s="720" t="str">
        <x:v>PratoD*C? Prototype-Based Dual-Supervision. Dual-Consistency. and Dual- Contrastive Learning for OCT Fluid Segmentation</x:v>
      </x:c>
      <x:c r="E162" s="717"/>
      <x:c r="F162" s="720" t="str">
        <x:v>Confirmed duplicate during enhanced OCR-variant deduplication.</x:v>
      </x:c>
      <x:c r="G162" s="717" t="str">
        <x:v>Duplicate control</x:v>
      </x:c>
      <x:c r="H162" s="717"/>
      <x:c r="I162" s="720" t="str">
        <x:v>Confirmed duplicate during enhanced OCR-variant deduplication.</x:v>
      </x:c>
      <x:c r="J162" s="717"/>
      <x:c r="K162" s="720" t="str">
        <x:v>Removed from the final title/abstract denominator before full-text retrieval.</x:v>
      </x:c>
      <x:c r="L162" s="720" t="str">
        <x:v>JLiu. M Zhang @ Targ.¥ Li XWer =</x:v>
      </x:c>
      <x:c r="M162" s="728" t="n">
        <x:v>2025</x:v>
      </x:c>
      <x:c r="N162" s="717" t="str">
        <x:v>Google Scholar result</x:v>
      </x:c>
      <x:c r="O162" s="717" t="str">
        <x:v>No</x:v>
      </x:c>
      <x:c r="P162" s="717"/>
    </x:row>
    <x:row r="163" ht="38" customHeight="1">
      <x:c r="A163" s="717" t="str">
        <x:v>GS-02-012</x:v>
      </x:c>
      <x:c r="B163" s="717" t="str">
        <x:v>Google Scholar</x:v>
      </x:c>
      <x:c r="C163" s="717" t="str">
        <x:v>GS-02</x:v>
      </x:c>
      <x:c r="D163" s="720" t="str">
        <x:v>Transformer-based multi-prototype approach for chadetic macular edema analysis in o¢t images</x:v>
      </x:c>
      <x:c r="E163" s="717" t="str">
        <x:v>Include</x:v>
      </x:c>
      <x:c r="F163" s="720" t="str">
        <x:v>Potential direct retinal/ophthalmic concept-based XAI evidence (title only).</x:v>
      </x:c>
      <x:c r="G163" s="717" t="str">
        <x:v>Title only</x:v>
      </x:c>
      <x:c r="H163" s="717" t="str">
        <x:v>Include</x:v>
      </x:c>
      <x:c r="I163" s="720" t="str">
        <x:v>Potential direct retinal/ophthalmic concept-based XAI evidence (title only).</x:v>
      </x:c>
      <x:c r="J163" s="717" t="str">
        <x:f>IF(E163=H163,E163,"Unclear")</x:f>
        <x:v>Include</x:v>
      </x:c>
      <x:c r="K163" s="720" t="str">
        <x:f>IF(E163=H163,"Agreement between both AI passes.","AI-pass disagreement; retain for human discussion.")</x:f>
        <x:v>Agreement between both AI passes.</x:v>
      </x:c>
      <x:c r="L163" s="720" t="str">
        <x:v>PL Vizal Jde Moura UNove MCnega -ICASSP 2023-2023 = 2023</x:v>
      </x:c>
      <x:c r="M163" s="728" t="n">
        <x:v>2023</x:v>
      </x:c>
      <x:c r="N163" s="717" t="str">
        <x:v>Google Scholar result</x:v>
      </x:c>
      <x:c r="O163" s="717" t="str">
        <x:v>No</x:v>
      </x:c>
      <x:c r="P163" s="717"/>
    </x:row>
    <x:row r="164" ht="38" customHeight="1">
      <x:c r="A164" s="717" t="str">
        <x:v>GS-02-013</x:v>
      </x:c>
      <x:c r="B164" s="717" t="str">
        <x:v>Google Scholar</x:v>
      </x:c>
      <x:c r="C164" s="717" t="str">
        <x:v>GS-02</x:v>
      </x:c>
      <x:c r="D164" s="720" t="str">
        <x:v>Far FedMOE Group Fair One Shot Federaled Learning via Prototype Guided Experts for Medical Imaging Analysis</x:v>
      </x:c>
      <x:c r="E164" s="717" t="str">
        <x:v>Exclude</x:v>
      </x:c>
      <x:c r="F164" s="720" t="str">
        <x:v>Medical/clinical topic, but no eligible concept-based explainability contribution is evident.</x:v>
      </x:c>
      <x:c r="G164" s="717" t="str">
        <x:v>Title only</x:v>
      </x:c>
      <x:c r="H164" s="717" t="str">
        <x:v>Exclude</x:v>
      </x:c>
      <x:c r="I164" s="720" t="str">
        <x:v>Medical/clinical topic, but no eligible concept-based explainability contribution is evident.</x:v>
      </x:c>
      <x:c r="J164" s="717" t="str">
        <x:f>IF(E164=H164,E164,"Unclear")</x:f>
        <x:v>Exclude</x:v>
      </x:c>
      <x:c r="K164" s="720" t="str">
        <x:f>IF(E164=H164,"Agreement between both AI passes.","AI-pass disagreement; retain for human discussion.")</x:f>
        <x:v>Agreement between both AI passes.</x:v>
      </x:c>
      <x:c r="L164" s="720" t="str">
        <x:v>LMerg. 3 Gua. W2nang. ZLi HYu. NLw</x:v>
      </x:c>
      <x:c r="M164" s="728"/>
      <x:c r="N164" s="717" t="str">
        <x:v>Google Scholar result</x:v>
      </x:c>
      <x:c r="O164" s="717" t="str">
        <x:v>No</x:v>
      </x:c>
      <x:c r="P164" s="717"/>
    </x:row>
    <x:row r="165" ht="38" customHeight="1">
      <x:c r="A165" s="717" t="str">
        <x:v>GS-02-014</x:v>
      </x:c>
      <x:c r="B165" s="717" t="str">
        <x:v>Google Scholar</x:v>
      </x:c>
      <x:c r="C165" s="717" t="str">
        <x:v>GS-02</x:v>
      </x:c>
      <x:c r="D165" s="720" t="str">
        <x:v>por] A Prototype Network for Few-Shot Retinal Vessel Segmentation Based on Nested Structures</x:v>
      </x:c>
      <x:c r="E165" s="717"/>
      <x:c r="F165" s="720" t="str">
        <x:v>Removed during bibliographic verification: the screenshot/OCR-derived title could not be matched to an authoritative scholarly record. Retained only in the audit trail and excluded from all active denominators.</x:v>
      </x:c>
      <x:c r="G165" s="717" t="str">
        <x:v>Bibliographic verification</x:v>
      </x:c>
      <x:c r="H165" s="717"/>
      <x:c r="I165" s="720" t="str">
        <x:v>Removed during bibliographic verification: the screenshot/OCR-derived title could not be matched to an authoritative scholarly record. Retained only in the audit trail and excluded from all active denominators.</x:v>
      </x:c>
      <x:c r="J165" s="717"/>
      <x:c r="K165" s="720" t="str">
        <x:v>Removed from the active analytic set; original AI recommendations are superseded by bibliographic verification.</x:v>
      </x:c>
      <x:c r="L165" s="720" t="str">
        <x:v>J Zhu M Gao</x:v>
      </x:c>
      <x:c r="M165" s="728"/>
      <x:c r="N165" s="717" t="str">
        <x:v>Google Scholar result</x:v>
      </x:c>
      <x:c r="O165" s="717" t="str">
        <x:v>No</x:v>
      </x:c>
      <x:c r="P165" s="717"/>
    </x:row>
    <x:row r="166" ht="38" customHeight="1">
      <x:c r="A166" s="717" t="str">
        <x:v>GS-02-015</x:v>
      </x:c>
      <x:c r="B166" s="717" t="str">
        <x:v>Google Scholar</x:v>
      </x:c>
      <x:c r="C166" s="717" t="str">
        <x:v>GS-02</x:v>
      </x:c>
      <x:c r="D166" s="720" t="str">
        <x:v>Refinement via Prototypical Learning</x:v>
      </x:c>
      <x:c r="E166" s="717"/>
      <x:c r="F166" s="720" t="str">
        <x:v>Confirmed duplicate during enhanced OCR-variant deduplication.</x:v>
      </x:c>
      <x:c r="G166" s="717" t="str">
        <x:v>Duplicate control</x:v>
      </x:c>
      <x:c r="H166" s="717"/>
      <x:c r="I166" s="720" t="str">
        <x:v>Confirmed duplicate during enhanced OCR-variant deduplication.</x:v>
      </x:c>
      <x:c r="J166" s="717"/>
      <x:c r="K166" s="720" t="str">
        <x:v>Removed from the final title/abstract denominator before full-text retrieval.</x:v>
      </x:c>
      <x:c r="L166" s="720" t="str">
        <x:v>K Sang ¥ Chen X Ding- MLMI 2222 Heldin Conjunctlan with = 222</x:v>
      </x:c>
      <x:c r="M166" s="728"/>
      <x:c r="N166" s="717" t="str">
        <x:v>Google Scholar result</x:v>
      </x:c>
      <x:c r="O166" s="717" t="str">
        <x:v>No</x:v>
      </x:c>
      <x:c r="P166" s="717"/>
    </x:row>
    <x:row r="167" ht="38" customHeight="1">
      <x:c r="A167" s="717" t="str">
        <x:v>GS-02-016</x:v>
      </x:c>
      <x:c r="B167" s="717" t="str">
        <x:v>Google Scholar</x:v>
      </x:c>
      <x:c r="C167" s="717" t="str">
        <x:v>GS-02</x:v>
      </x:c>
      <x:c r="D167" s="720" t="str">
        <x:v>Consistency-guided prolotype-heaimap hybrid-supervised malthad for OCT analysis of laser ablation</x:v>
      </x:c>
      <x:c r="E167" s="717" t="str">
        <x:v>Exclude</x:v>
      </x:c>
      <x:c r="F167" s="720" t="str">
        <x:v>Retinal/ophthalmic topic, but no concept-based or structured explainability method is evident.</x:v>
      </x:c>
      <x:c r="G167" s="717" t="str">
        <x:v>Title only</x:v>
      </x:c>
      <x:c r="H167" s="717" t="str">
        <x:v>Exclude</x:v>
      </x:c>
      <x:c r="I167" s="720" t="str">
        <x:v>Retinal/ophthalmic topic, but no concept-based or structured explainability method is evident.</x:v>
      </x:c>
      <x:c r="J167" s="717" t="str">
        <x:f>IF(E167=H167,E167,"Unclear")</x:f>
        <x:v>Exclude</x:v>
      </x:c>
      <x:c r="K167" s="720" t="str">
        <x:f>IF(E167=H167,"Agreement between both AI passes.","AI-pass disagreement; retain for human discussion.")</x:f>
        <x:v>Agreement between both AI passes.</x:v>
      </x:c>
      <x:c r="L167" s="720" t="str">
        <x:v>2 Zhang YEap</x:v>
      </x:c>
      <x:c r="M167" s="728" t="n">
        <x:v>2026</x:v>
      </x:c>
      <x:c r="N167" s="717" t="str">
        <x:v>Google Scholar result</x:v>
      </x:c>
      <x:c r="O167" s="717" t="str">
        <x:v>No</x:v>
      </x:c>
      <x:c r="P167" s="717"/>
    </x:row>
    <x:row r="168" ht="38" customHeight="1">
      <x:c r="A168" s="717" t="str">
        <x:v>GS-02-017</x:v>
      </x:c>
      <x:c r="B168" s="717" t="str">
        <x:v>Google Scholar</x:v>
      </x:c>
      <x:c r="C168" s="717" t="str">
        <x:v>GS-02</x:v>
      </x:c>
      <x:c r="D168" s="720" t="str">
        <x:v>Automatic Grading of Age-Related Cataract via Progressive Ordinal Attention and Topology-Constrained Prototype Learning</x:v>
      </x:c>
      <x:c r="E168" s="717" t="str">
        <x:v>Include</x:v>
      </x:c>
      <x:c r="F168" s="720" t="str">
        <x:v>Potential direct retinal/ophthalmic concept-based XAI evidence (title only).</x:v>
      </x:c>
      <x:c r="G168" s="717" t="str">
        <x:v>Title only</x:v>
      </x:c>
      <x:c r="H168" s="717" t="str">
        <x:v>Include</x:v>
      </x:c>
      <x:c r="I168" s="720" t="str">
        <x:v>Potential direct retinal/ophthalmic concept-based XAI evidence (title only).</x:v>
      </x:c>
      <x:c r="J168" s="717" t="str">
        <x:f>IF(E168=H168,E168,"Unclear")</x:f>
        <x:v>Include</x:v>
      </x:c>
      <x:c r="K168" s="720" t="str">
        <x:f>IF(E168=H168,"Agreement between both AI passes.","AI-pass disagreement; retain for human discussion.")</x:f>
        <x:v>Agreement between both AI passes.</x:v>
      </x:c>
      <x:c r="L168" s="720" t="str">
        <x:v>2X%u Cvian XHu Wang. Y Hu. 2 Zhang</x:v>
      </x:c>
      <x:c r="M168" s="728" t="n">
        <x:v>2026</x:v>
      </x:c>
      <x:c r="N168" s="717" t="str">
        <x:v>Google Scholar result</x:v>
      </x:c>
      <x:c r="O168" s="717" t="str">
        <x:v>No</x:v>
      </x:c>
      <x:c r="P168" s="717"/>
    </x:row>
    <x:row r="169" ht="38" customHeight="1">
      <x:c r="A169" s="717" t="str">
        <x:v>GS-02-018</x:v>
      </x:c>
      <x:c r="B169" s="717" t="str">
        <x:v>Google Scholar</x:v>
      </x:c>
      <x:c r="C169" s="717" t="str">
        <x:v>GS-02</x:v>
      </x:c>
      <x:c r="D169" s="720" t="str">
        <x:v>Cahbralion matters Prolatype-aware diffusion for OCT cervical classificatian with calibration</x:v>
      </x:c>
      <x:c r="E169" s="717"/>
      <x:c r="F169" s="720" t="str">
        <x:v>Confirmed duplicate during enhanced OCR-variant deduplication.</x:v>
      </x:c>
      <x:c r="G169" s="717" t="str">
        <x:v>Duplicate control</x:v>
      </x:c>
      <x:c r="H169" s="717"/>
      <x:c r="I169" s="720" t="str">
        <x:v>Confirmed duplicate during enhanced OCR-variant deduplication.</x:v>
      </x:c>
      <x:c r="J169" s="717"/>
      <x:c r="K169" s="720" t="str">
        <x:v>Removed from the final title/abstract denominator before full-text retrieval.</x:v>
      </x:c>
      <x:c r="L169" s="720" t="str">
        <x:v>Y Miong. 2Zhas YXu ¥ Zhang</x:v>
      </x:c>
      <x:c r="M169" s="728" t="n">
        <x:v>2024</x:v>
      </x:c>
      <x:c r="N169" s="717" t="str">
        <x:v>Google Scholar result</x:v>
      </x:c>
      <x:c r="O169" s="717" t="str">
        <x:v>No</x:v>
      </x:c>
      <x:c r="P169" s="717"/>
    </x:row>
    <x:row r="170" ht="38" customHeight="1">
      <x:c r="A170" s="717" t="str">
        <x:v>GS-02-019</x:v>
      </x:c>
      <x:c r="B170" s="717" t="str">
        <x:v>Google Scholar</x:v>
      </x:c>
      <x:c r="C170" s="717" t="str">
        <x:v>GS-02</x:v>
      </x:c>
      <x:c r="D170" s="720" t="str">
        <x:v>Pratotype-guided autoancader for OC T-based fingerprint presentation attack detection</x:v>
      </x:c>
      <x:c r="E170" s="717" t="str">
        <x:v>Exclude</x:v>
      </x:c>
      <x:c r="F170" s="720" t="str">
        <x:v>Clearly outside retinal/ophthalmic concept-based explainable AI.</x:v>
      </x:c>
      <x:c r="G170" s="717" t="str">
        <x:v>Title only</x:v>
      </x:c>
      <x:c r="H170" s="717" t="str">
        <x:v>Exclude</x:v>
      </x:c>
      <x:c r="I170" s="720" t="str">
        <x:v>Clearly outside retinal/ophthalmic concept-based explainable AI.</x:v>
      </x:c>
      <x:c r="J170" s="717" t="str">
        <x:f>IF(E170=H170,E170,"Unclear")</x:f>
        <x:v>Exclude</x:v>
      </x:c>
      <x:c r="K170" s="720" t="str">
        <x:f>IF(E170=H170,"Agreement between both AI passes.","AI-pass disagreement; retain for human discussion.")</x:f>
        <x:v>Agreement between both AI passes.</x:v>
      </x:c>
      <x:c r="L170" s="720" t="str">
        <x:v>¥Fuu W2uo Rleang H Syn -IEEE Transactlons on , 2023</x:v>
      </x:c>
      <x:c r="M170" s="728" t="n">
        <x:v>2023</x:v>
      </x:c>
      <x:c r="N170" s="717" t="str">
        <x:v>Google Scholar result</x:v>
      </x:c>
      <x:c r="O170" s="717" t="str">
        <x:v>No</x:v>
      </x:c>
      <x:c r="P170" s="717"/>
    </x:row>
    <x:row r="171" ht="38" customHeight="1">
      <x:c r="A171" s="717" t="str">
        <x:v>GS-02-020</x:v>
      </x:c>
      <x:c r="B171" s="717" t="str">
        <x:v>Google Scholar</x:v>
      </x:c>
      <x:c r="C171" s="717" t="str">
        <x:v>GS-02</x:v>
      </x:c>
      <x:c r="D171" s="720" t="str">
        <x:v>Prototype learning for automatic check-out</x:v>
      </x:c>
      <x:c r="E171" s="717" t="str">
        <x:v>Exclude</x:v>
      </x:c>
      <x:c r="F171" s="720" t="str">
        <x:v>Clearly outside retinal/ophthalmic concept-based explainable AI.</x:v>
      </x:c>
      <x:c r="G171" s="717" t="str">
        <x:v>Title only</x:v>
      </x:c>
      <x:c r="H171" s="717" t="str">
        <x:v>Exclude</x:v>
      </x:c>
      <x:c r="I171" s="720" t="str">
        <x:v>Clearly outside retinal/ophthalmic concept-based explainable AI.</x:v>
      </x:c>
      <x:c r="J171" s="717" t="str">
        <x:f>IF(E171=H171,E171,"Unclear")</x:f>
        <x:v>Exclude</x:v>
      </x:c>
      <x:c r="K171" s="720" t="str">
        <x:f>IF(E171=H171,"Agreement between both AI passes.","AI-pass disagreement; retain for human discussion.")</x:f>
        <x:v>Agreement between both AI passes.</x:v>
      </x:c>
      <x:c r="L171" s="720" t="str">
        <x:v>HChen XS Wei L Xlao</x:v>
      </x:c>
      <x:c r="M171" s="728" t="n">
        <x:v>2023</x:v>
      </x:c>
      <x:c r="N171" s="717" t="str">
        <x:v>Google Scholar result</x:v>
      </x:c>
      <x:c r="O171" s="717" t="str">
        <x:v>No</x:v>
      </x:c>
      <x:c r="P171" s="717"/>
    </x:row>
    <x:row r="172" ht="38" customHeight="1">
      <x:c r="A172" s="717" t="str">
        <x:v>GS-02-021</x:v>
      </x:c>
      <x:c r="B172" s="717" t="str">
        <x:v>Google Scholar</x:v>
      </x:c>
      <x:c r="C172" s="717" t="str">
        <x:v>GS-02</x:v>
      </x:c>
      <x:c r="D172" s="720" t="str">
        <x:v>Attribute prototype learning for interactive face retrieval</x:v>
      </x:c>
      <x:c r="E172" s="717" t="str">
        <x:v>Exclude</x:v>
      </x:c>
      <x:c r="F172" s="720" t="str">
        <x:v>Clearly outside retinal/ophthalmic concept-based explainable AI.</x:v>
      </x:c>
      <x:c r="G172" s="717" t="str">
        <x:v>Title only</x:v>
      </x:c>
      <x:c r="H172" s="717" t="str">
        <x:v>Exclude</x:v>
      </x:c>
      <x:c r="I172" s="720" t="str">
        <x:v>Clearly outside retinal/ophthalmic concept-based explainable AI.</x:v>
      </x:c>
      <x:c r="J172" s="717" t="str">
        <x:f>IF(E172=H172,E172,"Unclear")</x:f>
        <x:v>Exclude</x:v>
      </x:c>
      <x:c r="K172" s="720" t="str">
        <x:f>IF(E172=H172,"Agreement between both AI passes.","AI-pass disagreement; retain for human discussion.")</x:f>
        <x:v>Agreement between both AI passes.</x:v>
      </x:c>
      <x:c r="L172" s="720" t="str">
        <x:v>YFany Z Xiao Wf Zhang YHuan;</x:v>
      </x:c>
      <x:c r="M172" s="728"/>
      <x:c r="N172" s="717" t="str">
        <x:v>Google Scholar result</x:v>
      </x:c>
      <x:c r="O172" s="717" t="str">
        <x:v>No</x:v>
      </x:c>
      <x:c r="P172" s="717"/>
    </x:row>
    <x:row r="173" ht="38" customHeight="1">
      <x:c r="A173" s="717" t="str">
        <x:v>GS-02-022</x:v>
      </x:c>
      <x:c r="B173" s="717" t="str">
        <x:v>Google Scholar</x:v>
      </x:c>
      <x:c r="C173" s="717" t="str">
        <x:v>GS-02</x:v>
      </x:c>
      <x:c r="D173" s="720" t="str">
        <x:v>Learning dynamic prototypes for visual pattern dabiasing</x:v>
      </x:c>
      <x:c r="E173" s="717" t="str">
        <x:v>Exclude</x:v>
      </x:c>
      <x:c r="F173" s="720" t="str">
        <x:v>Clearly outside retinal/ophthalmic concept-based explainable AI.</x:v>
      </x:c>
      <x:c r="G173" s="717" t="str">
        <x:v>Title only</x:v>
      </x:c>
      <x:c r="H173" s="717" t="str">
        <x:v>Exclude</x:v>
      </x:c>
      <x:c r="I173" s="720" t="str">
        <x:v>Clearly outside retinal/ophthalmic concept-based explainable AI.</x:v>
      </x:c>
      <x:c r="J173" s="717" t="str">
        <x:f>IF(E173=H173,E173,"Unclear")</x:f>
        <x:v>Exclude</x:v>
      </x:c>
      <x:c r="K173" s="720" t="str">
        <x:f>IF(E173=H173,"Agreement between both AI passes.","AI-pass disagreement; retain for human discussion.")</x:f>
        <x:v>Agreement between both AI passes.</x:v>
      </x:c>
      <x:c r="L173" s="720" t="str">
        <x:v>Kiang Z Yin. AMir. ¥ uw Z hla. J Guo~ ntematioral Jounalof =. 2024</x:v>
      </x:c>
      <x:c r="M173" s="728" t="n">
        <x:v>2024</x:v>
      </x:c>
      <x:c r="N173" s="717" t="str">
        <x:v>Google Scholar result</x:v>
      </x:c>
      <x:c r="O173" s="717" t="str">
        <x:v>No</x:v>
      </x:c>
      <x:c r="P173" s="717"/>
    </x:row>
    <x:row r="174" ht="38" customHeight="1">
      <x:c r="A174" s="717" t="str">
        <x:v>GS-02-023</x:v>
      </x:c>
      <x:c r="B174" s="717" t="str">
        <x:v>Google Scholar</x:v>
      </x:c>
      <x:c r="C174" s="717" t="str">
        <x:v>GS-02</x:v>
      </x:c>
      <x:c r="D174" s="720" t="str">
        <x:v>Prototypical representation learning for relation extraction</x:v>
      </x:c>
      <x:c r="E174" s="717" t="str">
        <x:v>Exclude</x:v>
      </x:c>
      <x:c r="F174" s="720" t="str">
        <x:v>Clearly outside retinal/ophthalmic concept-based explainable AI.</x:v>
      </x:c>
      <x:c r="G174" s="717" t="str">
        <x:v>Title only</x:v>
      </x:c>
      <x:c r="H174" s="717" t="str">
        <x:v>Exclude</x:v>
      </x:c>
      <x:c r="I174" s="720" t="str">
        <x:v>Clearly outside retinal/ophthalmic concept-based explainable AI.</x:v>
      </x:c>
      <x:c r="J174" s="717" t="str">
        <x:f>IF(E174=H174,E174,"Unclear")</x:f>
        <x:v>Exclude</x:v>
      </x:c>
      <x:c r="K174" s="720" t="str">
        <x:f>IF(E174=H174,"Agreement between both AI passes.","AI-pass disagreement; retain for human discussion.")</x:f>
        <x:v>Agreement between both AI passes.</x:v>
      </x:c>
      <x:c r="L174" s="720" t="str">
        <x:v>NDing X Wang “Fu GX. Rang P Xia</x:v>
      </x:c>
      <x:c r="M174" s="728" t="n">
        <x:v>2021</x:v>
      </x:c>
      <x:c r="N174" s="717" t="str">
        <x:v>Google Scholar result</x:v>
      </x:c>
      <x:c r="O174" s="717" t="str">
        <x:v>No</x:v>
      </x:c>
      <x:c r="P174" s="717"/>
    </x:row>
    <x:row r="175" ht="38" customHeight="1">
      <x:c r="A175" s="717" t="str">
        <x:v>GS-02-025</x:v>
      </x:c>
      <x:c r="B175" s="717" t="str">
        <x:v>Google Scholar</x:v>
      </x:c>
      <x:c r="C175" s="717" t="str">
        <x:v>GS-02</x:v>
      </x:c>
      <x:c r="D175" s="720" t="str">
        <x:v>Prototype-based dataset comparison</x:v>
      </x:c>
      <x:c r="E175" s="717" t="str">
        <x:v>Exclude</x:v>
      </x:c>
      <x:c r="F175" s="720" t="str">
        <x:v>Clearly outside retinal/ophthalmic concept-based explainable AI.</x:v>
      </x:c>
      <x:c r="G175" s="717" t="str">
        <x:v>Title only</x:v>
      </x:c>
      <x:c r="H175" s="717" t="str">
        <x:v>Exclude</x:v>
      </x:c>
      <x:c r="I175" s="720" t="str">
        <x:v>Clearly outside retinal/ophthalmic concept-based explainable AI.</x:v>
      </x:c>
      <x:c r="J175" s="717" t="str">
        <x:f>IF(E175=H175,E175,"Unclear")</x:f>
        <x:v>Exclude</x:v>
      </x:c>
      <x:c r="K175" s="720" t="str">
        <x:f>IF(E175=H175,"Agreement between both AI passes.","AI-pass disagreement; retain for human discussion.")</x:f>
        <x:v>Agreement between both AI passes.</x:v>
      </x:c>
      <x:c r="L175" s="720" t="str">
        <x:v>N Yan Noord</x:v>
      </x:c>
      <x:c r="M175" s="728" t="n">
        <x:v>2023</x:v>
      </x:c>
      <x:c r="N175" s="717" t="str">
        <x:v>Google Scholar result</x:v>
      </x:c>
      <x:c r="O175" s="717" t="str">
        <x:v>No</x:v>
      </x:c>
      <x:c r="P175" s="717"/>
    </x:row>
    <x:row r="176" ht="38" customHeight="1">
      <x:c r="A176" s="717" t="str">
        <x:v>GS-02-028</x:v>
      </x:c>
      <x:c r="B176" s="717" t="str">
        <x:v>Google Scholar</x:v>
      </x:c>
      <x:c r="C176" s="717" t="str">
        <x:v>GS-02</x:v>
      </x:c>
      <x:c r="D176" s="720" t="str">
        <x:v>Pratolens Advancing prototype learning for fine-grained interpretability in text classificatian</x:v>
      </x:c>
      <x:c r="E176" s="717" t="str">
        <x:v>Include</x:v>
      </x:c>
      <x:c r="F176" s="720" t="str">
        <x:v>Foundational concept-XAI method relevant to the review taxonomy or reliability analysis (title only).</x:v>
      </x:c>
      <x:c r="G176" s="717" t="str">
        <x:v>Title only</x:v>
      </x:c>
      <x:c r="H176" s="717" t="str">
        <x:v>Unclear</x:v>
      </x:c>
      <x:c r="I176" s="720" t="str">
        <x:v>Concept-XAI method may be useful as foundational/contextual evidence; retinal or medical applicability requires discussion (title only).</x:v>
      </x:c>
      <x:c r="J176" s="717" t="str">
        <x:f>IF(E176=H176,E176,"Unclear")</x:f>
        <x:v>Unclear</x:v>
      </x:c>
      <x:c r="K176" s="720" t="str">
        <x:f>IF(E176=H176,"Agreement between both AI passes.","AI-pass disagreement; retain for human discussion.")</x:f>
        <x:v>AI-pass disagreement; retain for human discussion.</x:v>
      </x:c>
      <x:c r="L176" s="720" t="str">
        <x:v>Biel 22h,</x:v>
      </x:c>
      <x:c r="M176" s="728" t="n">
        <x:v>2025</x:v>
      </x:c>
      <x:c r="N176" s="717" t="str">
        <x:v>Google Scholar result</x:v>
      </x:c>
      <x:c r="O176" s="717" t="str">
        <x:v>No</x:v>
      </x:c>
      <x:c r="P176" s="717"/>
    </x:row>
    <x:row r="177" ht="38" customHeight="1">
      <x:c r="A177" s="717" t="str">
        <x:v>GS-02-029</x:v>
      </x:c>
      <x:c r="B177" s="717" t="str">
        <x:v>Google Scholar</x:v>
      </x:c>
      <x:c r="C177" s="717" t="str">
        <x:v>GS-02</x:v>
      </x:c>
      <x:c r="D177" s="720" t="str">
        <x:v>Parallel prototype filter and feature refinement for few-shat medical image segmentation</x:v>
      </x:c>
      <x:c r="E177" s="717" t="str">
        <x:v>Exclude</x:v>
      </x:c>
      <x:c r="F177" s="720" t="str">
        <x:v>Medical/clinical topic, but no eligible concept-based explainability contribution is evident.</x:v>
      </x:c>
      <x:c r="G177" s="717" t="str">
        <x:v>Title only</x:v>
      </x:c>
      <x:c r="H177" s="717" t="str">
        <x:v>Exclude</x:v>
      </x:c>
      <x:c r="I177" s="720" t="str">
        <x:v>Medical/clinical topic, but no eligible concept-based explainability contribution is evident.</x:v>
      </x:c>
      <x:c r="J177" s="717" t="str">
        <x:f>IF(E177=H177,E177,"Unclear")</x:f>
        <x:v>Exclude</x:v>
      </x:c>
      <x:c r="K177" s="720" t="str">
        <x:f>IF(E177=H177,"Agreement between both AI passes.","AI-pass disagreement; retain for human discussion.")</x:f>
        <x:v>Agreement between both AI passes.</x:v>
      </x:c>
      <x:c r="L177" s="720" t="str">
        <x:v>H2he F Chen, Yuli J Sun 2 Chen</x:v>
      </x:c>
      <x:c r="M177" s="728"/>
      <x:c r="N177" s="717" t="str">
        <x:v>Google Scholar result</x:v>
      </x:c>
      <x:c r="O177" s="717" t="str">
        <x:v>No</x:v>
      </x:c>
      <x:c r="P177" s="717"/>
    </x:row>
    <x:row r="178" ht="38" customHeight="1">
      <x:c r="A178" s="717" t="str">
        <x:v>GS-02-030</x:v>
      </x:c>
      <x:c r="B178" s="717" t="str">
        <x:v>Google Scholar</x:v>
      </x:c>
      <x:c r="C178" s="717" t="str">
        <x:v>GS-02</x:v>
      </x:c>
      <x:c r="D178" s="720" t="str">
        <x:v>Semantically meaningful class prototype learning for one-shot image segmentation</x:v>
      </x:c>
      <x:c r="E178" s="717" t="str">
        <x:v>Exclude</x:v>
      </x:c>
      <x:c r="F178" s="720" t="str">
        <x:v>Clearly outside retinal/ophthalmic concept-based explainable AI.</x:v>
      </x:c>
      <x:c r="G178" s="717" t="str">
        <x:v>Title only</x:v>
      </x:c>
      <x:c r="H178" s="717" t="str">
        <x:v>Exclude</x:v>
      </x:c>
      <x:c r="I178" s="720" t="str">
        <x:v>Clearly outside retinal/ophthalmic concept-based explainable AI.</x:v>
      </x:c>
      <x:c r="J178" s="717" t="str">
        <x:f>IF(E178=H178,E178,"Unclear")</x:f>
        <x:v>Exclude</x:v>
      </x:c>
      <x:c r="K178" s="720" t="str">
        <x:f>IF(E178=H178,"Agreement between both AI passes.","AI-pass disagreement; retain for human discussion.")</x:f>
        <x:v>Agreement between both AI passes.</x:v>
      </x:c>
      <x:c r="L178" s="720" t="str">
        <x:v>Chen GS Xie. Y Yaa QYvang ESher -!E5E Transactions 2021</x:v>
      </x:c>
      <x:c r="M178" s="728" t="n">
        <x:v>2021</x:v>
      </x:c>
      <x:c r="N178" s="717" t="str">
        <x:v>Google Scholar result</x:v>
      </x:c>
      <x:c r="O178" s="717" t="str">
        <x:v>No</x:v>
      </x:c>
      <x:c r="P178" s="717"/>
    </x:row>
    <x:row r="179" ht="38" customHeight="1">
      <x:c r="A179" s="717" t="str">
        <x:v>GS-02-031</x:v>
      </x:c>
      <x:c r="B179" s="717" t="str">
        <x:v>Google Scholar</x:v>
      </x:c>
      <x:c r="C179" s="717" t="str">
        <x:v>GS-02</x:v>
      </x:c>
      <x:c r="D179" s="720" t="str">
        <x:v>Federated prototype adaptation learning: Personalized and generalizable Igarning in distributed networks</x:v>
      </x:c>
      <x:c r="E179" s="717" t="str">
        <x:v>Exclude</x:v>
      </x:c>
      <x:c r="F179" s="720" t="str">
        <x:v>Clearly outside retinal/ophthalmic concept-based explainable AI.</x:v>
      </x:c>
      <x:c r="G179" s="717" t="str">
        <x:v>Title only</x:v>
      </x:c>
      <x:c r="H179" s="717" t="str">
        <x:v>Exclude</x:v>
      </x:c>
      <x:c r="I179" s="720" t="str">
        <x:v>Clearly outside retinal/ophthalmic concept-based explainable AI.</x:v>
      </x:c>
      <x:c r="J179" s="717" t="str">
        <x:f>IF(E179=H179,E179,"Unclear")</x:f>
        <x:v>Exclude</x:v>
      </x:c>
      <x:c r="K179" s="720" t="str">
        <x:f>IF(E179=H179,"Agreement between both AI passes.","AI-pass disagreement; retain for human discussion.")</x:f>
        <x:v>Agreement between both AI passes.</x:v>
      </x:c>
      <x:c r="L179" s="720" t="str">
        <x:v>H Lee, C Seo</x:v>
      </x:c>
      <x:c r="M179" s="728" t="n">
        <x:v>2025</x:v>
      </x:c>
      <x:c r="N179" s="717" t="str">
        <x:v>Google Scholar result</x:v>
      </x:c>
      <x:c r="O179" s="717" t="str">
        <x:v>No</x:v>
      </x:c>
      <x:c r="P179" s="717"/>
    </x:row>
    <x:row r="180" ht="38" customHeight="1">
      <x:c r="A180" s="717" t="str">
        <x:v>GS-02-032</x:v>
      </x:c>
      <x:c r="B180" s="717" t="str">
        <x:v>Google Scholar</x:v>
      </x:c>
      <x:c r="C180" s="717" t="str">
        <x:v>GS-02</x:v>
      </x:c>
      <x:c r="D180" s="720" t="str">
        <x:v>Weakly supervised sea fog dsatection in remote sensing images via prototype leaming</x:v>
      </x:c>
      <x:c r="E180" s="717" t="str">
        <x:v>Exclude</x:v>
      </x:c>
      <x:c r="F180" s="720" t="str">
        <x:v>Clearly outside retinal/ophthalmic concept-based explainable AI.</x:v>
      </x:c>
      <x:c r="G180" s="717" t="str">
        <x:v>Title only</x:v>
      </x:c>
      <x:c r="H180" s="717" t="str">
        <x:v>Exclude</x:v>
      </x:c>
      <x:c r="I180" s="720" t="str">
        <x:v>Clearly outside retinal/ophthalmic concept-based explainable AI.</x:v>
      </x:c>
      <x:c r="J180" s="717" t="str">
        <x:f>IF(E180=H180,E180,"Unclear")</x:f>
        <x:v>Exclude</x:v>
      </x:c>
      <x:c r="K180" s="720" t="str">
        <x:f>IF(E180=H180,"Agreement between both AI passes.","AI-pass disagreement; retain for human discussion.")</x:f>
        <x:v>Agreement between both AI passes.</x:v>
      </x:c>
      <x:c r="L180" s="720" t="str">
        <x:v>Y Huang M Yiu. X Jiang JL M Xu</x:v>
      </x:c>
      <x:c r="M180" s="728" t="n">
        <x:v>2023</x:v>
      </x:c>
      <x:c r="N180" s="717" t="str">
        <x:v>Google Scholar result</x:v>
      </x:c>
      <x:c r="O180" s="717" t="str">
        <x:v>No</x:v>
      </x:c>
      <x:c r="P180" s="717"/>
    </x:row>
    <x:row r="181" ht="38" customHeight="1">
      <x:c r="A181" s="717" t="str">
        <x:v>GS-02-033</x:v>
      </x:c>
      <x:c r="B181" s="717" t="str">
        <x:v>Google Scholar</x:v>
      </x:c>
      <x:c r="C181" s="717" t="str">
        <x:v>GS-02</x:v>
      </x:c>
      <x:c r="D181" s="720" t="str">
        <x:v>ImProNCDE Impulse-Corrected Neural Controiled Differential Equations with Prototype Learning for Longitudinal Prognosis Prediction</x:v>
      </x:c>
      <x:c r="E181" s="717" t="str">
        <x:v>Exclude</x:v>
      </x:c>
      <x:c r="F181" s="720" t="str">
        <x:v>Clearly outside retinal/ophthalmic concept-based explainable AI.</x:v>
      </x:c>
      <x:c r="G181" s="717" t="str">
        <x:v>Title only</x:v>
      </x:c>
      <x:c r="H181" s="717" t="str">
        <x:v>Exclude</x:v>
      </x:c>
      <x:c r="I181" s="720" t="str">
        <x:v>Clearly outside retinal/ophthalmic concept-based explainable AI.</x:v>
      </x:c>
      <x:c r="J181" s="717" t="str">
        <x:f>IF(E181=H181,E181,"Unclear")</x:f>
        <x:v>Exclude</x:v>
      </x:c>
      <x:c r="K181" s="720" t="str">
        <x:f>IF(E181=H181,"Agreement between both AI passes.","AI-pass disagreement; retain for human discussion.")</x:f>
        <x:v>Agreement between both AI passes.</x:v>
      </x:c>
      <x:c r="L181" s="720" t="str">
        <x:v>Hwang ¥ Xu JLin S¥e YPaeng JKim KLiv</x:v>
      </x:c>
      <x:c r="M181" s="728" t="n">
        <x:v>2025</x:v>
      </x:c>
      <x:c r="N181" s="717" t="str">
        <x:v>Google Scholar result</x:v>
      </x:c>
      <x:c r="O181" s="717" t="str">
        <x:v>No</x:v>
      </x:c>
      <x:c r="P181" s="717"/>
    </x:row>
    <x:row r="182" ht="38" customHeight="1">
      <x:c r="A182" s="717" t="str">
        <x:v>GS-02-034</x:v>
      </x:c>
      <x:c r="B182" s="717" t="str">
        <x:v>Google Scholar</x:v>
      </x:c>
      <x:c r="C182" s="717" t="str">
        <x:v>GS-02</x:v>
      </x:c>
      <x:c r="D182" s="720" t="str">
        <x:v>Rehabdle Mutt-Prototypical Contrastive Learning for Sami-supervised Hetsrogsneous and Multi-organ Medical Image Segmentation</x:v>
      </x:c>
      <x:c r="E182" s="717" t="str">
        <x:v>Exclude</x:v>
      </x:c>
      <x:c r="F182" s="720" t="str">
        <x:v>Medical/clinical topic, but no eligible concept-based explainability contribution is evident.</x:v>
      </x:c>
      <x:c r="G182" s="717" t="str">
        <x:v>Title only</x:v>
      </x:c>
      <x:c r="H182" s="717" t="str">
        <x:v>Exclude</x:v>
      </x:c>
      <x:c r="I182" s="720" t="str">
        <x:v>Medical/clinical topic, but no eligible concept-based explainability contribution is evident.</x:v>
      </x:c>
      <x:c r="J182" s="717" t="str">
        <x:f>IF(E182=H182,E182,"Unclear")</x:f>
        <x:v>Exclude</x:v>
      </x:c>
      <x:c r="K182" s="720" t="str">
        <x:f>IF(E182=H182,"Agreement between both AI passes.","AI-pass disagreement; retain for human discussion.")</x:f>
        <x:v>Agreement between both AI passes.</x:v>
      </x:c>
      <x:c r="L182" s="720" t="str">
        <x:v>X Yang JRen.L Yang kK Li ¥vvang + on Medical Imaging 2226</x:v>
      </x:c>
      <x:c r="M182" s="728"/>
      <x:c r="N182" s="717" t="str">
        <x:v>Google Scholar result</x:v>
      </x:c>
      <x:c r="O182" s="717" t="str">
        <x:v>No</x:v>
      </x:c>
      <x:c r="P182" s="717"/>
    </x:row>
    <x:row r="183" ht="38" customHeight="1">
      <x:c r="A183" s="717" t="str">
        <x:v>GS-02-035</x:v>
      </x:c>
      <x:c r="B183" s="717" t="str">
        <x:v>Google Scholar</x:v>
      </x:c>
      <x:c r="C183" s="717" t="str">
        <x:v>GS-02</x:v>
      </x:c>
      <x:c r="D183" s="720" t="str">
        <x:v>Federated learning for medical image classification based on prototype alignment</x:v>
      </x:c>
      <x:c r="E183" s="717" t="str">
        <x:v>Exclude</x:v>
      </x:c>
      <x:c r="F183" s="720" t="str">
        <x:v>Medical/clinical topic, but no eligible concept-based explainability contribution is evident.</x:v>
      </x:c>
      <x:c r="G183" s="717" t="str">
        <x:v>Title only</x:v>
      </x:c>
      <x:c r="H183" s="717" t="str">
        <x:v>Exclude</x:v>
      </x:c>
      <x:c r="I183" s="720" t="str">
        <x:v>Medical/clinical topic, but no eligible concept-based explainability contribution is evident.</x:v>
      </x:c>
      <x:c r="J183" s="717" t="str">
        <x:f>IF(E183=H183,E183,"Unclear")</x:f>
        <x:v>Exclude</x:v>
      </x:c>
      <x:c r="K183" s="720" t="str">
        <x:f>IF(E183=H183,"Agreement between both AI passes.","AI-pass disagreement; retain for human discussion.")</x:f>
        <x:v>Agreement between both AI passes.</x:v>
      </x:c>
      <x:c r="L183" s="720" t="str">
        <x:v>M Wai R Xu. Q Zhang HL. J civ</x:v>
      </x:c>
      <x:c r="M183" s="728" t="n">
        <x:v>2026</x:v>
      </x:c>
      <x:c r="N183" s="717" t="str">
        <x:v>Google Scholar result</x:v>
      </x:c>
      <x:c r="O183" s="717" t="str">
        <x:v>No</x:v>
      </x:c>
      <x:c r="P183" s="717"/>
    </x:row>
    <x:row r="184" ht="38" customHeight="1">
      <x:c r="A184" s="717" t="str">
        <x:v>GS-02-036</x:v>
      </x:c>
      <x:c r="B184" s="717" t="str">
        <x:v>Google Scholar</x:v>
      </x:c>
      <x:c r="C184" s="717" t="str">
        <x:v>GS-02</x:v>
      </x:c>
      <x:c r="D184" s="720" t="str">
        <x:v>Heterogeneous defect prediction based on federated prototype learning</x:v>
      </x:c>
      <x:c r="E184" s="717" t="str">
        <x:v>Exclude</x:v>
      </x:c>
      <x:c r="F184" s="720" t="str">
        <x:v>Clearly outside retinal/ophthalmic concept-based explainable AI.</x:v>
      </x:c>
      <x:c r="G184" s="717" t="str">
        <x:v>Title only</x:v>
      </x:c>
      <x:c r="H184" s="717" t="str">
        <x:v>Exclude</x:v>
      </x:c>
      <x:c r="I184" s="720" t="str">
        <x:v>Clearly outside retinal/ophthalmic concept-based explainable AI.</x:v>
      </x:c>
      <x:c r="J184" s="717" t="str">
        <x:f>IF(E184=H184,E184,"Unclear")</x:f>
        <x:v>Exclude</x:v>
      </x:c>
      <x:c r="K184" s="720" t="str">
        <x:f>IF(E184=H184,"Agreement between both AI passes.","AI-pass disagreement; retain for human discussion.")</x:f>
        <x:v>Agreement between both AI passes.</x:v>
      </x:c>
      <x:c r="L184" s="720" t="str">
        <x:v>AWarg . Yang H Wu. ¥ lwahod</x:v>
      </x:c>
      <x:c r="M184" s="728"/>
      <x:c r="N184" s="717" t="str">
        <x:v>Google Scholar result</x:v>
      </x:c>
      <x:c r="O184" s="717" t="str">
        <x:v>No</x:v>
      </x:c>
      <x:c r="P184" s="717"/>
    </x:row>
    <x:row r="185" ht="38" customHeight="1">
      <x:c r="A185" s="717" t="str">
        <x:v>GS-02-037</x:v>
      </x:c>
      <x:c r="B185" s="717" t="str">
        <x:v>Google Scholar</x:v>
      </x:c>
      <x:c r="C185" s="717" t="str">
        <x:v>GS-02</x:v>
      </x:c>
      <x:c r="D185" s="720" t="str">
        <x:v>tHTML] Clintcopathological and (maging Distinction Between Ocular Adnexal MALT Lymphoma and IgG4-Reiated Ophthalmic Disease</x:v>
      </x:c>
      <x:c r="E185" s="717" t="str">
        <x:v>Exclude</x:v>
      </x:c>
      <x:c r="F185" s="720" t="str">
        <x:v>Retinal/ophthalmic topic, but no concept-based or structured explainability method is evident.</x:v>
      </x:c>
      <x:c r="G185" s="717" t="str">
        <x:v>Title only</x:v>
      </x:c>
      <x:c r="H185" s="717" t="str">
        <x:v>Exclude</x:v>
      </x:c>
      <x:c r="I185" s="720" t="str">
        <x:v>Retinal/ophthalmic topic, but no concept-based or structured explainability method is evident.</x:v>
      </x:c>
      <x:c r="J185" s="717" t="str">
        <x:f>IF(E185=H185,E185,"Unclear")</x:f>
        <x:v>Exclude</x:v>
      </x:c>
      <x:c r="K185" s="720" t="str">
        <x:f>IF(E185=H185,"Agreement between both AI passes.","AI-pass disagreement; retain for human discussion.")</x:f>
        <x:v>Agreement between both AI passes.</x:v>
      </x:c>
      <x:c r="L185" s="720" t="str">
        <x:v>2@Has W He -American Jo.mal of Ophthalmology 2026</x:v>
      </x:c>
      <x:c r="M185" s="728" t="n">
        <x:v>2026</x:v>
      </x:c>
      <x:c r="N185" s="717" t="str">
        <x:v>Google Scholar result</x:v>
      </x:c>
      <x:c r="O185" s="717" t="str">
        <x:v>No</x:v>
      </x:c>
      <x:c r="P185" s="717"/>
    </x:row>
    <x:row r="186" ht="38" customHeight="1">
      <x:c r="A186" s="717" t="str">
        <x:v>GS-02-038</x:v>
      </x:c>
      <x:c r="B186" s="717" t="str">
        <x:v>Google Scholar</x:v>
      </x:c>
      <x:c r="C186" s="717" t="str">
        <x:v>GS-02</x:v>
      </x:c>
      <x:c r="D186" s="720" t="str">
        <x:v>Advancing interpretabitity in text classification through prototype learning</x:v>
      </x:c>
      <x:c r="E186" s="717" t="str">
        <x:v>Include</x:v>
      </x:c>
      <x:c r="F186" s="720" t="str">
        <x:v>Foundational concept-XAI method relevant to the review taxonomy or reliability analysis (title only).</x:v>
      </x:c>
      <x:c r="G186" s="717" t="str">
        <x:v>Title only</x:v>
      </x:c>
      <x:c r="H186" s="717" t="str">
        <x:v>Unclear</x:v>
      </x:c>
      <x:c r="I186" s="720" t="str">
        <x:v>Concept-XAI method may be useful as foundational/contextual evidence; retinal or medical applicability requires discussion (title only).</x:v>
      </x:c>
      <x:c r="J186" s="717" t="str">
        <x:f>IF(E186=H186,E186,"Unclear")</x:f>
        <x:v>Unclear</x:v>
      </x:c>
      <x:c r="K186" s="720" t="str">
        <x:f>IF(E186=H186,"Agreement between both AI passes.","AI-pass disagreement; retain for human discussion.")</x:f>
        <x:v>AI-pass disagreement; retain for human discussion.</x:v>
      </x:c>
      <x:c r="L186" s="720" t="str">
        <x:v>BWei Z Zh,</x:v>
      </x:c>
      <x:c r="M186" s="728" t="n">
        <x:v>2024</x:v>
      </x:c>
      <x:c r="N186" s="717" t="str">
        <x:v>Google Scholar result</x:v>
      </x:c>
      <x:c r="O186" s="717" t="str">
        <x:v>No</x:v>
      </x:c>
      <x:c r="P186" s="717"/>
    </x:row>
    <x:row r="187" ht="38" customHeight="1">
      <x:c r="A187" s="717" t="str">
        <x:v>GS-02-039</x:v>
      </x:c>
      <x:c r="B187" s="717" t="str">
        <x:v>Google Scholar</x:v>
      </x:c>
      <x:c r="C187" s="717" t="str">
        <x:v>GS-02</x:v>
      </x:c>
      <x:c r="D187" s="720" t="str">
        <x:v>W5-SAM: self-prompting SAM with wavelet and spatial domain for OCTA retinal vessel segmentation 2 Zhang et al</x:v>
      </x:c>
      <x:c r="E187" s="717" t="str">
        <x:v>Exclude</x:v>
      </x:c>
      <x:c r="F187" s="720" t="str">
        <x:v>Retinal/ophthalmic topic, but no concept-based or structured explainability method is evident.</x:v>
      </x:c>
      <x:c r="G187" s="717" t="str">
        <x:v>Title only</x:v>
      </x:c>
      <x:c r="H187" s="717" t="str">
        <x:v>Exclude</x:v>
      </x:c>
      <x:c r="I187" s="720" t="str">
        <x:v>Retinal/ophthalmic topic, but no concept-based or structured explainability method is evident.</x:v>
      </x:c>
      <x:c r="J187" s="717" t="str">
        <x:f>IF(E187=H187,E187,"Unclear")</x:f>
        <x:v>Exclude</x:v>
      </x:c>
      <x:c r="K187" s="720" t="str">
        <x:f>IF(E187=H187,"Agreement between both AI passes.","AI-pass disagreement; retain for human discussion.")</x:f>
        <x:v>Agreement between both AI passes.</x:v>
      </x:c>
      <x:c r="L187" s="720" t="str">
        <x:v>é Zhang FMa,HYluu,X Dong ¥Guo «The ounalof = 2025</x:v>
      </x:c>
      <x:c r="M187" s="728" t="n">
        <x:v>2025</x:v>
      </x:c>
      <x:c r="N187" s="717" t="str">
        <x:v>Google Scholar result</x:v>
      </x:c>
      <x:c r="O187" s="717" t="str">
        <x:v>No</x:v>
      </x:c>
      <x:c r="P187" s="717"/>
    </x:row>
    <x:row r="188" ht="38" customHeight="1">
      <x:c r="A188" s="717" t="str">
        <x:v>GS-02-040</x:v>
      </x:c>
      <x:c r="B188" s="717" t="str">
        <x:v>Google Scholar</x:v>
      </x:c>
      <x:c r="C188" s="717" t="str">
        <x:v>GS-02</x:v>
      </x:c>
      <x:c r="D188" s="720" t="str">
        <x:v>xHTML] CrassVesselNet A one-shot retinal vessel segmentation Net</x:v>
      </x:c>
      <x:c r="E188" s="717" t="str">
        <x:v>Exclude</x:v>
      </x:c>
      <x:c r="F188" s="720" t="str">
        <x:v>Retinal/ophthalmic topic, but no concept-based or structured explainability method is evident.</x:v>
      </x:c>
      <x:c r="G188" s="717" t="str">
        <x:v>Title only</x:v>
      </x:c>
      <x:c r="H188" s="717" t="str">
        <x:v>Exclude</x:v>
      </x:c>
      <x:c r="I188" s="720" t="str">
        <x:v>Retinal/ophthalmic topic, but no concept-based or structured explainability method is evident.</x:v>
      </x:c>
      <x:c r="J188" s="717" t="str">
        <x:f>IF(E188=H188,E188,"Unclear")</x:f>
        <x:v>Exclude</x:v>
      </x:c>
      <x:c r="K188" s="720" t="str">
        <x:f>IF(E188=H188,"Agreement between both AI passes.","AI-pass disagreement; retain for human discussion.")</x:f>
        <x:v>Agreement between both AI passes.</x:v>
      </x:c>
      <x:c r="L188" s="720" t="str">
        <x:v>H Xiong J Sang S Gorbachey SZhang Flong</x:v>
      </x:c>
      <x:c r="M188" s="728" t="n">
        <x:v>2026</x:v>
      </x:c>
      <x:c r="N188" s="717" t="str">
        <x:v>Google Scholar result</x:v>
      </x:c>
      <x:c r="O188" s="717" t="str">
        <x:v>No</x:v>
      </x:c>
      <x:c r="P188" s="717"/>
    </x:row>
    <x:row r="189" ht="38" customHeight="1">
      <x:c r="A189" s="717" t="str">
        <x:v>GS-02-041</x:v>
      </x:c>
      <x:c r="B189" s="717" t="str">
        <x:v>Google Scholar</x:v>
      </x:c>
      <x:c r="C189" s="717" t="str">
        <x:v>GS-02</x:v>
      </x:c>
      <x:c r="D189" s="720" t="str">
        <x:v>Prototype-dnven hard-sample contrastive learning for camera-based respiratory Imaging analysis</x:v>
      </x:c>
      <x:c r="E189" s="717" t="str">
        <x:v>Exclude</x:v>
      </x:c>
      <x:c r="F189" s="720" t="str">
        <x:v>Clearly outside retinal/ophthalmic concept-based explainable AI.</x:v>
      </x:c>
      <x:c r="G189" s="717" t="str">
        <x:v>Title only</x:v>
      </x:c>
      <x:c r="H189" s="717" t="str">
        <x:v>Exclude</x:v>
      </x:c>
      <x:c r="I189" s="720" t="str">
        <x:v>Clearly outside retinal/ophthalmic concept-based explainable AI.</x:v>
      </x:c>
      <x:c r="J189" s="717" t="str">
        <x:f>IF(E189=H189,E189,"Unclear")</x:f>
        <x:v>Exclude</x:v>
      </x:c>
      <x:c r="K189" s="720" t="str">
        <x:f>IF(E189=H189,"Agreement between both AI passes.","AI-pass disagreement; retain for human discussion.")</x:f>
        <x:v>Agreement between both AI passes.</x:v>
      </x:c>
      <x:c r="L189" s="720" t="str">
        <x:v>D Huang. M Xia LPan GWarg X Song... IEEE Journalof 2025</x:v>
      </x:c>
      <x:c r="M189" s="728" t="n">
        <x:v>2025</x:v>
      </x:c>
      <x:c r="N189" s="717" t="str">
        <x:v>Google Scholar result</x:v>
      </x:c>
      <x:c r="O189" s="717" t="str">
        <x:v>No</x:v>
      </x:c>
      <x:c r="P189" s="717"/>
    </x:row>
    <x:row r="190" ht="38" customHeight="1">
      <x:c r="A190" s="717" t="str">
        <x:v>GS-02-042</x:v>
      </x:c>
      <x:c r="B190" s="717" t="str">
        <x:v>Google Scholar</x:v>
      </x:c>
      <x:c r="C190" s="717" t="str">
        <x:v>GS-02</x:v>
      </x:c>
      <x:c r="D190" s="720" t="str">
        <x:v>Toward modality gap’ Vision prototype learning for weakly-supervised semantic segmentation with clip</x:v>
      </x:c>
      <x:c r="E190" s="717" t="str">
        <x:v>Exclude</x:v>
      </x:c>
      <x:c r="F190" s="720" t="str">
        <x:v>Clearly outside retinal/ophthalmic concept-based explainable AI.</x:v>
      </x:c>
      <x:c r="G190" s="717" t="str">
        <x:v>Title only</x:v>
      </x:c>
      <x:c r="H190" s="717" t="str">
        <x:v>Exclude</x:v>
      </x:c>
      <x:c r="I190" s="720" t="str">
        <x:v>Clearly outside retinal/ophthalmic concept-based explainable AI.</x:v>
      </x:c>
      <x:c r="J190" s="717" t="str">
        <x:f>IF(E190=H190,E190,"Unclear")</x:f>
        <x:v>Exclude</x:v>
      </x:c>
      <x:c r="K190" s="720" t="str">
        <x:f>IF(E190=H190,"Agreement between both AI passes.","AI-pass disagreement; retain for human discussion.")</x:f>
        <x:v>Agreement between both AI passes.</x:v>
      </x:c>
      <x:c r="L190" s="720" t="str">
        <x:v>2Xu F sng 2Cren ¥ Su,2Zhan GZhang</x:v>
      </x:c>
      <x:c r="M190" s="728" t="n">
        <x:v>2025</x:v>
      </x:c>
      <x:c r="N190" s="717" t="str">
        <x:v>Google Scholar result</x:v>
      </x:c>
      <x:c r="O190" s="717" t="str">
        <x:v>No</x:v>
      </x:c>
      <x:c r="P190" s="717"/>
    </x:row>
    <x:row r="191" ht="38" customHeight="1">
      <x:c r="A191" s="717" t="str">
        <x:v>GS-02-043</x:v>
      </x:c>
      <x:c r="B191" s="717" t="str">
        <x:v>Google Scholar</x:v>
      </x:c>
      <x:c r="C191" s="717" t="str">
        <x:v>GS-02</x:v>
      </x:c>
      <x:c r="D191" s="720" t="str">
        <x:v>A convolutional neural network combined with prototype learning framework for brain functional network classification of auttsm spectrum disorder</x:v>
      </x:c>
      <x:c r="E191" s="717" t="str">
        <x:v>Exclude</x:v>
      </x:c>
      <x:c r="F191" s="720" t="str">
        <x:v>Medical/clinical topic, but no eligible concept-based explainability contribution is evident.</x:v>
      </x:c>
      <x:c r="G191" s="717" t="str">
        <x:v>Title only</x:v>
      </x:c>
      <x:c r="H191" s="717" t="str">
        <x:v>Exclude</x:v>
      </x:c>
      <x:c r="I191" s="720" t="str">
        <x:v>Medical/clinical topic, but no eligible concept-based explainability contribution is evident.</x:v>
      </x:c>
      <x:c r="J191" s="717" t="str">
        <x:f>IF(E191=H191,E191,"Unclear")</x:f>
        <x:v>Exclude</x:v>
      </x:c>
      <x:c r="K191" s="720" t="str">
        <x:f>IF(E191=H191,"Agreement between both AI passes.","AI-pass disagreement; retain for human discussion.")</x:f>
        <x:v>Agreement between both AI passes.</x:v>
      </x:c>
      <x:c r="L191" s="720" t="str">
        <x:v>Y Liang BLu H Zhang- IEEE Transactons on Neural 202‘</x:v>
      </x:c>
      <x:c r="M191" s="728"/>
      <x:c r="N191" s="717" t="str">
        <x:v>Google Scholar result</x:v>
      </x:c>
      <x:c r="O191" s="717" t="str">
        <x:v>No</x:v>
      </x:c>
      <x:c r="P191" s="717"/>
    </x:row>
    <x:row r="192" ht="38" customHeight="1">
      <x:c r="A192" s="717" t="str">
        <x:v>GS-02-044</x:v>
      </x:c>
      <x:c r="B192" s="717" t="str">
        <x:v>Google Scholar</x:v>
      </x:c>
      <x:c r="C192" s="717" t="str">
        <x:v>GS-02</x:v>
      </x:c>
      <x:c r="D192" s="720" t="str">
        <x:v>Heterogeneous prototype learning from contaminated faces across domains via disentangling latent factors</x:v>
      </x:c>
      <x:c r="E192" s="717" t="str">
        <x:v>Exclude</x:v>
      </x:c>
      <x:c r="F192" s="720" t="str">
        <x:v>Clearly outside retinal/ophthalmic concept-based explainable AI.</x:v>
      </x:c>
      <x:c r="G192" s="717" t="str">
        <x:v>Title only</x:v>
      </x:c>
      <x:c r="H192" s="717" t="str">
        <x:v>Exclude</x:v>
      </x:c>
      <x:c r="I192" s="720" t="str">
        <x:v>Clearly outside retinal/ophthalmic concept-based explainable AI.</x:v>
      </x:c>
      <x:c r="J192" s="717" t="str">
        <x:f>IF(E192=H192,E192,"Unclear")</x:f>
        <x:v>Exclude</x:v>
      </x:c>
      <x:c r="K192" s="720" t="str">
        <x:f>IF(E192=H192,"Agreement between both AI passes.","AI-pass disagreement; retain for human discussion.")</x:f>
        <x:v>Agreement between both AI passes.</x:v>
      </x:c>
      <x:c r="L192" s="720" t="str">
        <x:v>Marg BWang MYe YMCheung</x:v>
      </x:c>
      <x:c r="M192" s="728" t="n">
        <x:v>2024</x:v>
      </x:c>
      <x:c r="N192" s="717" t="str">
        <x:v>Google Scholar result</x:v>
      </x:c>
      <x:c r="O192" s="717" t="str">
        <x:v>No</x:v>
      </x:c>
      <x:c r="P192" s="717"/>
    </x:row>
    <x:row r="193" ht="38" customHeight="1">
      <x:c r="A193" s="717" t="str">
        <x:v>GS-02-045</x:v>
      </x:c>
      <x:c r="B193" s="717" t="str">
        <x:v>Google Scholar</x:v>
      </x:c>
      <x:c r="C193" s="717" t="str">
        <x:v>GS-02</x:v>
      </x:c>
      <x:c r="D193" s="720" t="str">
        <x:v>Feature adaptive modulation and protetype learning for domain generalization intelligent fault diagnosis</x:v>
      </x:c>
      <x:c r="E193" s="717" t="str">
        <x:v>Exclude</x:v>
      </x:c>
      <x:c r="F193" s="720" t="str">
        <x:v>Medical/clinical topic, but no eligible concept-based explainability contribution is evident.</x:v>
      </x:c>
      <x:c r="G193" s="717" t="str">
        <x:v>Title only</x:v>
      </x:c>
      <x:c r="H193" s="717" t="str">
        <x:v>Exclude</x:v>
      </x:c>
      <x:c r="I193" s="720" t="str">
        <x:v>Medical/clinical topic, but no eligible concept-based explainability contribution is evident.</x:v>
      </x:c>
      <x:c r="J193" s="717" t="str">
        <x:f>IF(E193=H193,E193,"Unclear")</x:f>
        <x:v>Exclude</x:v>
      </x:c>
      <x:c r="K193" s="720" t="str">
        <x:f>IF(E193=H193,"Agreement between both AI passes.","AI-pass disagreement; retain for human discussion.")</x:f>
        <x:v>Agreement between both AI passes.</x:v>
      </x:c>
      <x:c r="L193" s="720" t="str">
        <x:v>K Xu Hi Y Chai MM Guo- IEEE Tracsactions on Industial = 20.24</x:v>
      </x:c>
      <x:c r="M193" s="728"/>
      <x:c r="N193" s="717" t="str">
        <x:v>Google Scholar result</x:v>
      </x:c>
      <x:c r="O193" s="717" t="str">
        <x:v>No</x:v>
      </x:c>
      <x:c r="P193" s="717"/>
    </x:row>
    <x:row r="194" ht="38" customHeight="1">
      <x:c r="A194" s="717" t="str">
        <x:v>GS-02-046</x:v>
      </x:c>
      <x:c r="B194" s="717" t="str">
        <x:v>Google Scholar</x:v>
      </x:c>
      <x:c r="C194" s="717" t="str">
        <x:v>GS-02</x:v>
      </x:c>
      <x:c r="D194" s="720" t="str">
        <x:v>Retinofusionnet’ A scalable and interpretable vision transformer framework for diabetic retinopathy detection</x:v>
      </x:c>
      <x:c r="E194" s="717" t="str">
        <x:v>Unclear</x:v>
      </x:c>
      <x:c r="F194" s="720" t="str">
        <x:v>Retinal/ophthalmic AI is evident, but the concept-based mechanism is not confirmed from the available title only.</x:v>
      </x:c>
      <x:c r="G194" s="717" t="str">
        <x:v>Title only</x:v>
      </x:c>
      <x:c r="H194" s="717" t="str">
        <x:v>Unclear</x:v>
      </x:c>
      <x:c r="I194" s="720" t="str">
        <x:v>Retinal/ophthalmic AI is evident, but the concept-based mechanism is not confirmed from the available title only.</x:v>
      </x:c>
      <x:c r="J194" s="717" t="str">
        <x:f>IF(E194=H194,E194,"Unclear")</x:f>
        <x:v>Unclear</x:v>
      </x:c>
      <x:c r="K194" s="720" t="str">
        <x:f>IF(E194=H194,"Agreement between both AI passes.","AI-pass disagreement; retain for human discussion.")</x:f>
        <x:v>Agreement between both AI passes.</x:v>
      </x:c>
      <x:c r="L194" s="720" t="str">
        <x:v>KY Shanthala KC Kundue</x:v>
      </x:c>
      <x:c r="M194" s="728" t="n">
        <x:v>2026</x:v>
      </x:c>
      <x:c r="N194" s="717" t="str">
        <x:v>Google Scholar result</x:v>
      </x:c>
      <x:c r="O194" s="717" t="str">
        <x:v>No</x:v>
      </x:c>
      <x:c r="P194" s="717"/>
    </x:row>
    <x:row r="195" ht="38" customHeight="1">
      <x:c r="A195" s="717" t="str">
        <x:v>GS-02-047</x:v>
      </x:c>
      <x:c r="B195" s="717" t="str">
        <x:v>Google Scholar</x:v>
      </x:c>
      <x:c r="C195" s="717" t="str">
        <x:v>GS-02</x:v>
      </x:c>
      <x:c r="D195" s="720" t="str">
        <x:v>Semi-supermsed multwiew prototype leaming with motion reconstruction for moving infrared small target detection</x:v>
      </x:c>
      <x:c r="E195" s="717" t="str">
        <x:v>Exclude</x:v>
      </x:c>
      <x:c r="F195" s="720" t="str">
        <x:v>Clearly outside retinal/ophthalmic concept-based explainable AI.</x:v>
      </x:c>
      <x:c r="G195" s="717" t="str">
        <x:v>Title only</x:v>
      </x:c>
      <x:c r="H195" s="717" t="str">
        <x:v>Exclude</x:v>
      </x:c>
      <x:c r="I195" s="720" t="str">
        <x:v>Clearly outside retinal/ophthalmic concept-based explainable AI.</x:v>
      </x:c>
      <x:c r="J195" s="717" t="str">
        <x:f>IF(E195=H195,E195,"Unclear")</x:f>
        <x:v>Exclude</x:v>
      </x:c>
      <x:c r="K195" s="720" t="str">
        <x:f>IF(E195=H195,"Agreement between both AI passes.","AI-pass disagreement; retain for human discussion.")</x:f>
        <x:v>Agreement between both AI passes.</x:v>
      </x:c>
      <x:c r="L195" s="720" t="str">
        <x:v>WiDusn i Ji .Huang S$Cren S$Pang</x:v>
      </x:c>
      <x:c r="M195" s="728" t="n">
        <x:v>2024</x:v>
      </x:c>
      <x:c r="N195" s="717" t="str">
        <x:v>Google Scholar result</x:v>
      </x:c>
      <x:c r="O195" s="717" t="str">
        <x:v>No</x:v>
      </x:c>
      <x:c r="P195" s="717"/>
    </x:row>
    <x:row r="196" ht="38" customHeight="1">
      <x:c r="A196" s="717" t="str">
        <x:v>GS-02-048</x:v>
      </x:c>
      <x:c r="B196" s="717" t="str">
        <x:v>Google Scholar</x:v>
      </x:c>
      <x:c r="C196" s="717" t="str">
        <x:v>GS-02</x:v>
      </x:c>
      <x:c r="D196" s="720" t="str">
        <x:v>Few-shot class-incremental SAR target recognition via cosine prototype leaming</x:v>
      </x:c>
      <x:c r="E196" s="717" t="str">
        <x:v>Exclude</x:v>
      </x:c>
      <x:c r="F196" s="720" t="str">
        <x:v>Clearly outside retinal/ophthalmic concept-based explainable AI.</x:v>
      </x:c>
      <x:c r="G196" s="717" t="str">
        <x:v>Title only</x:v>
      </x:c>
      <x:c r="H196" s="717" t="str">
        <x:v>Exclude</x:v>
      </x:c>
      <x:c r="I196" s="720" t="str">
        <x:v>Clearly outside retinal/ophthalmic concept-based explainable AI.</x:v>
      </x:c>
      <x:c r="J196" s="717" t="str">
        <x:f>IF(E196=H196,E196,"Unclear")</x:f>
        <x:v>Exclude</x:v>
      </x:c>
      <x:c r="K196" s="720" t="str">
        <x:f>IF(E196=H196,"Agreement between both AI passes.","AI-pass disagreement; retain for human discussion.")</x:f>
        <x:v>Agreement between both AI passes.</x:v>
      </x:c>
      <x:c r="L196" s="720" t="str">
        <x:v>Y¥Zhaa L Zhao. C Ding DHu -IEES Transactions on =. 21023.</x:v>
      </x:c>
      <x:c r="M196" s="728"/>
      <x:c r="N196" s="717" t="str">
        <x:v>Google Scholar result</x:v>
      </x:c>
      <x:c r="O196" s="717" t="str">
        <x:v>No</x:v>
      </x:c>
      <x:c r="P196" s="717"/>
    </x:row>
    <x:row r="197" ht="38" customHeight="1">
      <x:c r="A197" s="717" t="str">
        <x:v>GS-02-049</x:v>
      </x:c>
      <x:c r="B197" s="717" t="str">
        <x:v>Google Scholar</x:v>
      </x:c>
      <x:c r="C197" s="717" t="str">
        <x:v>GS-02</x:v>
      </x:c>
      <x:c r="D197" s="720" t="str">
        <x:v>Neural prototype trees far interpretable fine-grained image recognition</x:v>
      </x:c>
      <x:c r="E197" s="717" t="str">
        <x:v>Include</x:v>
      </x:c>
      <x:c r="F197" s="720" t="str">
        <x:v>Foundational concept-XAI method relevant to the review taxonomy or reliability analysis (title only).</x:v>
      </x:c>
      <x:c r="G197" s="717" t="str">
        <x:v>Title only</x:v>
      </x:c>
      <x:c r="H197" s="717" t="str">
        <x:v>Unclear</x:v>
      </x:c>
      <x:c r="I197" s="720" t="str">
        <x:v>Concept-XAI method may be useful as foundational/contextual evidence; retinal or medical applicability requires discussion (title only).</x:v>
      </x:c>
      <x:c r="J197" s="717" t="str">
        <x:f>IF(E197=H197,E197,"Unclear")</x:f>
        <x:v>Unclear</x:v>
      </x:c>
      <x:c r="K197" s="720" t="str">
        <x:f>IF(E197=H197,"Agreement between both AI passes.","AI-pass disagreement; retain for human discussion.")</x:f>
        <x:v>AI-pass disagreement; retain for human discussion.</x:v>
      </x:c>
      <x:c r="L197" s="720" t="str">
        <x:v>Maula, 8 Yar Bree, £ Seifert</x:v>
      </x:c>
      <x:c r="M197" s="728" t="n">
        <x:v>2021</x:v>
      </x:c>
      <x:c r="N197" s="717" t="str">
        <x:v>Google Scholar result</x:v>
      </x:c>
      <x:c r="O197" s="717" t="str">
        <x:v>No</x:v>
      </x:c>
      <x:c r="P197" s="717"/>
    </x:row>
    <x:row r="198" ht="38" customHeight="1">
      <x:c r="A198" s="717" t="str">
        <x:v>GS-02-050</x:v>
      </x:c>
      <x:c r="B198" s="717" t="str">
        <x:v>Google Scholar</x:v>
      </x:c>
      <x:c r="C198" s="717" t="str">
        <x:v>GS-02</x:v>
      </x:c>
      <x:c r="D198" s="720" t="str">
        <x:v>Electricity theft detectian method based an ensemble learning and prototype leaming</x:v>
      </x:c>
      <x:c r="E198" s="717" t="str">
        <x:v>Exclude</x:v>
      </x:c>
      <x:c r="F198" s="720" t="str">
        <x:v>Clearly outside retinal/ophthalmic concept-based explainable AI.</x:v>
      </x:c>
      <x:c r="G198" s="717" t="str">
        <x:v>Title only</x:v>
      </x:c>
      <x:c r="H198" s="717" t="str">
        <x:v>Exclude</x:v>
      </x:c>
      <x:c r="I198" s="720" t="str">
        <x:v>Clearly outside retinal/ophthalmic concept-based explainable AI.</x:v>
      </x:c>
      <x:c r="J198" s="717" t="str">
        <x:f>IF(E198=H198,E198,"Unclear")</x:f>
        <x:v>Exclude</x:v>
      </x:c>
      <x:c r="K198" s="720" t="str">
        <x:f>IF(E198=H198,"Agreement between both AI passes.","AI-pass disagreement; retain for human discussion.")</x:f>
        <x:v>Agreement between both AI passes.</x:v>
      </x:c>
      <x:c r="L198" s="720" t="str">
        <x:v>X Sur JH, Z 2hang. D Cao. SHyang -Journa'ofMedern 2023</x:v>
      </x:c>
      <x:c r="M198" s="728" t="n">
        <x:v>2023</x:v>
      </x:c>
      <x:c r="N198" s="717" t="str">
        <x:v>Google Scholar result</x:v>
      </x:c>
      <x:c r="O198" s="717" t="str">
        <x:v>No</x:v>
      </x:c>
      <x:c r="P198" s="717"/>
    </x:row>
    <x:row r="199" ht="38" customHeight="1">
      <x:c r="A199" s="717" t="str">
        <x:v>GS-02-051</x:v>
      </x:c>
      <x:c r="B199" s="717" t="str">
        <x:v>Google Scholar</x:v>
      </x:c>
      <x:c r="C199" s="717" t="str">
        <x:v>GS-02</x:v>
      </x:c>
      <x:c r="D199" s="720" t="str">
        <x:v>Multiview calibrated prototype learning for few-shot hyperspectral image classification</x:v>
      </x:c>
      <x:c r="E199" s="717" t="str">
        <x:v>Exclude</x:v>
      </x:c>
      <x:c r="F199" s="720" t="str">
        <x:v>Clearly outside retinal/ophthalmic concept-based explainable AI.</x:v>
      </x:c>
      <x:c r="G199" s="717" t="str">
        <x:v>Title only</x:v>
      </x:c>
      <x:c r="H199" s="717" t="str">
        <x:v>Exclude</x:v>
      </x:c>
      <x:c r="I199" s="720" t="str">
        <x:v>Clearly outside retinal/ophthalmic concept-based explainable AI.</x:v>
      </x:c>
      <x:c r="J199" s="717" t="str">
        <x:f>IF(E199=H199,E199,"Unclear")</x:f>
        <x:v>Exclude</x:v>
      </x:c>
      <x:c r="K199" s="720" t="str">
        <x:f>IF(E199=H199,"Agreement between both AI passes.","AI-pass disagreement; retain for human discussion.")</x:f>
        <x:v>Agreement between both AI passes.</x:v>
      </x:c>
      <x:c r="L199" s="720" t="str">
        <x:v>CY¥u BGong. Song. E Zhao</x:v>
      </x:c>
      <x:c r="M199" s="728" t="n">
        <x:v>2022</x:v>
      </x:c>
      <x:c r="N199" s="717" t="str">
        <x:v>Google Scholar result</x:v>
      </x:c>
      <x:c r="O199" s="717" t="str">
        <x:v>No</x:v>
      </x:c>
      <x:c r="P199" s="717"/>
    </x:row>
    <x:row r="200" ht="38" customHeight="1">
      <x:c r="A200" s="717" t="str">
        <x:v>GS-02-052</x:v>
      </x:c>
      <x:c r="B200" s="717" t="str">
        <x:v>Google Scholar</x:v>
      </x:c>
      <x:c r="C200" s="717" t="str">
        <x:v>GS-02</x:v>
      </x:c>
      <x:c r="D200" s="720" t="str">
        <x:v>Cplmt-net' Consistency and prototype learning mean teacher network for semi- supervised medical image segmentation</x:v>
      </x:c>
      <x:c r="E200" s="717" t="str">
        <x:v>Exclude</x:v>
      </x:c>
      <x:c r="F200" s="720" t="str">
        <x:v>Medical/clinical topic, but no eligible concept-based explainability contribution is evident.</x:v>
      </x:c>
      <x:c r="G200" s="717" t="str">
        <x:v>Title only</x:v>
      </x:c>
      <x:c r="H200" s="717" t="str">
        <x:v>Exclude</x:v>
      </x:c>
      <x:c r="I200" s="720" t="str">
        <x:v>Medical/clinical topic, but no eligible concept-based explainability contribution is evident.</x:v>
      </x:c>
      <x:c r="J200" s="717" t="str">
        <x:f>IF(E200=H200,E200,"Unclear")</x:f>
        <x:v>Exclude</x:v>
      </x:c>
      <x:c r="K200" s="720" t="str">
        <x:f>IF(E200=H200,"Agreement between both AI passes.","AI-pass disagreement; retain for human discussion.")</x:f>
        <x:v>Agreement between both AI passes.</x:v>
      </x:c>
      <x:c r="L200" s="720" t="str">
        <x:v>H Zhang XHan Jv. ¥ Ren Di -'EEE Transactions or 2025</x:v>
      </x:c>
      <x:c r="M200" s="728" t="n">
        <x:v>2025</x:v>
      </x:c>
      <x:c r="N200" s="717" t="str">
        <x:v>Google Scholar result</x:v>
      </x:c>
      <x:c r="O200" s="717" t="str">
        <x:v>No</x:v>
      </x:c>
      <x:c r="P200" s="717"/>
    </x:row>
    <x:row r="201" ht="38" customHeight="1">
      <x:c r="A201" s="717" t="str">
        <x:v>GS-02-053</x:v>
      </x:c>
      <x:c r="B201" s="717" t="str">
        <x:v>Google Scholar</x:v>
      </x:c>
      <x:c r="C201" s="717" t="str">
        <x:v>GS-02</x:v>
      </x:c>
      <x:c r="D201" s="720" t="str">
        <x:v>Rabust spatiotemporal prototype learning for spiking neural nebworks</x:v>
      </x:c>
      <x:c r="E201" s="717" t="str">
        <x:v>Exclude</x:v>
      </x:c>
      <x:c r="F201" s="720" t="str">
        <x:v>Clearly outside retinal/ophthalmic concept-based explainable AI.</x:v>
      </x:c>
      <x:c r="G201" s="717" t="str">
        <x:v>Title only</x:v>
      </x:c>
      <x:c r="H201" s="717" t="str">
        <x:v>Exclude</x:v>
      </x:c>
      <x:c r="I201" s="720" t="str">
        <x:v>Clearly outside retinal/ophthalmic concept-based explainable AI.</x:v>
      </x:c>
      <x:c r="J201" s="717" t="str">
        <x:f>IF(E201=H201,E201,"Unclear")</x:f>
        <x:v>Exclude</x:v>
      </x:c>
      <x:c r="K201" s="720" t="str">
        <x:f>IF(E201=H201,"Agreement between both AI passes.","AI-pass disagreement; retain for human discussion.")</x:f>
        <x:v>Agreement between both AI passes.</x:v>
      </x:c>
      <x:c r="L201" s="720" t="str">
        <x:v>Vita HS.n GLiag J He Dohen + EEE Tansaclionson 2025</x:v>
      </x:c>
      <x:c r="M201" s="728" t="n">
        <x:v>2025</x:v>
      </x:c>
      <x:c r="N201" s="717" t="str">
        <x:v>Google Scholar result</x:v>
      </x:c>
      <x:c r="O201" s="717" t="str">
        <x:v>No</x:v>
      </x:c>
      <x:c r="P201" s="717"/>
    </x:row>
    <x:row r="202" ht="38" customHeight="1">
      <x:c r="A202" s="717" t="str">
        <x:v>GS-02-054</x:v>
      </x:c>
      <x:c r="B202" s="717" t="str">
        <x:v>Google Scholar</x:v>
      </x:c>
      <x:c r="C202" s="717" t="str">
        <x:v>GS-02</x:v>
      </x:c>
      <x:c r="D202" s="720" t="str">
        <x:v>Hope Hybrid-granulanty ordinal prototype learning for progression prediction of mild cognitive impairment</x:v>
      </x:c>
      <x:c r="E202" s="717" t="str">
        <x:v>Exclude</x:v>
      </x:c>
      <x:c r="F202" s="720" t="str">
        <x:v>Clearly outside retinal/ophthalmic concept-based explainable AI.</x:v>
      </x:c>
      <x:c r="G202" s="717" t="str">
        <x:v>Title only</x:v>
      </x:c>
      <x:c r="H202" s="717" t="str">
        <x:v>Exclude</x:v>
      </x:c>
      <x:c r="I202" s="720" t="str">
        <x:v>Clearly outside retinal/ophthalmic concept-based explainable AI.</x:v>
      </x:c>
      <x:c r="J202" s="717" t="str">
        <x:f>IF(E202=H202,E202,"Unclear")</x:f>
        <x:v>Exclude</x:v>
      </x:c>
      <x:c r="K202" s="720" t="str">
        <x:f>IF(E202=H202,"Agreement between both AI passes.","AI-pass disagreement; retain for human discussion.")</x:f>
        <x:v>Agreement between both AI passes.</x:v>
      </x:c>
      <x:c r="L202" s="720" t="str">
        <x:v>CwWang ¥YLei.TChen J Zhang YLi -IEEE Journalaf =. 2024</x:v>
      </x:c>
      <x:c r="M202" s="728" t="n">
        <x:v>2024</x:v>
      </x:c>
      <x:c r="N202" s="717" t="str">
        <x:v>Google Scholar result</x:v>
      </x:c>
      <x:c r="O202" s="717" t="str">
        <x:v>No</x:v>
      </x:c>
      <x:c r="P202" s="717"/>
    </x:row>
    <x:row r="203" ht="38" customHeight="1">
      <x:c r="A203" s="717" t="str">
        <x:v>GS-02-055</x:v>
      </x:c>
      <x:c r="B203" s="717" t="str">
        <x:v>Google Scholar</x:v>
      </x:c>
      <x:c r="C203" s="717" t="str">
        <x:v>GS-02</x:v>
      </x:c>
      <x:c r="D203" s="720" t="str">
        <x:v>Adaptive distraction recognition via soft prototype leaming and probabilistic label alignment</x:v>
      </x:c>
      <x:c r="E203" s="717" t="str">
        <x:v>Exclude</x:v>
      </x:c>
      <x:c r="F203" s="720" t="str">
        <x:v>Clearly outside retinal/ophthalmic concept-based explainable AI.</x:v>
      </x:c>
      <x:c r="G203" s="717" t="str">
        <x:v>Title only</x:v>
      </x:c>
      <x:c r="H203" s="717" t="str">
        <x:v>Exclude</x:v>
      </x:c>
      <x:c r="I203" s="720" t="str">
        <x:v>Clearly outside retinal/ophthalmic concept-based explainable AI.</x:v>
      </x:c>
      <x:c r="J203" s="717" t="str">
        <x:f>IF(E203=H203,E203,"Unclear")</x:f>
        <x:v>Exclude</x:v>
      </x:c>
      <x:c r="K203" s="720" t="str">
        <x:f>IF(E203=H203,"Agreement between both AI passes.","AI-pass disagreement; retain for human discussion.")</x:f>
        <x:v>Agreement between both AI passes.</x:v>
      </x:c>
      <x:c r="L203" s="720" t="str">
        <x:v>Yiu. SOy HHare XCren WZeng -IEEE Transactionson | 2024</x:v>
      </x:c>
      <x:c r="M203" s="728" t="n">
        <x:v>2024</x:v>
      </x:c>
      <x:c r="N203" s="717" t="str">
        <x:v>Google Scholar result</x:v>
      </x:c>
      <x:c r="O203" s="717" t="str">
        <x:v>No</x:v>
      </x:c>
      <x:c r="P203" s="717"/>
    </x:row>
    <x:row r="204" ht="38" customHeight="1">
      <x:c r="A204" s="717" t="str">
        <x:v>GS-02-056</x:v>
      </x:c>
      <x:c r="B204" s="717" t="str">
        <x:v>Google Scholar</x:v>
      </x:c>
      <x:c r="C204" s="717" t="str">
        <x:v>GS-02</x:v>
      </x:c>
      <x:c r="D204" s="720" t="str">
        <x:v>Class-wise cantrastive prototype learning for semi-supervised classification under intersectional class mismatch</x:v>
      </x:c>
      <x:c r="E204" s="717" t="str">
        <x:v>Exclude</x:v>
      </x:c>
      <x:c r="F204" s="720" t="str">
        <x:v>Clearly outside retinal/ophthalmic concept-based explainable AI.</x:v>
      </x:c>
      <x:c r="G204" s="717" t="str">
        <x:v>Title only</x:v>
      </x:c>
      <x:c r="H204" s="717" t="str">
        <x:v>Exclude</x:v>
      </x:c>
      <x:c r="I204" s="720" t="str">
        <x:v>Clearly outside retinal/ophthalmic concept-based explainable AI.</x:v>
      </x:c>
      <x:c r="J204" s="717" t="str">
        <x:f>IF(E204=H204,E204,"Unclear")</x:f>
        <x:v>Exclude</x:v>
      </x:c>
      <x:c r="K204" s="720" t="str">
        <x:f>IF(E204=H204,"Agreement between both AI passes.","AI-pass disagreement; retain for human discussion.")</x:f>
        <x:v>Agreement between both AI passes.</x:v>
      </x:c>
      <x:c r="L204" s="720" t="str">
        <x:v>MiuT Zhou BHan TLiy XLang -IEEETrsnsactonson . 2024</x:v>
      </x:c>
      <x:c r="M204" s="728" t="n">
        <x:v>2024</x:v>
      </x:c>
      <x:c r="N204" s="717" t="str">
        <x:v>Google Scholar result</x:v>
      </x:c>
      <x:c r="O204" s="717" t="str">
        <x:v>No</x:v>
      </x:c>
      <x:c r="P204" s="717"/>
    </x:row>
    <x:row r="205" ht="38" customHeight="1">
      <x:c r="A205" s="717" t="str">
        <x:v>GS-02-057</x:v>
      </x:c>
      <x:c r="B205" s="717" t="str">
        <x:v>Google Scholar</x:v>
      </x:c>
      <x:c r="C205" s="717" t="str">
        <x:v>GS-02</x:v>
      </x:c>
      <x:c r="D205" s="720" t="str">
        <x:v>Class-Aware Prototype Learning with Negative Contrast for Test- Time Adaptation of Vision-Language Models</x:v>
      </x:c>
      <x:c r="E205" s="717" t="str">
        <x:v>Exclude</x:v>
      </x:c>
      <x:c r="F205" s="720" t="str">
        <x:v>Clearly outside retinal/ophthalmic concept-based explainable AI.</x:v>
      </x:c>
      <x:c r="G205" s="717" t="str">
        <x:v>Title only</x:v>
      </x:c>
      <x:c r="H205" s="717" t="str">
        <x:v>Exclude</x:v>
      </x:c>
      <x:c r="I205" s="720" t="str">
        <x:v>Clearly outside retinal/ophthalmic concept-based explainable AI.</x:v>
      </x:c>
      <x:c r="J205" s="717" t="str">
        <x:f>IF(E205=H205,E205,"Unclear")</x:f>
        <x:v>Exclude</x:v>
      </x:c>
      <x:c r="K205" s="720" t="str">
        <x:f>IF(E205=H205,"Agreement between both AI passes.","AI-pass disagreement; retain for human discussion.")</x:f>
        <x:v>Agreement between both AI passes.</x:v>
      </x:c>
      <x:c r="L205" s="720" t="str">
        <x:v>X Diag » Zhao. ¥ Jiang X Guo, ZSuen</x:v>
      </x:c>
      <x:c r="M205" s="728" t="n">
        <x:v>2025</x:v>
      </x:c>
      <x:c r="N205" s="717" t="str">
        <x:v>Google Scholar result</x:v>
      </x:c>
      <x:c r="O205" s="717" t="str">
        <x:v>No</x:v>
      </x:c>
      <x:c r="P205" s="717"/>
    </x:row>
    <x:row r="206" ht="38" customHeight="1">
      <x:c r="A206" s="717" t="str">
        <x:v>GS-02-058</x:v>
      </x:c>
      <x:c r="B206" s="717" t="str">
        <x:v>Google Scholar</x:v>
      </x:c>
      <x:c r="C206" s="717" t="str">
        <x:v>GS-02</x:v>
      </x:c>
      <x:c r="D206" s="720" t="str">
        <x:v>Two-stream prototype leaming network for few-shot face recognition under occlusions</x:v>
      </x:c>
      <x:c r="E206" s="717" t="str">
        <x:v>Exclude</x:v>
      </x:c>
      <x:c r="F206" s="720" t="str">
        <x:v>Clearly outside retinal/ophthalmic concept-based explainable AI.</x:v>
      </x:c>
      <x:c r="G206" s="717" t="str">
        <x:v>Title only</x:v>
      </x:c>
      <x:c r="H206" s="717" t="str">
        <x:v>Exclude</x:v>
      </x:c>
      <x:c r="I206" s="720" t="str">
        <x:v>Clearly outside retinal/ophthalmic concept-based explainable AI.</x:v>
      </x:c>
      <x:c r="J206" s="717" t="str">
        <x:f>IF(E206=H206,E206,"Unclear")</x:f>
        <x:v>Exclude</x:v>
      </x:c>
      <x:c r="K206" s="720" t="str">
        <x:f>IF(E206=H206,"Agreement between both AI passes.","AI-pass disagreement; retain for human discussion.")</x:f>
        <x:v>Agreement between both AI passes.</x:v>
      </x:c>
      <x:c r="L206" s="720" t="str">
        <x:v>X Yang MHan, Ybue HHu -fEEE Transactions on . 2023</x:v>
      </x:c>
      <x:c r="M206" s="728" t="n">
        <x:v>2023</x:v>
      </x:c>
      <x:c r="N206" s="717" t="str">
        <x:v>Google Scholar result</x:v>
      </x:c>
      <x:c r="O206" s="717" t="str">
        <x:v>No</x:v>
      </x:c>
      <x:c r="P206" s="717"/>
    </x:row>
    <x:row r="207" ht="38" customHeight="1">
      <x:c r="A207" s="717" t="str">
        <x:v>GS-02-059</x:v>
      </x:c>
      <x:c r="B207" s="717" t="str">
        <x:v>Google Scholar</x:v>
      </x:c>
      <x:c r="C207" s="717" t="str">
        <x:v>GS-02</x:v>
      </x:c>
      <x:c r="D207" s="720" t="str">
        <x:v>Personalized federated prototype learning in mixed heterogeneous data scenarios</x:v>
      </x:c>
      <x:c r="E207" s="717" t="str">
        <x:v>Exclude</x:v>
      </x:c>
      <x:c r="F207" s="720" t="str">
        <x:v>Clearly outside retinal/ophthalmic concept-based explainable AI.</x:v>
      </x:c>
      <x:c r="G207" s="717" t="str">
        <x:v>Title only</x:v>
      </x:c>
      <x:c r="H207" s="717" t="str">
        <x:v>Exclude</x:v>
      </x:c>
      <x:c r="I207" s="720" t="str">
        <x:v>Clearly outside retinal/ophthalmic concept-based explainable AI.</x:v>
      </x:c>
      <x:c r="J207" s="717" t="str">
        <x:f>IF(E207=H207,E207,"Unclear")</x:f>
        <x:v>Exclude</x:v>
      </x:c>
      <x:c r="K207" s="720" t="str">
        <x:f>IF(E207=H207,"Agreement between both AI passes.","AI-pass disagreement; retain for human discussion.")</x:f>
        <x:v>Agreement between both AI passes.</x:v>
      </x:c>
      <x:c r="L207" s="720" t="str">
        <x:v>JZeng ¥¥ Xing LSh,XHvang. J Wang 2Cao -a-XivprepomtarXy = 2028</x:v>
      </x:c>
      <x:c r="M207" s="728" t="n">
        <x:v>2028</x:v>
      </x:c>
      <x:c r="N207" s="717" t="str">
        <x:v>Google Scholar result</x:v>
      </x:c>
      <x:c r="O207" s="717" t="str">
        <x:v>No</x:v>
      </x:c>
      <x:c r="P207" s="717"/>
    </x:row>
    <x:row r="208" ht="38" customHeight="1">
      <x:c r="A208" s="717" t="str">
        <x:v>GS-02-060</x:v>
      </x:c>
      <x:c r="B208" s="717" t="str">
        <x:v>Google Scholar</x:v>
      </x:c>
      <x:c r="C208" s="717" t="str">
        <x:v>GS-02</x:v>
      </x:c>
      <x:c r="D208" s="720" t="str">
        <x:v>A prototype learning framework based on continual learning for mator incremental fault diagnosis under few-shot conditions</x:v>
      </x:c>
      <x:c r="E208" s="717" t="str">
        <x:v>Exclude</x:v>
      </x:c>
      <x:c r="F208" s="720" t="str">
        <x:v>Medical/clinical topic, but no eligible concept-based explainability contribution is evident.</x:v>
      </x:c>
      <x:c r="G208" s="717" t="str">
        <x:v>Title only</x:v>
      </x:c>
      <x:c r="H208" s="717" t="str">
        <x:v>Exclude</x:v>
      </x:c>
      <x:c r="I208" s="720" t="str">
        <x:v>Medical/clinical topic, but no eligible concept-based explainability contribution is evident.</x:v>
      </x:c>
      <x:c r="J208" s="717" t="str">
        <x:f>IF(E208=H208,E208,"Unclear")</x:f>
        <x:v>Exclude</x:v>
      </x:c>
      <x:c r="K208" s="720" t="str">
        <x:f>IF(E208=H208,"Agreement between both AI passes.","AI-pass disagreement; retain for human discussion.")</x:f>
        <x:v>Agreement between both AI passes.</x:v>
      </x:c>
      <x:c r="L208" s="720" t="str">
        <x:v>H Shan, X Zhang Wi Liang 2'Wu IEEE Transactions on =. 2025</x:v>
      </x:c>
      <x:c r="M208" s="728" t="n">
        <x:v>2025</x:v>
      </x:c>
      <x:c r="N208" s="717" t="str">
        <x:v>Google Scholar result</x:v>
      </x:c>
      <x:c r="O208" s="717" t="str">
        <x:v>No</x:v>
      </x:c>
      <x:c r="P208" s="717"/>
    </x:row>
    <x:row r="209" ht="38" customHeight="1">
      <x:c r="A209" s="717" t="str">
        <x:v>GS-02-061</x:v>
      </x:c>
      <x:c r="B209" s="717" t="str">
        <x:v>Google Scholar</x:v>
      </x:c>
      <x:c r="C209" s="717" t="str">
        <x:v>GS-02</x:v>
      </x:c>
      <x:c r="D209" s="720" t="str">
        <x:v>A.unified framework for bidirectional prototype learning from contaminated faces across heterogsneous domains</x:v>
      </x:c>
      <x:c r="E209" s="717" t="str">
        <x:v>Exclude</x:v>
      </x:c>
      <x:c r="F209" s="720" t="str">
        <x:v>Clearly outside retinal/ophthalmic concept-based explainable AI.</x:v>
      </x:c>
      <x:c r="G209" s="717" t="str">
        <x:v>Title only</x:v>
      </x:c>
      <x:c r="H209" s="717" t="str">
        <x:v>Exclude</x:v>
      </x:c>
      <x:c r="I209" s="720" t="str">
        <x:v>Clearly outside retinal/ophthalmic concept-based explainable AI.</x:v>
      </x:c>
      <x:c r="J209" s="717" t="str">
        <x:f>IF(E209=H209,E209,"Unclear")</x:f>
        <x:v>Exclude</x:v>
      </x:c>
      <x:c r="K209" s="720" t="str">
        <x:f>IF(E209=H209,"Agreement between both AI passes.","AI-pass disagreement; retain for human discussion.")</x:f>
        <x:v>Agreement between both AI passes.</x:v>
      </x:c>
      <x:c r="L209" s="720" t="str">
        <x:v>M Paco. Bany SHuang</x:v>
      </x:c>
      <x:c r="M209" s="728" t="n">
        <x:v>2022</x:v>
      </x:c>
      <x:c r="N209" s="717" t="str">
        <x:v>Google Scholar result</x:v>
      </x:c>
      <x:c r="O209" s="717" t="str">
        <x:v>No</x:v>
      </x:c>
      <x:c r="P209" s="717"/>
    </x:row>
    <x:row r="210" ht="38" customHeight="1">
      <x:c r="A210" s="717" t="str">
        <x:v>GS-02-062</x:v>
      </x:c>
      <x:c r="B210" s="717" t="str">
        <x:v>Google Scholar</x:v>
      </x:c>
      <x:c r="C210" s="717" t="str">
        <x:v>GS-02</x:v>
      </x:c>
      <x:c r="D210" s="720" t="str">
        <x:v>Momentum-Enhanced Dual-Prototype Learning Framework for Robust Few- Shot Hyperspectral Image Classification</x:v>
      </x:c>
      <x:c r="E210" s="717" t="str">
        <x:v>Exclude</x:v>
      </x:c>
      <x:c r="F210" s="720" t="str">
        <x:v>Clearly outside retinal/ophthalmic concept-based explainable AI.</x:v>
      </x:c>
      <x:c r="G210" s="717" t="str">
        <x:v>Title only</x:v>
      </x:c>
      <x:c r="H210" s="717" t="str">
        <x:v>Exclude</x:v>
      </x:c>
      <x:c r="I210" s="720" t="str">
        <x:v>Clearly outside retinal/ophthalmic concept-based explainable AI.</x:v>
      </x:c>
      <x:c r="J210" s="717" t="str">
        <x:f>IF(E210=H210,E210,"Unclear")</x:f>
        <x:v>Exclude</x:v>
      </x:c>
      <x:c r="K210" s="720" t="str">
        <x:f>IF(E210=H210,"Agreement between both AI passes.","AI-pass disagreement; retain for human discussion.")</x:f>
        <x:v>Agreement between both AI passes.</x:v>
      </x:c>
      <x:c r="L210" s="720" t="str">
        <x:v>HLu J He &amp; Zhang, 21.</x:v>
      </x:c>
      <x:c r="M210" s="728" t="n">
        <x:v>2025</x:v>
      </x:c>
      <x:c r="N210" s="717" t="str">
        <x:v>Google Scholar result</x:v>
      </x:c>
      <x:c r="O210" s="717" t="str">
        <x:v>No</x:v>
      </x:c>
      <x:c r="P210" s="717"/>
    </x:row>
    <x:row r="211" ht="38" customHeight="1">
      <x:c r="A211" s="717" t="str">
        <x:v>GS-02-063</x:v>
      </x:c>
      <x:c r="B211" s="717" t="str">
        <x:v>Google Scholar</x:v>
      </x:c>
      <x:c r="C211" s="717" t="str">
        <x:v>GS-02</x:v>
      </x:c>
      <x:c r="D211" s="720" t="str">
        <x:v>Hierarchical prototype learning with uncertainty-aware adaptation for cross- domain semantic segmentation of remote sensing images</x:v>
      </x:c>
      <x:c r="E211" s="717" t="str">
        <x:v>Exclude</x:v>
      </x:c>
      <x:c r="F211" s="720" t="str">
        <x:v>Clearly outside retinal/ophthalmic concept-based explainable AI.</x:v>
      </x:c>
      <x:c r="G211" s="717" t="str">
        <x:v>Title only</x:v>
      </x:c>
      <x:c r="H211" s="717" t="str">
        <x:v>Exclude</x:v>
      </x:c>
      <x:c r="I211" s="720" t="str">
        <x:v>Clearly outside retinal/ophthalmic concept-based explainable AI.</x:v>
      </x:c>
      <x:c r="J211" s="717" t="str">
        <x:f>IF(E211=H211,E211,"Unclear")</x:f>
        <x:v>Exclude</x:v>
      </x:c>
      <x:c r="K211" s="720" t="str">
        <x:f>IF(E211=H211,"Agreement between both AI passes.","AI-pass disagreement; retain for human discussion.")</x:f>
        <x:v>Agreement between both AI passes.</x:v>
      </x:c>
      <x:c r="L211" s="720" t="str">
        <x:v>Jhing ZRen BHau,R Jiang SLiu</x:v>
      </x:c>
      <x:c r="M211" s="728" t="n">
        <x:v>2025</x:v>
      </x:c>
      <x:c r="N211" s="717" t="str">
        <x:v>Google Scholar result</x:v>
      </x:c>
      <x:c r="O211" s="717" t="str">
        <x:v>No</x:v>
      </x:c>
      <x:c r="P211" s="717"/>
    </x:row>
    <x:row r="212" ht="38" customHeight="1">
      <x:c r="A212" s="717" t="str">
        <x:v>GS-02-064</x:v>
      </x:c>
      <x:c r="B212" s="717" t="str">
        <x:v>Google Scholar</x:v>
      </x:c>
      <x:c r="C212" s="717" t="str">
        <x:v>GS-02</x:v>
      </x:c>
      <x:c r="D212" s="720" t="str">
        <x:v>Space decoupled prototype learning for few-shot attack detection in cyber— physical systems</x:v>
      </x:c>
      <x:c r="E212" s="717" t="str">
        <x:v>Exclude</x:v>
      </x:c>
      <x:c r="F212" s="720" t="str">
        <x:v>Clearly outside retinal/ophthalmic concept-based explainable AI.</x:v>
      </x:c>
      <x:c r="G212" s="717" t="str">
        <x:v>Title only</x:v>
      </x:c>
      <x:c r="H212" s="717" t="str">
        <x:v>Exclude</x:v>
      </x:c>
      <x:c r="I212" s="720" t="str">
        <x:v>Clearly outside retinal/ophthalmic concept-based explainable AI.</x:v>
      </x:c>
      <x:c r="J212" s="717" t="str">
        <x:f>IF(E212=H212,E212,"Unclear")</x:f>
        <x:v>Exclude</x:v>
      </x:c>
      <x:c r="K212" s="720" t="str">
        <x:f>IF(E212=H212,"Agreement between both AI passes.","AI-pass disagreement; retain for human discussion.")</x:f>
        <x:v>Agreement between both AI passes.</x:v>
      </x:c>
      <x:c r="L212" s="720" t="str">
        <x:v>MSun ¥H.ang C Zhou.L Han HLw -IEEE Transactionson =. 2024</x:v>
      </x:c>
      <x:c r="M212" s="728" t="n">
        <x:v>2024</x:v>
      </x:c>
      <x:c r="N212" s="717" t="str">
        <x:v>Google Scholar result</x:v>
      </x:c>
      <x:c r="O212" s="717" t="str">
        <x:v>No</x:v>
      </x:c>
      <x:c r="P212" s="717"/>
    </x:row>
    <x:row r="213" ht="38" customHeight="1">
      <x:c r="A213" s="717" t="str">
        <x:v>GS-02-065</x:v>
      </x:c>
      <x:c r="B213" s="717" t="str">
        <x:v>Google Scholar</x:v>
      </x:c>
      <x:c r="C213" s="717" t="str">
        <x:v>GS-02</x:v>
      </x:c>
      <x:c r="D213" s="720" t="str">
        <x:v>(4TML] Part-protatype models in medical imaging applications and current challenges</x:v>
      </x:c>
      <x:c r="E213" s="717" t="str">
        <x:v>Exclude</x:v>
      </x:c>
      <x:c r="F213" s="720" t="str">
        <x:v>Medical/clinical topic, but no eligible concept-based explainability contribution is evident.</x:v>
      </x:c>
      <x:c r="G213" s="717" t="str">
        <x:v>Title only</x:v>
      </x:c>
      <x:c r="H213" s="717" t="str">
        <x:v>Exclude</x:v>
      </x:c>
      <x:c r="I213" s="720" t="str">
        <x:v>Medical/clinical topic, but no eligible concept-based explainability contribution is evident.</x:v>
      </x:c>
      <x:c r="J213" s="717" t="str">
        <x:f>IF(E213=H213,E213,"Unclear")</x:f>
        <x:v>Exclude</x:v>
      </x:c>
      <x:c r="K213" s="720" t="str">
        <x:f>IF(E213=H213,"Agreement between both AI passes.","AI-pass disagreement; retain for human discussion.")</x:f>
        <x:v>Agreement between both AI passes.</x:v>
      </x:c>
      <x:c r="L213" s="720" t="str">
        <x:v>L4 Oe Sanli, Fl Piparo F Bargagns MF Sanvaretti</x:v>
      </x:c>
      <x:c r="M213" s="728"/>
      <x:c r="N213" s="717" t="str">
        <x:v>Google Scholar result</x:v>
      </x:c>
      <x:c r="O213" s="717" t="str">
        <x:v>No</x:v>
      </x:c>
      <x:c r="P213" s="717"/>
    </x:row>
    <x:row r="214" ht="38" customHeight="1">
      <x:c r="A214" s="717" t="str">
        <x:v>GS-02-066</x:v>
      </x:c>
      <x:c r="B214" s="717" t="str">
        <x:v>Google Scholar</x:v>
      </x:c>
      <x:c r="C214" s="717" t="str">
        <x:v>GS-02</x:v>
      </x:c>
      <x:c r="D214" s="720" t="str">
        <x:v>sensing-based engineering geological lithology interpretatian in highly vegetated</x:v>
      </x:c>
      <x:c r="E214" s="717" t="str">
        <x:v>Exclude</x:v>
      </x:c>
      <x:c r="F214" s="720" t="str">
        <x:v>Generic explainability topic outside the retinal/medical concept-XAI scope.</x:v>
      </x:c>
      <x:c r="G214" s="717" t="str">
        <x:v>Title only</x:v>
      </x:c>
      <x:c r="H214" s="717" t="str">
        <x:v>Exclude</x:v>
      </x:c>
      <x:c r="I214" s="720" t="str">
        <x:v>Generic explainability topic outside the retinal/medical concept-XAI scope.</x:v>
      </x:c>
      <x:c r="J214" s="717" t="str">
        <x:f>IF(E214=H214,E214,"Unclear")</x:f>
        <x:v>Exclude</x:v>
      </x:c>
      <x:c r="K214" s="720" t="str">
        <x:f>IF(E214=H214,"Agreement between both AI passes.","AI-pass disagreement; retain for human discussion.")</x:f>
        <x:v>Agreement between both AI passes.</x:v>
      </x:c>
      <x:c r="L214" s="720" t="str">
        <x:v>§$ Ouyang ¥¥ Chen X Cin</x:v>
      </x:c>
      <x:c r="M214" s="728" t="n">
        <x:v>2024</x:v>
      </x:c>
      <x:c r="N214" s="717" t="str">
        <x:v>Google Scholar result</x:v>
      </x:c>
      <x:c r="O214" s="717" t="str">
        <x:v>No</x:v>
      </x:c>
      <x:c r="P214" s="717"/>
    </x:row>
    <x:row r="215" ht="38" customHeight="1">
      <x:c r="A215" s="717" t="str">
        <x:v>GS-02-067</x:v>
      </x:c>
      <x:c r="B215" s="717" t="str">
        <x:v>Google Scholar</x:v>
      </x:c>
      <x:c r="C215" s="717" t="str">
        <x:v>GS-02</x:v>
      </x:c>
      <x:c r="D215" s="720" t="str">
        <x:v>Human-machine interactive tissue prototype learning for label-efficient histopatholagy image segmentation</x:v>
      </x:c>
      <x:c r="E215" s="717" t="str">
        <x:v>Exclude</x:v>
      </x:c>
      <x:c r="F215" s="720" t="str">
        <x:v>Medical/clinical topic, but no eligible concept-based explainability contribution is evident.</x:v>
      </x:c>
      <x:c r="G215" s="717" t="str">
        <x:v>Title only</x:v>
      </x:c>
      <x:c r="H215" s="717" t="str">
        <x:v>Exclude</x:v>
      </x:c>
      <x:c r="I215" s="720" t="str">
        <x:v>Medical/clinical topic, but no eligible concept-based explainability contribution is evident.</x:v>
      </x:c>
      <x:c r="J215" s="717" t="str">
        <x:f>IF(E215=H215,E215,"Unclear")</x:f>
        <x:v>Exclude</x:v>
      </x:c>
      <x:c r="K215" s="720" t="str">
        <x:f>IF(E215=H215,"Agreement between both AI passes.","AI-pass disagreement; retain for human discussion.")</x:f>
        <x:v>Agreement between both AI passes.</x:v>
      </x:c>
      <x:c r="L215" s="720" t="str">
        <x:v>WPan J Yan HChae J ¥ang ZXu Xi -. Conference aninforqalon 2C23.- Springer</x:v>
      </x:c>
      <x:c r="M215" s="728"/>
      <x:c r="N215" s="717" t="str">
        <x:v>Google Scholar result</x:v>
      </x:c>
      <x:c r="O215" s="717" t="str">
        <x:v>No</x:v>
      </x:c>
      <x:c r="P215" s="717"/>
    </x:row>
    <x:row r="216" ht="38" customHeight="1">
      <x:c r="A216" s="717" t="str">
        <x:v>GS-02-068</x:v>
      </x:c>
      <x:c r="B216" s="717" t="str">
        <x:v>Google Scholar</x:v>
      </x:c>
      <x:c r="C216" s="717" t="str">
        <x:v>GS-02</x:v>
      </x:c>
      <x:c r="D216" s="720" t="str">
        <x:v>All-around real tabel supervision’ Cyclic prototype consistancy learning for semi- supervised medical image segmentation</x:v>
      </x:c>
      <x:c r="E216" s="717" t="str">
        <x:v>Exclude</x:v>
      </x:c>
      <x:c r="F216" s="720" t="str">
        <x:v>Medical/clinical topic, but no eligible concept-based explainability contribution is evident.</x:v>
      </x:c>
      <x:c r="G216" s="717" t="str">
        <x:v>Title only</x:v>
      </x:c>
      <x:c r="H216" s="717" t="str">
        <x:v>Exclude</x:v>
      </x:c>
      <x:c r="I216" s="720" t="str">
        <x:v>Medical/clinical topic, but no eligible concept-based explainability contribution is evident.</x:v>
      </x:c>
      <x:c r="J216" s="717" t="str">
        <x:f>IF(E216=H216,E216,"Unclear")</x:f>
        <x:v>Exclude</x:v>
      </x:c>
      <x:c r="K216" s="720" t="str">
        <x:f>IF(E216=H216,"Agreement between both AI passes.","AI-pass disagreement; retain for human discussion.")</x:f>
        <x:v>Agreement between both AI passes.</x:v>
      </x:c>
      <x:c r="L216" s="720" t="str">
        <x:v>2Xu ¥ Wang DlLu LYu J¥an Jlua</x:v>
      </x:c>
      <x:c r="M216" s="728" t="n">
        <x:v>2022</x:v>
      </x:c>
      <x:c r="N216" s="717" t="str">
        <x:v>Google Scholar result</x:v>
      </x:c>
      <x:c r="O216" s="717" t="str">
        <x:v>No</x:v>
      </x:c>
      <x:c r="P216" s="717"/>
    </x:row>
    <x:row r="217" ht="38" customHeight="1">
      <x:c r="A217" s="717" t="str">
        <x:v>GS-02-069</x:v>
      </x:c>
      <x:c r="B217" s="717" t="str">
        <x:v>Google Scholar</x:v>
      </x:c>
      <x:c r="C217" s="717" t="str">
        <x:v>GS-02</x:v>
      </x:c>
      <x:c r="D217" s="720" t="str">
        <x:v>Hierarchical prototype learning for zero-shot recognition</x:v>
      </x:c>
      <x:c r="E217" s="717" t="str">
        <x:v>Exclude</x:v>
      </x:c>
      <x:c r="F217" s="720" t="str">
        <x:v>Clearly outside retinal/ophthalmic concept-based explainable AI.</x:v>
      </x:c>
      <x:c r="G217" s="717" t="str">
        <x:v>Title only</x:v>
      </x:c>
      <x:c r="H217" s="717" t="str">
        <x:v>Exclude</x:v>
      </x:c>
      <x:c r="I217" s="720" t="str">
        <x:v>Clearly outside retinal/ophthalmic concept-based explainable AI.</x:v>
      </x:c>
      <x:c r="J217" s="717" t="str">
        <x:f>IF(E217=H217,E217,"Unclear")</x:f>
        <x:v>Exclude</x:v>
      </x:c>
      <x:c r="K217" s="720" t="str">
        <x:f>IF(E217=H217,"Agreement between both AI passes.","AI-pass disagreement; retain for human discussion.")</x:f>
        <x:v>Agreement between both AI passes.</x:v>
      </x:c>
      <x:c r="L217" s="720" t="str">
        <x:v>X Zhang. SGui Z2Zhu ¥ Zhao</x:v>
      </x:c>
      <x:c r="M217" s="728" t="n">
        <x:v>2015</x:v>
      </x:c>
      <x:c r="N217" s="717" t="str">
        <x:v>Google Scholar result</x:v>
      </x:c>
      <x:c r="O217" s="717" t="str">
        <x:v>No</x:v>
      </x:c>
      <x:c r="P217" s="717"/>
    </x:row>
    <x:row r="218" ht="38" customHeight="1">
      <x:c r="A218" s="717" t="str">
        <x:v>GS-02-070</x:v>
      </x:c>
      <x:c r="B218" s="717" t="str">
        <x:v>Google Scholar</x:v>
      </x:c>
      <x:c r="C218" s="717" t="str">
        <x:v>GS-02</x:v>
      </x:c>
      <x:c r="D218" s="720" t="str">
        <x:v>Incremental classification for high-dimensional EEG manifold representation using bidirectional dimensionality reduction and prototype learning</x:v>
      </x:c>
      <x:c r="E218" s="717" t="str">
        <x:v>Exclude</x:v>
      </x:c>
      <x:c r="F218" s="720" t="str">
        <x:v>Clearly outside retinal/ophthalmic concept-based explainable AI.</x:v>
      </x:c>
      <x:c r="G218" s="717" t="str">
        <x:v>Title only</x:v>
      </x:c>
      <x:c r="H218" s="717" t="str">
        <x:v>Exclude</x:v>
      </x:c>
      <x:c r="I218" s="720" t="str">
        <x:v>Clearly outside retinal/ophthalmic concept-based explainable AI.</x:v>
      </x:c>
      <x:c r="J218" s="717" t="str">
        <x:f>IF(E218=H218,E218,"Unclear")</x:f>
        <x:v>Exclude</x:v>
      </x:c>
      <x:c r="K218" s="720" t="str">
        <x:f>IF(E218=H218,"Agreement between both AI passes.","AI-pass disagreement; retain for human discussion.")</x:f>
        <x:v>Agreement between both AI passes.</x:v>
      </x:c>
      <x:c r="L218" s="720" t="str">
        <x:v>DLiu @Ding CTsng JAI.</x:v>
      </x:c>
      <x:c r="M218" s="728" t="n">
        <x:v>2024</x:v>
      </x:c>
      <x:c r="N218" s="717" t="str">
        <x:v>Google Scholar result</x:v>
      </x:c>
      <x:c r="O218" s="717" t="str">
        <x:v>No</x:v>
      </x:c>
      <x:c r="P218" s="717"/>
    </x:row>
    <x:row r="219" ht="38" customHeight="1">
      <x:c r="A219" s="717" t="str">
        <x:v>GS-02-071</x:v>
      </x:c>
      <x:c r="B219" s="717" t="str">
        <x:v>Google Scholar</x:v>
      </x:c>
      <x:c r="C219" s="717" t="str">
        <x:v>GS-02</x:v>
      </x:c>
      <x:c r="D219" s="720" t="str">
        <x:v>(4TML] Masked image modeling-guided cross-image prototype leaming for scribble-supervised medical image segmentation</x:v>
      </x:c>
      <x:c r="E219" s="717" t="str">
        <x:v>Exclude</x:v>
      </x:c>
      <x:c r="F219" s="720" t="str">
        <x:v>Medical/clinical topic, but no eligible concept-based explainability contribution is evident.</x:v>
      </x:c>
      <x:c r="G219" s="717" t="str">
        <x:v>Title only</x:v>
      </x:c>
      <x:c r="H219" s="717" t="str">
        <x:v>Exclude</x:v>
      </x:c>
      <x:c r="I219" s="720" t="str">
        <x:v>Medical/clinical topic, but no eligible concept-based explainability contribution is evident.</x:v>
      </x:c>
      <x:c r="J219" s="717" t="str">
        <x:f>IF(E219=H219,E219,"Unclear")</x:f>
        <x:v>Exclude</x:v>
      </x:c>
      <x:c r="K219" s="720" t="str">
        <x:f>IF(E219=H219,"Agreement between both AI passes.","AI-pass disagreement; retain for human discussion.")</x:f>
        <x:v>Agreement between both AI passes.</x:v>
      </x:c>
      <x:c r="L219" s="720" t="str">
        <x:v>S$ Xu J Zhang &amp; Zhaa</x:v>
      </x:c>
      <x:c r="M219" s="728"/>
      <x:c r="N219" s="717" t="str">
        <x:v>Google Scholar result</x:v>
      </x:c>
      <x:c r="O219" s="717" t="str">
        <x:v>No</x:v>
      </x:c>
      <x:c r="P219" s="717"/>
    </x:row>
    <x:row r="220" ht="38" customHeight="1">
      <x:c r="A220" s="717" t="str">
        <x:v>GS-02-072</x:v>
      </x:c>
      <x:c r="B220" s="717" t="str">
        <x:v>Google Scholar</x:v>
      </x:c>
      <x:c r="C220" s="717" t="str">
        <x:v>GS-02</x:v>
      </x:c>
      <x:c r="D220" s="720" t="str">
        <x:v>Query-guided prototype learming with decoder alignment and dynamic fusion in few-shot segmentation</x:v>
      </x:c>
      <x:c r="E220" s="717" t="str">
        <x:v>Exclude</x:v>
      </x:c>
      <x:c r="F220" s="720" t="str">
        <x:v>Clearly outside retinal/ophthalmic concept-based explainable AI.</x:v>
      </x:c>
      <x:c r="G220" s="717" t="str">
        <x:v>Title only</x:v>
      </x:c>
      <x:c r="H220" s="717" t="str">
        <x:v>Exclude</x:v>
      </x:c>
      <x:c r="I220" s="720" t="str">
        <x:v>Clearly outside retinal/ophthalmic concept-based explainable AI.</x:v>
      </x:c>
      <x:c r="J220" s="717" t="str">
        <x:f>IF(E220=H220,E220,"Unclear")</x:f>
        <x:v>Exclude</x:v>
      </x:c>
      <x:c r="K220" s="720" t="str">
        <x:f>IF(E220=H220,"Agreement between both AI passes.","AI-pass disagreement; retain for human discussion.")</x:f>
        <x:v>Agreement between both AI passes.</x:v>
      </x:c>
      <x:c r="L220" s="720" t="str">
        <x:v>Yang ¥ Yu</x:v>
      </x:c>
      <x:c r="M220" s="728" t="n">
        <x:v>2023</x:v>
      </x:c>
      <x:c r="N220" s="717" t="str">
        <x:v>Google Scholar result</x:v>
      </x:c>
      <x:c r="O220" s="717" t="str">
        <x:v>No</x:v>
      </x:c>
      <x:c r="P220" s="717"/>
    </x:row>
    <x:row r="221" ht="38" customHeight="1">
      <x:c r="A221" s="717" t="str">
        <x:v>GS-02-073</x:v>
      </x:c>
      <x:c r="B221" s="717" t="str">
        <x:v>Google Scholar</x:v>
      </x:c>
      <x:c r="C221" s="717" t="str">
        <x:v>GS-02</x:v>
      </x:c>
      <x:c r="D221" s="720" t="str">
        <x:v>Federated deep leaming with prototype matching for object extraction from very- high-resolution remote sensing images</x:v>
      </x:c>
      <x:c r="E221" s="717" t="str">
        <x:v>Exclude</x:v>
      </x:c>
      <x:c r="F221" s="720" t="str">
        <x:v>Clearly outside retinal/ophthalmic concept-based explainable AI.</x:v>
      </x:c>
      <x:c r="G221" s="717" t="str">
        <x:v>Title only</x:v>
      </x:c>
      <x:c r="H221" s="717" t="str">
        <x:v>Exclude</x:v>
      </x:c>
      <x:c r="I221" s="720" t="str">
        <x:v>Clearly outside retinal/ophthalmic concept-based explainable AI.</x:v>
      </x:c>
      <x:c r="J221" s="717" t="str">
        <x:f>IF(E221=H221,E221,"Unclear")</x:f>
        <x:v>Exclude</x:v>
      </x:c>
      <x:c r="K221" s="720" t="str">
        <x:f>IF(E221=H221,"Agreement between both AI passes.","AI-pass disagreement; retain for human discussion.")</x:f>
        <x:v>Agreement between both AI passes.</x:v>
      </x:c>
      <x:c r="L221" s="720" t="str">
        <x:v>X Zhang, B Zhang wy ¥. X Kang-lEEE Transactions an, 2023</x:v>
      </x:c>
      <x:c r="M221" s="728" t="n">
        <x:v>2023</x:v>
      </x:c>
      <x:c r="N221" s="717" t="str">
        <x:v>Google Scholar result</x:v>
      </x:c>
      <x:c r="O221" s="717" t="str">
        <x:v>No</x:v>
      </x:c>
      <x:c r="P221" s="717"/>
    </x:row>
    <x:row r="222" ht="38" customHeight="1">
      <x:c r="A222" s="717" t="str">
        <x:v>GS-02-074</x:v>
      </x:c>
      <x:c r="B222" s="717" t="str">
        <x:v>Google Scholar</x:v>
      </x:c>
      <x:c r="C222" s="717" t="str">
        <x:v>GS-02</x:v>
      </x:c>
      <x:c r="D222" s="720" t="str">
        <x:v>Advancing madical image segmentation via self-supervised instanca-adaptive prototype learning</x:v>
      </x:c>
      <x:c r="E222" s="717" t="str">
        <x:v>Exclude</x:v>
      </x:c>
      <x:c r="F222" s="720" t="str">
        <x:v>Clearly outside retinal/ophthalmic concept-based explainable AI.</x:v>
      </x:c>
      <x:c r="G222" s="717" t="str">
        <x:v>Title only</x:v>
      </x:c>
      <x:c r="H222" s="717" t="str">
        <x:v>Exclude</x:v>
      </x:c>
      <x:c r="I222" s="720" t="str">
        <x:v>Clearly outside retinal/ophthalmic concept-based explainable AI.</x:v>
      </x:c>
      <x:c r="J222" s="717" t="str">
        <x:f>IF(E222=H222,E222,"Unclear")</x:f>
        <x:v>Exclude</x:v>
      </x:c>
      <x:c r="K222" s="720" t="str">
        <x:f>IF(E222=H222,"Agreement between both AI passes.","AI-pass disagreement; retain for human discussion.")</x:f>
        <x:v>Agreement between both AI passes.</x:v>
      </x:c>
      <x:c r="L222" s="720" t="str">
        <x:v>G Liang O Zhou . Chen Z Wang, C Yao- arXiv prepant arXiv . 2025</x:v>
      </x:c>
      <x:c r="M222" s="728" t="n">
        <x:v>2025</x:v>
      </x:c>
      <x:c r="N222" s="717" t="str">
        <x:v>Google Scholar result</x:v>
      </x:c>
      <x:c r="O222" s="717" t="str">
        <x:v>No</x:v>
      </x:c>
      <x:c r="P222" s="717"/>
    </x:row>
    <x:row r="223" ht="38" customHeight="1">
      <x:c r="A223" s="717" t="str">
        <x:v>GS-02-075</x:v>
      </x:c>
      <x:c r="B223" s="717" t="str">
        <x:v>Google Scholar</x:v>
      </x:c>
      <x:c r="C223" s="717" t="str">
        <x:v>GS-02</x:v>
      </x:c>
      <x:c r="D223" s="720" t="str">
        <x:v>Automatic epitepsy detection based on generalized convolutional prototype learning</x:v>
      </x:c>
      <x:c r="E223" s="717" t="str">
        <x:v>Exclude</x:v>
      </x:c>
      <x:c r="F223" s="720" t="str">
        <x:v>Clearly outside retinal/ophthalmic concept-based explainable AI.</x:v>
      </x:c>
      <x:c r="G223" s="717" t="str">
        <x:v>Title only</x:v>
      </x:c>
      <x:c r="H223" s="717" t="str">
        <x:v>Exclude</x:v>
      </x:c>
      <x:c r="I223" s="720" t="str">
        <x:v>Clearly outside retinal/ophthalmic concept-based explainable AI.</x:v>
      </x:c>
      <x:c r="J223" s="717" t="str">
        <x:f>IF(E223=H223,E223,"Unclear")</x:f>
        <x:v>Exclude</x:v>
      </x:c>
      <x:c r="K223" s="720" t="str">
        <x:f>IF(E223=H223,"Agreement between both AI passes.","AI-pass disagreement; retain for human discussion.")</x:f>
        <x:v>Agreement between both AI passes.</x:v>
      </x:c>
      <x:c r="L223" s="720" t="str">
        <x:v>Cly. ¥ Chen Z Chen Y Liu Z Wang</x:v>
      </x:c>
      <x:c r="M223" s="728" t="n">
        <x:v>2021</x:v>
      </x:c>
      <x:c r="N223" s="717" t="str">
        <x:v>Google Scholar result</x:v>
      </x:c>
      <x:c r="O223" s="717" t="str">
        <x:v>No</x:v>
      </x:c>
      <x:c r="P223" s="717"/>
    </x:row>
    <x:row r="224" ht="38" customHeight="1">
      <x:c r="A224" s="717" t="str">
        <x:v>GS-02-076</x:v>
      </x:c>
      <x:c r="B224" s="717" t="str">
        <x:v>Google Scholar</x:v>
      </x:c>
      <x:c r="C224" s="717" t="str">
        <x:v>GS-02</x:v>
      </x:c>
      <x:c r="D224" s="720" t="str">
        <x:v>Hyperbolic prototype learning for open-set joint HSI-LIDAR classification</x:v>
      </x:c>
      <x:c r="E224" s="717" t="str">
        <x:v>Exclude</x:v>
      </x:c>
      <x:c r="F224" s="720" t="str">
        <x:v>Clearly outside retinal/ophthalmic concept-based explainable AI.</x:v>
      </x:c>
      <x:c r="G224" s="717" t="str">
        <x:v>Title only</x:v>
      </x:c>
      <x:c r="H224" s="717" t="str">
        <x:v>Exclude</x:v>
      </x:c>
      <x:c r="I224" s="720" t="str">
        <x:v>Clearly outside retinal/ophthalmic concept-based explainable AI.</x:v>
      </x:c>
      <x:c r="J224" s="717" t="str">
        <x:f>IF(E224=H224,E224,"Unclear")</x:f>
        <x:v>Exclude</x:v>
      </x:c>
      <x:c r="K224" s="720" t="str">
        <x:f>IF(E224=H224,"Agreement between both AI passes.","AI-pass disagreement; retain for human discussion.")</x:f>
        <x:v>Agreement between both AI passes.</x:v>
      </x:c>
      <x:c r="L224" s="720" t="str">
        <x:v>AKhoshtakhl E Aptoula -IEEE Geoscience and Remola 2026</x:v>
      </x:c>
      <x:c r="M224" s="728" t="n">
        <x:v>2026</x:v>
      </x:c>
      <x:c r="N224" s="717" t="str">
        <x:v>Google Scholar result</x:v>
      </x:c>
      <x:c r="O224" s="717" t="str">
        <x:v>No</x:v>
      </x:c>
      <x:c r="P224" s="717"/>
    </x:row>
    <x:row r="225" ht="38" customHeight="1">
      <x:c r="A225" s="717" t="str">
        <x:v>GS-02-077</x:v>
      </x:c>
      <x:c r="B225" s="717" t="str">
        <x:v>Google Scholar</x:v>
      </x:c>
      <x:c r="C225" s="717" t="str">
        <x:v>GS-02</x:v>
      </x:c>
      <x:c r="D225" s="720" t="str">
        <x:v>Prototype-based incremental few-shot semantic segmentation</x:v>
      </x:c>
      <x:c r="E225" s="717" t="str">
        <x:v>Exclude</x:v>
      </x:c>
      <x:c r="F225" s="720" t="str">
        <x:v>Clearly outside retinal/ophthalmic concept-based explainable AI.</x:v>
      </x:c>
      <x:c r="G225" s="717" t="str">
        <x:v>Title only</x:v>
      </x:c>
      <x:c r="H225" s="717" t="str">
        <x:v>Exclude</x:v>
      </x:c>
      <x:c r="I225" s="720" t="str">
        <x:v>Clearly outside retinal/ophthalmic concept-based explainable AI.</x:v>
      </x:c>
      <x:c r="J225" s="717" t="str">
        <x:f>IF(E225=H225,E225,"Unclear")</x:f>
        <x:v>Exclude</x:v>
      </x:c>
      <x:c r="K225" s="720" t="str">
        <x:f>IF(E225=H225,"Agreement between both AI passes.","AI-pass disagreement; retain for human discussion.")</x:f>
        <x:v>Agreement between both AI passes.</x:v>
      </x:c>
      <x:c r="L225" s="720" t="str">
        <x:v>F Ceneh, Mancini ¥ Xign Z Akata =~ arXiv preprini arXiv = 2021</x:v>
      </x:c>
      <x:c r="M225" s="728" t="n">
        <x:v>2021</x:v>
      </x:c>
      <x:c r="N225" s="717" t="str">
        <x:v>Google Scholar result</x:v>
      </x:c>
      <x:c r="O225" s="717" t="str">
        <x:v>No</x:v>
      </x:c>
      <x:c r="P225" s="717"/>
    </x:row>
    <x:row r="226" ht="38" customHeight="1">
      <x:c r="A226" s="717" t="str">
        <x:v>GS-02-078</x:v>
      </x:c>
      <x:c r="B226" s="717" t="str">
        <x:v>Google Scholar</x:v>
      </x:c>
      <x:c r="C226" s="717" t="str">
        <x:v>GS-02</x:v>
      </x:c>
      <x:c r="D226" s="720" t="str">
        <x:v>A VR-based Automated Strabismus Diagnosis System with Progressive Semi- Supervised Learning</x:v>
      </x:c>
      <x:c r="E226" s="717" t="str">
        <x:v>Exclude</x:v>
      </x:c>
      <x:c r="F226" s="720" t="str">
        <x:v>Medical/clinical topic, but no eligible concept-based explainability contribution is evident.</x:v>
      </x:c>
      <x:c r="G226" s="717" t="str">
        <x:v>Title only</x:v>
      </x:c>
      <x:c r="H226" s="717" t="str">
        <x:v>Exclude</x:v>
      </x:c>
      <x:c r="I226" s="720" t="str">
        <x:v>Medical/clinical topic, but no eligible concept-based explainability contribution is evident.</x:v>
      </x:c>
      <x:c r="J226" s="717" t="str">
        <x:f>IF(E226=H226,E226,"Unclear")</x:f>
        <x:v>Exclude</x:v>
      </x:c>
      <x:c r="K226" s="720" t="str">
        <x:f>IF(E226=H226,"Agreement between both AI passes.","AI-pass disagreement; retain for human discussion.")</x:f>
        <x:v>Agreement between both AI passes.</x:v>
      </x:c>
      <x:c r="L226" s="720" t="str">
        <x:v>DQiy B Ma. 2 Xiong. ¥ Yang, Deng -IEEE Jcurnalof 2025</x:v>
      </x:c>
      <x:c r="M226" s="728" t="n">
        <x:v>2025</x:v>
      </x:c>
      <x:c r="N226" s="717" t="str">
        <x:v>Google Scholar result</x:v>
      </x:c>
      <x:c r="O226" s="717" t="str">
        <x:v>No</x:v>
      </x:c>
      <x:c r="P226" s="717"/>
    </x:row>
    <x:row r="227" ht="38" customHeight="1">
      <x:c r="A227" s="717" t="str">
        <x:v>GS-02-079</x:v>
      </x:c>
      <x:c r="B227" s="717" t="str">
        <x:v>Google Scholar</x:v>
      </x:c>
      <x:c r="C227" s="717" t="str">
        <x:v>GS-02</x:v>
      </x:c>
      <x:c r="D227" s="720" t="str">
        <x:v>GAPL-SegNet Geametry-Aware Prototype Learning for Faw-Shot Buitding Segmentation in Remote Sensing Imagery</x:v>
      </x:c>
      <x:c r="E227" s="717" t="str">
        <x:v>Exclude</x:v>
      </x:c>
      <x:c r="F227" s="720" t="str">
        <x:v>Clearly outside retinal/ophthalmic concept-based explainable AI.</x:v>
      </x:c>
      <x:c r="G227" s="717" t="str">
        <x:v>Title only</x:v>
      </x:c>
      <x:c r="H227" s="717" t="str">
        <x:v>Exclude</x:v>
      </x:c>
      <x:c r="I227" s="720" t="str">
        <x:v>Clearly outside retinal/ophthalmic concept-based explainable AI.</x:v>
      </x:c>
      <x:c r="J227" s="717" t="str">
        <x:f>IF(E227=H227,E227,"Unclear")</x:f>
        <x:v>Exclude</x:v>
      </x:c>
      <x:c r="K227" s="720" t="str">
        <x:f>IF(E227=H227,"Agreement between both AI passes.","AI-pass disagreement; retain for human discussion.")</x:f>
        <x:v>Agreement between both AI passes.</x:v>
      </x:c>
      <x:c r="L227" s="720" t="str">
        <x:v>¥ Deng, Dhar lb Znang, X Znang =</x:v>
      </x:c>
      <x:c r="M227" s="728" t="n">
        <x:v>2025</x:v>
      </x:c>
      <x:c r="N227" s="717" t="str">
        <x:v>Google Scholar result</x:v>
      </x:c>
      <x:c r="O227" s="717" t="str">
        <x:v>No</x:v>
      </x:c>
      <x:c r="P227" s="717"/>
    </x:row>
    <x:row r="228" ht="38" customHeight="1">
      <x:c r="A228" s="717" t="str">
        <x:v>GS-02-080</x:v>
      </x:c>
      <x:c r="B228" s="717" t="str">
        <x:v>Google Scholar</x:v>
      </x:c>
      <x:c r="C228" s="717" t="str">
        <x:v>GS-02</x:v>
      </x:c>
      <x:c r="D228" s="720" t="str">
        <x:v>Adversarial prototype learning for hyperspectral image classification</x:v>
      </x:c>
      <x:c r="E228" s="717" t="str">
        <x:v>Exclude</x:v>
      </x:c>
      <x:c r="F228" s="720" t="str">
        <x:v>Clearly outside retinal/ophthalmic concept-based explainable AI.</x:v>
      </x:c>
      <x:c r="G228" s="717" t="str">
        <x:v>Title only</x:v>
      </x:c>
      <x:c r="H228" s="717" t="str">
        <x:v>Exclude</x:v>
      </x:c>
      <x:c r="I228" s="720" t="str">
        <x:v>Clearly outside retinal/ophthalmic concept-based explainable AI.</x:v>
      </x:c>
      <x:c r="J228" s="717" t="str">
        <x:f>IF(E228=H228,E228,"Unclear")</x:f>
        <x:v>Exclude</x:v>
      </x:c>
      <x:c r="K228" s="720" t="str">
        <x:f>IF(E228=H228,"Agreement between both AI passes.","AI-pass disagreement; retain for human discussion.")</x:f>
        <x:v>Agreement between both AI passes.</x:v>
      </x:c>
      <x:c r="L228" s="720" t="str">
        <x:v>S Wang 8 Ou DZhavg ©Wan -IEES Transactions on =, 2021</x:v>
      </x:c>
      <x:c r="M228" s="728" t="n">
        <x:v>2021</x:v>
      </x:c>
      <x:c r="N228" s="717" t="str">
        <x:v>Google Scholar result</x:v>
      </x:c>
      <x:c r="O228" s="717" t="str">
        <x:v>No</x:v>
      </x:c>
      <x:c r="P228" s="717"/>
    </x:row>
    <x:row r="229" ht="38" customHeight="1">
      <x:c r="A229" s="717" t="str">
        <x:v>GS-02-081</x:v>
      </x:c>
      <x:c r="B229" s="717" t="str">
        <x:v>Google Scholar</x:v>
      </x:c>
      <x:c r="C229" s="717" t="str">
        <x:v>GS-02</x:v>
      </x:c>
      <x:c r="D229" s="720" t="str">
        <x:v>(4TML] Federated medical image segmentation with heterogeneous data via anatomical knowledge learning and feature constraints</x:v>
      </x:c>
      <x:c r="E229" s="717" t="str">
        <x:v>Exclude</x:v>
      </x:c>
      <x:c r="F229" s="720" t="str">
        <x:v>Medical/clinical topic, but no eligible concept-based explainability contribution is evident.</x:v>
      </x:c>
      <x:c r="G229" s="717" t="str">
        <x:v>Title only</x:v>
      </x:c>
      <x:c r="H229" s="717" t="str">
        <x:v>Exclude</x:v>
      </x:c>
      <x:c r="I229" s="720" t="str">
        <x:v>Medical/clinical topic, but no eligible concept-based explainability contribution is evident.</x:v>
      </x:c>
      <x:c r="J229" s="717" t="str">
        <x:f>IF(E229=H229,E229,"Unclear")</x:f>
        <x:v>Exclude</x:v>
      </x:c>
      <x:c r="K229" s="720" t="str">
        <x:f>IF(E229=H229,"Agreement between both AI passes.","AI-pass disagreement; retain for human discussion.")</x:f>
        <x:v>Agreement between both AI passes.</x:v>
      </x:c>
      <x:c r="L229" s="720" t="str">
        <x:v>Z2Yarq B Xiao &amp; Yavg. Y Zha*g</x:v>
      </x:c>
      <x:c r="M229" s="728" t="n">
        <x:v>2026</x:v>
      </x:c>
      <x:c r="N229" s="717" t="str">
        <x:v>Google Scholar result</x:v>
      </x:c>
      <x:c r="O229" s="717" t="str">
        <x:v>No</x:v>
      </x:c>
      <x:c r="P229" s="717"/>
    </x:row>
    <x:row r="230" ht="38" customHeight="1">
      <x:c r="A230" s="717" t="str">
        <x:v>GS-02-082</x:v>
      </x:c>
      <x:c r="B230" s="717" t="str">
        <x:v>Google Scholar</x:v>
      </x:c>
      <x:c r="C230" s="717" t="str">
        <x:v>GS-02</x:v>
      </x:c>
      <x:c r="D230" s="720" t="str">
        <x:v>An Improved Prototype Learning Method for Domain Generalized Industrial Machine Anomaly Sound Detection</x:v>
      </x:c>
      <x:c r="E230" s="717" t="str">
        <x:v>Exclude</x:v>
      </x:c>
      <x:c r="F230" s="720" t="str">
        <x:v>Clearly outside retinal/ophthalmic concept-based explainable AI.</x:v>
      </x:c>
      <x:c r="G230" s="717" t="str">
        <x:v>Title only</x:v>
      </x:c>
      <x:c r="H230" s="717" t="str">
        <x:v>Exclude</x:v>
      </x:c>
      <x:c r="I230" s="720" t="str">
        <x:v>Clearly outside retinal/ophthalmic concept-based explainable AI.</x:v>
      </x:c>
      <x:c r="J230" s="717" t="str">
        <x:f>IF(E230=H230,E230,"Unclear")</x:f>
        <x:v>Exclude</x:v>
      </x:c>
      <x:c r="K230" s="720" t="str">
        <x:f>IF(E230=H230,"Agreement between both AI passes.","AI-pass disagreement; retain for human discussion.")</x:f>
        <x:v>Agreement between both AI passes.</x:v>
      </x:c>
      <x:c r="L230" s="720" t="str">
        <x:v>YLin ¥ i WWu SSur F Sh J Shao- IEEE Access 2026. eeexplore iese. 21g</x:v>
      </x:c>
      <x:c r="M230" s="728" t="n">
        <x:v>2026</x:v>
      </x:c>
      <x:c r="N230" s="717" t="str">
        <x:v>Google Scholar result</x:v>
      </x:c>
      <x:c r="O230" s="717" t="str">
        <x:v>No</x:v>
      </x:c>
      <x:c r="P230" s="717"/>
    </x:row>
    <x:row r="231" ht="38" customHeight="1">
      <x:c r="A231" s="717" t="str">
        <x:v>GS-02-083</x:v>
      </x:c>
      <x:c r="B231" s="717" t="str">
        <x:v>Google Scholar</x:v>
      </x:c>
      <x:c r="C231" s="717" t="str">
        <x:v>GS-02</x:v>
      </x:c>
      <x:c r="D231" s="720" t="str">
        <x:v>When Spit Federated Learning Meets Prototype Leaming A Communication- Efficient Approach in Wireless Networks</x:v>
      </x:c>
      <x:c r="E231" s="717" t="str">
        <x:v>Exclude</x:v>
      </x:c>
      <x:c r="F231" s="720" t="str">
        <x:v>Clearly outside retinal/ophthalmic concept-based explainable AI.</x:v>
      </x:c>
      <x:c r="G231" s="717" t="str">
        <x:v>Title only</x:v>
      </x:c>
      <x:c r="H231" s="717" t="str">
        <x:v>Exclude</x:v>
      </x:c>
      <x:c r="I231" s="720" t="str">
        <x:v>Clearly outside retinal/ophthalmic concept-based explainable AI.</x:v>
      </x:c>
      <x:c r="J231" s="717" t="str">
        <x:f>IF(E231=H231,E231,"Unclear")</x:f>
        <x:v>Exclude</x:v>
      </x:c>
      <x:c r="K231" s="720" t="str">
        <x:f>IF(E231=H231,"Agreement between both AI passes.","AI-pass disagreement; retain for human discussion.")</x:f>
        <x:v>Agreement between both AI passes.</x:v>
      </x:c>
      <x:c r="L231" s="720" t="str">
        <x:v>X Zhang. X Giang, WW Chen FDerg</x:v>
      </x:c>
      <x:c r="M231" s="728" t="n">
        <x:v>2026</x:v>
      </x:c>
      <x:c r="N231" s="717" t="str">
        <x:v>Google Scholar result</x:v>
      </x:c>
      <x:c r="O231" s="717" t="str">
        <x:v>No</x:v>
      </x:c>
      <x:c r="P231" s="717"/>
    </x:row>
    <x:row r="232" ht="38" customHeight="1">
      <x:c r="A232" s="717" t="str">
        <x:v>GS-02-084</x:v>
      </x:c>
      <x:c r="B232" s="717" t="str">
        <x:v>Google Scholar</x:v>
      </x:c>
      <x:c r="C232" s="717" t="str">
        <x:v>GS-02</x:v>
      </x:c>
      <x:c r="D232" s="720" t="str">
        <x:v>BNCPL brain-network-based convolutional prototype learning for discriminating depressive disorders</x:v>
      </x:c>
      <x:c r="E232" s="717" t="str">
        <x:v>Exclude</x:v>
      </x:c>
      <x:c r="F232" s="720" t="str">
        <x:v>Medical/clinical topic, but no eligible concept-based explainability contribution is evident.</x:v>
      </x:c>
      <x:c r="G232" s="717" t="str">
        <x:v>Title only</x:v>
      </x:c>
      <x:c r="H232" s="717" t="str">
        <x:v>Exclude</x:v>
      </x:c>
      <x:c r="I232" s="720" t="str">
        <x:v>Medical/clinical topic, but no eligible concept-based explainability contribution is evident.</x:v>
      </x:c>
      <x:c r="J232" s="717" t="str">
        <x:f>IF(E232=H232,E232,"Unclear")</x:f>
        <x:v>Exclude</x:v>
      </x:c>
      <x:c r="K232" s="720" t="str">
        <x:f>IF(E232=H232,"Agreement between both AI passes.","AI-pass disagreement; retain for human discussion.")</x:f>
        <x:v>Agreement between both AI passes.</x:v>
      </x:c>
      <x:c r="L232" s="720" t="str">
        <x:v>D Zh. YD Calhoun C Wang XLi XMa «2021 43rd Annual =. 2211</x:v>
      </x:c>
      <x:c r="M232" s="728" t="n">
        <x:v>2021</x:v>
      </x:c>
      <x:c r="N232" s="717" t="str">
        <x:v>Google Scholar result</x:v>
      </x:c>
      <x:c r="O232" s="717" t="str">
        <x:v>No</x:v>
      </x:c>
      <x:c r="P232" s="717"/>
    </x:row>
    <x:row r="233" ht="38" customHeight="1">
      <x:c r="A233" s="717" t="str">
        <x:v>GS-02-085</x:v>
      </x:c>
      <x:c r="B233" s="717" t="str">
        <x:v>Google Scholar</x:v>
      </x:c>
      <x:c r="C233" s="717" t="str">
        <x:v>GS-02</x:v>
      </x:c>
      <x:c r="D233" s="720" t="str">
        <x:v>Multidistribution Time-Series Prototype Learning for Crop Mapping With Sentinel-1 SAR Imagery</x:v>
      </x:c>
      <x:c r="E233" s="717" t="str">
        <x:v>Exclude</x:v>
      </x:c>
      <x:c r="F233" s="720" t="str">
        <x:v>Clearly outside retinal/ophthalmic concept-based explainable AI.</x:v>
      </x:c>
      <x:c r="G233" s="717" t="str">
        <x:v>Title only</x:v>
      </x:c>
      <x:c r="H233" s="717" t="str">
        <x:v>Exclude</x:v>
      </x:c>
      <x:c r="I233" s="720" t="str">
        <x:v>Clearly outside retinal/ophthalmic concept-based explainable AI.</x:v>
      </x:c>
      <x:c r="J233" s="717" t="str">
        <x:f>IF(E233=H233,E233,"Unclear")</x:f>
        <x:v>Exclude</x:v>
      </x:c>
      <x:c r="K233" s="720" t="str">
        <x:f>IF(E233=H233,"Agreement between both AI passes.","AI-pass disagreement; retain for human discussion.")</x:f>
        <x:v>Agreement between both AI passes.</x:v>
      </x:c>
      <x:c r="L233" s="720" t="str">
        <x:v>¥ Guo WZhar.L Jiao WieZhavg</x:v>
      </x:c>
      <x:c r="M233" s="728" t="n">
        <x:v>2025</x:v>
      </x:c>
      <x:c r="N233" s="717" t="str">
        <x:v>Google Scholar result</x:v>
      </x:c>
      <x:c r="O233" s="717" t="str">
        <x:v>No</x:v>
      </x:c>
      <x:c r="P233" s="717"/>
    </x:row>
    <x:row r="234" ht="38" customHeight="1">
      <x:c r="A234" s="717" t="str">
        <x:v>GS-02-086</x:v>
      </x:c>
      <x:c r="B234" s="717" t="str">
        <x:v>Google Scholar</x:v>
      </x:c>
      <x:c r="C234" s="717" t="str">
        <x:v>GS-02</x:v>
      </x:c>
      <x:c r="D234" s="720" t="str">
        <x:v>(nterpretable deep classification of time series based on class discriminative prototype learning</x:v>
      </x:c>
      <x:c r="E234" s="717" t="str">
        <x:v>Exclude</x:v>
      </x:c>
      <x:c r="F234" s="720" t="str">
        <x:v>Clearly outside retinal/ophthalmic concept-based explainable AI.</x:v>
      </x:c>
      <x:c r="G234" s="717" t="str">
        <x:v>Title only</x:v>
      </x:c>
      <x:c r="H234" s="717" t="str">
        <x:v>Exclude</x:v>
      </x:c>
      <x:c r="I234" s="720" t="str">
        <x:v>Clearly outside retinal/ophthalmic concept-based explainable AI.</x:v>
      </x:c>
      <x:c r="J234" s="717" t="str">
        <x:f>IF(E234=H234,E234,"Unclear")</x:f>
        <x:v>Exclude</x:v>
      </x:c>
      <x:c r="K234" s="720" t="str">
        <x:f>IF(E234=H234,"Agreement between both AI passes.","AI-pass disagreement; retain for human discussion.")</x:f>
        <x:v>Agreement between both AI passes.</x:v>
      </x:c>
      <x:c r="L234" s="720" t="str">
        <x:v>Y Wang. J Cai HYang CSh MZnang</x:v>
      </x:c>
      <x:c r="M234" s="728" t="n">
        <x:v>2025</x:v>
      </x:c>
      <x:c r="N234" s="717" t="str">
        <x:v>Google Scholar result</x:v>
      </x:c>
      <x:c r="O234" s="717" t="str">
        <x:v>No</x:v>
      </x:c>
      <x:c r="P234" s="717"/>
    </x:row>
    <x:row r="235" ht="38" customHeight="1">
      <x:c r="A235" s="717" t="str">
        <x:v>GS-02-087</x:v>
      </x:c>
      <x:c r="B235" s="717" t="str">
        <x:v>Google Scholar</x:v>
      </x:c>
      <x:c r="C235" s="717" t="str">
        <x:v>GS-02</x:v>
      </x:c>
      <x:c r="D235" s="720" t="str">
        <x:v>Pathology-aware prototype evolution via llm-driven semantic disambiguation for multicenter diabetic retinopathy diagnosis</x:v>
      </x:c>
      <x:c r="E235" s="717" t="str">
        <x:v>Include</x:v>
      </x:c>
      <x:c r="F235" s="720" t="str">
        <x:v>Potential direct retinal/ophthalmic concept-based XAI evidence (title only).</x:v>
      </x:c>
      <x:c r="G235" s="717" t="str">
        <x:v>Title only</x:v>
      </x:c>
      <x:c r="H235" s="717" t="str">
        <x:v>Include</x:v>
      </x:c>
      <x:c r="I235" s="720" t="str">
        <x:v>Potential direct retinal/ophthalmic concept-based XAI evidence (title only).</x:v>
      </x:c>
      <x:c r="J235" s="717" t="str">
        <x:f>IF(E235=H235,E235,"Unclear")</x:f>
        <x:v>Include</x:v>
      </x:c>
      <x:c r="K235" s="720" t="str">
        <x:f>IF(E235=H235,"Agreement between both AI passes.","AI-pass disagreement; retain for human discussion.")</x:f>
        <x:v>Agreement between both AI passes.</x:v>
      </x:c>
      <x:c r="L235" s="720" t="str">
        <x:v>CZhy ¥ wir . Shao JLin ¥'Warg- 2roceadings af tha 33rd ACH | 2025. dl acm arg</x:v>
      </x:c>
      <x:c r="M235" s="728" t="n">
        <x:v>2025</x:v>
      </x:c>
      <x:c r="N235" s="717" t="str">
        <x:v>Google Scholar result</x:v>
      </x:c>
      <x:c r="O235" s="717" t="str">
        <x:v>No</x:v>
      </x:c>
      <x:c r="P235" s="717"/>
    </x:row>
    <x:row r="236" ht="38" customHeight="1">
      <x:c r="A236" s="717" t="str">
        <x:v>GS-02-088</x:v>
      </x:c>
      <x:c r="B236" s="717" t="str">
        <x:v>Google Scholar</x:v>
      </x:c>
      <x:c r="C236" s="717" t="str">
        <x:v>GS-02</x:v>
      </x:c>
      <x:c r="D236" s="720" t="str">
        <x:v>Oisentangled Fine-Grained Prototype Learning for Incomplete Image- Tabular Classification</x:v>
      </x:c>
      <x:c r="E236" s="717" t="str">
        <x:v>Exclude</x:v>
      </x:c>
      <x:c r="F236" s="720" t="str">
        <x:v>Clearly outside retinal/ophthalmic concept-based explainable AI.</x:v>
      </x:c>
      <x:c r="G236" s="717" t="str">
        <x:v>Title only</x:v>
      </x:c>
      <x:c r="H236" s="717" t="str">
        <x:v>Exclude</x:v>
      </x:c>
      <x:c r="I236" s="720" t="str">
        <x:v>Clearly outside retinal/ophthalmic concept-based explainable AI.</x:v>
      </x:c>
      <x:c r="J236" s="717" t="str">
        <x:f>IF(E236=H236,E236,"Unclear")</x:f>
        <x:v>Exclude</x:v>
      </x:c>
      <x:c r="K236" s="720" t="str">
        <x:f>IF(E236=H236,"Agreement between both AI passes.","AI-pass disagreement; retain for human discussion.")</x:f>
        <x:v>Agreement between both AI passes.</x:v>
      </x:c>
      <x:c r="L236" s="720" t="str">
        <x:v>F Zhou. J Xie ZGso O Yu F'Warg ¥ Fan JL; + ark prepnnt arXiv == 2026</x:v>
      </x:c>
      <x:c r="M236" s="728" t="n">
        <x:v>2026</x:v>
      </x:c>
      <x:c r="N236" s="717" t="str">
        <x:v>Google Scholar result</x:v>
      </x:c>
      <x:c r="O236" s="717" t="str">
        <x:v>No</x:v>
      </x:c>
      <x:c r="P236" s="717"/>
    </x:row>
    <x:row r="237" ht="38" customHeight="1">
      <x:c r="A237" s="717" t="str">
        <x:v>GS-02-089</x:v>
      </x:c>
      <x:c r="B237" s="717" t="str">
        <x:v>Google Scholar</x:v>
      </x:c>
      <x:c r="C237" s="717" t="str">
        <x:v>GS-02</x:v>
      </x:c>
      <x:c r="D237" s="720" t="str">
        <x:v>Spectral-spatial prototype learning-based nearest neighbor classifier for hyperspectral images</x:v>
      </x:c>
      <x:c r="E237" s="717" t="str">
        <x:v>Exclude</x:v>
      </x:c>
      <x:c r="F237" s="720" t="str">
        <x:v>Clearly outside retinal/ophthalmic concept-based explainable AI.</x:v>
      </x:c>
      <x:c r="G237" s="717" t="str">
        <x:v>Title only</x:v>
      </x:c>
      <x:c r="H237" s="717" t="str">
        <x:v>Exclude</x:v>
      </x:c>
      <x:c r="I237" s="720" t="str">
        <x:v>Clearly outside retinal/ophthalmic concept-based explainable AI.</x:v>
      </x:c>
      <x:c r="J237" s="717" t="str">
        <x:f>IF(E237=H237,E237,"Unclear")</x:f>
        <x:v>Exclude</x:v>
      </x:c>
      <x:c r="K237" s="720" t="str">
        <x:f>IF(E237=H237,"Agreement between both AI passes.","AI-pass disagreement; retain for human discussion.")</x:f>
        <x:v>Agreement between both AI passes.</x:v>
      </x:c>
      <x:c r="L237" s="720" t="str">
        <x:v>DLi.¥ Shen F Kong Jkw.</x:v>
      </x:c>
      <x:c r="M237" s="728" t="n">
        <x:v>2023</x:v>
      </x:c>
      <x:c r="N237" s="717" t="str">
        <x:v>Google Scholar result</x:v>
      </x:c>
      <x:c r="O237" s="717" t="str">
        <x:v>No</x:v>
      </x:c>
      <x:c r="P237" s="717"/>
    </x:row>
    <x:row r="238" ht="38" customHeight="1">
      <x:c r="A238" s="717" t="str">
        <x:v>GS-02-090</x:v>
      </x:c>
      <x:c r="B238" s="717" t="str">
        <x:v>Google Scholar</x:v>
      </x:c>
      <x:c r="C238" s="717" t="str">
        <x:v>GS-02</x:v>
      </x:c>
      <x:c r="D238" s="720" t="str">
        <x:v>Rehability-Driven Prototype Learning for Cross-Domain Few-Shot Agricultural Hyperspectral Image Classification</x:v>
      </x:c>
      <x:c r="E238" s="717" t="str">
        <x:v>Exclude</x:v>
      </x:c>
      <x:c r="F238" s="720" t="str">
        <x:v>Clearly outside retinal/ophthalmic concept-based explainable AI.</x:v>
      </x:c>
      <x:c r="G238" s="717" t="str">
        <x:v>Title only</x:v>
      </x:c>
      <x:c r="H238" s="717" t="str">
        <x:v>Exclude</x:v>
      </x:c>
      <x:c r="I238" s="720" t="str">
        <x:v>Clearly outside retinal/ophthalmic concept-based explainable AI.</x:v>
      </x:c>
      <x:c r="J238" s="717" t="str">
        <x:f>IF(E238=H238,E238,"Unclear")</x:f>
        <x:v>Exclude</x:v>
      </x:c>
      <x:c r="K238" s="720" t="str">
        <x:f>IF(E238=H238,"Agreement between both AI passes.","AI-pass disagreement; retain for human discussion.")</x:f>
        <x:v>Agreement between both AI passes.</x:v>
      </x:c>
      <x:c r="L238" s="720" t="str">
        <x:v>RwWang HLiY He NChearg.ZZhovg -IEES Journa of =. 2026</x:v>
      </x:c>
      <x:c r="M238" s="728" t="n">
        <x:v>2026</x:v>
      </x:c>
      <x:c r="N238" s="717" t="str">
        <x:v>Google Scholar result</x:v>
      </x:c>
      <x:c r="O238" s="717" t="str">
        <x:v>No</x:v>
      </x:c>
      <x:c r="P238" s="717"/>
    </x:row>
    <x:row r="239" ht="38" customHeight="1">
      <x:c r="A239" s="717" t="str">
        <x:v>GS-02-091</x:v>
      </x:c>
      <x:c r="B239" s="717" t="str">
        <x:v>Google Scholar</x:v>
      </x:c>
      <x:c r="C239" s="717" t="str">
        <x:v>GS-02</x:v>
      </x:c>
      <x:c r="D239" s="720" t="str">
        <x:v>Spatiotemporal graph prototype learning with adversarial training for UWB open-set gesture recognitian</x:v>
      </x:c>
      <x:c r="E239" s="717" t="str">
        <x:v>Exclude</x:v>
      </x:c>
      <x:c r="F239" s="720" t="str">
        <x:v>Clearly outside retinal/ophthalmic concept-based explainable AI.</x:v>
      </x:c>
      <x:c r="G239" s="717" t="str">
        <x:v>Title only</x:v>
      </x:c>
      <x:c r="H239" s="717" t="str">
        <x:v>Exclude</x:v>
      </x:c>
      <x:c r="I239" s="720" t="str">
        <x:v>Clearly outside retinal/ophthalmic concept-based explainable AI.</x:v>
      </x:c>
      <x:c r="J239" s="717" t="str">
        <x:f>IF(E239=H239,E239,"Unclear")</x:f>
        <x:v>Exclude</x:v>
      </x:c>
      <x:c r="K239" s="720" t="str">
        <x:f>IF(E239=H239,"Agreement between both AI passes.","AI-pass disagreement; retain for human discussion.")</x:f>
        <x:v>Agreement between both AI passes.</x:v>
      </x:c>
      <x:c r="L239" s="720" t="str">
        <x:v>FYarg ¥Yin SSun YWarg.</x:v>
      </x:c>
      <x:c r="M239" s="728" t="n">
        <x:v>2025</x:v>
      </x:c>
      <x:c r="N239" s="717" t="str">
        <x:v>Google Scholar result</x:v>
      </x:c>
      <x:c r="O239" s="717" t="str">
        <x:v>No</x:v>
      </x:c>
      <x:c r="P239" s="717"/>
    </x:row>
    <x:row r="240" ht="38" customHeight="1">
      <x:c r="A240" s="717" t="str">
        <x:v>GS-02-092</x:v>
      </x:c>
      <x:c r="B240" s="717" t="str">
        <x:v>Google Scholar</x:v>
      </x:c>
      <x:c r="C240" s="717" t="str">
        <x:v>GS-02</x:v>
      </x:c>
      <x:c r="D240" s="720" t="str">
        <x:v>A theory of hyperbolic prototype learning</x:v>
      </x:c>
      <x:c r="E240" s="717" t="str">
        <x:v>Exclude</x:v>
      </x:c>
      <x:c r="F240" s="720" t="str">
        <x:v>Clearly outside retinal/ophthalmic concept-based explainable AI.</x:v>
      </x:c>
      <x:c r="G240" s="717" t="str">
        <x:v>Title only</x:v>
      </x:c>
      <x:c r="H240" s="717" t="str">
        <x:v>Exclude</x:v>
      </x:c>
      <x:c r="I240" s="720" t="str">
        <x:v>Clearly outside retinal/ophthalmic concept-based explainable AI.</x:v>
      </x:c>
      <x:c r="J240" s="717" t="str">
        <x:f>IF(E240=H240,E240,"Unclear")</x:f>
        <x:v>Exclude</x:v>
      </x:c>
      <x:c r="K240" s="720" t="str">
        <x:f>IF(E240=H240,"Agreement between both AI passes.","AI-pass disagreement; retain for human discussion.")</x:f>
        <x:v>Agreement between both AI passes.</x:v>
      </x:c>
      <x:c r="L240" s="720" t="str">
        <x:v>M Xeller-Ressei</x:v>
      </x:c>
      <x:c r="M240" s="728" t="n">
        <x:v>2010</x:v>
      </x:c>
      <x:c r="N240" s="717" t="str">
        <x:v>Google Scholar result</x:v>
      </x:c>
      <x:c r="O240" s="717" t="str">
        <x:v>No</x:v>
      </x:c>
      <x:c r="P240" s="717"/>
    </x:row>
    <x:row r="241" ht="38" customHeight="1">
      <x:c r="A241" s="717" t="str">
        <x:v>GS-02-093</x:v>
      </x:c>
      <x:c r="B241" s="717" t="str">
        <x:v>Google Scholar</x:v>
      </x:c>
      <x:c r="C241" s="717" t="str">
        <x:v>GS-02</x:v>
      </x:c>
      <x:c r="D241" s="720" t="str">
        <x:v>Hierarchical category-enhanced prototype learning for imbalanced temporal recommendation</x:v>
      </x:c>
      <x:c r="E241" s="717" t="str">
        <x:v>Exclude</x:v>
      </x:c>
      <x:c r="F241" s="720" t="str">
        <x:v>Clearly outside retinal/ophthalmic concept-based explainable AI.</x:v>
      </x:c>
      <x:c r="G241" s="717" t="str">
        <x:v>Title only</x:v>
      </x:c>
      <x:c r="H241" s="717" t="str">
        <x:v>Exclude</x:v>
      </x:c>
      <x:c r="I241" s="720" t="str">
        <x:v>Clearly outside retinal/ophthalmic concept-based explainable AI.</x:v>
      </x:c>
      <x:c r="J241" s="717" t="str">
        <x:f>IF(E241=H241,E241,"Unclear")</x:f>
        <x:v>Exclude</x:v>
      </x:c>
      <x:c r="K241" s="720" t="str">
        <x:f>IF(E241=H241,"Agreement between both AI passes.","AI-pass disagreement; retain for human discussion.")</x:f>
        <x:v>Agreement between both AI passes.</x:v>
      </x:c>
      <x:c r="L241" s="720" t="str">
        <x:v>X Gao Z Ma . Cii X Xia C Xu Proceedings afIne V1s1ACM =. 2025-d acmorg</x:v>
      </x:c>
      <x:c r="M241" s="728" t="n">
        <x:v>2025</x:v>
      </x:c>
      <x:c r="N241" s="717" t="str">
        <x:v>Google Scholar result</x:v>
      </x:c>
      <x:c r="O241" s="717" t="str">
        <x:v>No</x:v>
      </x:c>
      <x:c r="P241" s="717"/>
    </x:row>
    <x:row r="242" ht="38" customHeight="1">
      <x:c r="A242" s="717" t="str">
        <x:v>GS-02-094</x:v>
      </x:c>
      <x:c r="B242" s="717" t="str">
        <x:v>Google Scholar</x:v>
      </x:c>
      <x:c r="C242" s="717" t="str">
        <x:v>GS-02</x:v>
      </x:c>
      <x:c r="D242" s="720" t="str">
        <x:v>Open-set fault diagnosis based on prototype leaming with dual calegory- classifier</x:v>
      </x:c>
      <x:c r="E242" s="717" t="str">
        <x:v>Exclude</x:v>
      </x:c>
      <x:c r="F242" s="720" t="str">
        <x:v>Medical/clinical topic, but no eligible concept-based explainability contribution is evident.</x:v>
      </x:c>
      <x:c r="G242" s="717" t="str">
        <x:v>Title only</x:v>
      </x:c>
      <x:c r="H242" s="717" t="str">
        <x:v>Exclude</x:v>
      </x:c>
      <x:c r="I242" s="720" t="str">
        <x:v>Medical/clinical topic, but no eligible concept-based explainability contribution is evident.</x:v>
      </x:c>
      <x:c r="J242" s="717" t="str">
        <x:f>IF(E242=H242,E242,"Unclear")</x:f>
        <x:v>Exclude</x:v>
      </x:c>
      <x:c r="K242" s="720" t="str">
        <x:f>IF(E242=H242,"Agreement between both AI passes.","AI-pass disagreement; retain for human discussion.")</x:f>
        <x:v>Agreement between both AI passes.</x:v>
      </x:c>
      <x:c r="L242" s="720" t="str">
        <x:v>Ske LGag XLi ¥Gac- 202d IEEE 2Cth Intemational == 202d</x:v>
      </x:c>
      <x:c r="M242" s="728"/>
      <x:c r="N242" s="717" t="str">
        <x:v>Google Scholar result</x:v>
      </x:c>
      <x:c r="O242" s="717" t="str">
        <x:v>No</x:v>
      </x:c>
      <x:c r="P242" s="717"/>
    </x:row>
    <x:row r="243" ht="38" customHeight="1">
      <x:c r="A243" s="717" t="str">
        <x:v>GS-02-095</x:v>
      </x:c>
      <x:c r="B243" s="717" t="str">
        <x:v>Google Scholar</x:v>
      </x:c>
      <x:c r="C243" s="717" t="str">
        <x:v>GS-02</x:v>
      </x:c>
      <x:c r="D243" s="720" t="str">
        <x:v>Rehable sensing data fusion through robust multwiew prototype learning</x:v>
      </x:c>
      <x:c r="E243" s="717" t="str">
        <x:v>Exclude</x:v>
      </x:c>
      <x:c r="F243" s="720" t="str">
        <x:v>Clearly outside retinal/ophthalmic concept-based explainable AI.</x:v>
      </x:c>
      <x:c r="G243" s="717" t="str">
        <x:v>Title only</x:v>
      </x:c>
      <x:c r="H243" s="717" t="str">
        <x:v>Exclude</x:v>
      </x:c>
      <x:c r="I243" s="720" t="str">
        <x:v>Clearly outside retinal/ophthalmic concept-based explainable AI.</x:v>
      </x:c>
      <x:c r="J243" s="717" t="str">
        <x:f>IF(E243=H243,E243,"Unclear")</x:f>
        <x:v>Exclude</x:v>
      </x:c>
      <x:c r="K243" s="720" t="str">
        <x:f>IF(E243=H243,"Agreement between both AI passes.","AI-pass disagreement; retain for human discussion.")</x:f>
        <x:v>Agreement between both AI passes.</x:v>
      </x:c>
      <x:c r="L243" s="720" t="str">
        <x:v>QTian $Xa MCao K Cheng- IEEE transactionson 2021- iaesxplcra eee org</x:v>
      </x:c>
      <x:c r="M243" s="728" t="n">
        <x:v>2021</x:v>
      </x:c>
      <x:c r="N243" s="717" t="str">
        <x:v>Google Scholar result</x:v>
      </x:c>
      <x:c r="O243" s="717" t="str">
        <x:v>No</x:v>
      </x:c>
      <x:c r="P243" s="717"/>
    </x:row>
    <x:row r="244" ht="38" customHeight="1">
      <x:c r="A244" s="717" t="str">
        <x:v>GS-02-096</x:v>
      </x:c>
      <x:c r="B244" s="717" t="str">
        <x:v>Google Scholar</x:v>
      </x:c>
      <x:c r="C244" s="717" t="str">
        <x:v>GS-02</x:v>
      </x:c>
      <x:c r="D244" s="720" t="str">
        <x:v>QualProtoSeg Simple and Efficient Design with Text-and Image-Guided Prototype Learning for Weakly Supervised Histopathology Image Segmentation</x:v>
      </x:c>
      <x:c r="E244" s="717" t="str">
        <x:v>Exclude</x:v>
      </x:c>
      <x:c r="F244" s="720" t="str">
        <x:v>Medical/clinical topic, but no eligible concept-based explainability contribution is evident.</x:v>
      </x:c>
      <x:c r="G244" s="717" t="str">
        <x:v>Title only</x:v>
      </x:c>
      <x:c r="H244" s="717" t="str">
        <x:v>Exclude</x:v>
      </x:c>
      <x:c r="I244" s="720" t="str">
        <x:v>Medical/clinical topic, but no eligible concept-based explainability contribution is evident.</x:v>
      </x:c>
      <x:c r="J244" s="717" t="str">
        <x:f>IF(E244=H244,E244,"Unclear")</x:f>
        <x:v>Exclude</x:v>
      </x:c>
      <x:c r="K244" s="720" t="str">
        <x:f>IF(E244=H244,"Agreement between both AI passes.","AI-pass disagreement; retain for human discussion.")</x:f>
        <x:v>Agreement between both AI passes.</x:v>
      </x:c>
      <x:c r="L244" s="720" t="str">
        <x:v>AM Vu KP .e. "TK Vo. b Thach HH Nguyen =</x:v>
      </x:c>
      <x:c r="M244" s="728" t="n">
        <x:v>2025</x:v>
      </x:c>
      <x:c r="N244" s="717" t="str">
        <x:v>Google Scholar result</x:v>
      </x:c>
      <x:c r="O244" s="717" t="str">
        <x:v>No</x:v>
      </x:c>
      <x:c r="P244" s="717"/>
    </x:row>
    <x:row r="245" ht="38" customHeight="1">
      <x:c r="A245" s="717" t="str">
        <x:v>GS-02-097</x:v>
      </x:c>
      <x:c r="B245" s="717" t="str">
        <x:v>Google Scholar</x:v>
      </x:c>
      <x:c r="C245" s="717" t="str">
        <x:v>GS-02</x:v>
      </x:c>
      <x:c r="D245" s="720" t="str">
        <x:v>VD-GAN: A unified framework for joint protatype and representation leaming fram contaminated single sample per person</x:v>
      </x:c>
      <x:c r="E245" s="717" t="str">
        <x:v>Exclude</x:v>
      </x:c>
      <x:c r="F245" s="720" t="str">
        <x:v>Clearly outside retinal/ophthalmic concept-based explainable AI.</x:v>
      </x:c>
      <x:c r="G245" s="717" t="str">
        <x:v>Title only</x:v>
      </x:c>
      <x:c r="H245" s="717" t="str">
        <x:v>Exclude</x:v>
      </x:c>
      <x:c r="I245" s="720" t="str">
        <x:v>Clearly outside retinal/ophthalmic concept-based explainable AI.</x:v>
      </x:c>
      <x:c r="J245" s="717" t="str">
        <x:f>IF(E245=H245,E245,"Unclear")</x:f>
        <x:v>Exclude</x:v>
      </x:c>
      <x:c r="K245" s="720" t="str">
        <x:f>IF(E245=H245,"Agreement between both AI passes.","AI-pass disagreement; retain for human discussion.")</x:f>
        <x:v>Agreement between both AI passes.</x:v>
      </x:c>
      <x:c r="L245" s="720" t="str">
        <x:v>M Pag, Bivang Y Cheung YChen -lIEEE “ransaclions on. 2021</x:v>
      </x:c>
      <x:c r="M245" s="728" t="n">
        <x:v>2021</x:v>
      </x:c>
      <x:c r="N245" s="717" t="str">
        <x:v>Google Scholar result</x:v>
      </x:c>
      <x:c r="O245" s="717" t="str">
        <x:v>No</x:v>
      </x:c>
      <x:c r="P245" s="717"/>
    </x:row>
    <x:row r="246" ht="38" customHeight="1">
      <x:c r="A246" s="717" t="str">
        <x:v>GS-02-098</x:v>
      </x:c>
      <x:c r="B246" s="717" t="str">
        <x:v>Google Scholar</x:v>
      </x:c>
      <x:c r="C246" s="717" t="str">
        <x:v>GS-02</x:v>
      </x:c>
      <x:c r="D246" s="720" t="str">
        <x:v>A Diffusion and Spatial Prototype Learning Method for Semi-Supervised Medical Image Segmentatian</x:v>
      </x:c>
      <x:c r="E246" s="717" t="str">
        <x:v>Exclude</x:v>
      </x:c>
      <x:c r="F246" s="720" t="str">
        <x:v>Medical/clinical topic, but no eligible concept-based explainability contribution is evident.</x:v>
      </x:c>
      <x:c r="G246" s="717" t="str">
        <x:v>Title only</x:v>
      </x:c>
      <x:c r="H246" s="717" t="str">
        <x:v>Exclude</x:v>
      </x:c>
      <x:c r="I246" s="720" t="str">
        <x:v>Medical/clinical topic, but no eligible concept-based explainability contribution is evident.</x:v>
      </x:c>
      <x:c r="J246" s="717" t="str">
        <x:f>IF(E246=H246,E246,"Unclear")</x:f>
        <x:v>Exclude</x:v>
      </x:c>
      <x:c r="K246" s="720" t="str">
        <x:f>IF(E246=H246,"Agreement between both AI passes.","AI-pass disagreement; retain for human discussion.")</x:f>
        <x:v>Agreement between both AI passes.</x:v>
      </x:c>
      <x:c r="L246" s="720" t="str">
        <x:v>Lu, X Guc X Zhao HLi- 2025 IEEE Inter-atienal 2925</x:v>
      </x:c>
      <x:c r="M246" s="728" t="n">
        <x:v>2025</x:v>
      </x:c>
      <x:c r="N246" s="717" t="str">
        <x:v>Google Scholar result</x:v>
      </x:c>
      <x:c r="O246" s="717" t="str">
        <x:v>No</x:v>
      </x:c>
      <x:c r="P246" s="717"/>
    </x:row>
    <x:row r="247" ht="38" customHeight="1">
      <x:c r="A247" s="717" t="str">
        <x:v>GS-02-099</x:v>
      </x:c>
      <x:c r="B247" s="717" t="str">
        <x:v>Google Scholar</x:v>
      </x:c>
      <x:c r="C247" s="717" t="str">
        <x:v>GS-02</x:v>
      </x:c>
      <x:c r="D247" s="720" t="str">
        <x:v>A mult-orthogonal protatype contrastve learning framework with feature compressian for imbalanced skin lesion classification</x:v>
      </x:c>
      <x:c r="E247" s="717" t="str">
        <x:v>Exclude</x:v>
      </x:c>
      <x:c r="F247" s="720" t="str">
        <x:v>Clearly outside retinal/ophthalmic concept-based explainable AI.</x:v>
      </x:c>
      <x:c r="G247" s="717" t="str">
        <x:v>Title only</x:v>
      </x:c>
      <x:c r="H247" s="717" t="str">
        <x:v>Exclude</x:v>
      </x:c>
      <x:c r="I247" s="720" t="str">
        <x:v>Clearly outside retinal/ophthalmic concept-based explainable AI.</x:v>
      </x:c>
      <x:c r="J247" s="717" t="str">
        <x:f>IF(E247=H247,E247,"Unclear")</x:f>
        <x:v>Exclude</x:v>
      </x:c>
      <x:c r="K247" s="720" t="str">
        <x:f>IF(E247=H247,"Agreement between both AI passes.","AI-pass disagreement; retain for human discussion.")</x:f>
        <x:v>Agreement between both AI passes.</x:v>
      </x:c>
      <x:c r="L247" s="720" t="str">
        <x:v>¥ Zhaig, Ki, J Sri H Zhang</x:v>
      </x:c>
      <x:c r="M247" s="728" t="n">
        <x:v>2025</x:v>
      </x:c>
      <x:c r="N247" s="717" t="str">
        <x:v>Google Scholar result</x:v>
      </x:c>
      <x:c r="O247" s="717" t="str">
        <x:v>No</x:v>
      </x:c>
      <x:c r="P247" s="717"/>
    </x:row>
    <x:row r="248" ht="38" customHeight="1">
      <x:c r="A248" s="717" t="str">
        <x:v>GS-02-100</x:v>
      </x:c>
      <x:c r="B248" s="717" t="str">
        <x:v>Google Scholar</x:v>
      </x:c>
      <x:c r="C248" s="717" t="str">
        <x:v>GS-02</x:v>
      </x:c>
      <x:c r="D248" s="720" t="str">
        <x:v>Qpen-Set Human Activity Recognition With Micro-Dappler Signatures and Virtual Prototype Learning</x:v>
      </x:c>
      <x:c r="E248" s="717" t="str">
        <x:v>Exclude</x:v>
      </x:c>
      <x:c r="F248" s="720" t="str">
        <x:v>Clearly outside retinal/ophthalmic concept-based explainable AI.</x:v>
      </x:c>
      <x:c r="G248" s="717" t="str">
        <x:v>Title only</x:v>
      </x:c>
      <x:c r="H248" s="717" t="str">
        <x:v>Exclude</x:v>
      </x:c>
      <x:c r="I248" s="720" t="str">
        <x:v>Clearly outside retinal/ophthalmic concept-based explainable AI.</x:v>
      </x:c>
      <x:c r="J248" s="717" t="str">
        <x:f>IF(E248=H248,E248,"Unclear")</x:f>
        <x:v>Exclude</x:v>
      </x:c>
      <x:c r="K248" s="720" t="str">
        <x:f>IF(E248=H248,"Agreement between both AI passes.","AI-pass disagreement; retain for human discussion.")</x:f>
        <x:v>Agreement between both AI passes.</x:v>
      </x:c>
      <x:c r="L248" s="720" t="str">
        <x:v>K Chen, © Liv. ¥ Song L Zhu</x:v>
      </x:c>
      <x:c r="M248" s="728" t="n">
        <x:v>2024</x:v>
      </x:c>
      <x:c r="N248" s="717" t="str">
        <x:v>Google Scholar result</x:v>
      </x:c>
      <x:c r="O248" s="717" t="str">
        <x:v>No</x:v>
      </x:c>
      <x:c r="P248" s="717"/>
    </x:row>
    <x:row r="249" ht="38" customHeight="1">
      <x:c r="A249" s="717" t="str">
        <x:v>GS-03-001</x:v>
      </x:c>
      <x:c r="B249" s="717" t="str">
        <x:v>Google Scholar</x:v>
      </x:c>
      <x:c r="C249" s="717" t="str">
        <x:v>GS-03</x:v>
      </x:c>
      <x:c r="D249" s="720" t="str">
        <x:v>Case-based expert system for early detectian of diabetic retinopathy</x:v>
      </x:c>
      <x:c r="E249" s="717" t="str">
        <x:v>Exclude</x:v>
      </x:c>
      <x:c r="F249" s="720" t="str">
        <x:v>Retinal/ophthalmic topic, but no concept-based or structured explainability method is evident.</x:v>
      </x:c>
      <x:c r="G249" s="717" t="str">
        <x:v>Title only</x:v>
      </x:c>
      <x:c r="H249" s="717" t="str">
        <x:v>Exclude</x:v>
      </x:c>
      <x:c r="I249" s="720" t="str">
        <x:v>Retinal/ophthalmic topic, but no concept-based or structured explainability method is evident.</x:v>
      </x:c>
      <x:c r="J249" s="717" t="str">
        <x:f>IF(E249=H249,E249,"Unclear")</x:f>
        <x:v>Exclude</x:v>
      </x:c>
      <x:c r="K249" s="720" t="str">
        <x:f>IF(E249=H249,"Agreement between both AI passes.","AI-pass disagreement; retain for human discussion.")</x:f>
        <x:v>Agreement between both AI passes.</x:v>
      </x:c>
      <x:c r="L249" s="720" t="str">
        <x:v>R Barman SK Biswas D Das, 3 Furkayastha -Inleltgent Ccmputing 2021</x:v>
      </x:c>
      <x:c r="M249" s="728" t="n">
        <x:v>2021</x:v>
      </x:c>
      <x:c r="N249" s="717" t="str">
        <x:v>Google Scholar result</x:v>
      </x:c>
      <x:c r="O249" s="717" t="str">
        <x:v>No</x:v>
      </x:c>
      <x:c r="P249" s="717"/>
    </x:row>
    <x:row r="250" ht="38" customHeight="1">
      <x:c r="A250" s="717" t="str">
        <x:v>GS-03-002</x:v>
      </x:c>
      <x:c r="B250" s="717" t="str">
        <x:v>Google Scholar</x:v>
      </x:c>
      <x:c r="C250" s="717" t="str">
        <x:v>GS-03</x:v>
      </x:c>
      <x:c r="D250" s="720" t="str">
        <x:v>Case Based reasoning in retina abnomnalities detection</x:v>
      </x:c>
      <x:c r="E250" s="717"/>
      <x:c r="F250" s="720" t="str">
        <x:v>Confirmed duplicate during enhanced OCR-variant deduplication.</x:v>
      </x:c>
      <x:c r="G250" s="717" t="str">
        <x:v>Duplicate control</x:v>
      </x:c>
      <x:c r="H250" s="717"/>
      <x:c r="I250" s="720" t="str">
        <x:v>Confirmed duplicate during enhanced OCR-variant deduplication.</x:v>
      </x:c>
      <x:c r="J250" s="717"/>
      <x:c r="K250" s="720" t="str">
        <x:v>Removed from the final title/abstract denominator before full-text retrieval.</x:v>
      </x:c>
      <x:c r="L250" s="720" t="str">
        <x:v>AR Chowdhury S Banerjee</x:v>
      </x:c>
      <x:c r="M250" s="728"/>
      <x:c r="N250" s="717" t="str">
        <x:v>Google Scholar result</x:v>
      </x:c>
      <x:c r="O250" s="717" t="str">
        <x:v>No</x:v>
      </x:c>
      <x:c r="P250" s="717"/>
    </x:row>
    <x:row r="251" ht="38" customHeight="1">
      <x:c r="A251" s="717" t="str">
        <x:v>GS-03-003</x:v>
      </x:c>
      <x:c r="B251" s="717" t="str">
        <x:v>Google Scholar</x:v>
      </x:c>
      <x:c r="C251" s="717" t="str">
        <x:v>GS-03</x:v>
      </x:c>
      <x:c r="D251" s="720" t="str">
        <x:v>A cybernetic systems approach to abnormality detection in retina images using case based reasoning AR Chowdhury et al</x:v>
      </x:c>
      <x:c r="E251" s="717" t="str">
        <x:v>Include</x:v>
      </x:c>
      <x:c r="F251" s="720" t="str">
        <x:v>Potential direct retinal/ophthalmic concept-based XAI evidence (title only).</x:v>
      </x:c>
      <x:c r="G251" s="717" t="str">
        <x:v>Title only</x:v>
      </x:c>
      <x:c r="H251" s="717" t="str">
        <x:v>Include</x:v>
      </x:c>
      <x:c r="I251" s="720" t="str">
        <x:v>Potential direct retinal/ophthalmic concept-based XAI evidence (title only).</x:v>
      </x:c>
      <x:c r="J251" s="717" t="str">
        <x:f>IF(E251=H251,E251,"Unclear")</x:f>
        <x:v>Include</x:v>
      </x:c>
      <x:c r="K251" s="720" t="str">
        <x:f>IF(E251=H251,"Agreement between both AI passes.","AI-pass disagreement; retain for human discussion.")</x:f>
        <x:v>Agreement between both AI passes.</x:v>
      </x:c>
      <x:c r="L251" s="720" t="str">
        <x:v>ARoy Chowdhury $ Barerjze. T Chatterjee «SN Appiad Sciences 2020</x:v>
      </x:c>
      <x:c r="M251" s="728" t="n">
        <x:v>2020</x:v>
      </x:c>
      <x:c r="N251" s="717" t="str">
        <x:v>Google Scholar result</x:v>
      </x:c>
      <x:c r="O251" s="717" t="str">
        <x:v>No</x:v>
      </x:c>
      <x:c r="P251" s="717"/>
    </x:row>
    <x:row r="252" ht="38" customHeight="1">
      <x:c r="A252" s="717" t="str">
        <x:v>GS-03-004</x:v>
      </x:c>
      <x:c r="B252" s="717" t="str">
        <x:v>Google Scholar</x:v>
      </x:c>
      <x:c r="C252" s="717" t="str">
        <x:v>GS-03</x:v>
      </x:c>
      <x:c r="D252" s="720" t="str">
        <x:v>Retneval of similar cases to improve the diagnosis of diabetic retinopathy</x:v>
      </x:c>
      <x:c r="E252" s="717" t="str">
        <x:v>Exclude</x:v>
      </x:c>
      <x:c r="F252" s="720" t="str">
        <x:v>Retinal/ophthalmic topic, but no concept-based or structured explainability method is evident.</x:v>
      </x:c>
      <x:c r="G252" s="717" t="str">
        <x:v>Title only</x:v>
      </x:c>
      <x:c r="H252" s="717" t="str">
        <x:v>Exclude</x:v>
      </x:c>
      <x:c r="I252" s="720" t="str">
        <x:v>Retinal/ophthalmic topic, but no concept-based or structured explainability method is evident.</x:v>
      </x:c>
      <x:c r="J252" s="717" t="str">
        <x:f>IF(E252=H252,E252,"Unclear")</x:f>
        <x:v>Exclude</x:v>
      </x:c>
      <x:c r="K252" s="720" t="str">
        <x:f>IF(E252=H252,"Agreement between both AI passes.","AI-pass disagreement; retain for human discussion.")</x:f>
        <x:v>Agreement between both AI passes.</x:v>
      </x:c>
      <x:c r="L252" s="720" t="str">
        <x:v>ASacz-Rarros LAriza-.dpez</x:v>
      </x:c>
      <x:c r="M252" s="728" t="n">
        <x:v>2023</x:v>
      </x:c>
      <x:c r="N252" s="717" t="str">
        <x:v>Google Scholar result</x:v>
      </x:c>
      <x:c r="O252" s="717" t="str">
        <x:v>No</x:v>
      </x:c>
      <x:c r="P252" s="717"/>
    </x:row>
    <x:row r="253" ht="38" customHeight="1">
      <x:c r="A253" s="717" t="str">
        <x:v>GS-03-005</x:v>
      </x:c>
      <x:c r="B253" s="717" t="str">
        <x:v>Google Scholar</x:v>
      </x:c>
      <x:c r="C253" s="717" t="str">
        <x:v>GS-03</x:v>
      </x:c>
      <x:c r="D253" s="720" t="str">
        <x:v>Case-Based Reasoning for Elderly Eye Disease Diagnosis Using Manhattan Distance and Dempster-Shafer</x:v>
      </x:c>
      <x:c r="E253" s="717" t="str">
        <x:v>Exclude</x:v>
      </x:c>
      <x:c r="F253" s="720" t="str">
        <x:v>Medical/clinical topic, but no eligible concept-based explainability contribution is evident.</x:v>
      </x:c>
      <x:c r="G253" s="717" t="str">
        <x:v>Title only</x:v>
      </x:c>
      <x:c r="H253" s="717" t="str">
        <x:v>Exclude</x:v>
      </x:c>
      <x:c r="I253" s="720" t="str">
        <x:v>Medical/clinical topic, but no eligible concept-based explainability contribution is evident.</x:v>
      </x:c>
      <x:c r="J253" s="717" t="str">
        <x:f>IF(E253=H253,E253,"Unclear")</x:f>
        <x:v>Exclude</x:v>
      </x:c>
      <x:c r="K253" s="720" t="str">
        <x:f>IF(E253=H253,"Agreement between both AI passes.","AI-pass disagreement; retain for human discussion.")</x:f>
        <x:v>Agreement between both AI passes.</x:v>
      </x:c>
      <x:c r="L253" s="720" t="str">
        <x:v>MMitusndavani LC Makcdompit -CoglTo Sra = 2026</x:v>
      </x:c>
      <x:c r="M253" s="728" t="n">
        <x:v>2026</x:v>
      </x:c>
      <x:c r="N253" s="717" t="str">
        <x:v>Google Scholar result</x:v>
      </x:c>
      <x:c r="O253" s="717" t="str">
        <x:v>No</x:v>
      </x:c>
      <x:c r="P253" s="717"/>
    </x:row>
    <x:row r="254" ht="38" customHeight="1">
      <x:c r="A254" s="717" t="str">
        <x:v>GS-03-006</x:v>
      </x:c>
      <x:c r="B254" s="717" t="str">
        <x:v>Google Scholar</x:v>
      </x:c>
      <x:c r="C254" s="717" t="str">
        <x:v>GS-03</x:v>
      </x:c>
      <x:c r="D254" s="720" t="str">
        <x:v>(mage processing using case-based reasoning A survey</x:v>
      </x:c>
      <x:c r="E254" s="717" t="str">
        <x:v>Exclude</x:v>
      </x:c>
      <x:c r="F254" s="720" t="str">
        <x:v>Non-original evidence (review, editorial, response, protocol, or similar); retain only for background/citation chasing (E4).</x:v>
      </x:c>
      <x:c r="G254" s="717" t="str">
        <x:v>Title only</x:v>
      </x:c>
      <x:c r="H254" s="717" t="str">
        <x:v>Exclude</x:v>
      </x:c>
      <x:c r="I254" s="720" t="str">
        <x:v>Non-original evidence (review, editorial, response, protocol, or similar); retain only for background/citation chasing (E4).</x:v>
      </x:c>
      <x:c r="J254" s="717" t="str">
        <x:f>IF(E254=H254,E254,"Unclear")</x:f>
        <x:v>Exclude</x:v>
      </x:c>
      <x:c r="K254" s="720" t="str">
        <x:f>IF(E254=H254,"Agreement between both AI passes.","AI-pass disagreement; retain for human discussion.")</x:f>
        <x:v>Agreement between both AI passes.</x:v>
      </x:c>
      <x:c r="L254" s="720" t="str">
        <x:v>RBarman Sk Biswas $ Sarkar BPurkayastha</x:v>
      </x:c>
      <x:c r="M254" s="728" t="n">
        <x:v>2020</x:v>
      </x:c>
      <x:c r="N254" s="717" t="str">
        <x:v>Google Scholar result</x:v>
      </x:c>
      <x:c r="O254" s="717" t="str">
        <x:v>No</x:v>
      </x:c>
      <x:c r="P254" s="717"/>
    </x:row>
    <x:row r="255" ht="38" customHeight="1">
      <x:c r="A255" s="717" t="str">
        <x:v>GS-03-007</x:v>
      </x:c>
      <x:c r="B255" s="717" t="str">
        <x:v>Google Scholar</x:v>
      </x:c>
      <x:c r="C255" s="717" t="str">
        <x:v>GS-03</x:v>
      </x:c>
      <x:c r="D255" s="720" t="str">
        <x:v>Evaluating Large Language Models in Specialized Myopia Knowledge and Clinical Reasoning</x:v>
      </x:c>
      <x:c r="E255" s="717" t="str">
        <x:v>Exclude</x:v>
      </x:c>
      <x:c r="F255" s="720" t="str">
        <x:v>Medical/clinical topic, but no eligible concept-based explainability contribution is evident.</x:v>
      </x:c>
      <x:c r="G255" s="717" t="str">
        <x:v>Title only</x:v>
      </x:c>
      <x:c r="H255" s="717" t="str">
        <x:v>Exclude</x:v>
      </x:c>
      <x:c r="I255" s="720" t="str">
        <x:v>Medical/clinical topic, but no eligible concept-based explainability contribution is evident.</x:v>
      </x:c>
      <x:c r="J255" s="717" t="str">
        <x:f>IF(E255=H255,E255,"Unclear")</x:f>
        <x:v>Exclude</x:v>
      </x:c>
      <x:c r="K255" s="720" t="str">
        <x:f>IF(E255=H255,"Agreement between both AI passes.","AI-pass disagreement; retain for human discussion.")</x:f>
        <x:v>Agreement between both AI passes.</x:v>
      </x:c>
      <x:c r="L255" s="720" t="str">
        <x:v>ZU N Xn Tang L Xiaodeng. X Jia</x:v>
      </x:c>
      <x:c r="M255" s="728" t="n">
        <x:v>2026</x:v>
      </x:c>
      <x:c r="N255" s="717" t="str">
        <x:v>Google Scholar result</x:v>
      </x:c>
      <x:c r="O255" s="717" t="str">
        <x:v>No</x:v>
      </x:c>
      <x:c r="P255" s="717"/>
    </x:row>
    <x:row r="256" ht="38" customHeight="1">
      <x:c r="A256" s="717" t="str">
        <x:v>GS-03-008</x:v>
      </x:c>
      <x:c r="B256" s="717" t="str">
        <x:v>Google Scholar</x:v>
      </x:c>
      <x:c r="C256" s="717" t="str">
        <x:v>GS-03</x:v>
      </x:c>
      <x:c r="D256" s="720" t="str">
        <x:v>impraving Retneval Performance of Case Based Reasoning Systems by Fuzzy Clustering</x:v>
      </x:c>
      <x:c r="E256" s="717" t="str">
        <x:v>Exclude</x:v>
      </x:c>
      <x:c r="F256" s="720" t="str">
        <x:v>Clearly outside retinal/ophthalmic concept-based explainable AI.</x:v>
      </x:c>
      <x:c r="G256" s="717" t="str">
        <x:v>Title only</x:v>
      </x:c>
      <x:c r="H256" s="717" t="str">
        <x:v>Exclude</x:v>
      </x:c>
      <x:c r="I256" s="720" t="str">
        <x:v>Clearly outside retinal/ophthalmic concept-based explainable AI.</x:v>
      </x:c>
      <x:c r="J256" s="717" t="str">
        <x:f>IF(E256=H256,E256,"Unclear")</x:f>
        <x:v>Exclude</x:v>
      </x:c>
      <x:c r="K256" s="720" t="str">
        <x:f>IF(E256=H256,"Agreement between both AI passes.","AI-pass disagreement; retain for human discussion.")</x:f>
        <x:v>Agreement between both AI passes.</x:v>
      </x:c>
      <x:c r="L256" s="720" t="str">
        <x:v>E Saad. BAimaci E Henn</x:v>
      </x:c>
      <x:c r="M256" s="728" t="n">
        <x:v>2024</x:v>
      </x:c>
      <x:c r="N256" s="717" t="str">
        <x:v>Google Scholar result</x:v>
      </x:c>
      <x:c r="O256" s="717" t="str">
        <x:v>No</x:v>
      </x:c>
      <x:c r="P256" s="717"/>
    </x:row>
    <x:row r="257" ht="38" customHeight="1">
      <x:c r="A257" s="717" t="str">
        <x:v>GS-03-009</x:v>
      </x:c>
      <x:c r="B257" s="717" t="str">
        <x:v>Google Scholar</x:v>
      </x:c>
      <x:c r="C257" s="717" t="str">
        <x:v>GS-03</x:v>
      </x:c>
      <x:c r="D257" s="720" t="str">
        <x:v>por] A Case Assessment Of Knowledge-Based Fit In Frame For Diagnosis Of Human Eye Diseases</x:v>
      </x:c>
      <x:c r="E257" s="717" t="str">
        <x:v>Exclude</x:v>
      </x:c>
      <x:c r="F257" s="720" t="str">
        <x:v>Medical/clinical topic, but no eligible concept-based explainability contribution is evident.</x:v>
      </x:c>
      <x:c r="G257" s="717" t="str">
        <x:v>Title only</x:v>
      </x:c>
      <x:c r="H257" s="717" t="str">
        <x:v>Exclude</x:v>
      </x:c>
      <x:c r="I257" s="720" t="str">
        <x:v>Medical/clinical topic, but no eligible concept-based explainability contribution is evident.</x:v>
      </x:c>
      <x:c r="J257" s="717" t="str">
        <x:f>IF(E257=H257,E257,"Unclear")</x:f>
        <x:v>Exclude</x:v>
      </x:c>
      <x:c r="K257" s="720" t="str">
        <x:f>IF(E257=H257,"Agreement between both AI passes.","AI-pass disagreement; retain for human discussion.")</x:f>
        <x:v>Agreement between both AI passes.</x:v>
      </x:c>
      <x:c r="L257" s="720" t="str">
        <x:v>NMishra G Thansayel JM Samuel</x:v>
      </x:c>
      <x:c r="M257" s="728" t="n">
        <x:v>2019</x:v>
      </x:c>
      <x:c r="N257" s="717" t="str">
        <x:v>Google Scholar result</x:v>
      </x:c>
      <x:c r="O257" s="717" t="str">
        <x:v>No</x:v>
      </x:c>
      <x:c r="P257" s="717"/>
    </x:row>
    <x:row r="258" ht="38" customHeight="1">
      <x:c r="A258" s="717" t="str">
        <x:v>GS-03-010</x:v>
      </x:c>
      <x:c r="B258" s="717" t="str">
        <x:v>Google Scholar</x:v>
      </x:c>
      <x:c r="C258" s="717" t="str">
        <x:v>GS-03</x:v>
      </x:c>
      <x:c r="D258" s="720" t="str">
        <x:v>(nterpretable mammographic image classification using case-based reasoning and deep learning</x:v>
      </x:c>
      <x:c r="E258" s="717" t="str">
        <x:v>Exclude</x:v>
      </x:c>
      <x:c r="F258" s="720" t="str">
        <x:v>Medical/clinical topic, but no eligible concept-based explainability contribution is evident.</x:v>
      </x:c>
      <x:c r="G258" s="717" t="str">
        <x:v>Title only</x:v>
      </x:c>
      <x:c r="H258" s="717" t="str">
        <x:v>Exclude</x:v>
      </x:c>
      <x:c r="I258" s="720" t="str">
        <x:v>Medical/clinical topic, but no eligible concept-based explainability contribution is evident.</x:v>
      </x:c>
      <x:c r="J258" s="717" t="str">
        <x:f>IF(E258=H258,E258,"Unclear")</x:f>
        <x:v>Exclude</x:v>
      </x:c>
      <x:c r="K258" s="720" t="str">
        <x:f>IF(E258=H258,"Agreement between both AI passes.","AI-pass disagreement; retain for human discussion.")</x:f>
        <x:v>Agreement between both AI passes.</x:v>
      </x:c>
      <x:c r="L258" s="720" t="str">
        <x:v>AlBamett FR Schware Cao CChen YRe&gt; -arXiv preprint arXiv, 2021</x:v>
      </x:c>
      <x:c r="M258" s="728" t="n">
        <x:v>2021</x:v>
      </x:c>
      <x:c r="N258" s="717" t="str">
        <x:v>Google Scholar result</x:v>
      </x:c>
      <x:c r="O258" s="717" t="str">
        <x:v>No</x:v>
      </x:c>
      <x:c r="P258" s="717"/>
    </x:row>
    <x:row r="259" ht="38" customHeight="1">
      <x:c r="A259" s="717" t="str">
        <x:v>GS-03-011</x:v>
      </x:c>
      <x:c r="B259" s="717" t="str">
        <x:v>Google Scholar</x:v>
      </x:c>
      <x:c r="C259" s="717" t="str">
        <x:v>GS-03</x:v>
      </x:c>
      <x:c r="D259" s="720" t="str">
        <x:v>(4T#L] Decision support for managing commen musculoskeletal pain disorders. development of a case-based reasoning application</x:v>
      </x:c>
      <x:c r="E259" s="717" t="str">
        <x:v>Exclude</x:v>
      </x:c>
      <x:c r="F259" s="720" t="str">
        <x:v>Clearly outside retinal/ophthalmic concept-based explainable AI.</x:v>
      </x:c>
      <x:c r="G259" s="717" t="str">
        <x:v>Title only</x:v>
      </x:c>
      <x:c r="H259" s="717" t="str">
        <x:v>Exclude</x:v>
      </x:c>
      <x:c r="I259" s="720" t="str">
        <x:v>Clearly outside retinal/ophthalmic concept-based explainable AI.</x:v>
      </x:c>
      <x:c r="J259" s="717" t="str">
        <x:f>IF(E259=H259,E259,"Unclear")</x:f>
        <x:v>Exclude</x:v>
      </x:c>
      <x:c r="K259" s="720" t="str">
        <x:f>IF(E259=H259,"Agreement between both AI passes.","AI-pass disagreement; retain for human discussion.")</x:f>
        <x:v>Agreement between both AI passes.</x:v>
      </x:c>
      <x:c r="L259" s="720" t="str">
        <x:v>F Granviken. O Vassellen K Bach.</x:v>
      </x:c>
      <x:c r="M259" s="728" t="n">
        <x:v>2024</x:v>
      </x:c>
      <x:c r="N259" s="717" t="str">
        <x:v>Google Scholar result</x:v>
      </x:c>
      <x:c r="O259" s="717" t="str">
        <x:v>No</x:v>
      </x:c>
      <x:c r="P259" s="717"/>
    </x:row>
    <x:row r="260" ht="38" customHeight="1">
      <x:c r="A260" s="717" t="str">
        <x:v>GS-03-012</x:v>
      </x:c>
      <x:c r="B260" s="717" t="str">
        <x:v>Google Scholar</x:v>
      </x:c>
      <x:c r="C260" s="717" t="str">
        <x:v>GS-03</x:v>
      </x:c>
      <x:c r="D260" s="720" t="str">
        <x:v>Using case-based reasoning In a learning system a prototype of a padagagical hurss tool for evidence-based diabetic foot ulcer care</x:v>
      </x:c>
      <x:c r="E260" s="717" t="str">
        <x:v>Exclude</x:v>
      </x:c>
      <x:c r="F260" s="720" t="str">
        <x:v>Clearly outside retinal/ophthalmic concept-based explainable AI.</x:v>
      </x:c>
      <x:c r="G260" s="717" t="str">
        <x:v>Title only</x:v>
      </x:c>
      <x:c r="H260" s="717" t="str">
        <x:v>Exclude</x:v>
      </x:c>
      <x:c r="I260" s="720" t="str">
        <x:v>Clearly outside retinal/ophthalmic concept-based explainable AI.</x:v>
      </x:c>
      <x:c r="J260" s="717" t="str">
        <x:f>IF(E260=H260,E260,"Unclear")</x:f>
        <x:v>Exclude</x:v>
      </x:c>
      <x:c r="K260" s="720" t="str">
        <x:f>IF(E260=H260,"Agreement between both AI passes.","AI-pass disagreement; retain for human discussion.")</x:f>
        <x:v>Agreement between both AI passes.</x:v>
      </x:c>
      <x:c r="L260" s="720" t="str">
        <x:v>C Bende: SL Cichasz AfMMalovini. -Joutna of Diabetes 2022</x:v>
      </x:c>
      <x:c r="M260" s="728" t="n">
        <x:v>2022</x:v>
      </x:c>
      <x:c r="N260" s="717" t="str">
        <x:v>Google Scholar result</x:v>
      </x:c>
      <x:c r="O260" s="717" t="str">
        <x:v>No</x:v>
      </x:c>
      <x:c r="P260" s="717"/>
    </x:row>
    <x:row r="261" ht="38" customHeight="1">
      <x:c r="A261" s="717" t="str">
        <x:v>GS-03-013</x:v>
      </x:c>
      <x:c r="B261" s="717" t="str">
        <x:v>Google Scholar</x:v>
      </x:c>
      <x:c r="C261" s="717" t="str">
        <x:v>GS-03</x:v>
      </x:c>
      <x:c r="D261" s="720" t="str">
        <x:v>Explainable prediction of chronic renal disease in the colombian population using neural networks and case-based reasoning</x:v>
      </x:c>
      <x:c r="E261" s="717" t="str">
        <x:v>Unclear</x:v>
      </x:c>
      <x:c r="F261" s="720" t="str">
        <x:v>Possible contextual explainability evidence, but concept-level relevance is not confirmed from the available title only.</x:v>
      </x:c>
      <x:c r="G261" s="717" t="str">
        <x:v>Title only</x:v>
      </x:c>
      <x:c r="H261" s="717" t="str">
        <x:v>Exclude</x:v>
      </x:c>
      <x:c r="I261" s="720" t="str">
        <x:v>Medical/clinical topic, but no eligible concept-based explainability contribution is evident.</x:v>
      </x:c>
      <x:c r="J261" s="717" t="str">
        <x:f>IF(E261=H261,E261,"Unclear")</x:f>
        <x:v>Unclear</x:v>
      </x:c>
      <x:c r="K261" s="720" t="str">
        <x:f>IF(E261=H261,"Agreement between both AI passes.","AI-pass disagreement; retain for human discussion.")</x:f>
        <x:v>AI-pass disagreement; retain for human discussion.</x:v>
      </x:c>
      <x:c r="L261" s="720" t="str">
        <x:v>GR Vasquez-Morsles SM Marinez-Monterrubio -lsee =. 20:19</x:v>
      </x:c>
      <x:c r="M261" s="728"/>
      <x:c r="N261" s="717" t="str">
        <x:v>Google Scholar result</x:v>
      </x:c>
      <x:c r="O261" s="717" t="str">
        <x:v>No</x:v>
      </x:c>
      <x:c r="P261" s="717"/>
    </x:row>
    <x:row r="262" ht="38" customHeight="1">
      <x:c r="A262" s="717" t="str">
        <x:v>GS-03-014</x:v>
      </x:c>
      <x:c r="B262" s="717" t="str">
        <x:v>Google Scholar</x:v>
      </x:c>
      <x:c r="C262" s="717" t="str">
        <x:v>GS-03</x:v>
      </x:c>
      <x:c r="D262" s="720" t="str">
        <x:v>Case-based reasoning for insulin bolus advice evaluation of case parameters In a six-week pilot study</x:v>
      </x:c>
      <x:c r="E262" s="717" t="str">
        <x:v>Exclude</x:v>
      </x:c>
      <x:c r="F262" s="720" t="str">
        <x:v>Clearly outside retinal/ophthalmic concept-based explainable AI.</x:v>
      </x:c>
      <x:c r="G262" s="717" t="str">
        <x:v>Title only</x:v>
      </x:c>
      <x:c r="H262" s="717" t="str">
        <x:v>Exclude</x:v>
      </x:c>
      <x:c r="I262" s="720" t="str">
        <x:v>Clearly outside retinal/ophthalmic concept-based explainable AI.</x:v>
      </x:c>
      <x:c r="J262" s="717" t="str">
        <x:f>IF(E262=H262,E262,"Unclear")</x:f>
        <x:v>Exclude</x:v>
      </x:c>
      <x:c r="K262" s="720" t="str">
        <x:f>IF(E262=H262,"Agreement between both AI passes.","AI-pass disagreement; retain for human discussion.")</x:f>
        <x:v>Agreement between both AI passes.</x:v>
      </x:c>
      <x:c r="L262" s="720" t="str">
        <x:v>P Pes: P Herrero M Reddy. N Olver =</x:v>
      </x:c>
      <x:c r="M262" s="728"/>
      <x:c r="N262" s="717" t="str">
        <x:v>Google Scholar result</x:v>
      </x:c>
      <x:c r="O262" s="717" t="str">
        <x:v>No</x:v>
      </x:c>
      <x:c r="P262" s="717"/>
    </x:row>
    <x:row r="263" ht="38" customHeight="1">
      <x:c r="A263" s="717" t="str">
        <x:v>GS-03-015</x:v>
      </x:c>
      <x:c r="B263" s="717" t="str">
        <x:v>Google Scholar</x:v>
      </x:c>
      <x:c r="C263" s="717" t="str">
        <x:v>GS-03</x:v>
      </x:c>
      <x:c r="D263" s="720" t="str">
        <x:v>Application of Case-Based Reasoning to the safety assessment of critical software used in rail transport</x:v>
      </x:c>
      <x:c r="E263" s="717" t="str">
        <x:v>Exclude</x:v>
      </x:c>
      <x:c r="F263" s="720" t="str">
        <x:v>Clearly outside retinal/ophthalmic concept-based explainable AI.</x:v>
      </x:c>
      <x:c r="G263" s="717" t="str">
        <x:v>Title only</x:v>
      </x:c>
      <x:c r="H263" s="717" t="str">
        <x:v>Exclude</x:v>
      </x:c>
      <x:c r="I263" s="720" t="str">
        <x:v>Clearly outside retinal/ophthalmic concept-based explainable AI.</x:v>
      </x:c>
      <x:c r="J263" s="717" t="str">
        <x:f>IF(E263=H263,E263,"Unclear")</x:f>
        <x:v>Exclude</x:v>
      </x:c>
      <x:c r="K263" s="720" t="str">
        <x:f>IF(E263=H263,"Agreement between both AI passes.","AI-pass disagreement; retain for human discussion.")</x:f>
        <x:v>Agreement between both AI passes.</x:v>
      </x:c>
      <x:c r="L263" s="720" t="str">
        <x:v>H Hadj-Mabrou«</x:v>
      </x:c>
      <x:c r="M263" s="728" t="n">
        <x:v>2020</x:v>
      </x:c>
      <x:c r="N263" s="717" t="str">
        <x:v>Google Scholar result</x:v>
      </x:c>
      <x:c r="O263" s="717" t="str">
        <x:v>No</x:v>
      </x:c>
      <x:c r="P263" s="717"/>
    </x:row>
    <x:row r="264" ht="38" customHeight="1">
      <x:c r="A264" s="717" t="str">
        <x:v>GS-03-016</x:v>
      </x:c>
      <x:c r="B264" s="717" t="str">
        <x:v>Google Scholar</x:v>
      </x:c>
      <x:c r="C264" s="717" t="str">
        <x:v>GS-03</x:v>
      </x:c>
      <x:c r="D264" s="720" t="str">
        <x:v>A cellular automaton integrating spatial case-based reasoning for predicting local landslide hazards</x:v>
      </x:c>
      <x:c r="E264" s="717" t="str">
        <x:v>Exclude</x:v>
      </x:c>
      <x:c r="F264" s="720" t="str">
        <x:v>Clearly outside retinal/ophthalmic concept-based explainable AI.</x:v>
      </x:c>
      <x:c r="G264" s="717" t="str">
        <x:v>Title only</x:v>
      </x:c>
      <x:c r="H264" s="717" t="str">
        <x:v>Exclude</x:v>
      </x:c>
      <x:c r="I264" s="720" t="str">
        <x:v>Clearly outside retinal/ophthalmic concept-based explainable AI.</x:v>
      </x:c>
      <x:c r="J264" s="717" t="str">
        <x:f>IF(E264=H264,E264,"Unclear")</x:f>
        <x:v>Exclude</x:v>
      </x:c>
      <x:c r="K264" s="720" t="str">
        <x:f>IF(E264=H264,"Agreement between both AI passes.","AI-pass disagreement; retain for human discussion.")</x:f>
        <x:v>Agreement between both AI passes.</x:v>
      </x:c>
      <x:c r="L264" s="720" t="str">
        <x:v>J Chen. « Xu Z Zhag, X San. “ Kie- Internahana Jo.malo’ = 2024</x:v>
      </x:c>
      <x:c r="M264" s="728" t="n">
        <x:v>2024</x:v>
      </x:c>
      <x:c r="N264" s="717" t="str">
        <x:v>Google Scholar result</x:v>
      </x:c>
      <x:c r="O264" s="717" t="str">
        <x:v>No</x:v>
      </x:c>
      <x:c r="P264" s="717"/>
    </x:row>
    <x:row r="265" ht="38" customHeight="1">
      <x:c r="A265" s="717" t="str">
        <x:v>GS-03-017</x:v>
      </x:c>
      <x:c r="B265" s="717" t="str">
        <x:v>Google Scholar</x:v>
      </x:c>
      <x:c r="C265" s="717" t="str">
        <x:v>GS-03</x:v>
      </x:c>
      <x:c r="D265" s="720" t="str">
        <x:v>Logistics project risk response decision-making for global supply chain resilience and agility’ an optimised case-based reasoning</x:v>
      </x:c>
      <x:c r="E265" s="717" t="str">
        <x:v>Exclude</x:v>
      </x:c>
      <x:c r="F265" s="720" t="str">
        <x:v>Clearly outside retinal/ophthalmic concept-based explainable AI.</x:v>
      </x:c>
      <x:c r="G265" s="717" t="str">
        <x:v>Title only</x:v>
      </x:c>
      <x:c r="H265" s="717" t="str">
        <x:v>Exclude</x:v>
      </x:c>
      <x:c r="I265" s="720" t="str">
        <x:v>Clearly outside retinal/ophthalmic concept-based explainable AI.</x:v>
      </x:c>
      <x:c r="J265" s="717" t="str">
        <x:f>IF(E265=H265,E265,"Unclear")</x:f>
        <x:v>Exclude</x:v>
      </x:c>
      <x:c r="K265" s="720" t="str">
        <x:f>IF(E265=H265,"Agreement between both AI passes.","AI-pass disagreement; retain for human discussion.")</x:f>
        <x:v>Agreement between both AI passes.</x:v>
      </x:c>
      <x:c r="L265" s="720" t="str">
        <x:v>% Zhang, M Goh S Bai L Bai</x:v>
      </x:c>
      <x:c r="M265" s="728" t="n">
        <x:v>2026</x:v>
      </x:c>
      <x:c r="N265" s="717" t="str">
        <x:v>Google Scholar result</x:v>
      </x:c>
      <x:c r="O265" s="717" t="str">
        <x:v>No</x:v>
      </x:c>
      <x:c r="P265" s="717"/>
    </x:row>
    <x:row r="266" ht="38" customHeight="1">
      <x:c r="A266" s="717" t="str">
        <x:v>GS-03-018</x:v>
      </x:c>
      <x:c r="B266" s="717" t="str">
        <x:v>Google Scholar</x:v>
      </x:c>
      <x:c r="C266" s="717" t="str">
        <x:v>GS-03</x:v>
      </x:c>
      <x:c r="D266" s="720" t="str">
        <x:v>Design of an intelligent tutor system for the personalization of learning activities using case-based reasoning and multi-agent system</x:v>
      </x:c>
      <x:c r="E266" s="717" t="str">
        <x:v>Exclude</x:v>
      </x:c>
      <x:c r="F266" s="720" t="str">
        <x:v>Clearly outside retinal/ophthalmic concept-based explainable AI.</x:v>
      </x:c>
      <x:c r="G266" s="717" t="str">
        <x:v>Title only</x:v>
      </x:c>
      <x:c r="H266" s="717" t="str">
        <x:v>Exclude</x:v>
      </x:c>
      <x:c r="I266" s="720" t="str">
        <x:v>Clearly outside retinal/ophthalmic concept-based explainable AI.</x:v>
      </x:c>
      <x:c r="J266" s="717" t="str">
        <x:f>IF(E266=H266,E266,"Unclear")</x:f>
        <x:v>Exclude</x:v>
      </x:c>
      <x:c r="K266" s="720" t="str">
        <x:f>IF(E266=H266,"Agreement between both AI passes.","AI-pass disagreement; retain for human discussion.")</x:f>
        <x:v>Agreement between both AI passes.</x:v>
      </x:c>
      <x:c r="L266" s="720" t="str">
        <x:v>LAngir | Challig M Khai, M Kalo . 2024</x:v>
      </x:c>
      <x:c r="M266" s="728" t="n">
        <x:v>2024</x:v>
      </x:c>
      <x:c r="N266" s="717" t="str">
        <x:v>Google Scholar result</x:v>
      </x:c>
      <x:c r="O266" s="717" t="str">
        <x:v>No</x:v>
      </x:c>
      <x:c r="P266" s="717"/>
    </x:row>
    <x:row r="267" ht="38" customHeight="1">
      <x:c r="A267" s="717" t="str">
        <x:v>GS-03-019</x:v>
      </x:c>
      <x:c r="B267" s="717" t="str">
        <x:v>Google Scholar</x:v>
      </x:c>
      <x:c r="C267" s="717" t="str">
        <x:v>GS-03</x:v>
      </x:c>
      <x:c r="D267" s="720" t="str">
        <x:v>CBR-PDS a case-based reasoning phishing detection system</x:v>
      </x:c>
      <x:c r="E267" s="717" t="str">
        <x:v>Exclude</x:v>
      </x:c>
      <x:c r="F267" s="720" t="str">
        <x:v>Clearly outside retinal/ophthalmic concept-based explainable AI.</x:v>
      </x:c>
      <x:c r="G267" s="717" t="str">
        <x:v>Title only</x:v>
      </x:c>
      <x:c r="H267" s="717" t="str">
        <x:v>Exclude</x:v>
      </x:c>
      <x:c r="I267" s="720" t="str">
        <x:v>Clearly outside retinal/ophthalmic concept-based explainable AI.</x:v>
      </x:c>
      <x:c r="J267" s="717" t="str">
        <x:f>IF(E267=H267,E267,"Unclear")</x:f>
        <x:v>Exclude</x:v>
      </x:c>
      <x:c r="K267" s="720" t="str">
        <x:f>IF(E267=H267,"Agreement between both AI passes.","AI-pass disagreement; retain for human discussion.")</x:f>
        <x:v>Agreement between both AI passes.</x:v>
      </x:c>
      <x:c r="L267" s="720" t="str">
        <x:v>HAbwlar ABelghith § AlAhmadi -Jcumal of Ambeni Intelligence and . 2019</x:v>
      </x:c>
      <x:c r="M267" s="728" t="n">
        <x:v>2019</x:v>
      </x:c>
      <x:c r="N267" s="717" t="str">
        <x:v>Google Scholar result</x:v>
      </x:c>
      <x:c r="O267" s="717" t="str">
        <x:v>No</x:v>
      </x:c>
      <x:c r="P267" s="717"/>
    </x:row>
    <x:row r="268" ht="38" customHeight="1">
      <x:c r="A268" s="717" t="str">
        <x:v>GS-03-020</x:v>
      </x:c>
      <x:c r="B268" s="717" t="str">
        <x:v>Google Scholar</x:v>
      </x:c>
      <x:c r="C268" s="717" t="str">
        <x:v>GS-03</x:v>
      </x:c>
      <x:c r="D268" s="720" t="str">
        <x:v>Construction safety decision-making system based an improved integration of case-based reasoning and rule-based reasoning</x:v>
      </x:c>
      <x:c r="E268" s="717" t="str">
        <x:v>Exclude</x:v>
      </x:c>
      <x:c r="F268" s="720" t="str">
        <x:v>Clearly outside retinal/ophthalmic concept-based explainable AI.</x:v>
      </x:c>
      <x:c r="G268" s="717" t="str">
        <x:v>Title only</x:v>
      </x:c>
      <x:c r="H268" s="717" t="str">
        <x:v>Exclude</x:v>
      </x:c>
      <x:c r="I268" s="720" t="str">
        <x:v>Clearly outside retinal/ophthalmic concept-based explainable AI.</x:v>
      </x:c>
      <x:c r="J268" s="717" t="str">
        <x:f>IF(E268=H268,E268,"Unclear")</x:f>
        <x:v>Exclude</x:v>
      </x:c>
      <x:c r="K268" s="720" t="str">
        <x:f>IF(E268=H268,"Agreement between both AI passes.","AI-pass disagreement; retain for human discussion.")</x:f>
        <x:v>Agreement between both AI passes.</x:v>
      </x:c>
      <x:c r="L268" s="720" t="str">
        <x:v>4 Zharg $ Jiang</x:v>
      </x:c>
      <x:c r="M268" s="728"/>
      <x:c r="N268" s="717" t="str">
        <x:v>Google Scholar result</x:v>
      </x:c>
      <x:c r="O268" s="717" t="str">
        <x:v>No</x:v>
      </x:c>
      <x:c r="P268" s="717"/>
    </x:row>
    <x:row r="269" ht="38" customHeight="1">
      <x:c r="A269" s="717" t="str">
        <x:v>GS-03-021</x:v>
      </x:c>
      <x:c r="B269" s="717" t="str">
        <x:v>Google Scholar</x:v>
      </x:c>
      <x:c r="C269" s="717" t="str">
        <x:v>GS-03</x:v>
      </x:c>
      <x:c r="D269" s="720" t="str">
        <x:v>Case-Based Reasoning Meets Large Language Models A Research Manifesto For Open Challenges and Research Directions</x:v>
      </x:c>
      <x:c r="E269" s="717" t="str">
        <x:v>Exclude</x:v>
      </x:c>
      <x:c r="F269" s="720" t="str">
        <x:v>Clearly outside retinal/ophthalmic concept-based explainable AI.</x:v>
      </x:c>
      <x:c r="G269" s="717" t="str">
        <x:v>Title only</x:v>
      </x:c>
      <x:c r="H269" s="717" t="str">
        <x:v>Exclude</x:v>
      </x:c>
      <x:c r="I269" s="720" t="str">
        <x:v>Clearly outside retinal/ophthalmic concept-based explainable AI.</x:v>
      </x:c>
      <x:c r="J269" s="717" t="str">
        <x:f>IF(E269=H269,E269,"Unclear")</x:f>
        <x:v>Exclude</x:v>
      </x:c>
      <x:c r="K269" s="720" t="str">
        <x:f>IF(E269=H269,"Agreement between both AI passes.","AI-pass disagreement; retain for human discussion.")</x:f>
        <x:v>Agreement between both AI passes.</x:v>
      </x:c>
      <x:c r="L269" s="720" t="str">
        <x:v>K Barth R Beromann F Brand M Cara-Marine2 .</x:v>
      </x:c>
      <x:c r="M269" s="728" t="n">
        <x:v>2025</x:v>
      </x:c>
      <x:c r="N269" s="717" t="str">
        <x:v>Google Scholar result</x:v>
      </x:c>
      <x:c r="O269" s="717" t="str">
        <x:v>No</x:v>
      </x:c>
      <x:c r="P269" s="717"/>
    </x:row>
    <x:row r="270" ht="38" customHeight="1">
      <x:c r="A270" s="717" t="str">
        <x:v>GS-03-022</x:v>
      </x:c>
      <x:c r="B270" s="717" t="str">
        <x:v>Google Scholar</x:v>
      </x:c>
      <x:c r="C270" s="717" t="str">
        <x:v>GS-03</x:v>
      </x:c>
      <x:c r="D270" s="720" t="str">
        <x:v>Identification of coronary artery disease using artificial neural network and case- based reasoning</x:v>
      </x:c>
      <x:c r="E270" s="717" t="str">
        <x:v>Exclude</x:v>
      </x:c>
      <x:c r="F270" s="720" t="str">
        <x:v>Medical/clinical topic, but no eligible concept-based explainability contribution is evident.</x:v>
      </x:c>
      <x:c r="G270" s="717" t="str">
        <x:v>Title only</x:v>
      </x:c>
      <x:c r="H270" s="717" t="str">
        <x:v>Exclude</x:v>
      </x:c>
      <x:c r="I270" s="720" t="str">
        <x:v>Medical/clinical topic, but no eligible concept-based explainability contribution is evident.</x:v>
      </x:c>
      <x:c r="J270" s="717" t="str">
        <x:f>IF(E270=H270,E270,"Unclear")</x:f>
        <x:v>Exclude</x:v>
      </x:c>
      <x:c r="K270" s="720" t="str">
        <x:f>IF(E270=H270,"Agreement between both AI passes.","AI-pass disagreement; retain for human discussion.")</x:f>
        <x:v>Agreement between both AI passes.</x:v>
      </x:c>
      <x:c r="L270" s="720" t="str">
        <x:v>V¥ Sapra, ML Saini L Verma</x:v>
      </x:c>
      <x:c r="M270" s="728" t="n">
        <x:v>2021</x:v>
      </x:c>
      <x:c r="N270" s="717" t="str">
        <x:v>Google Scholar result</x:v>
      </x:c>
      <x:c r="O270" s="717" t="str">
        <x:v>No</x:v>
      </x:c>
      <x:c r="P270" s="717"/>
    </x:row>
    <x:row r="271" ht="38" customHeight="1">
      <x:c r="A271" s="717" t="str">
        <x:v>GS-03-023</x:v>
      </x:c>
      <x:c r="B271" s="717" t="str">
        <x:v>Google Scholar</x:v>
      </x:c>
      <x:c r="C271" s="717" t="str">
        <x:v>GS-03</x:v>
      </x:c>
      <x:c r="D271" s="720" t="str">
        <x:v>Time-varying intuitionistic fuzzy integral for emergency materials demand prediction with case-based reasoning</x:v>
      </x:c>
      <x:c r="E271" s="717" t="str">
        <x:v>Exclude</x:v>
      </x:c>
      <x:c r="F271" s="720" t="str">
        <x:v>Clearly outside retinal/ophthalmic concept-based explainable AI.</x:v>
      </x:c>
      <x:c r="G271" s="717" t="str">
        <x:v>Title only</x:v>
      </x:c>
      <x:c r="H271" s="717" t="str">
        <x:v>Exclude</x:v>
      </x:c>
      <x:c r="I271" s="720" t="str">
        <x:v>Clearly outside retinal/ophthalmic concept-based explainable AI.</x:v>
      </x:c>
      <x:c r="J271" s="717" t="str">
        <x:f>IF(E271=H271,E271,"Unclear")</x:f>
        <x:v>Exclude</x:v>
      </x:c>
      <x:c r="K271" s="720" t="str">
        <x:f>IF(E271=H271,"Agreement between both AI passes.","AI-pass disagreement; retain for human discussion.")</x:f>
        <x:v>Agreement between both AI passes.</x:v>
      </x:c>
      <x:c r="L271" s="720" t="str">
        <x:v>Dliatg ¥Y Fu. 2X</x:v>
      </x:c>
      <x:c r="M271" s="728" t="n">
        <x:v>2021</x:v>
      </x:c>
      <x:c r="N271" s="717" t="str">
        <x:v>Google Scholar result</x:v>
      </x:c>
      <x:c r="O271" s="717" t="str">
        <x:v>No</x:v>
      </x:c>
      <x:c r="P271" s="717"/>
    </x:row>
    <x:row r="272" ht="38" customHeight="1">
      <x:c r="A272" s="717" t="str">
        <x:v>GS-03-024</x:v>
      </x:c>
      <x:c r="B272" s="717" t="str">
        <x:v>Google Scholar</x:v>
      </x:c>
      <x:c r="C272" s="717" t="str">
        <x:v>GS-03</x:v>
      </x:c>
      <x:c r="D272" s="720" t="str">
        <x:v>Case-based reasoning for product style construction and fuzzy analytic hierarchy process evaluation modeling using consumers linguistic yanables</x:v>
      </x:c>
      <x:c r="E272" s="717" t="str">
        <x:v>Exclude</x:v>
      </x:c>
      <x:c r="F272" s="720" t="str">
        <x:v>Clearly outside retinal/ophthalmic concept-based explainable AI.</x:v>
      </x:c>
      <x:c r="G272" s="717" t="str">
        <x:v>Title only</x:v>
      </x:c>
      <x:c r="H272" s="717" t="str">
        <x:v>Exclude</x:v>
      </x:c>
      <x:c r="I272" s="720" t="str">
        <x:v>Clearly outside retinal/ophthalmic concept-based explainable AI.</x:v>
      </x:c>
      <x:c r="J272" s="717" t="str">
        <x:f>IF(E272=H272,E272,"Unclear")</x:f>
        <x:v>Exclude</x:v>
      </x:c>
      <x:c r="K272" s="720" t="str">
        <x:f>IF(E272=H272,"Agreement between both AI passes.","AI-pass disagreement; retain for human discussion.")</x:f>
        <x:v>Agreement between both AI passes.</x:v>
      </x:c>
      <x:c r="L272" s="720" t="str">
        <x:v>DwWang ZL. §\ Dey 4S 4shour RS Shevat</x:v>
      </x:c>
      <x:c r="M272" s="728" t="n">
        <x:v>2017</x:v>
      </x:c>
      <x:c r="N272" s="717" t="str">
        <x:v>Google Scholar result</x:v>
      </x:c>
      <x:c r="O272" s="717" t="str">
        <x:v>No</x:v>
      </x:c>
      <x:c r="P272" s="717"/>
    </x:row>
    <x:row r="273" ht="38" customHeight="1">
      <x:c r="A273" s="717" t="str">
        <x:v>GS-03-025</x:v>
      </x:c>
      <x:c r="B273" s="717" t="str">
        <x:v>Google Scholar</x:v>
      </x:c>
      <x:c r="C273" s="717" t="str">
        <x:v>GS-03</x:v>
      </x:c>
      <x:c r="D273" s="720" t="str">
        <x:v>A generation and repair approach to scheduling semiconductor packaging facilities using case-based reasoning</x:v>
      </x:c>
      <x:c r="E273" s="717" t="str">
        <x:v>Exclude</x:v>
      </x:c>
      <x:c r="F273" s="720" t="str">
        <x:v>Clearly outside retinal/ophthalmic concept-based explainable AI.</x:v>
      </x:c>
      <x:c r="G273" s="717" t="str">
        <x:v>Title only</x:v>
      </x:c>
      <x:c r="H273" s="717" t="str">
        <x:v>Exclude</x:v>
      </x:c>
      <x:c r="I273" s="720" t="str">
        <x:v>Clearly outside retinal/ophthalmic concept-based explainable AI.</x:v>
      </x:c>
      <x:c r="J273" s="717" t="str">
        <x:f>IF(E273=H273,E273,"Unclear")</x:f>
        <x:v>Exclude</x:v>
      </x:c>
      <x:c r="K273" s="720" t="str">
        <x:f>IF(E273=H273,"Agreement between both AI passes.","AI-pass disagreement; retain for human discussion.")</x:f>
        <x:v>Agreement between both AI passes.</x:v>
      </x:c>
      <x:c r="L273" s="720" t="str">
        <x:v>IB Park JJ Huh J Park. IEEE Access 2023</x:v>
      </x:c>
      <x:c r="M273" s="728" t="n">
        <x:v>2023</x:v>
      </x:c>
      <x:c r="N273" s="717" t="str">
        <x:v>Google Scholar result</x:v>
      </x:c>
      <x:c r="O273" s="717" t="str">
        <x:v>No</x:v>
      </x:c>
      <x:c r="P273" s="717"/>
    </x:row>
    <x:row r="274" ht="38" customHeight="1">
      <x:c r="A274" s="717" t="str">
        <x:v>GS-03-027</x:v>
      </x:c>
      <x:c r="B274" s="717" t="str">
        <x:v>Google Scholar</x:v>
      </x:c>
      <x:c r="C274" s="717" t="str">
        <x:v>GS-03</x:v>
      </x:c>
      <x:c r="D274" s="720" t="str">
        <x:v>Hybrid optimization and case-based reasoning framework for iot task offloading in cloud radio access networks</x:v>
      </x:c>
      <x:c r="E274" s="717" t="str">
        <x:v>Exclude</x:v>
      </x:c>
      <x:c r="F274" s="720" t="str">
        <x:v>Clearly outside retinal/ophthalmic concept-based explainable AI.</x:v>
      </x:c>
      <x:c r="G274" s="717" t="str">
        <x:v>Title only</x:v>
      </x:c>
      <x:c r="H274" s="717" t="str">
        <x:v>Exclude</x:v>
      </x:c>
      <x:c r="I274" s="720" t="str">
        <x:v>Clearly outside retinal/ophthalmic concept-based explainable AI.</x:v>
      </x:c>
      <x:c r="J274" s="717" t="str">
        <x:f>IF(E274=H274,E274,"Unclear")</x:f>
        <x:v>Exclude</x:v>
      </x:c>
      <x:c r="K274" s="720" t="str">
        <x:f>IF(E274=H274,"Agreement between both AI passes.","AI-pass disagreement; retain for human discussion.")</x:f>
        <x:v>Agreement between both AI passes.</x:v>
      </x:c>
      <x:c r="L274" s="720" t="str">
        <x:v>CC ku</x:v>
      </x:c>
      <x:c r="M274" s="728" t="n">
        <x:v>2025</x:v>
      </x:c>
      <x:c r="N274" s="717" t="str">
        <x:v>Google Scholar result</x:v>
      </x:c>
      <x:c r="O274" s="717" t="str">
        <x:v>No</x:v>
      </x:c>
      <x:c r="P274" s="717"/>
    </x:row>
    <x:row r="275" ht="38" customHeight="1">
      <x:c r="A275" s="717" t="str">
        <x:v>GS-03-028</x:v>
      </x:c>
      <x:c r="B275" s="717" t="str">
        <x:v>Google Scholar</x:v>
      </x:c>
      <x:c r="C275" s="717" t="str">
        <x:v>GS-03</x:v>
      </x:c>
      <x:c r="D275" s="720" t="str">
        <x:v>HAP a hybrid QoS prediction approach in cloud manufacturing combining local collaborative filtering and global case-based reasoning</x:v>
      </x:c>
      <x:c r="E275" s="717" t="str">
        <x:v>Exclude</x:v>
      </x:c>
      <x:c r="F275" s="720" t="str">
        <x:v>Clearly outside retinal/ophthalmic concept-based explainable AI.</x:v>
      </x:c>
      <x:c r="G275" s="717" t="str">
        <x:v>Title only</x:v>
      </x:c>
      <x:c r="H275" s="717" t="str">
        <x:v>Exclude</x:v>
      </x:c>
      <x:c r="I275" s="720" t="str">
        <x:v>Clearly outside retinal/ophthalmic concept-based explainable AI.</x:v>
      </x:c>
      <x:c r="J275" s="717" t="str">
        <x:f>IF(E275=H275,E275,"Unclear")</x:f>
        <x:v>Exclude</x:v>
      </x:c>
      <x:c r="K275" s="720" t="str">
        <x:f>IF(E275=H275,"Agreement between both AI passes.","AI-pass disagreement; retain for human discussion.")</x:f>
        <x:v>Agreement between both AI passes.</x:v>
      </x:c>
      <x:c r="L275" s="720" t="str">
        <x:v>Jiu ¥ Chen</x:v>
      </x:c>
      <x:c r="M275" s="728"/>
      <x:c r="N275" s="717" t="str">
        <x:v>Google Scholar result</x:v>
      </x:c>
      <x:c r="O275" s="717" t="str">
        <x:v>No</x:v>
      </x:c>
      <x:c r="P275" s="717"/>
    </x:row>
    <x:row r="276" ht="38" customHeight="1">
      <x:c r="A276" s="717" t="str">
        <x:v>GS-03-029</x:v>
      </x:c>
      <x:c r="B276" s="717" t="str">
        <x:v>Google Scholar</x:v>
      </x:c>
      <x:c r="C276" s="717" t="str">
        <x:v>GS-03</x:v>
      </x:c>
      <x:c r="D276" s="720" t="str">
        <x:v>Or NEE EOIN ERIN ME Ee enh eevee eevee ee case clusters and multi-output support vector machine for equipment maintenance cost</x:v>
      </x:c>
      <x:c r="E276" s="717" t="str">
        <x:v>Exclude</x:v>
      </x:c>
      <x:c r="F276" s="720" t="str">
        <x:v>Clearly outside retinal/ophthalmic concept-based explainable AI.</x:v>
      </x:c>
      <x:c r="G276" s="717" t="str">
        <x:v>Title only</x:v>
      </x:c>
      <x:c r="H276" s="717" t="str">
        <x:v>Exclude</x:v>
      </x:c>
      <x:c r="I276" s="720" t="str">
        <x:v>Clearly outside retinal/ophthalmic concept-based explainable AI.</x:v>
      </x:c>
      <x:c r="J276" s="717" t="str">
        <x:f>IF(E276=H276,E276,"Unclear")</x:f>
        <x:v>Exclude</x:v>
      </x:c>
      <x:c r="K276" s="720" t="str">
        <x:f>IF(E276=H276,"Agreement between both AI passes.","AI-pass disagreement; retain for human discussion.")</x:f>
        <x:v>Agreement between both AI passes.</x:v>
      </x:c>
      <x:c r="L276" s="720" t="str">
        <x:v>Mir OH. S Sun -leee Access 2021 -ieeexptore ieea org</x:v>
      </x:c>
      <x:c r="M276" s="728" t="n">
        <x:v>2021</x:v>
      </x:c>
      <x:c r="N276" s="717" t="str">
        <x:v>Google Scholar result</x:v>
      </x:c>
      <x:c r="O276" s="717" t="str">
        <x:v>No</x:v>
      </x:c>
      <x:c r="P276" s="717"/>
    </x:row>
    <x:row r="277" ht="38" customHeight="1">
      <x:c r="A277" s="717" t="str">
        <x:v>GS-03-030</x:v>
      </x:c>
      <x:c r="B277" s="717" t="str">
        <x:v>Google Scholar</x:v>
      </x:c>
      <x:c r="C277" s="717" t="str">
        <x:v>GS-03</x:v>
      </x:c>
      <x:c r="D277" s="720" t="str">
        <x:v>Online furniture layout method based on case-based reasoning and distance fields</x:v>
      </x:c>
      <x:c r="E277" s="717" t="str">
        <x:v>Exclude</x:v>
      </x:c>
      <x:c r="F277" s="720" t="str">
        <x:v>Clearly outside retinal/ophthalmic concept-based explainable AI.</x:v>
      </x:c>
      <x:c r="G277" s="717" t="str">
        <x:v>Title only</x:v>
      </x:c>
      <x:c r="H277" s="717" t="str">
        <x:v>Exclude</x:v>
      </x:c>
      <x:c r="I277" s="720" t="str">
        <x:v>Clearly outside retinal/ophthalmic concept-based explainable AI.</x:v>
      </x:c>
      <x:c r="J277" s="717" t="str">
        <x:f>IF(E277=H277,E277,"Unclear")</x:f>
        <x:v>Exclude</x:v>
      </x:c>
      <x:c r="K277" s="720" t="str">
        <x:f>IF(E277=H277,"Agreement between both AI passes.","AI-pass disagreement; retain for human discussion.")</x:f>
        <x:v>Agreement between both AI passes.</x:v>
      </x:c>
      <x:c r="L277" s="720" t="str">
        <x:v>P Song. J J.a</x:v>
      </x:c>
      <x:c r="M277" s="728"/>
      <x:c r="N277" s="717" t="str">
        <x:v>Google Scholar result</x:v>
      </x:c>
      <x:c r="O277" s="717" t="str">
        <x:v>No</x:v>
      </x:c>
      <x:c r="P277" s="717"/>
    </x:row>
    <x:row r="278" ht="38" customHeight="1">
      <x:c r="A278" s="717" t="str">
        <x:v>GS-03-031</x:v>
      </x:c>
      <x:c r="B278" s="717" t="str">
        <x:v>Google Scholar</x:v>
      </x:c>
      <x:c r="C278" s="717" t="str">
        <x:v>GS-03</x:v>
      </x:c>
      <x:c r="D278" s="720" t="str">
        <x:v>Knowledge- intensive diagnostics using case-based reasoning and synthetic case generation</x:v>
      </x:c>
      <x:c r="E278" s="717" t="str">
        <x:v>Exclude</x:v>
      </x:c>
      <x:c r="F278" s="720" t="str">
        <x:v>Medical/clinical topic, but no eligible concept-based explainability contribution is evident.</x:v>
      </x:c>
      <x:c r="G278" s="717" t="str">
        <x:v>Title only</x:v>
      </x:c>
      <x:c r="H278" s="717" t="str">
        <x:v>Exclude</x:v>
      </x:c>
      <x:c r="I278" s="720" t="str">
        <x:v>Medical/clinical topic, but no eligible concept-based explainability contribution is evident.</x:v>
      </x:c>
      <x:c r="J278" s="717" t="str">
        <x:f>IF(E278=H278,E278,"Unclear")</x:f>
        <x:v>Exclude</x:v>
      </x:c>
      <x:c r="K278" s="720" t="str">
        <x:f>IF(E278=H278,"Agreement between both AI passes.","AI-pass disagreement; retain for human discussion.")</x:f>
        <x:v>Agreement between both AI passes.</x:v>
      </x:c>
      <x:c r="L278" s="720" t="str">
        <x:v>S Fichette, © Thibe aut</x:v>
      </x:c>
      <x:c r="M278" s="728" t="n">
        <x:v>2022</x:v>
      </x:c>
      <x:c r="N278" s="717" t="str">
        <x:v>Google Scholar result</x:v>
      </x:c>
      <x:c r="O278" s="717" t="str">
        <x:v>No</x:v>
      </x:c>
      <x:c r="P278" s="717"/>
    </x:row>
    <x:row r="279" ht="38" customHeight="1">
      <x:c r="A279" s="717" t="str">
        <x:v>GS-03-032</x:v>
      </x:c>
      <x:c r="B279" s="717" t="str">
        <x:v>Google Scholar</x:v>
      </x:c>
      <x:c r="C279" s="717" t="str">
        <x:v>GS-03</x:v>
      </x:c>
      <x:c r="D279" s="720" t="str">
        <x:v>(mpact of genetic optimization on the prediction performance of case-based reasoning algorithm in liver disease</x:v>
      </x:c>
      <x:c r="E279" s="717" t="str">
        <x:v>Exclude</x:v>
      </x:c>
      <x:c r="F279" s="720" t="str">
        <x:v>Medical/clinical topic, but no eligible concept-based explainability contribution is evident.</x:v>
      </x:c>
      <x:c r="G279" s="717" t="str">
        <x:v>Title only</x:v>
      </x:c>
      <x:c r="H279" s="717" t="str">
        <x:v>Exclude</x:v>
      </x:c>
      <x:c r="I279" s="720" t="str">
        <x:v>Medical/clinical topic, but no eligible concept-based explainability contribution is evident.</x:v>
      </x:c>
      <x:c r="J279" s="717" t="str">
        <x:f>IF(E279=H279,E279,"Unclear")</x:f>
        <x:v>Exclude</x:v>
      </x:c>
      <x:c r="K279" s="720" t="str">
        <x:f>IF(E279=H279,"Agreement between both AI passes.","AI-pass disagreement; retain for human discussion.")</x:f>
        <x:v>Agreement between both AI passes.</x:v>
      </x:c>
      <x:c r="L279" s="720" t="str">
        <x:v>STA Singh</x:v>
      </x:c>
      <x:c r="M279" s="728" t="n">
        <x:v>2047</x:v>
      </x:c>
      <x:c r="N279" s="717" t="str">
        <x:v>Google Scholar result</x:v>
      </x:c>
      <x:c r="O279" s="717" t="str">
        <x:v>No</x:v>
      </x:c>
      <x:c r="P279" s="717"/>
    </x:row>
    <x:row r="280" ht="38" customHeight="1">
      <x:c r="A280" s="717" t="str">
        <x:v>GS-03-033</x:v>
      </x:c>
      <x:c r="B280" s="717" t="str">
        <x:v>Google Scholar</x:v>
      </x:c>
      <x:c r="C280" s="717" t="str">
        <x:v>GS-03</x:v>
      </x:c>
      <x:c r="D280" s="720" t="str">
        <x:v>Extending choosing-by-advantages decision-making model with case-based reasoning</x:v>
      </x:c>
      <x:c r="E280" s="717" t="str">
        <x:v>Exclude</x:v>
      </x:c>
      <x:c r="F280" s="720" t="str">
        <x:v>Clearly outside retinal/ophthalmic concept-based explainable AI.</x:v>
      </x:c>
      <x:c r="G280" s="717" t="str">
        <x:v>Title only</x:v>
      </x:c>
      <x:c r="H280" s="717" t="str">
        <x:v>Exclude</x:v>
      </x:c>
      <x:c r="I280" s="720" t="str">
        <x:v>Clearly outside retinal/ophthalmic concept-based explainable AI.</x:v>
      </x:c>
      <x:c r="J280" s="717" t="str">
        <x:f>IF(E280=H280,E280,"Unclear")</x:f>
        <x:v>Exclude</x:v>
      </x:c>
      <x:c r="K280" s="720" t="str">
        <x:f>IF(E280=H280,"Agreement between both AI passes.","AI-pass disagreement; retain for human discussion.")</x:f>
        <x:v>Agreement between both AI passes.</x:v>
      </x:c>
      <x:c r="L280" s="720" t="str">
        <x:v>LL Olde Scholtenhuis, N Naderpajauk =</x:v>
      </x:c>
      <x:c r="M280" s="728" t="n">
        <x:v>2025</x:v>
      </x:c>
      <x:c r="N280" s="717" t="str">
        <x:v>Google Scholar result</x:v>
      </x:c>
      <x:c r="O280" s="717" t="str">
        <x:v>No</x:v>
      </x:c>
      <x:c r="P280" s="717"/>
    </x:row>
    <x:row r="281" ht="38" customHeight="1">
      <x:c r="A281" s="717" t="str">
        <x:v>GS-03-034</x:v>
      </x:c>
      <x:c r="B281" s="717" t="str">
        <x:v>Google Scholar</x:v>
      </x:c>
      <x:c r="C281" s="717" t="str">
        <x:v>GS-03</x:v>
      </x:c>
      <x:c r="D281" s="720" t="str">
        <x:v>Canstructing ontology-based cancer treatment decision support system with case-based reasoning</x:v>
      </x:c>
      <x:c r="E281" s="717" t="str">
        <x:v>Exclude</x:v>
      </x:c>
      <x:c r="F281" s="720" t="str">
        <x:v>Medical/clinical topic, but no eligible concept-based explainability contribution is evident.</x:v>
      </x:c>
      <x:c r="G281" s="717" t="str">
        <x:v>Title only</x:v>
      </x:c>
      <x:c r="H281" s="717" t="str">
        <x:v>Exclude</x:v>
      </x:c>
      <x:c r="I281" s="720" t="str">
        <x:v>Medical/clinical topic, but no eligible concept-based explainability contribution is evident.</x:v>
      </x:c>
      <x:c r="J281" s="717" t="str">
        <x:f>IF(E281=H281,E281,"Unclear")</x:f>
        <x:v>Exclude</x:v>
      </x:c>
      <x:c r="K281" s="720" t="str">
        <x:f>IF(E281=H281,"Agreement between both AI passes.","AI-pass disagreement; retain for human discussion.")</x:f>
        <x:v>Agreement between both AI passes.</x:v>
      </x:c>
      <x:c r="L281" s="720" t="str">
        <x:v>Y Shen. J Colloc 4 Jacque-Ardieu 2 Gua + canferencaonsman . 2017</x:v>
      </x:c>
      <x:c r="M281" s="728" t="n">
        <x:v>2017</x:v>
      </x:c>
      <x:c r="N281" s="717" t="str">
        <x:v>Google Scholar result</x:v>
      </x:c>
      <x:c r="O281" s="717" t="str">
        <x:v>No</x:v>
      </x:c>
      <x:c r="P281" s="717"/>
    </x:row>
    <x:row r="282" ht="38" customHeight="1">
      <x:c r="A282" s="717" t="str">
        <x:v>GS-03-035</x:v>
      </x:c>
      <x:c r="B282" s="717" t="str">
        <x:v>Google Scholar</x:v>
      </x:c>
      <x:c r="C282" s="717" t="str">
        <x:v>GS-03</x:v>
      </x:c>
      <x:c r="D282" s="720" t="str">
        <x:v>Por] An intelligent hybrid system for forecasting stock and forex trading signals using optimized recurrent FLANN and case-based reasoning</x:v>
      </x:c>
      <x:c r="E282" s="717" t="str">
        <x:v>Exclude</x:v>
      </x:c>
      <x:c r="F282" s="720" t="str">
        <x:v>Clearly outside retinal/ophthalmic concept-based explainable AI.</x:v>
      </x:c>
      <x:c r="G282" s="717" t="str">
        <x:v>Title only</x:v>
      </x:c>
      <x:c r="H282" s="717" t="str">
        <x:v>Exclude</x:v>
      </x:c>
      <x:c r="I282" s="720" t="str">
        <x:v>Clearly outside retinal/ophthalmic concept-based explainable AI.</x:v>
      </x:c>
      <x:c r="J282" s="717" t="str">
        <x:f>IF(E282=H282,E282,"Unclear")</x:f>
        <x:v>Exclude</x:v>
      </x:c>
      <x:c r="K282" s="720" t="str">
        <x:f>IF(E282=H282,"Agreement between both AI passes.","AI-pass disagreement; retain for human discussion.")</x:f>
        <x:v>Agreement between both AI passes.</x:v>
      </x:c>
      <x:c r="L282" s="720" t="str">
        <x:v>DK Bsbara. TK Das Cl Chowdnary -Int J Compu Intell Syst = 2921+ acacerria edu</x:v>
      </x:c>
      <x:c r="M282" s="728"/>
      <x:c r="N282" s="717" t="str">
        <x:v>Google Scholar result</x:v>
      </x:c>
      <x:c r="O282" s="717" t="str">
        <x:v>No</x:v>
      </x:c>
      <x:c r="P282" s="717"/>
    </x:row>
    <x:row r="283" ht="38" customHeight="1">
      <x:c r="A283" s="717" t="str">
        <x:v>GS-03-036</x:v>
      </x:c>
      <x:c r="B283" s="717" t="str">
        <x:v>Google Scholar</x:v>
      </x:c>
      <x:c r="C283" s="717" t="str">
        <x:v>GS-03</x:v>
      </x:c>
      <x:c r="D283" s="720" t="str">
        <x:v>F-CBR’ an architecture for federated case-based reasoning</x:v>
      </x:c>
      <x:c r="E283" s="717" t="str">
        <x:v>Exclude</x:v>
      </x:c>
      <x:c r="F283" s="720" t="str">
        <x:v>Clearly outside retinal/ophthalmic concept-based explainable AI.</x:v>
      </x:c>
      <x:c r="G283" s="717" t="str">
        <x:v>Title only</x:v>
      </x:c>
      <x:c r="H283" s="717" t="str">
        <x:v>Exclude</x:v>
      </x:c>
      <x:c r="I283" s="720" t="str">
        <x:v>Clearly outside retinal/ophthalmic concept-based explainable AI.</x:v>
      </x:c>
      <x:c r="J283" s="717" t="str">
        <x:f>IF(E283=H283,E283,"Unclear")</x:f>
        <x:v>Exclude</x:v>
      </x:c>
      <x:c r="K283" s="720" t="str">
        <x:f>IF(E283=H283,"Agreement between both AI passes.","AI-pass disagreement; retain for human discussion.")</x:f>
        <x:v>Agreement between both AI passes.</x:v>
      </x:c>
      <x:c r="L283" s="720" t="str">
        <x:v>AJJaiswal K¥ Vigzaw, P Oztirk</x:v>
      </x:c>
      <x:c r="M283" s="728" t="n">
        <x:v>2022</x:v>
      </x:c>
      <x:c r="N283" s="717" t="str">
        <x:v>Google Scholar result</x:v>
      </x:c>
      <x:c r="O283" s="717" t="str">
        <x:v>No</x:v>
      </x:c>
      <x:c r="P283" s="717"/>
    </x:row>
    <x:row r="284" ht="38" customHeight="1">
      <x:c r="A284" s="717" t="str">
        <x:v>GS-03-037</x:v>
      </x:c>
      <x:c r="B284" s="717" t="str">
        <x:v>Google Scholar</x:v>
      </x:c>
      <x:c r="C284" s="717" t="str">
        <x:v>GS-03</x:v>
      </x:c>
      <x:c r="D284" s="720" t="str">
        <x:v>An intelligent decision-making model for the design of precast slab joints based on case-based reasoning</x:v>
      </x:c>
      <x:c r="E284" s="717" t="str">
        <x:v>Exclude</x:v>
      </x:c>
      <x:c r="F284" s="720" t="str">
        <x:v>Clearly outside retinal/ophthalmic concept-based explainable AI.</x:v>
      </x:c>
      <x:c r="G284" s="717" t="str">
        <x:v>Title only</x:v>
      </x:c>
      <x:c r="H284" s="717" t="str">
        <x:v>Exclude</x:v>
      </x:c>
      <x:c r="I284" s="720" t="str">
        <x:v>Clearly outside retinal/ophthalmic concept-based explainable AI.</x:v>
      </x:c>
      <x:c r="J284" s="717" t="str">
        <x:f>IF(E284=H284,E284,"Unclear")</x:f>
        <x:v>Exclude</x:v>
      </x:c>
      <x:c r="K284" s="720" t="str">
        <x:f>IF(E284=H284,"Agreement between both AI passes.","AI-pass disagreement; retain for human discussion.")</x:f>
        <x:v>Agreement between both AI passes.</x:v>
      </x:c>
      <x:c r="L284" s="720" t="str">
        <x:v>K Shen ¥ Zhu J Pan X Li -Joumal of Construclion Enginneenng . 2023. ascelibrary org</x:v>
      </x:c>
      <x:c r="M284" s="728" t="n">
        <x:v>2023</x:v>
      </x:c>
      <x:c r="N284" s="717" t="str">
        <x:v>Google Scholar result</x:v>
      </x:c>
      <x:c r="O284" s="717" t="str">
        <x:v>No</x:v>
      </x:c>
      <x:c r="P284" s="717"/>
    </x:row>
    <x:row r="285" ht="38" customHeight="1">
      <x:c r="A285" s="717" t="str">
        <x:v>GS-03-038</x:v>
      </x:c>
      <x:c r="B285" s="717" t="str">
        <x:v>Google Scholar</x:v>
      </x:c>
      <x:c r="C285" s="717" t="str">
        <x:v>GS-03</x:v>
      </x:c>
      <x:c r="D285" s="720" t="str">
        <x:v>A Case-Based Reasoning Model Powered by Deep Learning for Radiology Report Recommendation</x:v>
      </x:c>
      <x:c r="E285" s="717" t="str">
        <x:v>Exclude</x:v>
      </x:c>
      <x:c r="F285" s="720" t="str">
        <x:v>Medical/clinical topic, but no eligible concept-based explainability contribution is evident.</x:v>
      </x:c>
      <x:c r="G285" s="717" t="str">
        <x:v>Title only</x:v>
      </x:c>
      <x:c r="H285" s="717" t="str">
        <x:v>Exclude</x:v>
      </x:c>
      <x:c r="I285" s="720" t="str">
        <x:v>Medical/clinical topic, but no eligible concept-based explainability contribution is evident.</x:v>
      </x:c>
      <x:c r="J285" s="717" t="str">
        <x:f>IF(E285=H285,E285,"Unclear")</x:f>
        <x:v>Exclude</x:v>
      </x:c>
      <x:c r="K285" s="720" t="str">
        <x:f>IF(E285=H285,"Agreement between both AI passes.","AI-pass disagreement; retain for human discussion.")</x:f>
        <x:v>Agreement between both AI passes.</x:v>
      </x:c>
      <x:c r="L285" s="720" t="str">
        <x:v>EA Deminguez, E Se~ano. O Manriq.e =</x:v>
      </x:c>
      <x:c r="M285" s="728"/>
      <x:c r="N285" s="717" t="str">
        <x:v>Google Scholar result</x:v>
      </x:c>
      <x:c r="O285" s="717" t="str">
        <x:v>No</x:v>
      </x:c>
      <x:c r="P285" s="717"/>
    </x:row>
    <x:row r="286" ht="38" customHeight="1">
      <x:c r="A286" s="717" t="str">
        <x:v>GS-03-039</x:v>
      </x:c>
      <x:c r="B286" s="717" t="str">
        <x:v>Google Scholar</x:v>
      </x:c>
      <x:c r="C286" s="717" t="str">
        <x:v>GS-03</x:v>
      </x:c>
      <x:c r="D286" s="720" t="str">
        <x:v>The development of intelligent agents’ A case-based reasoning approach to achieve human-like peculiarities via playback of human traces</x:v>
      </x:c>
      <x:c r="E286" s="717" t="str">
        <x:v>Exclude</x:v>
      </x:c>
      <x:c r="F286" s="720" t="str">
        <x:v>Clearly outside retinal/ophthalmic concept-based explainable AI.</x:v>
      </x:c>
      <x:c r="G286" s="717" t="str">
        <x:v>Title only</x:v>
      </x:c>
      <x:c r="H286" s="717" t="str">
        <x:v>Exclude</x:v>
      </x:c>
      <x:c r="I286" s="720" t="str">
        <x:v>Clearly outside retinal/ophthalmic concept-based explainable AI.</x:v>
      </x:c>
      <x:c r="J286" s="717" t="str">
        <x:f>IF(E286=H286,E286,"Unclear")</x:f>
        <x:v>Exclude</x:v>
      </x:c>
      <x:c r="K286" s="720" t="str">
        <x:f>IF(E286=H286,"Agreement between both AI passes.","AI-pass disagreement; retain for human discussion.")</x:f>
        <x:v>Agreement between both AI passes.</x:v>
      </x:c>
      <x:c r="L286" s="720" t="str">
        <x:v>NA Butl gMahnoad GU Rehman Mt Nasrala =</x:v>
      </x:c>
      <x:c r="M286" s="728" t="n">
        <x:v>2023</x:v>
      </x:c>
      <x:c r="N286" s="717" t="str">
        <x:v>Google Scholar result</x:v>
      </x:c>
      <x:c r="O286" s="717" t="str">
        <x:v>No</x:v>
      </x:c>
      <x:c r="P286" s="717"/>
    </x:row>
    <x:row r="287" ht="38" customHeight="1">
      <x:c r="A287" s="717" t="str">
        <x:v>GS-03-040</x:v>
      </x:c>
      <x:c r="B287" s="717" t="str">
        <x:v>Google Scholar</x:v>
      </x:c>
      <x:c r="C287" s="717" t="str">
        <x:v>GS-03</x:v>
      </x:c>
      <x:c r="D287" s="720" t="str">
        <x:v>A case-based-reasoning analysis of the COMPAS dataset</x:v>
      </x:c>
      <x:c r="E287" s="717" t="str">
        <x:v>Exclude</x:v>
      </x:c>
      <x:c r="F287" s="720" t="str">
        <x:v>Clearly outside retinal/ophthalmic concept-based explainable AI.</x:v>
      </x:c>
      <x:c r="G287" s="717" t="str">
        <x:v>Title only</x:v>
      </x:c>
      <x:c r="H287" s="717" t="str">
        <x:v>Exclude</x:v>
      </x:c>
      <x:c r="I287" s="720" t="str">
        <x:v>Clearly outside retinal/ophthalmic concept-based explainable AI.</x:v>
      </x:c>
      <x:c r="J287" s="717" t="str">
        <x:f>IF(E287=H287,E287,"Unclear")</x:f>
        <x:v>Exclude</x:v>
      </x:c>
      <x:c r="K287" s="720" t="str">
        <x:f>IF(E287=H287,"Agreement between both AI passes.","AI-pass disagreement; retain for human discussion.")</x:f>
        <x:v>Agreement between both AI passes.</x:v>
      </x:c>
      <x:c r="L287" s="720" t="str">
        <x:v>Vivan Woerkom BD Grossi</x:v>
      </x:c>
      <x:c r="M287" s="728" t="n">
        <x:v>2024</x:v>
      </x:c>
      <x:c r="N287" s="717" t="str">
        <x:v>Google Scholar result</x:v>
      </x:c>
      <x:c r="O287" s="717" t="str">
        <x:v>No</x:v>
      </x:c>
      <x:c r="P287" s="717"/>
    </x:row>
    <x:row r="288" ht="38" customHeight="1">
      <x:c r="A288" s="717" t="str">
        <x:v>GS-03-041</x:v>
      </x:c>
      <x:c r="B288" s="717" t="str">
        <x:v>Google Scholar</x:v>
      </x:c>
      <x:c r="C288" s="717" t="str">
        <x:v>GS-03</x:v>
      </x:c>
      <x:c r="D288" s="720" t="str">
        <x:v>Geamelric case based reasoning for stock market prediction</x:v>
      </x:c>
      <x:c r="E288" s="717" t="str">
        <x:v>Exclude</x:v>
      </x:c>
      <x:c r="F288" s="720" t="str">
        <x:v>Clearly outside retinal/ophthalmic concept-based explainable AI.</x:v>
      </x:c>
      <x:c r="G288" s="717" t="str">
        <x:v>Title only</x:v>
      </x:c>
      <x:c r="H288" s="717" t="str">
        <x:v>Exclude</x:v>
      </x:c>
      <x:c r="I288" s="720" t="str">
        <x:v>Clearly outside retinal/ophthalmic concept-based explainable AI.</x:v>
      </x:c>
      <x:c r="J288" s="717" t="str">
        <x:f>IF(E288=H288,E288,"Unclear")</x:f>
        <x:v>Exclude</x:v>
      </x:c>
      <x:c r="K288" s="720" t="str">
        <x:f>IF(E288=H288,"Agreement between both AI passes.","AI-pass disagreement; retain for human discussion.")</x:f>
        <x:v>Agreement between both AI passes.</x:v>
      </x:c>
      <x:c r="L288" s="720" t="str">
        <x:v>SH Chun YW Ko</x:v>
      </x:c>
      <x:c r="M288" s="728" t="n">
        <x:v>2025</x:v>
      </x:c>
      <x:c r="N288" s="717" t="str">
        <x:v>Google Scholar result</x:v>
      </x:c>
      <x:c r="O288" s="717" t="str">
        <x:v>No</x:v>
      </x:c>
      <x:c r="P288" s="717"/>
    </x:row>
    <x:row r="289" ht="38" customHeight="1">
      <x:c r="A289" s="717" t="str">
        <x:v>GS-03-042</x:v>
      </x:c>
      <x:c r="B289" s="717" t="str">
        <x:v>Google Scholar</x:v>
      </x:c>
      <x:c r="C289" s="717" t="str">
        <x:v>GS-03</x:v>
      </x:c>
      <x:c r="D289" s="720" t="str">
        <x:v>On application of case-based reasoning to personalise learning</x:v>
      </x:c>
      <x:c r="E289" s="717" t="str">
        <x:v>Exclude</x:v>
      </x:c>
      <x:c r="F289" s="720" t="str">
        <x:v>Clearly outside retinal/ophthalmic concept-based explainable AI.</x:v>
      </x:c>
      <x:c r="G289" s="717" t="str">
        <x:v>Title only</x:v>
      </x:c>
      <x:c r="H289" s="717" t="str">
        <x:v>Exclude</x:v>
      </x:c>
      <x:c r="I289" s="720" t="str">
        <x:v>Clearly outside retinal/ophthalmic concept-based explainable AI.</x:v>
      </x:c>
      <x:c r="J289" s="717" t="str">
        <x:f>IF(E289=H289,E289,"Unclear")</x:f>
        <x:v>Exclude</x:v>
      </x:c>
      <x:c r="K289" s="720" t="str">
        <x:f>IF(E289=H289,"Agreement between both AI passes.","AI-pass disagreement; retain for human discussion.")</x:f>
        <x:v>Agreement between both AI passes.</x:v>
      </x:c>
      <x:c r="L289" s="720" t="str">
        <x:v>J Mancanks E Kurilovas | Krikun</x:v>
      </x:c>
      <x:c r="M289" s="728" t="n">
        <x:v>2019</x:v>
      </x:c>
      <x:c r="N289" s="717" t="str">
        <x:v>Google Scholar result</x:v>
      </x:c>
      <x:c r="O289" s="717" t="str">
        <x:v>No</x:v>
      </x:c>
      <x:c r="P289" s="717"/>
    </x:row>
    <x:row r="290" ht="38" customHeight="1">
      <x:c r="A290" s="717" t="str">
        <x:v>GS-03-043</x:v>
      </x:c>
      <x:c r="B290" s="717" t="str">
        <x:v>Google Scholar</x:v>
      </x:c>
      <x:c r="C290" s="717" t="str">
        <x:v>GS-03</x:v>
      </x:c>
      <x:c r="D290" s="720" t="str">
        <x:v>A Novel Method for Diagnosing Asphalt Pavement Distress Causes Based on Knowledge Graph and Case-Based Reasoning</x:v>
      </x:c>
      <x:c r="E290" s="717" t="str">
        <x:v>Exclude</x:v>
      </x:c>
      <x:c r="F290" s="720" t="str">
        <x:v>Medical/clinical topic, but no eligible concept-based explainability contribution is evident.</x:v>
      </x:c>
      <x:c r="G290" s="717" t="str">
        <x:v>Title only</x:v>
      </x:c>
      <x:c r="H290" s="717" t="str">
        <x:v>Exclude</x:v>
      </x:c>
      <x:c r="I290" s="720" t="str">
        <x:v>Medical/clinical topic, but no eligible concept-based explainability contribution is evident.</x:v>
      </x:c>
      <x:c r="J290" s="717" t="str">
        <x:f>IF(E290=H290,E290,"Unclear")</x:f>
        <x:v>Exclude</x:v>
      </x:c>
      <x:c r="K290" s="720" t="str">
        <x:f>IF(E290=H290,"Agreement between both AI passes.","AI-pass disagreement; retain for human discussion.")</x:f>
        <x:v>Agreement between both AI passes.</x:v>
      </x:c>
      <x:c r="L290" s="720" t="str">
        <x:v>S 4uang J Zhu TMa.ZTong ¥Fsn -IEEE Transactonson 2026 -ieeexplcre ese org</x:v>
      </x:c>
      <x:c r="M290" s="728" t="n">
        <x:v>2026</x:v>
      </x:c>
      <x:c r="N290" s="717" t="str">
        <x:v>Google Scholar result</x:v>
      </x:c>
      <x:c r="O290" s="717" t="str">
        <x:v>No</x:v>
      </x:c>
      <x:c r="P290" s="717"/>
    </x:row>
    <x:row r="291" ht="38" customHeight="1">
      <x:c r="A291" s="717" t="str">
        <x:v>GS-03-044</x:v>
      </x:c>
      <x:c r="B291" s="717" t="str">
        <x:v>Google Scholar</x:v>
      </x:c>
      <x:c r="C291" s="717" t="str">
        <x:v>GS-03</x:v>
      </x:c>
      <x:c r="D291" s="720" t="str">
        <x:v>Case-based reasoning method based on mechanistic model correction for predicting endpoint sulphur content of molten iron in KR desulphurization</x:v>
      </x:c>
      <x:c r="E291" s="717" t="str">
        <x:v>Exclude</x:v>
      </x:c>
      <x:c r="F291" s="720" t="str">
        <x:v>Clearly outside retinal/ophthalmic concept-based explainable AI.</x:v>
      </x:c>
      <x:c r="G291" s="717" t="str">
        <x:v>Title only</x:v>
      </x:c>
      <x:c r="H291" s="717" t="str">
        <x:v>Exclude</x:v>
      </x:c>
      <x:c r="I291" s="720" t="str">
        <x:v>Clearly outside retinal/ophthalmic concept-based explainable AI.</x:v>
      </x:c>
      <x:c r="J291" s="717" t="str">
        <x:f>IF(E291=H291,E291,"Unclear")</x:f>
        <x:v>Exclude</x:v>
      </x:c>
      <x:c r="K291" s="720" t="str">
        <x:f>IF(E291=H291,"Agreement between both AI passes.","AI-pass disagreement; retain for human discussion.")</x:f>
        <x:v>Agreement between both AI passes.</x:v>
      </x:c>
      <x:c r="L291" s="720" t="str">
        <x:v>K Fang AXu D He L Yang: Ironmaking &amp; Steeim akitg, 2020</x:v>
      </x:c>
      <x:c r="M291" s="728" t="n">
        <x:v>2020</x:v>
      </x:c>
      <x:c r="N291" s="717" t="str">
        <x:v>Google Scholar result</x:v>
      </x:c>
      <x:c r="O291" s="717" t="str">
        <x:v>No</x:v>
      </x:c>
      <x:c r="P291" s="717"/>
    </x:row>
    <x:row r="292" ht="38" customHeight="1">
      <x:c r="A292" s="717" t="str">
        <x:v>GS-03-045</x:v>
      </x:c>
      <x:c r="B292" s="717" t="str">
        <x:v>Google Scholar</x:v>
      </x:c>
      <x:c r="C292" s="717" t="str">
        <x:v>GS-03</x:v>
      </x:c>
      <x:c r="D292" s="720" t="str">
        <x:v>Hybrid intelligent decision support using a semiotic case-based reasoning and solf-organizing maps</x:v>
      </x:c>
      <x:c r="E292" s="717" t="str">
        <x:v>Exclude</x:v>
      </x:c>
      <x:c r="F292" s="720" t="str">
        <x:v>Clearly outside retinal/ophthalmic concept-based explainable AI.</x:v>
      </x:c>
      <x:c r="G292" s="717" t="str">
        <x:v>Title only</x:v>
      </x:c>
      <x:c r="H292" s="717" t="str">
        <x:v>Exclude</x:v>
      </x:c>
      <x:c r="I292" s="720" t="str">
        <x:v>Clearly outside retinal/ophthalmic concept-based explainable AI.</x:v>
      </x:c>
      <x:c r="J292" s="717" t="str">
        <x:f>IF(E292=H292,E292,"Unclear")</x:f>
        <x:v>Exclude</x:v>
      </x:c>
      <x:c r="K292" s="720" t="str">
        <x:f>IF(E292=H292,"Agreement between both AI passes.","AI-pass disagreement; retain for human discussion.")</x:f>
        <x:v>Agreement between both AI passes.</x:v>
      </x:c>
      <x:c r="L292" s="720" t="str">
        <x:v>DML Martins F3 de Lima keto</x:v>
      </x:c>
      <x:c r="M292" s="728" t="n">
        <x:v>2017</x:v>
      </x:c>
      <x:c r="N292" s="717" t="str">
        <x:v>Google Scholar result</x:v>
      </x:c>
      <x:c r="O292" s="717" t="str">
        <x:v>No</x:v>
      </x:c>
      <x:c r="P292" s="717"/>
    </x:row>
    <x:row r="293" ht="38" customHeight="1">
      <x:c r="A293" s="717" t="str">
        <x:v>GS-03-046</x:v>
      </x:c>
      <x:c r="B293" s="717" t="str">
        <x:v>Google Scholar</x:v>
      </x:c>
      <x:c r="C293" s="717" t="str">
        <x:v>GS-03</x:v>
      </x:c>
      <x:c r="D293" s="720" t="str">
        <x:v>Development of a modular case-based reasoning system for data analysis</x:v>
      </x:c>
      <x:c r="E293" s="717" t="str">
        <x:v>Exclude</x:v>
      </x:c>
      <x:c r="F293" s="720" t="str">
        <x:v>Clearly outside retinal/ophthalmic concept-based explainable AI.</x:v>
      </x:c>
      <x:c r="G293" s="717" t="str">
        <x:v>Title only</x:v>
      </x:c>
      <x:c r="H293" s="717" t="str">
        <x:v>Exclude</x:v>
      </x:c>
      <x:c r="I293" s="720" t="str">
        <x:v>Clearly outside retinal/ophthalmic concept-based explainable AI.</x:v>
      </x:c>
      <x:c r="J293" s="717" t="str">
        <x:f>IF(E293=H293,E293,"Unclear")</x:f>
        <x:v>Exclude</x:v>
      </x:c>
      <x:c r="K293" s="720" t="str">
        <x:f>IF(E293=H293,"Agreement between both AI passes.","AI-pass disagreement; retain for human discussion.")</x:f>
        <x:v>Agreement between both AI passes.</x:v>
      </x:c>
      <x:c r="L293" s="720" t="str">
        <x:v>P Varshavskii F Alektin SPolyakay</x:v>
      </x:c>
      <x:c r="M293" s="728" t="n">
        <x:v>2020</x:v>
      </x:c>
      <x:c r="N293" s="717" t="str">
        <x:v>Google Scholar result</x:v>
      </x:c>
      <x:c r="O293" s="717" t="str">
        <x:v>No</x:v>
      </x:c>
      <x:c r="P293" s="717"/>
    </x:row>
    <x:row r="294" ht="38" customHeight="1">
      <x:c r="A294" s="717" t="str">
        <x:v>GS-03-047</x:v>
      </x:c>
      <x:c r="B294" s="717" t="str">
        <x:v>Google Scholar</x:v>
      </x:c>
      <x:c r="C294" s="717" t="str">
        <x:v>GS-03</x:v>
      </x:c>
      <x:c r="D294" s="720" t="str">
        <x:v>PoF] Designing and modeling of a multi-agent adaptive learning system (MAALS) using incrementai hybrid case-based reasoning (IHCGR)</x:v>
      </x:c>
      <x:c r="E294" s="717" t="str">
        <x:v>Exclude</x:v>
      </x:c>
      <x:c r="F294" s="720" t="str">
        <x:v>Clearly outside retinal/ophthalmic concept-based explainable AI.</x:v>
      </x:c>
      <x:c r="G294" s="717" t="str">
        <x:v>Title only</x:v>
      </x:c>
      <x:c r="H294" s="717" t="str">
        <x:v>Exclude</x:v>
      </x:c>
      <x:c r="I294" s="720" t="str">
        <x:v>Clearly outside retinal/ophthalmic concept-based explainable AI.</x:v>
      </x:c>
      <x:c r="J294" s="717" t="str">
        <x:f>IF(E294=H294,E294,"Unclear")</x:f>
        <x:v>Exclude</x:v>
      </x:c>
      <x:c r="K294" s="720" t="str">
        <x:f>IF(E294=H294,"Agreement between both AI passes.","AI-pass disagreement; retain for human discussion.")</x:f>
        <x:v>Agreement between both AI passes.</x:v>
      </x:c>
      <x:c r="L294" s="720" t="str">
        <x:v>KM El Grouch Nihad. EN El Mckbtar -Intemationa Jour-al of = 2020</x:v>
      </x:c>
      <x:c r="M294" s="728" t="n">
        <x:v>2020</x:v>
      </x:c>
      <x:c r="N294" s="717" t="str">
        <x:v>Google Scholar result</x:v>
      </x:c>
      <x:c r="O294" s="717" t="str">
        <x:v>No</x:v>
      </x:c>
      <x:c r="P294" s="717"/>
    </x:row>
    <x:row r="295" ht="38" customHeight="1">
      <x:c r="A295" s="717" t="str">
        <x:v>GS-03-048</x:v>
      </x:c>
      <x:c r="B295" s="717" t="str">
        <x:v>Google Scholar</x:v>
      </x:c>
      <x:c r="C295" s="717" t="str">
        <x:v>GS-03</x:v>
      </x:c>
      <x:c r="D295" s="720" t="str">
        <x:v>A new trend pattern-matching methed of interactive case-based reasoning for stock price predictions</x:v>
      </x:c>
      <x:c r="E295" s="717" t="str">
        <x:v>Exclude</x:v>
      </x:c>
      <x:c r="F295" s="720" t="str">
        <x:v>Clearly outside retinal/ophthalmic concept-based explainable AI.</x:v>
      </x:c>
      <x:c r="G295" s="717" t="str">
        <x:v>Title only</x:v>
      </x:c>
      <x:c r="H295" s="717" t="str">
        <x:v>Exclude</x:v>
      </x:c>
      <x:c r="I295" s="720" t="str">
        <x:v>Clearly outside retinal/ophthalmic concept-based explainable AI.</x:v>
      </x:c>
      <x:c r="J295" s="717" t="str">
        <x:f>IF(E295=H295,E295,"Unclear")</x:f>
        <x:v>Exclude</x:v>
      </x:c>
      <x:c r="K295" s="720" t="str">
        <x:f>IF(E295=H295,"Agreement between both AI passes.","AI-pass disagreement; retain for human discussion.")</x:f>
        <x:v>Agreement between both AI passes.</x:v>
      </x:c>
      <x:c r="L295" s="720" t="str">
        <x:v>SH Chun. Jo Jang + Suscainabilly 2222</x:v>
      </x:c>
      <x:c r="M295" s="728"/>
      <x:c r="N295" s="717" t="str">
        <x:v>Google Scholar result</x:v>
      </x:c>
      <x:c r="O295" s="717" t="str">
        <x:v>No</x:v>
      </x:c>
      <x:c r="P295" s="717"/>
    </x:row>
    <x:row r="296" ht="38" customHeight="1">
      <x:c r="A296" s="717" t="str">
        <x:v>GS-03-049</x:v>
      </x:c>
      <x:c r="B296" s="717" t="str">
        <x:v>Google Scholar</x:v>
      </x:c>
      <x:c r="C296" s="717" t="str">
        <x:v>GS-03</x:v>
      </x:c>
      <x:c r="D296" s="720" t="str">
        <x:v>Integrating Multi-Agent System and Case-Based Reasoning for Flood Early Warning and Response System</x:v>
      </x:c>
      <x:c r="E296" s="717" t="str">
        <x:v>Exclude</x:v>
      </x:c>
      <x:c r="F296" s="720" t="str">
        <x:v>Clearly outside retinal/ophthalmic concept-based explainable AI.</x:v>
      </x:c>
      <x:c r="G296" s="717" t="str">
        <x:v>Title only</x:v>
      </x:c>
      <x:c r="H296" s="717" t="str">
        <x:v>Exclude</x:v>
      </x:c>
      <x:c r="I296" s="720" t="str">
        <x:v>Clearly outside retinal/ophthalmic concept-based explainable AI.</x:v>
      </x:c>
      <x:c r="J296" s="717" t="str">
        <x:f>IF(E296=H296,E296,"Unclear")</x:f>
        <x:v>Exclude</x:v>
      </x:c>
      <x:c r="K296" s="720" t="str">
        <x:f>IF(E296=H296,"Agreement between both AI passes.","AI-pass disagreement; retain for human discussion.")</x:f>
        <x:v>Agreement between both AI passes.</x:v>
      </x:c>
      <x:c r="L296" s="720" t="str">
        <x:v>NAM Rashid. ZZ Abidin =</x:v>
      </x:c>
      <x:c r="M296" s="728" t="n">
        <x:v>2024</x:v>
      </x:c>
      <x:c r="N296" s="717" t="str">
        <x:v>Google Scholar result</x:v>
      </x:c>
      <x:c r="O296" s="717" t="str">
        <x:v>No</x:v>
      </x:c>
      <x:c r="P296" s="717"/>
    </x:row>
    <x:row r="297" ht="38" customHeight="1">
      <x:c r="A297" s="717" t="str">
        <x:v>GS-03-050</x:v>
      </x:c>
      <x:c r="B297" s="717" t="str">
        <x:v>Google Scholar</x:v>
      </x:c>
      <x:c r="C297" s="717" t="str">
        <x:v>GS-03</x:v>
      </x:c>
      <x:c r="D297" s="720" t="str">
        <x:v>SCOUT a case-based reasoning agent for playing race for the galaxy</x:v>
      </x:c>
      <x:c r="E297" s="717" t="str">
        <x:v>Exclude</x:v>
      </x:c>
      <x:c r="F297" s="720" t="str">
        <x:v>Clearly outside retinal/ophthalmic concept-based explainable AI.</x:v>
      </x:c>
      <x:c r="G297" s="717" t="str">
        <x:v>Title only</x:v>
      </x:c>
      <x:c r="H297" s="717" t="str">
        <x:v>Exclude</x:v>
      </x:c>
      <x:c r="I297" s="720" t="str">
        <x:v>Clearly outside retinal/ophthalmic concept-based explainable AI.</x:v>
      </x:c>
      <x:c r="J297" s="717" t="str">
        <x:f>IF(E297=H297,E297,"Unclear")</x:f>
        <x:v>Exclude</x:v>
      </x:c>
      <x:c r="K297" s="720" t="str">
        <x:f>IF(E297=H297,"Agreement between both AI passes.","AI-pass disagreement; retain for human discussion.")</x:f>
        <x:v>Agreement between both AI passes.</x:v>
      </x:c>
      <x:c r="L297" s="720" t="str">
        <x:v>M Wootord I Vvatson- Caon'srance o- Case-Based Reasoning 2217</x:v>
      </x:c>
      <x:c r="M297" s="728"/>
      <x:c r="N297" s="717" t="str">
        <x:v>Google Scholar result</x:v>
      </x:c>
      <x:c r="O297" s="717" t="str">
        <x:v>No</x:v>
      </x:c>
      <x:c r="P297" s="717"/>
    </x:row>
    <x:row r="298" ht="38" customHeight="1">
      <x:c r="A298" s="717" t="str">
        <x:v>GS-03-051</x:v>
      </x:c>
      <x:c r="B298" s="717" t="str">
        <x:v>Google Scholar</x:v>
      </x:c>
      <x:c r="C298" s="717" t="str">
        <x:v>GS-03</x:v>
      </x:c>
      <x:c r="D298" s="720" t="str">
        <x:v>Acompetenca-based deletion model for the improvement of case-based maintenance in case-based reasoning</x:v>
      </x:c>
      <x:c r="E298" s="717" t="str">
        <x:v>Exclude</x:v>
      </x:c>
      <x:c r="F298" s="720" t="str">
        <x:v>Clearly outside retinal/ophthalmic concept-based explainable AI.</x:v>
      </x:c>
      <x:c r="G298" s="717" t="str">
        <x:v>Title only</x:v>
      </x:c>
      <x:c r="H298" s="717" t="str">
        <x:v>Exclude</x:v>
      </x:c>
      <x:c r="I298" s="720" t="str">
        <x:v>Clearly outside retinal/ophthalmic concept-based explainable AI.</x:v>
      </x:c>
      <x:c r="J298" s="717" t="str">
        <x:f>IF(E298=H298,E298,"Unclear")</x:f>
        <x:v>Exclude</x:v>
      </x:c>
      <x:c r="K298" s="720" t="str">
        <x:f>IF(E298=H298,"Agreement between both AI passes.","AI-pass disagreement; retain for human discussion.")</x:f>
        <x:v>Agreement between both AI passes.</x:v>
      </x:c>
      <x:c r="L298" s="720" t="str">
        <x:v>NL Aung ALawanna</x:v>
      </x:c>
      <x:c r="M298" s="728" t="n">
        <x:v>2021</x:v>
      </x:c>
      <x:c r="N298" s="717" t="str">
        <x:v>Google Scholar result</x:v>
      </x:c>
      <x:c r="O298" s="717" t="str">
        <x:v>No</x:v>
      </x:c>
      <x:c r="P298" s="717"/>
    </x:row>
    <x:row r="299" ht="38" customHeight="1">
      <x:c r="A299" s="717" t="str">
        <x:v>GS-03-052</x:v>
      </x:c>
      <x:c r="B299" s="717" t="str">
        <x:v>Google Scholar</x:v>
      </x:c>
      <x:c r="C299" s="717" t="str">
        <x:v>GS-03</x:v>
      </x:c>
      <x:c r="D299" s="720" t="str">
        <x:v>An effective similarity determination model for case-based reasoning in support of low-carbon product design</x:v>
      </x:c>
      <x:c r="E299" s="717" t="str">
        <x:v>Exclude</x:v>
      </x:c>
      <x:c r="F299" s="720" t="str">
        <x:v>Clearly outside retinal/ophthalmic concept-based explainable AI.</x:v>
      </x:c>
      <x:c r="G299" s="717" t="str">
        <x:v>Title only</x:v>
      </x:c>
      <x:c r="H299" s="717" t="str">
        <x:v>Exclude</x:v>
      </x:c>
      <x:c r="I299" s="720" t="str">
        <x:v>Clearly outside retinal/ophthalmic concept-based explainable AI.</x:v>
      </x:c>
      <x:c r="J299" s="717" t="str">
        <x:f>IF(E299=H299,E299,"Unclear")</x:f>
        <x:v>Exclude</x:v>
      </x:c>
      <x:c r="K299" s="720" t="str">
        <x:f>IF(E299=H299,"Agreement between both AI passes.","AI-pass disagreement; retain for human discussion.")</x:f>
        <x:v>Agreement between both AI passes.</x:v>
      </x:c>
      <x:c r="L299" s="720" t="str">
        <x:v>Sen fF Bu ¥Z-an ¥ Zhan -4dvarcesin Mechanical 2021</x:v>
      </x:c>
      <x:c r="M299" s="728" t="n">
        <x:v>2021</x:v>
      </x:c>
      <x:c r="N299" s="717" t="str">
        <x:v>Google Scholar result</x:v>
      </x:c>
      <x:c r="O299" s="717" t="str">
        <x:v>No</x:v>
      </x:c>
      <x:c r="P299" s="717"/>
    </x:row>
    <x:row r="300" ht="38" customHeight="1">
      <x:c r="A300" s="717" t="str">
        <x:v>GS-03-053</x:v>
      </x:c>
      <x:c r="B300" s="717" t="str">
        <x:v>Google Scholar</x:v>
      </x:c>
      <x:c r="C300" s="717" t="str">
        <x:v>GS-03</x:v>
      </x:c>
      <x:c r="D300" s="720" t="str">
        <x:v>Research on early warning model of coal and gas outburst based on case-based reasoning</x:v>
      </x:c>
      <x:c r="E300" s="717" t="str">
        <x:v>Exclude</x:v>
      </x:c>
      <x:c r="F300" s="720" t="str">
        <x:v>Clearly outside retinal/ophthalmic concept-based explainable AI.</x:v>
      </x:c>
      <x:c r="G300" s="717" t="str">
        <x:v>Title only</x:v>
      </x:c>
      <x:c r="H300" s="717" t="str">
        <x:v>Exclude</x:v>
      </x:c>
      <x:c r="I300" s="720" t="str">
        <x:v>Clearly outside retinal/ophthalmic concept-based explainable AI.</x:v>
      </x:c>
      <x:c r="J300" s="717" t="str">
        <x:f>IF(E300=H300,E300,"Unclear")</x:f>
        <x:v>Exclude</x:v>
      </x:c>
      <x:c r="K300" s="720" t="str">
        <x:f>IF(E300=H300,"Agreement between both AI passes.","AI-pass disagreement; retain for human discussion.")</x:f>
        <x:v>Agreement between both AI passes.</x:v>
      </x:c>
      <x:c r="L300" s="720" t="str">
        <x:v>LI Svangui LI vianbc HJ Qianting</x:v>
      </x:c>
      <x:c r="M300" s="728"/>
      <x:c r="N300" s="717" t="str">
        <x:v>Google Scholar result</x:v>
      </x:c>
      <x:c r="O300" s="717" t="str">
        <x:v>No</x:v>
      </x:c>
      <x:c r="P300" s="717"/>
    </x:row>
    <x:row r="301" ht="38" customHeight="1">
      <x:c r="A301" s="717" t="str">
        <x:v>GS-03-054</x:v>
      </x:c>
      <x:c r="B301" s="717" t="str">
        <x:v>Google Scholar</x:v>
      </x:c>
      <x:c r="C301" s="717" t="str">
        <x:v>GS-03</x:v>
      </x:c>
      <x:c r="D301" s="720" t="str">
        <x:v>Case-based reasoning for assisting domain experts in processing fraud alerts of black-box machine learning models</x:v>
      </x:c>
      <x:c r="E301" s="717" t="str">
        <x:v>Exclude</x:v>
      </x:c>
      <x:c r="F301" s="720" t="str">
        <x:v>Clearly outside retinal/ophthalmic concept-based explainable AI.</x:v>
      </x:c>
      <x:c r="G301" s="717" t="str">
        <x:v>Title only</x:v>
      </x:c>
      <x:c r="H301" s="717" t="str">
        <x:v>Exclude</x:v>
      </x:c>
      <x:c r="I301" s="720" t="str">
        <x:v>Clearly outside retinal/ophthalmic concept-based explainable AI.</x:v>
      </x:c>
      <x:c r="J301" s="717" t="str">
        <x:f>IF(E301=H301,E301,"Unclear")</x:f>
        <x:v>Exclude</x:v>
      </x:c>
      <x:c r="K301" s="720" t="str">
        <x:f>IF(E301=H301,"Agreement between both AI passes.","AI-pass disagreement; retain for human discussion.")</x:f>
        <x:v>Agreement between both AI passes.</x:v>
      </x:c>
      <x:c r="L301" s="720" t="str">
        <x:v>HIP Weerts. Vi van lpenburg M Pachenizkiy</x:v>
      </x:c>
      <x:c r="M301" s="728" t="n">
        <x:v>2019</x:v>
      </x:c>
      <x:c r="N301" s="717" t="str">
        <x:v>Google Scholar result</x:v>
      </x:c>
      <x:c r="O301" s="717" t="str">
        <x:v>No</x:v>
      </x:c>
      <x:c r="P301" s="717"/>
    </x:row>
    <x:row r="302" ht="38" customHeight="1">
      <x:c r="A302" s="717" t="str">
        <x:v>GS-03-055</x:v>
      </x:c>
      <x:c r="B302" s="717" t="str">
        <x:v>Google Scholar</x:v>
      </x:c>
      <x:c r="C302" s="717" t="str">
        <x:v>GS-03</x:v>
      </x:c>
      <x:c r="D302" s="720" t="str">
        <x:v>Integration of C-Means Clustering in Case Based Reasoning System to Improve the Accuracy of Diabetes Mellitus Diagnosis</x:v>
      </x:c>
      <x:c r="E302" s="717" t="str">
        <x:v>Exclude</x:v>
      </x:c>
      <x:c r="F302" s="720" t="str">
        <x:v>Medical/clinical topic, but no eligible concept-based explainability contribution is evident.</x:v>
      </x:c>
      <x:c r="G302" s="717" t="str">
        <x:v>Title only</x:v>
      </x:c>
      <x:c r="H302" s="717" t="str">
        <x:v>Exclude</x:v>
      </x:c>
      <x:c r="I302" s="720" t="str">
        <x:v>Medical/clinical topic, but no eligible concept-based explainability contribution is evident.</x:v>
      </x:c>
      <x:c r="J302" s="717" t="str">
        <x:f>IF(E302=H302,E302,"Unclear")</x:f>
        <x:v>Exclude</x:v>
      </x:c>
      <x:c r="K302" s="720" t="str">
        <x:f>IF(E302=H302,"Agreement between both AI passes.","AI-pass disagreement; retain for human discussion.")</x:f>
        <x:v>Agreement between both AI passes.</x:v>
      </x:c>
      <x:c r="L302" s="720" t="str">
        <x:v>DY Heriyan AS Purnama =</x:v>
      </x:c>
      <x:c r="M302" s="728" t="n">
        <x:v>2025</x:v>
      </x:c>
      <x:c r="N302" s="717" t="str">
        <x:v>Google Scholar result</x:v>
      </x:c>
      <x:c r="O302" s="717" t="str">
        <x:v>No</x:v>
      </x:c>
      <x:c r="P302" s="717"/>
    </x:row>
    <x:row r="303" ht="38" customHeight="1">
      <x:c r="A303" s="717" t="str">
        <x:v>GS-03-056</x:v>
      </x:c>
      <x:c r="B303" s="717" t="str">
        <x:v>Google Scholar</x:v>
      </x:c>
      <x:c r="C303" s="717" t="str">
        <x:v>GS-03</x:v>
      </x:c>
      <x:c r="D303" s="720" t="str">
        <x:v>STGA-CBR: a case-based reasoning method based on spatiotemporal trajectory similarity assessment</x:v>
      </x:c>
      <x:c r="E303" s="717" t="str">
        <x:v>Exclude</x:v>
      </x:c>
      <x:c r="F303" s="720" t="str">
        <x:v>Clearly outside retinal/ophthalmic concept-based explainable AI.</x:v>
      </x:c>
      <x:c r="G303" s="717" t="str">
        <x:v>Title only</x:v>
      </x:c>
      <x:c r="H303" s="717" t="str">
        <x:v>Exclude</x:v>
      </x:c>
      <x:c r="I303" s="720" t="str">
        <x:v>Clearly outside retinal/ophthalmic concept-based explainable AI.</x:v>
      </x:c>
      <x:c r="J303" s="717" t="str">
        <x:f>IF(E303=H303,E303,"Unclear")</x:f>
        <x:v>Exclude</x:v>
      </x:c>
      <x:c r="K303" s="720" t="str">
        <x:f>IF(E303=H303,"Agreement between both AI passes.","AI-pass disagreement; retain for human discussion.")</x:f>
        <x:v>Agreement between both AI passes.</x:v>
      </x:c>
      <x:c r="L303" s="720" t="str">
        <x:v>2 Keke. _ N.anxue | Yingb-ng</x:v>
      </x:c>
      <x:c r="M303" s="728"/>
      <x:c r="N303" s="717" t="str">
        <x:v>Google Scholar result</x:v>
      </x:c>
      <x:c r="O303" s="717" t="str">
        <x:v>No</x:v>
      </x:c>
      <x:c r="P303" s="717"/>
    </x:row>
    <x:row r="304" ht="38" customHeight="1">
      <x:c r="A304" s="717" t="str">
        <x:v>GS-03-057</x:v>
      </x:c>
      <x:c r="B304" s="717" t="str">
        <x:v>Google Scholar</x:v>
      </x:c>
      <x:c r="C304" s="717" t="str">
        <x:v>GS-03</x:v>
      </x:c>
      <x:c r="D304" s="720" t="str">
        <x:v>An adaptive model for identification of influential bloggers based on case-based reasoning using random forest</x:v>
      </x:c>
      <x:c r="E304" s="717" t="str">
        <x:v>Exclude</x:v>
      </x:c>
      <x:c r="F304" s="720" t="str">
        <x:v>Clearly outside retinal/ophthalmic concept-based explainable AI.</x:v>
      </x:c>
      <x:c r="G304" s="717" t="str">
        <x:v>Title only</x:v>
      </x:c>
      <x:c r="H304" s="717" t="str">
        <x:v>Exclude</x:v>
      </x:c>
      <x:c r="I304" s="720" t="str">
        <x:v>Clearly outside retinal/ophthalmic concept-based explainable AI.</x:v>
      </x:c>
      <x:c r="J304" s="717" t="str">
        <x:f>IF(E304=H304,E304,"Unclear")</x:f>
        <x:v>Exclude</x:v>
      </x:c>
      <x:c r="K304" s="720" t="str">
        <x:f>IF(E304=H304,"Agreement between both AI passes.","AI-pass disagreement; retain for human discussion.")</x:f>
        <x:v>Agreement between both AI passes.</x:v>
      </x:c>
      <x:c r="L304" s="720" t="str">
        <x:v>Yasim 8 Raza 4K Malk AA Snghaig =</x:v>
      </x:c>
      <x:c r="M304" s="728" t="n">
        <x:v>2019</x:v>
      </x:c>
      <x:c r="N304" s="717" t="str">
        <x:v>Google Scholar result</x:v>
      </x:c>
      <x:c r="O304" s="717" t="str">
        <x:v>No</x:v>
      </x:c>
      <x:c r="P304" s="717"/>
    </x:row>
    <x:row r="305" ht="38" customHeight="1">
      <x:c r="A305" s="717" t="str">
        <x:v>GS-03-058</x:v>
      </x:c>
      <x:c r="B305" s="717" t="str">
        <x:v>Google Scholar</x:v>
      </x:c>
      <x:c r="C305" s="717" t="str">
        <x:v>GS-03</x:v>
      </x:c>
      <x:c r="D305" s="720" t="str">
        <x:v>Cognitive management of bandwidth allocation madels with case-based reasoning-evidences towards dynamic BAM reconfiguration</x:v>
      </x:c>
      <x:c r="E305" s="717" t="str">
        <x:v>Exclude</x:v>
      </x:c>
      <x:c r="F305" s="720" t="str">
        <x:v>Clearly outside retinal/ophthalmic concept-based explainable AI.</x:v>
      </x:c>
      <x:c r="G305" s="717" t="str">
        <x:v>Title only</x:v>
      </x:c>
      <x:c r="H305" s="717" t="str">
        <x:v>Exclude</x:v>
      </x:c>
      <x:c r="I305" s="720" t="str">
        <x:v>Clearly outside retinal/ophthalmic concept-based explainable AI.</x:v>
      </x:c>
      <x:c r="J305" s="717" t="str">
        <x:f>IF(E305=H305,E305,"Unclear")</x:f>
        <x:v>Exclude</x:v>
      </x:c>
      <x:c r="K305" s="720" t="str">
        <x:f>IF(E305=H305,"Agreement between both AI passes.","AI-pass disagreement; retain for human discussion.")</x:f>
        <x:v>Agreement between both AI passes.</x:v>
      </x:c>
      <x:c r="L305" s="720" t="str">
        <x:v>EM Olivera, RF Reale</x:v>
      </x:c>
      <x:c r="M305" s="728" t="n">
        <x:v>2018</x:v>
      </x:c>
      <x:c r="N305" s="717" t="str">
        <x:v>Google Scholar result</x:v>
      </x:c>
      <x:c r="O305" s="717" t="str">
        <x:v>No</x:v>
      </x:c>
      <x:c r="P305" s="717"/>
    </x:row>
    <x:row r="306" ht="38" customHeight="1">
      <x:c r="A306" s="717" t="str">
        <x:v>GS-03-059</x:v>
      </x:c>
      <x:c r="B306" s="717" t="str">
        <x:v>Google Scholar</x:v>
      </x:c>
      <x:c r="C306" s="717" t="str">
        <x:v>GS-03</x:v>
      </x:c>
      <x:c r="D306" s="720" t="str">
        <x:v>Case-based reasoning system for prediction of fuel cansumption by haulage trucks In open-pit mines</x:v>
      </x:c>
      <x:c r="E306" s="717" t="str">
        <x:v>Exclude</x:v>
      </x:c>
      <x:c r="F306" s="720" t="str">
        <x:v>Clearly outside retinal/ophthalmic concept-based explainable AI.</x:v>
      </x:c>
      <x:c r="G306" s="717" t="str">
        <x:v>Title only</x:v>
      </x:c>
      <x:c r="H306" s="717" t="str">
        <x:v>Exclude</x:v>
      </x:c>
      <x:c r="I306" s="720" t="str">
        <x:v>Clearly outside retinal/ophthalmic concept-based explainable AI.</x:v>
      </x:c>
      <x:c r="J306" s="717" t="str">
        <x:f>IF(E306=H306,E306,"Unclear")</x:f>
        <x:v>Exclude</x:v>
      </x:c>
      <x:c r="K306" s="720" t="str">
        <x:f>IF(E306=H306,"Agreement between both AI passes.","AI-pass disagreement; retain for human discussion.")</x:f>
        <x:v>Agreement between both AI passes.</x:v>
      </x:c>
      <x:c r="L306" s="720" t="str">
        <x:v>G Tadubana B Sigweni R Sugla</x:v>
      </x:c>
      <x:c r="M306" s="728" t="n">
        <x:v>2021</x:v>
      </x:c>
      <x:c r="N306" s="717" t="str">
        <x:v>Google Scholar result</x:v>
      </x:c>
      <x:c r="O306" s="717" t="str">
        <x:v>No</x:v>
      </x:c>
      <x:c r="P306" s="717"/>
    </x:row>
    <x:row r="307" ht="38" customHeight="1">
      <x:c r="A307" s="717" t="str">
        <x:v>GS-03-060</x:v>
      </x:c>
      <x:c r="B307" s="717" t="str">
        <x:v>Google Scholar</x:v>
      </x:c>
      <x:c r="C307" s="717" t="str">
        <x:v>GS-03</x:v>
      </x:c>
      <x:c r="D307" s="720" t="str">
        <x:v>Predicting influential blogger's by a novel, hyorid and optimized case based reasoning approach with balanced random forest using imbalanced data</x:v>
      </x:c>
      <x:c r="E307" s="717" t="str">
        <x:v>Exclude</x:v>
      </x:c>
      <x:c r="F307" s="720" t="str">
        <x:v>Clearly outside retinal/ophthalmic concept-based explainable AI.</x:v>
      </x:c>
      <x:c r="G307" s="717" t="str">
        <x:v>Title only</x:v>
      </x:c>
      <x:c r="H307" s="717" t="str">
        <x:v>Exclude</x:v>
      </x:c>
      <x:c r="I307" s="720" t="str">
        <x:v>Clearly outside retinal/ophthalmic concept-based explainable AI.</x:v>
      </x:c>
      <x:c r="J307" s="717" t="str">
        <x:f>IF(E307=H307,E307,"Unclear")</x:f>
        <x:v>Exclude</x:v>
      </x:c>
      <x:c r="K307" s="720" t="str">
        <x:f>IF(E307=H307,"Agreement between both AI passes.","AI-pass disagreement; retain for human discussion.")</x:f>
        <x:v>Agreement between both AI passes.</x:v>
      </x:c>
      <x:c r="L307" s="720" t="str">
        <x:v>Y Asim 4K Malik BRaza AR Shahid W¥ Qama-- EEE Access 2020</x:v>
      </x:c>
      <x:c r="M307" s="728" t="n">
        <x:v>2020</x:v>
      </x:c>
      <x:c r="N307" s="717" t="str">
        <x:v>Google Scholar result</x:v>
      </x:c>
      <x:c r="O307" s="717" t="str">
        <x:v>No</x:v>
      </x:c>
      <x:c r="P307" s="717"/>
    </x:row>
    <x:row r="308" ht="38" customHeight="1">
      <x:c r="A308" s="717" t="str">
        <x:v>GS-03-061</x:v>
      </x:c>
      <x:c r="B308" s="717" t="str">
        <x:v>Google Scholar</x:v>
      </x:c>
      <x:c r="C308" s="717" t="str">
        <x:v>GS-03</x:v>
      </x:c>
      <x:c r="D308" s="720" t="str">
        <x:v>Reviewing The Combination of Case-Based Reasoning and Machine Learning for Improving a Decision Support System</x:v>
      </x:c>
      <x:c r="E308" s="717" t="str">
        <x:v>Exclude</x:v>
      </x:c>
      <x:c r="F308" s="720" t="str">
        <x:v>Clearly outside retinal/ophthalmic concept-based explainable AI.</x:v>
      </x:c>
      <x:c r="G308" s="717" t="str">
        <x:v>Title only</x:v>
      </x:c>
      <x:c r="H308" s="717" t="str">
        <x:v>Exclude</x:v>
      </x:c>
      <x:c r="I308" s="720" t="str">
        <x:v>Clearly outside retinal/ophthalmic concept-based explainable AI.</x:v>
      </x:c>
      <x:c r="J308" s="717" t="str">
        <x:f>IF(E308=H308,E308,"Unclear")</x:f>
        <x:v>Exclude</x:v>
      </x:c>
      <x:c r="K308" s="720" t="str">
        <x:f>IF(E308=H308,"Agreement between both AI passes.","AI-pass disagreement; retain for human discussion.")</x:f>
        <x:v>Agreement between both AI passes.</x:v>
      </x:c>
      <x:c r="L308" s="720" t="str">
        <x:v>H Maradona F Ar‘fin, SAndayani-Applied nformalion Syslem =. 2026</x:v>
      </x:c>
      <x:c r="M308" s="728" t="n">
        <x:v>2026</x:v>
      </x:c>
      <x:c r="N308" s="717" t="str">
        <x:v>Google Scholar result</x:v>
      </x:c>
      <x:c r="O308" s="717" t="str">
        <x:v>No</x:v>
      </x:c>
      <x:c r="P308" s="717"/>
    </x:row>
    <x:row r="309" ht="38" customHeight="1">
      <x:c r="A309" s="717" t="str">
        <x:v>GS-03-062</x:v>
      </x:c>
      <x:c r="B309" s="717" t="str">
        <x:v>Google Scholar</x:v>
      </x:c>
      <x:c r="C309" s="717" t="str">
        <x:v>GS-03</x:v>
      </x:c>
      <x:c r="D309" s="720" t="str">
        <x:v>Towards Intelligent Control Centers: Case-based Reasoning for Waypoint Assistance</x:v>
      </x:c>
      <x:c r="E309" s="717" t="str">
        <x:v>Exclude</x:v>
      </x:c>
      <x:c r="F309" s="720" t="str">
        <x:v>Clearly outside retinal/ophthalmic concept-based explainable AI.</x:v>
      </x:c>
      <x:c r="G309" s="717" t="str">
        <x:v>Title only</x:v>
      </x:c>
      <x:c r="H309" s="717" t="str">
        <x:v>Exclude</x:v>
      </x:c>
      <x:c r="I309" s="720" t="str">
        <x:v>Clearly outside retinal/ophthalmic concept-based explainable AI.</x:v>
      </x:c>
      <x:c r="J309" s="717" t="str">
        <x:f>IF(E309=H309,E309,"Unclear")</x:f>
        <x:v>Exclude</x:v>
      </x:c>
      <x:c r="K309" s="720" t="str">
        <x:f>IF(E309=H309,"Agreement between both AI passes.","AI-pass disagreement; retain for human discussion.")</x:f>
        <x:v>Agreement between both AI passes.</x:v>
      </x:c>
      <x:c r="L309" s="720" t="str">
        <x:v>M Sontscharaw § Or A Schotscrneider</x:v>
      </x:c>
      <x:c r="M309" s="728" t="n">
        <x:v>2025</x:v>
      </x:c>
      <x:c r="N309" s="717" t="str">
        <x:v>Google Scholar result</x:v>
      </x:c>
      <x:c r="O309" s="717" t="str">
        <x:v>No</x:v>
      </x:c>
      <x:c r="P309" s="717"/>
    </x:row>
    <x:row r="310" ht="38" customHeight="1">
      <x:c r="A310" s="717" t="str">
        <x:v>GS-03-063</x:v>
      </x:c>
      <x:c r="B310" s="717" t="str">
        <x:v>Google Scholar</x:v>
      </x:c>
      <x:c r="C310" s="717" t="str">
        <x:v>GS-03</x:v>
      </x:c>
      <x:c r="D310" s="720" t="str">
        <x:v>re errr ree, ~ Sr cl eal iii genetic algonthm for predicting multi-class workload characterization in autonomic .</x:v>
      </x:c>
      <x:c r="E310" s="717" t="str">
        <x:v>Exclude</x:v>
      </x:c>
      <x:c r="F310" s="720" t="str">
        <x:v>Clearly outside retinal/ophthalmic concept-based explainable AI.</x:v>
      </x:c>
      <x:c r="G310" s="717" t="str">
        <x:v>Title only</x:v>
      </x:c>
      <x:c r="H310" s="717" t="str">
        <x:v>Exclude</x:v>
      </x:c>
      <x:c r="I310" s="720" t="str">
        <x:v>Clearly outside retinal/ophthalmic concept-based explainable AI.</x:v>
      </x:c>
      <x:c r="J310" s="717" t="str">
        <x:f>IF(E310=H310,E310,"Unclear")</x:f>
        <x:v>Exclude</x:v>
      </x:c>
      <x:c r="K310" s="720" t="str">
        <x:f>IF(E310=H310,"Agreement between both AI passes.","AI-pass disagreement; retain for human discussion.")</x:f>
        <x:v>Agreement between both AI passes.</x:v>
      </x:c>
      <x:c r="L310" s="720" t="str">
        <x:v>N Shaheen, 3 Raza. AR Shahiz H Alguhsyz- EEE Access 2020</x:v>
      </x:c>
      <x:c r="M310" s="728" t="n">
        <x:v>2020</x:v>
      </x:c>
      <x:c r="N310" s="717" t="str">
        <x:v>Google Scholar result</x:v>
      </x:c>
      <x:c r="O310" s="717" t="str">
        <x:v>No</x:v>
      </x:c>
      <x:c r="P310" s="717"/>
    </x:row>
    <x:row r="311" ht="38" customHeight="1">
      <x:c r="A311" s="717" t="str">
        <x:v>GS-03-064</x:v>
      </x:c>
      <x:c r="B311" s="717" t="str">
        <x:v>Google Scholar</x:v>
      </x:c>
      <x:c r="C311" s="717" t="str">
        <x:v>GS-03</x:v>
      </x:c>
      <x:c r="D311" s="720" t="str">
        <x:v>Expert system for early detection of thalassemia disease using case-based reasoning method</x:v>
      </x:c>
      <x:c r="E311" s="717" t="str">
        <x:v>Exclude</x:v>
      </x:c>
      <x:c r="F311" s="720" t="str">
        <x:v>Medical/clinical topic, but no eligible concept-based explainability contribution is evident.</x:v>
      </x:c>
      <x:c r="G311" s="717" t="str">
        <x:v>Title only</x:v>
      </x:c>
      <x:c r="H311" s="717" t="str">
        <x:v>Exclude</x:v>
      </x:c>
      <x:c r="I311" s="720" t="str">
        <x:v>Medical/clinical topic, but no eligible concept-based explainability contribution is evident.</x:v>
      </x:c>
      <x:c r="J311" s="717" t="str">
        <x:f>IF(E311=H311,E311,"Unclear")</x:f>
        <x:v>Exclude</x:v>
      </x:c>
      <x:c r="K311" s="720" t="str">
        <x:f>IF(E311=H311,"Agreement between both AI passes.","AI-pass disagreement; retain for human discussion.")</x:f>
        <x:v>Agreement between both AI passes.</x:v>
      </x:c>
      <x:c r="L311" s="720" t="str">
        <x:v>R Setani, 4’ Djatmko RAKurniawan -Indonesian Joumalof 2025</x:v>
      </x:c>
      <x:c r="M311" s="728" t="n">
        <x:v>2025</x:v>
      </x:c>
      <x:c r="N311" s="717" t="str">
        <x:v>Google Scholar result</x:v>
      </x:c>
      <x:c r="O311" s="717" t="str">
        <x:v>No</x:v>
      </x:c>
      <x:c r="P311" s="717"/>
    </x:row>
    <x:row r="312" ht="38" customHeight="1">
      <x:c r="A312" s="717" t="str">
        <x:v>GS-03-065</x:v>
      </x:c>
      <x:c r="B312" s="717" t="str">
        <x:v>Google Scholar</x:v>
      </x:c>
      <x:c r="C312" s="717" t="str">
        <x:v>GS-03</x:v>
      </x:c>
      <x:c r="D312" s="720" t="str">
        <x:v>Case-based reasoning and computer vision for cybersecurity a short review</x:v>
      </x:c>
      <x:c r="E312" s="717" t="str">
        <x:v>Exclude</x:v>
      </x:c>
      <x:c r="F312" s="720" t="str">
        <x:v>Non-original evidence (review, editorial, response, protocol, or similar); retain only for background/citation chasing (E4).</x:v>
      </x:c>
      <x:c r="G312" s="717" t="str">
        <x:v>Title only</x:v>
      </x:c>
      <x:c r="H312" s="717" t="str">
        <x:v>Exclude</x:v>
      </x:c>
      <x:c r="I312" s="720" t="str">
        <x:v>Non-original evidence (review, editorial, response, protocol, or similar); retain only for background/citation chasing (E4).</x:v>
      </x:c>
      <x:c r="J312" s="717" t="str">
        <x:f>IF(E312=H312,E312,"Unclear")</x:f>
        <x:v>Exclude</x:v>
      </x:c>
      <x:c r="K312" s="720" t="str">
        <x:f>IF(E312=H312,"Agreement between both AI passes.","AI-pass disagreement; retain for human discussion.")</x:f>
        <x:v>Agreement between both AI passes.</x:v>
      </x:c>
      <x:c r="L312" s="720" t="str">
        <x:v>ND Tchomla. F Tchakoyrle |Abbo</x:v>
      </x:c>
      <x:c r="M312" s="728"/>
      <x:c r="N312" s="717" t="str">
        <x:v>Google Scholar result</x:v>
      </x:c>
      <x:c r="O312" s="717" t="str">
        <x:v>No</x:v>
      </x:c>
      <x:c r="P312" s="717"/>
    </x:row>
    <x:row r="313" ht="38" customHeight="1">
      <x:c r="A313" s="717" t="str">
        <x:v>GS-03-066</x:v>
      </x:c>
      <x:c r="B313" s="717" t="str">
        <x:v>Google Scholar</x:v>
      </x:c>
      <x:c r="C313" s="717" t="str">
        <x:v>GS-03</x:v>
      </x:c>
      <x:c r="D313" s="720" t="str">
        <x:v>Hybrid similarity measure for retneval in case-based reasoning systems and its applications for computer numencal control turret design</x:v>
      </x:c>
      <x:c r="E313" s="717" t="str">
        <x:v>Exclude</x:v>
      </x:c>
      <x:c r="F313" s="720" t="str">
        <x:v>Clearly outside retinal/ophthalmic concept-based explainable AI.</x:v>
      </x:c>
      <x:c r="G313" s="717" t="str">
        <x:v>Title only</x:v>
      </x:c>
      <x:c r="H313" s="717" t="str">
        <x:v>Exclude</x:v>
      </x:c>
      <x:c r="I313" s="720" t="str">
        <x:v>Clearly outside retinal/ophthalmic concept-based explainable AI.</x:v>
      </x:c>
      <x:c r="J313" s="717" t="str">
        <x:f>IF(E313=H313,E313,"Unclear")</x:f>
        <x:v>Exclude</x:v>
      </x:c>
      <x:c r="K313" s="720" t="str">
        <x:f>IF(E313=H313,"Agreement between both AI passes.","AI-pass disagreement; retain for human discussion.")</x:f>
        <x:v>Agreement between both AI passes.</x:v>
      </x:c>
      <x:c r="L313" s="720" t="str">
        <x:v>H Wang B Sun. X Shan</x:v>
      </x:c>
      <x:c r="M313" s="728"/>
      <x:c r="N313" s="717" t="str">
        <x:v>Google Scholar result</x:v>
      </x:c>
      <x:c r="O313" s="717" t="str">
        <x:v>No</x:v>
      </x:c>
      <x:c r="P313" s="717"/>
    </x:row>
    <x:row r="314" ht="38" customHeight="1">
      <x:c r="A314" s="717" t="str">
        <x:v>GS-03-067</x:v>
      </x:c>
      <x:c r="B314" s="717" t="str">
        <x:v>Google Scholar</x:v>
      </x:c>
      <x:c r="C314" s="717" t="str">
        <x:v>GS-03</x:v>
      </x:c>
      <x:c r="D314" s="720" t="str">
        <x:v>Online optimization of boiler operation based on information integration and case-based reasoning</x:v>
      </x:c>
      <x:c r="E314" s="717" t="str">
        <x:v>Exclude</x:v>
      </x:c>
      <x:c r="F314" s="720" t="str">
        <x:v>Clearly outside retinal/ophthalmic concept-based explainable AI.</x:v>
      </x:c>
      <x:c r="G314" s="717" t="str">
        <x:v>Title only</x:v>
      </x:c>
      <x:c r="H314" s="717" t="str">
        <x:v>Exclude</x:v>
      </x:c>
      <x:c r="I314" s="720" t="str">
        <x:v>Clearly outside retinal/ophthalmic concept-based explainable AI.</x:v>
      </x:c>
      <x:c r="J314" s="717" t="str">
        <x:f>IF(E314=H314,E314,"Unclear")</x:f>
        <x:v>Exclude</x:v>
      </x:c>
      <x:c r="K314" s="720" t="str">
        <x:f>IF(E314=H314,"Agreement between both AI passes.","AI-pass disagreement; retain for human discussion.")</x:f>
        <x:v>Agreement between both AI passes.</x:v>
      </x:c>
      <x:c r="L314" s="720" t="str">
        <x:v>T Ye M Dong. ¥ Liang J Long Y Zheng = -Intemalional joumsicf . 2022</x:v>
      </x:c>
      <x:c r="M314" s="728" t="n">
        <x:v>2022</x:v>
      </x:c>
      <x:c r="N314" s="717" t="str">
        <x:v>Google Scholar result</x:v>
      </x:c>
      <x:c r="O314" s="717" t="str">
        <x:v>No</x:v>
      </x:c>
      <x:c r="P314" s="717"/>
    </x:row>
    <x:row r="315" ht="38" customHeight="1">
      <x:c r="A315" s="717" t="str">
        <x:v>GS-03-068</x:v>
      </x:c>
      <x:c r="B315" s="717" t="str">
        <x:v>Google Scholar</x:v>
      </x:c>
      <x:c r="C315" s="717" t="str">
        <x:v>GS-03</x:v>
      </x:c>
      <x:c r="D315" s="720" t="str">
        <x:v>Incorporating case-based reasoning for radiation therapy knowledge modeling” a pelvic case study</x:v>
      </x:c>
      <x:c r="E315" s="717" t="str">
        <x:v>Exclude</x:v>
      </x:c>
      <x:c r="F315" s="720" t="str">
        <x:v>Clearly outside retinal/ophthalmic concept-based explainable AI.</x:v>
      </x:c>
      <x:c r="G315" s="717" t="str">
        <x:v>Title only</x:v>
      </x:c>
      <x:c r="H315" s="717" t="str">
        <x:v>Exclude</x:v>
      </x:c>
      <x:c r="I315" s="720" t="str">
        <x:v>Clearly outside retinal/ophthalmic concept-based explainable AI.</x:v>
      </x:c>
      <x:c r="J315" s="717" t="str">
        <x:f>IF(E315=H315,E315,"Unclear")</x:f>
        <x:v>Exclude</x:v>
      </x:c>
      <x:c r="K315" s="720" t="str">
        <x:f>IF(E315=H315,"Agreement between both AI passes.","AI-pass disagreement; retain for human discussion.")</x:f>
        <x:v>Agreement between both AI passes.</x:v>
      </x:c>
      <x:c r="L315" s="720" t="str">
        <x:v>¥ Sheng JZhang €\vang FF Yin</x:v>
      </x:c>
      <x:c r="M315" s="728" t="n">
        <x:v>2015</x:v>
      </x:c>
      <x:c r="N315" s="717" t="str">
        <x:v>Google Scholar result</x:v>
      </x:c>
      <x:c r="O315" s="717" t="str">
        <x:v>No</x:v>
      </x:c>
      <x:c r="P315" s="717"/>
    </x:row>
    <x:row r="316" ht="38" customHeight="1">
      <x:c r="A316" s="717" t="str">
        <x:v>GS-03-069</x:v>
      </x:c>
      <x:c r="B316" s="717" t="str">
        <x:v>Google Scholar</x:v>
      </x:c>
      <x:c r="C316" s="717" t="str">
        <x:v>GS-03</x:v>
      </x:c>
      <x:c r="D316" s="720" t="str">
        <x:v>Towards Adaptive Flood Prediction Parameter Optimization of Case-Based Reasoning Models</x:v>
      </x:c>
      <x:c r="E316" s="717" t="str">
        <x:v>Exclude</x:v>
      </x:c>
      <x:c r="F316" s="720" t="str">
        <x:v>Clearly outside retinal/ophthalmic concept-based explainable AI.</x:v>
      </x:c>
      <x:c r="G316" s="717" t="str">
        <x:v>Title only</x:v>
      </x:c>
      <x:c r="H316" s="717" t="str">
        <x:v>Exclude</x:v>
      </x:c>
      <x:c r="I316" s="720" t="str">
        <x:v>Clearly outside retinal/ophthalmic concept-based explainable AI.</x:v>
      </x:c>
      <x:c r="J316" s="717" t="str">
        <x:f>IF(E316=H316,E316,"Unclear")</x:f>
        <x:v>Exclude</x:v>
      </x:c>
      <x:c r="K316" s="720" t="str">
        <x:f>IF(E316=H316,"Agreement between both AI passes.","AI-pass disagreement; retain for human discussion.")</x:f>
        <x:v>Agreement between both AI passes.</x:v>
      </x:c>
      <x:c r="L316" s="720" t="str">
        <x:v>NAM Rashid. 22 Abigin, ZA Abas</x:v>
      </x:c>
      <x:c r="M316" s="728" t="n">
        <x:v>2025</x:v>
      </x:c>
      <x:c r="N316" s="717" t="str">
        <x:v>Google Scholar result</x:v>
      </x:c>
      <x:c r="O316" s="717" t="str">
        <x:v>No</x:v>
      </x:c>
      <x:c r="P316" s="717"/>
    </x:row>
    <x:row r="317" ht="38" customHeight="1">
      <x:c r="A317" s="717" t="str">
        <x:v>GS-03-070</x:v>
      </x:c>
      <x:c r="B317" s="717" t="str">
        <x:v>Google Scholar</x:v>
      </x:c>
      <x:c r="C317" s="717" t="str">
        <x:v>GS-03</x:v>
      </x:c>
      <x:c r="D317" s="720" t="str">
        <x:v>Advanced tuberculosis diagnosis systam’ Integrating case-based reasoning with nearest neighbor algonthm</x:v>
      </x:c>
      <x:c r="E317" s="717" t="str">
        <x:v>Exclude</x:v>
      </x:c>
      <x:c r="F317" s="720" t="str">
        <x:v>Medical/clinical topic, but no eligible concept-based explainability contribution is evident.</x:v>
      </x:c>
      <x:c r="G317" s="717" t="str">
        <x:v>Title only</x:v>
      </x:c>
      <x:c r="H317" s="717" t="str">
        <x:v>Exclude</x:v>
      </x:c>
      <x:c r="I317" s="720" t="str">
        <x:v>Medical/clinical topic, but no eligible concept-based explainability contribution is evident.</x:v>
      </x:c>
      <x:c r="J317" s="717" t="str">
        <x:f>IF(E317=H317,E317,"Unclear")</x:f>
        <x:v>Exclude</x:v>
      </x:c>
      <x:c r="K317" s="720" t="str">
        <x:f>IF(E317=H317,"Agreement between both AI passes.","AI-pass disagreement; retain for human discussion.")</x:f>
        <x:v>Agreement between both AI passes.</x:v>
      </x:c>
      <x:c r="L317" s="720" t="str">
        <x:v>AF Wakuma</x:v>
      </x:c>
      <x:c r="M317" s="728" t="n">
        <x:v>2024</x:v>
      </x:c>
      <x:c r="N317" s="717" t="str">
        <x:v>Google Scholar result</x:v>
      </x:c>
      <x:c r="O317" s="717" t="str">
        <x:v>No</x:v>
      </x:c>
      <x:c r="P317" s="717"/>
    </x:row>
    <x:row r="318" ht="38" customHeight="1">
      <x:c r="A318" s="717" t="str">
        <x:v>GS-03-071</x:v>
      </x:c>
      <x:c r="B318" s="717" t="str">
        <x:v>Google Scholar</x:v>
      </x:c>
      <x:c r="C318" s="717" t="str">
        <x:v>GS-03</x:v>
      </x:c>
      <x:c r="D318" s="720" t="str">
        <x:v>Tamporal Case-Based Reasoning Retrieval Through Transformers Using Context-Based Vocabularies</x:v>
      </x:c>
      <x:c r="E318" s="717" t="str">
        <x:v>Exclude</x:v>
      </x:c>
      <x:c r="F318" s="720" t="str">
        <x:v>Clearly outside retinal/ophthalmic concept-based explainable AI.</x:v>
      </x:c>
      <x:c r="G318" s="717" t="str">
        <x:v>Title only</x:v>
      </x:c>
      <x:c r="H318" s="717" t="str">
        <x:v>Exclude</x:v>
      </x:c>
      <x:c r="I318" s="720" t="str">
        <x:v>Clearly outside retinal/ophthalmic concept-based explainable AI.</x:v>
      </x:c>
      <x:c r="J318" s="717" t="str">
        <x:f>IF(E318=H318,E318,"Unclear")</x:f>
        <x:v>Exclude</x:v>
      </x:c>
      <x:c r="K318" s="720" t="str">
        <x:f>IF(E318=H318,"Agreement between both AI passes.","AI-pass disagreement; retain for human discussion.")</x:f>
        <x:v>Agreement between both AI passes.</x:v>
      </x:c>
      <x:c r="L318" s="720" t="str">
        <x:v>E Saavedra Mercado. R Torres-Escobar.</x:v>
      </x:c>
      <x:c r="M318" s="728" t="n">
        <x:v>2024</x:v>
      </x:c>
      <x:c r="N318" s="717" t="str">
        <x:v>Google Scholar result</x:v>
      </x:c>
      <x:c r="O318" s="717" t="str">
        <x:v>No</x:v>
      </x:c>
      <x:c r="P318" s="717"/>
    </x:row>
    <x:row r="319" ht="38" customHeight="1">
      <x:c r="A319" s="717" t="str">
        <x:v>GS-03-072</x:v>
      </x:c>
      <x:c r="B319" s="717" t="str">
        <x:v>Google Scholar</x:v>
      </x:c>
      <x:c r="C319" s="717" t="str">
        <x:v>GS-03</x:v>
      </x:c>
      <x:c r="D319" s="720" t="str">
        <x:v>Intelligent data analysis of the influence of COVID-19 on the stock market using Case Based Raasoning</x:v>
      </x:c>
      <x:c r="E319" s="717" t="str">
        <x:v>Exclude</x:v>
      </x:c>
      <x:c r="F319" s="720" t="str">
        <x:v>Clearly outside retinal/ophthalmic concept-based explainable AI.</x:v>
      </x:c>
      <x:c r="G319" s="717" t="str">
        <x:v>Title only</x:v>
      </x:c>
      <x:c r="H319" s="717" t="str">
        <x:v>Exclude</x:v>
      </x:c>
      <x:c r="I319" s="720" t="str">
        <x:v>Clearly outside retinal/ophthalmic concept-based explainable AI.</x:v>
      </x:c>
      <x:c r="J319" s="717" t="str">
        <x:f>IF(E319=H319,E319,"Unclear")</x:f>
        <x:v>Exclude</x:v>
      </x:c>
      <x:c r="K319" s="720" t="str">
        <x:f>IF(E319=H319,"Agreement between both AI passes.","AI-pass disagreement; retain for human discussion.")</x:f>
        <x:v>Agreement between both AI passes.</x:v>
      </x:c>
      <x:c r="L319" s="720" t="str">
        <x:v>Alorenzo JA Oliva ~ Jaurna of Computer Science &amp; 2020</x:v>
      </x:c>
      <x:c r="M319" s="728" t="n">
        <x:v>2020</x:v>
      </x:c>
      <x:c r="N319" s="717" t="str">
        <x:v>Google Scholar result</x:v>
      </x:c>
      <x:c r="O319" s="717" t="str">
        <x:v>No</x:v>
      </x:c>
      <x:c r="P319" s="717"/>
    </x:row>
    <x:row r="320" ht="38" customHeight="1">
      <x:c r="A320" s="717" t="str">
        <x:v>GS-03-073</x:v>
      </x:c>
      <x:c r="B320" s="717" t="str">
        <x:v>Google Scholar</x:v>
      </x:c>
      <x:c r="C320" s="717" t="str">
        <x:v>GS-03</x:v>
      </x:c>
      <x:c r="D320" s="720" t="str">
        <x:v>Efficient identification of patiants eligible for clinical studies using case-based reasoning on Scottish Health Research register (SHARE)</x:v>
      </x:c>
      <x:c r="E320" s="717" t="str">
        <x:v>Exclude</x:v>
      </x:c>
      <x:c r="F320" s="720" t="str">
        <x:v>Medical/clinical topic, but no eligible concept-based explainability contribution is evident.</x:v>
      </x:c>
      <x:c r="G320" s="717" t="str">
        <x:v>Title only</x:v>
      </x:c>
      <x:c r="H320" s="717" t="str">
        <x:v>Exclude</x:v>
      </x:c>
      <x:c r="I320" s="720" t="str">
        <x:v>Medical/clinical topic, but no eligible concept-based explainability contribution is evident.</x:v>
      </x:c>
      <x:c r="J320" s="717" t="str">
        <x:f>IF(E320=H320,E320,"Unclear")</x:f>
        <x:v>Exclude</x:v>
      </x:c>
      <x:c r="K320" s="720" t="str">
        <x:f>IF(E320=H320,"Agreement between both AI passes.","AI-pass disagreement; retain for human discussion.")</x:f>
        <x:v>Agreement between both AI passes.</x:v>
      </x:c>
      <x:c r="L320" s="720" t="str">
        <x:v>W Shi, T Kelsey. F Suilivan</x:v>
      </x:c>
      <x:c r="M320" s="728" t="n">
        <x:v>2020</x:v>
      </x:c>
      <x:c r="N320" s="717" t="str">
        <x:v>Google Scholar result</x:v>
      </x:c>
      <x:c r="O320" s="717" t="str">
        <x:v>No</x:v>
      </x:c>
      <x:c r="P320" s="717"/>
    </x:row>
    <x:row r="321" ht="38" customHeight="1">
      <x:c r="A321" s="717" t="str">
        <x:v>GS-03-074</x:v>
      </x:c>
      <x:c r="B321" s="717" t="str">
        <x:v>Google Scholar</x:v>
      </x:c>
      <x:c r="C321" s="717" t="str">
        <x:v>GS-03</x:v>
      </x:c>
      <x:c r="D321" s="720" t="str">
        <x:v>Problem-Oriented corporate knowledge base models on the case-based reasoning approach basis</x:v>
      </x:c>
      <x:c r="E321" s="717" t="str">
        <x:v>Exclude</x:v>
      </x:c>
      <x:c r="F321" s="720" t="str">
        <x:v>Clearly outside retinal/ophthalmic concept-based explainable AI.</x:v>
      </x:c>
      <x:c r="G321" s="717" t="str">
        <x:v>Title only</x:v>
      </x:c>
      <x:c r="H321" s="717" t="str">
        <x:v>Exclude</x:v>
      </x:c>
      <x:c r="I321" s="720" t="str">
        <x:v>Clearly outside retinal/ophthalmic concept-based explainable AI.</x:v>
      </x:c>
      <x:c r="J321" s="717" t="str">
        <x:f>IF(E321=H321,E321,"Unclear")</x:f>
        <x:v>Exclude</x:v>
      </x:c>
      <x:c r="K321" s="720" t="str">
        <x:f>IF(E321=H321,"Agreement between both AI passes.","AI-pass disagreement; retain for human discussion.")</x:f>
        <x:v>Agreement between both AI passes.</x:v>
      </x:c>
      <x:c r="L321" s="720" t="str">
        <x:v>IN Slunih RK &amp;khmadulin</x:v>
      </x:c>
      <x:c r="M321" s="728"/>
      <x:c r="N321" s="717" t="str">
        <x:v>Google Scholar result</x:v>
      </x:c>
      <x:c r="O321" s="717" t="str">
        <x:v>No</x:v>
      </x:c>
      <x:c r="P321" s="717"/>
    </x:row>
    <x:row r="322" ht="38" customHeight="1">
      <x:c r="A322" s="717" t="str">
        <x:v>GS-03-075</x:v>
      </x:c>
      <x:c r="B322" s="717" t="str">
        <x:v>Google Scholar</x:v>
      </x:c>
      <x:c r="C322" s="717" t="str">
        <x:v>GS-03</x:v>
      </x:c>
      <x:c r="D322" s="720" t="str">
        <x:v>Application of Case Based Reasoning Using The K-Nearest Neighbor Algonthm in an Expert System for Diagnosing Pests and Diseases of Sugarcane Plants</x:v>
      </x:c>
      <x:c r="E322" s="717" t="str">
        <x:v>Exclude</x:v>
      </x:c>
      <x:c r="F322" s="720" t="str">
        <x:v>Medical/clinical topic, but no eligible concept-based explainability contribution is evident.</x:v>
      </x:c>
      <x:c r="G322" s="717" t="str">
        <x:v>Title only</x:v>
      </x:c>
      <x:c r="H322" s="717" t="str">
        <x:v>Exclude</x:v>
      </x:c>
      <x:c r="I322" s="720" t="str">
        <x:v>Medical/clinical topic, but no eligible concept-based explainability contribution is evident.</x:v>
      </x:c>
      <x:c r="J322" s="717" t="str">
        <x:f>IF(E322=H322,E322,"Unclear")</x:f>
        <x:v>Exclude</x:v>
      </x:c>
      <x:c r="K322" s="720" t="str">
        <x:f>IF(E322=H322,"Agreement between both AI passes.","AI-pass disagreement; retain for human discussion.")</x:f>
        <x:v>Agreement between both AI passes.</x:v>
      </x:c>
      <x:c r="L322" s="720" t="str">
        <x:v>AMA Parewe MMursaim</x:v>
      </x:c>
      <x:c r="M322" s="728" t="n">
        <x:v>2022</x:v>
      </x:c>
      <x:c r="N322" s="717" t="str">
        <x:v>Google Scholar result</x:v>
      </x:c>
      <x:c r="O322" s="717" t="str">
        <x:v>No</x:v>
      </x:c>
      <x:c r="P322" s="717"/>
    </x:row>
    <x:row r="323" ht="38" customHeight="1">
      <x:c r="A323" s="717" t="str">
        <x:v>GS-03-076</x:v>
      </x:c>
      <x:c r="B323" s="717" t="str">
        <x:v>Google Scholar</x:v>
      </x:c>
      <x:c r="C323" s="717" t="str">
        <x:v>GS-03</x:v>
      </x:c>
      <x:c r="D323" s="720" t="str">
        <x:v>Case-based reasoning as a measure of constitutional adjudication Remarks on the jurisprudence of the Hungarian Constitutional Court in defamation cases</x:v>
      </x:c>
      <x:c r="E323" s="717" t="str">
        <x:v>Exclude</x:v>
      </x:c>
      <x:c r="F323" s="720" t="str">
        <x:v>Clearly outside retinal/ophthalmic concept-based explainable AI.</x:v>
      </x:c>
      <x:c r="G323" s="717" t="str">
        <x:v>Title only</x:v>
      </x:c>
      <x:c r="H323" s="717" t="str">
        <x:v>Exclude</x:v>
      </x:c>
      <x:c r="I323" s="720" t="str">
        <x:v>Clearly outside retinal/ophthalmic concept-based explainable AI.</x:v>
      </x:c>
      <x:c r="J323" s="717" t="str">
        <x:f>IF(E323=H323,E323,"Unclear")</x:f>
        <x:v>Exclude</x:v>
      </x:c>
      <x:c r="K323" s="720" t="str">
        <x:f>IF(E323=H323,"Agreement between both AI passes.","AI-pass disagreement; retain for human discussion.")</x:f>
        <x:v>Agreement between both AI passes.</x:v>
      </x:c>
      <x:c r="L323" s="720" t="str">
        <x:v>E Boga-Balogl</x:v>
      </x:c>
      <x:c r="M323" s="728"/>
      <x:c r="N323" s="717" t="str">
        <x:v>Google Scholar result</x:v>
      </x:c>
      <x:c r="O323" s="717" t="str">
        <x:v>No</x:v>
      </x:c>
      <x:c r="P323" s="717"/>
    </x:row>
    <x:row r="324" ht="38" customHeight="1">
      <x:c r="A324" s="717" t="str">
        <x:v>GS-03-077</x:v>
      </x:c>
      <x:c r="B324" s="717" t="str">
        <x:v>Google Scholar</x:v>
      </x:c>
      <x:c r="C324" s="717" t="str">
        <x:v>GS-03</x:v>
      </x:c>
      <x:c r="D324" s="720" t="str">
        <x:v>Personalization of Learning Matenals for Mathematics Learning Using a Case-Based Reasoning Algorithm</x:v>
      </x:c>
      <x:c r="E324" s="717" t="str">
        <x:v>Exclude</x:v>
      </x:c>
      <x:c r="F324" s="720" t="str">
        <x:v>Clearly outside retinal/ophthalmic concept-based explainable AI.</x:v>
      </x:c>
      <x:c r="G324" s="717" t="str">
        <x:v>Title only</x:v>
      </x:c>
      <x:c r="H324" s="717" t="str">
        <x:v>Exclude</x:v>
      </x:c>
      <x:c r="I324" s="720" t="str">
        <x:v>Clearly outside retinal/ophthalmic concept-based explainable AI.</x:v>
      </x:c>
      <x:c r="J324" s="717" t="str">
        <x:f>IF(E324=H324,E324,"Unclear")</x:f>
        <x:v>Exclude</x:v>
      </x:c>
      <x:c r="K324" s="720" t="str">
        <x:f>IF(E324=H324,"Agreement between both AI passes.","AI-pass disagreement; retain for human discussion.")</x:f>
        <x:v>Agreement between both AI passes.</x:v>
      </x:c>
      <x:c r="L324" s="720" t="str">
        <x:v>M Masood</x:v>
      </x:c>
      <x:c r="M324" s="728" t="n">
        <x:v>2017</x:v>
      </x:c>
      <x:c r="N324" s="717" t="str">
        <x:v>Google Scholar result</x:v>
      </x:c>
      <x:c r="O324" s="717" t="str">
        <x:v>No</x:v>
      </x:c>
      <x:c r="P324" s="717"/>
    </x:row>
    <x:row r="325" ht="38" customHeight="1">
      <x:c r="A325" s="717" t="str">
        <x:v>GS-03-078</x:v>
      </x:c>
      <x:c r="B325" s="717" t="str">
        <x:v>Google Scholar</x:v>
      </x:c>
      <x:c r="C325" s="717" t="str">
        <x:v>GS-03</x:v>
      </x:c>
      <x:c r="D325" s="720" t="str">
        <x:v>Optimized Hybrid Quantum-Classical GAN with Case-based Reasoning Feature Fusion for Multiclass Brain Tumor Classification</x:v>
      </x:c>
      <x:c r="E325" s="717" t="str">
        <x:v>Exclude</x:v>
      </x:c>
      <x:c r="F325" s="720" t="str">
        <x:v>Medical/clinical topic, but no eligible concept-based explainability contribution is evident.</x:v>
      </x:c>
      <x:c r="G325" s="717" t="str">
        <x:v>Title only</x:v>
      </x:c>
      <x:c r="H325" s="717" t="str">
        <x:v>Exclude</x:v>
      </x:c>
      <x:c r="I325" s="720" t="str">
        <x:v>Medical/clinical topic, but no eligible concept-based explainability contribution is evident.</x:v>
      </x:c>
      <x:c r="J325" s="717" t="str">
        <x:f>IF(E325=H325,E325,"Unclear")</x:f>
        <x:v>Exclude</x:v>
      </x:c>
      <x:c r="K325" s="720" t="str">
        <x:f>IF(E325=H325,"Agreement between both AI passes.","AI-pass disagreement; retain for human discussion.")</x:f>
        <x:v>Agreement between both AI passes.</x:v>
      </x:c>
      <x:c r="L325" s="720" t="str">
        <x:v>RV Krshna. P Snnivas</x:v>
      </x:c>
      <x:c r="M325" s="728"/>
      <x:c r="N325" s="717" t="str">
        <x:v>Google Scholar result</x:v>
      </x:c>
      <x:c r="O325" s="717" t="str">
        <x:v>No</x:v>
      </x:c>
      <x:c r="P325" s="717"/>
    </x:row>
    <x:row r="326" ht="38" customHeight="1">
      <x:c r="A326" s="717" t="str">
        <x:v>GS-03-079</x:v>
      </x:c>
      <x:c r="B326" s="717" t="str">
        <x:v>Google Scholar</x:v>
      </x:c>
      <x:c r="C326" s="717" t="str">
        <x:v>GS-03</x:v>
      </x:c>
      <x:c r="D326" s="720" t="str">
        <x:v>CBR-PAR LLM-Augmented Case-Based Reasoning for Provenance-Based Alert Reduction</x:v>
      </x:c>
      <x:c r="E326" s="717" t="str">
        <x:v>Exclude</x:v>
      </x:c>
      <x:c r="F326" s="720" t="str">
        <x:v>Clearly outside retinal/ophthalmic concept-based explainable AI.</x:v>
      </x:c>
      <x:c r="G326" s="717" t="str">
        <x:v>Title only</x:v>
      </x:c>
      <x:c r="H326" s="717" t="str">
        <x:v>Exclude</x:v>
      </x:c>
      <x:c r="I326" s="720" t="str">
        <x:v>Clearly outside retinal/ophthalmic concept-based explainable AI.</x:v>
      </x:c>
      <x:c r="J326" s="717" t="str">
        <x:f>IF(E326=H326,E326,"Unclear")</x:f>
        <x:v>Exclude</x:v>
      </x:c>
      <x:c r="K326" s="720" t="str">
        <x:f>IF(E326=H326,"Agreement between both AI passes.","AI-pass disagreement; retain for human discussion.")</x:f>
        <x:v>Agreement between both AI passes.</x:v>
      </x:c>
      <x:c r="L326" s="720" t="str">
        <x:v>C Chan ¥Caa.X i, Bliu. ¥ Wang, XvvYang.</x:v>
      </x:c>
      <x:c r="M326" s="728" t="n">
        <x:v>2026</x:v>
      </x:c>
      <x:c r="N326" s="717" t="str">
        <x:v>Google Scholar result</x:v>
      </x:c>
      <x:c r="O326" s="717" t="str">
        <x:v>No</x:v>
      </x:c>
      <x:c r="P326" s="717"/>
    </x:row>
    <x:row r="327" ht="38" customHeight="1">
      <x:c r="A327" s="717" t="str">
        <x:v>GS-03-080</x:v>
      </x:c>
      <x:c r="B327" s="717" t="str">
        <x:v>Google Scholar</x:v>
      </x:c>
      <x:c r="C327" s="717" t="str">
        <x:v>GS-03</x:v>
      </x:c>
      <x:c r="D327" s="720" t="str">
        <x:v>Hybrid approach for tweets similarity classification founded on case based reasoning and machine learning techniques</x:v>
      </x:c>
      <x:c r="E327" s="717" t="str">
        <x:v>Exclude</x:v>
      </x:c>
      <x:c r="F327" s="720" t="str">
        <x:v>Clearly outside retinal/ophthalmic concept-based explainable AI.</x:v>
      </x:c>
      <x:c r="G327" s="717" t="str">
        <x:v>Title only</x:v>
      </x:c>
      <x:c r="H327" s="717" t="str">
        <x:v>Exclude</x:v>
      </x:c>
      <x:c r="I327" s="720" t="str">
        <x:v>Clearly outside retinal/ophthalmic concept-based explainable AI.</x:v>
      </x:c>
      <x:c r="J327" s="717" t="str">
        <x:f>IF(E327=H327,E327,"Unclear")</x:f>
        <x:v>Exclude</x:v>
      </x:c>
      <x:c r="K327" s="720" t="str">
        <x:f>IF(E327=H327,"Agreement between both AI passes.","AI-pass disagreement; retain for human discussion.")</x:f>
        <x:v>Agreement between both AI passes.</x:v>
      </x:c>
      <x:c r="L327" s="720" t="str">
        <x:v>\Gensass' M Kaouissi ONcama EM En-Nagimi</x:v>
      </x:c>
      <x:c r="M327" s="728" t="n">
        <x:v>2025</x:v>
      </x:c>
      <x:c r="N327" s="717" t="str">
        <x:v>Google Scholar result</x:v>
      </x:c>
      <x:c r="O327" s="717" t="str">
        <x:v>No</x:v>
      </x:c>
      <x:c r="P327" s="717"/>
    </x:row>
    <x:row r="328" ht="38" customHeight="1">
      <x:c r="A328" s="717" t="str">
        <x:v>GS-03-081</x:v>
      </x:c>
      <x:c r="B328" s="717" t="str">
        <x:v>Google Scholar</x:v>
      </x:c>
      <x:c r="C328" s="717" t="str">
        <x:v>GS-03</x:v>
      </x:c>
      <x:c r="D328" s="720" t="str">
        <x:v>Case-based reasoning modifications for intelligent systems in handling in vitro fertilization {IVF} patients post embryo transfer</x:v>
      </x:c>
      <x:c r="E328" s="717" t="str">
        <x:v>Exclude</x:v>
      </x:c>
      <x:c r="F328" s="720" t="str">
        <x:v>Clearly outside retinal/ophthalmic concept-based explainable AI.</x:v>
      </x:c>
      <x:c r="G328" s="717" t="str">
        <x:v>Title only</x:v>
      </x:c>
      <x:c r="H328" s="717" t="str">
        <x:v>Exclude</x:v>
      </x:c>
      <x:c r="I328" s="720" t="str">
        <x:v>Clearly outside retinal/ophthalmic concept-based explainable AI.</x:v>
      </x:c>
      <x:c r="J328" s="717" t="str">
        <x:f>IF(E328=H328,E328,"Unclear")</x:f>
        <x:v>Exclude</x:v>
      </x:c>
      <x:c r="K328" s="720" t="str">
        <x:f>IF(E328=H328,"Agreement between both AI passes.","AI-pass disagreement; retain for human discussion.")</x:f>
        <x:v>Agreement between both AI passes.</x:v>
      </x:c>
      <x:c r="L328" s="720" t="str">
        <x:v>PA Christianio ESediyonod + nternatio-al Sempinaron =. 220</x:v>
      </x:c>
      <x:c r="M328" s="728"/>
      <x:c r="N328" s="717" t="str">
        <x:v>Google Scholar result</x:v>
      </x:c>
      <x:c r="O328" s="717" t="str">
        <x:v>No</x:v>
      </x:c>
      <x:c r="P328" s="717"/>
    </x:row>
    <x:row r="329" ht="38" customHeight="1">
      <x:c r="A329" s="717" t="str">
        <x:v>GS-03-082</x:v>
      </x:c>
      <x:c r="B329" s="717" t="str">
        <x:v>Google Scholar</x:v>
      </x:c>
      <x:c r="C329" s="717" t="str">
        <x:v>GS-03</x:v>
      </x:c>
      <x:c r="D329" s="720" t="str">
        <x:v>quantum Case-Based Reasoning (qCBR)</x:v>
      </x:c>
      <x:c r="E329" s="717" t="str">
        <x:v>Exclude</x:v>
      </x:c>
      <x:c r="F329" s="720" t="str">
        <x:v>Clearly outside retinal/ophthalmic concept-based explainable AI.</x:v>
      </x:c>
      <x:c r="G329" s="717" t="str">
        <x:v>Title only</x:v>
      </x:c>
      <x:c r="H329" s="717" t="str">
        <x:v>Exclude</x:v>
      </x:c>
      <x:c r="I329" s="720" t="str">
        <x:v>Clearly outside retinal/ophthalmic concept-based explainable AI.</x:v>
      </x:c>
      <x:c r="J329" s="717" t="str">
        <x:f>IF(E329=H329,E329,"Unclear")</x:f>
        <x:v>Exclude</x:v>
      </x:c>
      <x:c r="K329" s="720" t="str">
        <x:f>IF(E329=H329,"Agreement between both AI passes.","AI-pass disagreement; retain for human discussion.")</x:f>
        <x:v>Agreement between both AI passes.</x:v>
      </x:c>
      <x:c r="L329" s="720" t="str">
        <x:v>P Aichade-Adeorou D lasado-Fauli</x:v>
      </x:c>
      <x:c r="M329" s="728" t="n">
        <x:v>2021</x:v>
      </x:c>
      <x:c r="N329" s="717" t="str">
        <x:v>Google Scholar result</x:v>
      </x:c>
      <x:c r="O329" s="717" t="str">
        <x:v>No</x:v>
      </x:c>
      <x:c r="P329" s="717"/>
    </x:row>
    <x:row r="330" ht="38" customHeight="1">
      <x:c r="A330" s="717" t="str">
        <x:v>GS-03-083</x:v>
      </x:c>
      <x:c r="B330" s="717" t="str">
        <x:v>Google Scholar</x:v>
      </x:c>
      <x:c r="C330" s="717" t="str">
        <x:v>GS-03</x:v>
      </x:c>
      <x:c r="D330" s="720" t="str">
        <x:v>Organic rankine cycle systems design using a case-based reasoning approach</x:v>
      </x:c>
      <x:c r="E330" s="717" t="str">
        <x:v>Exclude</x:v>
      </x:c>
      <x:c r="F330" s="720" t="str">
        <x:v>Clearly outside retinal/ophthalmic concept-based explainable AI.</x:v>
      </x:c>
      <x:c r="G330" s="717" t="str">
        <x:v>Title only</x:v>
      </x:c>
      <x:c r="H330" s="717" t="str">
        <x:v>Exclude</x:v>
      </x:c>
      <x:c r="I330" s="720" t="str">
        <x:v>Clearly outside retinal/ophthalmic concept-based explainable AI.</x:v>
      </x:c>
      <x:c r="J330" s="717" t="str">
        <x:f>IF(E330=H330,E330,"Unclear")</x:f>
        <x:v>Exclude</x:v>
      </x:c>
      <x:c r="K330" s="720" t="str">
        <x:f>IF(E330=H330,"Agreement between both AI passes.","AI-pass disagreement; retain for human discussion.")</x:f>
        <x:v>Agreement between both AI passes.</x:v>
      </x:c>
      <x:c r="L330" s="720" t="str">
        <x:v>S3ong 8 Habib BLi “Yu</x:v>
      </x:c>
      <x:c r="M330" s="728"/>
      <x:c r="N330" s="717" t="str">
        <x:v>Google Scholar result</x:v>
      </x:c>
      <x:c r="O330" s="717" t="str">
        <x:v>No</x:v>
      </x:c>
      <x:c r="P330" s="717"/>
    </x:row>
    <x:row r="331" ht="38" customHeight="1">
      <x:c r="A331" s="717" t="str">
        <x:v>GS-03-084</x:v>
      </x:c>
      <x:c r="B331" s="717" t="str">
        <x:v>Google Scholar</x:v>
      </x:c>
      <x:c r="C331" s="717" t="str">
        <x:v>GS-03</x:v>
      </x:c>
      <x:c r="D331" s="720" t="str">
        <x:v>CBR-to-SQL Rethinking Retneval-based Text-to-SQL using Case-based Reasoning in the Healthcare Domain</x:v>
      </x:c>
      <x:c r="E331" s="717" t="str">
        <x:v>Exclude</x:v>
      </x:c>
      <x:c r="F331" s="720" t="str">
        <x:v>Medical/clinical topic, but no eligible concept-based explainability contribution is evident.</x:v>
      </x:c>
      <x:c r="G331" s="717" t="str">
        <x:v>Title only</x:v>
      </x:c>
      <x:c r="H331" s="717" t="str">
        <x:v>Exclude</x:v>
      </x:c>
      <x:c r="I331" s="720" t="str">
        <x:v>Medical/clinical topic, but no eligible concept-based explainability contribution is evident.</x:v>
      </x:c>
      <x:c r="J331" s="717" t="str">
        <x:f>IF(E331=H331,E331,"Unclear")</x:f>
        <x:v>Exclude</x:v>
      </x:c>
      <x:c r="K331" s="720" t="str">
        <x:f>IF(E331=H331,"Agreement between both AI passes.","AI-pass disagreement; retain for human discussion.")</x:f>
        <x:v>Agreement between both AI passes.</x:v>
      </x:c>
      <x:c r="L331" s="720" t="str">
        <x:v>HNouyer H Moen P Macttinen</x:v>
      </x:c>
      <x:c r="M331" s="728" t="n">
        <x:v>2026</x:v>
      </x:c>
      <x:c r="N331" s="717" t="str">
        <x:v>Google Scholar result</x:v>
      </x:c>
      <x:c r="O331" s="717" t="str">
        <x:v>No</x:v>
      </x:c>
      <x:c r="P331" s="717"/>
    </x:row>
    <x:row r="332" ht="38" customHeight="1">
      <x:c r="A332" s="717" t="str">
        <x:v>GS-03-085</x:v>
      </x:c>
      <x:c r="B332" s="717" t="str">
        <x:v>Google Scholar</x:v>
      </x:c>
      <x:c r="C332" s="717" t="str">
        <x:v>GS-03</x:v>
      </x:c>
      <x:c r="D332" s="720" t="str">
        <x:v>Design Principles for Bots Supporting Case-Based Reasoning</x:v>
      </x:c>
      <x:c r="E332" s="717" t="str">
        <x:v>Exclude</x:v>
      </x:c>
      <x:c r="F332" s="720" t="str">
        <x:v>Clearly outside retinal/ophthalmic concept-based explainable AI.</x:v>
      </x:c>
      <x:c r="G332" s="717" t="str">
        <x:v>Title only</x:v>
      </x:c>
      <x:c r="H332" s="717" t="str">
        <x:v>Exclude</x:v>
      </x:c>
      <x:c r="I332" s="720" t="str">
        <x:v>Clearly outside retinal/ophthalmic concept-based explainable AI.</x:v>
      </x:c>
      <x:c r="J332" s="717" t="str">
        <x:f>IF(E332=H332,E332,"Unclear")</x:f>
        <x:v>Exclude</x:v>
      </x:c>
      <x:c r="K332" s="720" t="str">
        <x:f>IF(E332=H332,"Agreement between both AI passes.","AI-pass disagreement; retain for human discussion.")</x:f>
        <x:v>Agreement between both AI passes.</x:v>
      </x:c>
      <x:c r="L332" s="720" t="str">
        <x:v>M Morashey J Mending</x:v>
      </x:c>
      <x:c r="M332" s="728" t="n">
        <x:v>2024</x:v>
      </x:c>
      <x:c r="N332" s="717" t="str">
        <x:v>Google Scholar result</x:v>
      </x:c>
      <x:c r="O332" s="717" t="str">
        <x:v>No</x:v>
      </x:c>
      <x:c r="P332" s="717"/>
    </x:row>
    <x:row r="333" ht="38" customHeight="1">
      <x:c r="A333" s="717" t="str">
        <x:v>GS-03-086</x:v>
      </x:c>
      <x:c r="B333" s="717" t="str">
        <x:v>Google Scholar</x:v>
      </x:c>
      <x:c r="C333" s="717" t="str">
        <x:v>GS-03</x:v>
      </x:c>
      <x:c r="D333" s="720" t="str">
        <x:v>Case-based reasoning using expert systems to determine electricity reduction in residential buddings</x:v>
      </x:c>
      <x:c r="E333" s="717" t="str">
        <x:v>Exclude</x:v>
      </x:c>
      <x:c r="F333" s="720" t="str">
        <x:v>Clearly outside retinal/ophthalmic concept-based explainable AI.</x:v>
      </x:c>
      <x:c r="G333" s="717" t="str">
        <x:v>Title only</x:v>
      </x:c>
      <x:c r="H333" s="717" t="str">
        <x:v>Exclude</x:v>
      </x:c>
      <x:c r="I333" s="720" t="str">
        <x:v>Clearly outside retinal/ophthalmic concept-based explainable AI.</x:v>
      </x:c>
      <x:c r="J333" s="717" t="str">
        <x:f>IF(E333=H333,E333,"Unclear")</x:f>
        <x:v>Exclude</x:v>
      </x:c>
      <x:c r="K333" s="720" t="str">
        <x:f>IF(E333=H333,"Agreement between both AI passes.","AI-pass disagreement; retain for human discussion.")</x:f>
        <x:v>Agreement between both AI passes.</x:v>
      </x:c>
      <x:c r="L333" s="720" t="str">
        <x:v>RFaa TPirtgo Zale</x:v>
      </x:c>
      <x:c r="M333" s="728" t="n">
        <x:v>2019</x:v>
      </x:c>
      <x:c r="N333" s="717" t="str">
        <x:v>Google Scholar result</x:v>
      </x:c>
      <x:c r="O333" s="717" t="str">
        <x:v>No</x:v>
      </x:c>
      <x:c r="P333" s="717"/>
    </x:row>
    <x:row r="334" ht="38" customHeight="1">
      <x:c r="A334" s="717" t="str">
        <x:v>GS-03-087</x:v>
      </x:c>
      <x:c r="B334" s="717" t="str">
        <x:v>Google Scholar</x:v>
      </x:c>
      <x:c r="C334" s="717" t="str">
        <x:v>GS-03</x:v>
      </x:c>
      <x:c r="D334" s="720" t="str">
        <x:v>An assistant decistan-making method for power grid contingency management based an case-based reasoning</x:v>
      </x:c>
      <x:c r="E334" s="717" t="str">
        <x:v>Exclude</x:v>
      </x:c>
      <x:c r="F334" s="720" t="str">
        <x:v>Clearly outside retinal/ophthalmic concept-based explainable AI.</x:v>
      </x:c>
      <x:c r="G334" s="717" t="str">
        <x:v>Title only</x:v>
      </x:c>
      <x:c r="H334" s="717" t="str">
        <x:v>Exclude</x:v>
      </x:c>
      <x:c r="I334" s="720" t="str">
        <x:v>Clearly outside retinal/ophthalmic concept-based explainable AI.</x:v>
      </x:c>
      <x:c r="J334" s="717" t="str">
        <x:f>IF(E334=H334,E334,"Unclear")</x:f>
        <x:v>Exclude</x:v>
      </x:c>
      <x:c r="K334" s="720" t="str">
        <x:f>IF(E334=H334,"Agreement between both AI passes.","AI-pass disagreement; retain for human discussion.")</x:f>
        <x:v>Agreement between both AI passes.</x:v>
      </x:c>
      <x:c r="L334" s="720" t="str">
        <x:v>HGag L Miao, SLiy JLu.X Lin</x:v>
      </x:c>
      <x:c r="M334" s="728" t="n">
        <x:v>2021</x:v>
      </x:c>
      <x:c r="N334" s="717" t="str">
        <x:v>Google Scholar result</x:v>
      </x:c>
      <x:c r="O334" s="717" t="str">
        <x:v>No</x:v>
      </x:c>
      <x:c r="P334" s="717"/>
    </x:row>
    <x:row r="335" ht="38" customHeight="1">
      <x:c r="A335" s="717" t="str">
        <x:v>GS-03-088</x:v>
      </x:c>
      <x:c r="B335" s="717" t="str">
        <x:v>Google Scholar</x:v>
      </x:c>
      <x:c r="C335" s="717" t="str">
        <x:v>GS-03</x:v>
      </x:c>
      <x:c r="D335" s="720" t="str">
        <x:v>Advancing Scientific Workflows A Human-LLM Note-Taking System with Case- Based Reasoning</x:v>
      </x:c>
      <x:c r="E335" s="717" t="str">
        <x:v>Exclude</x:v>
      </x:c>
      <x:c r="F335" s="720" t="str">
        <x:v>Clearly outside retinal/ophthalmic concept-based explainable AI.</x:v>
      </x:c>
      <x:c r="G335" s="717" t="str">
        <x:v>Title only</x:v>
      </x:c>
      <x:c r="H335" s="717" t="str">
        <x:v>Exclude</x:v>
      </x:c>
      <x:c r="I335" s="720" t="str">
        <x:v>Clearly outside retinal/ophthalmic concept-based explainable AI.</x:v>
      </x:c>
      <x:c r="J335" s="717" t="str">
        <x:f>IF(E335=H335,E335,"Unclear")</x:f>
        <x:v>Exclude</x:v>
      </x:c>
      <x:c r="K335" s="720" t="str">
        <x:f>IF(E335=H335,"Agreement between both AI passes.","AI-pass disagreement; retain for human discussion.")</x:f>
        <x:v>Agreement between both AI passes.</x:v>
      </x:c>
      <x:c r="L335" s="720" t="str">
        <x:v>DB Craig</x:v>
      </x:c>
      <x:c r="M335" s="728" t="n">
        <x:v>2025</x:v>
      </x:c>
      <x:c r="N335" s="717" t="str">
        <x:v>Google Scholar result</x:v>
      </x:c>
      <x:c r="O335" s="717" t="str">
        <x:v>No</x:v>
      </x:c>
      <x:c r="P335" s="717"/>
    </x:row>
    <x:row r="336" ht="38" customHeight="1">
      <x:c r="A336" s="717" t="str">
        <x:v>GS-03-089</x:v>
      </x:c>
      <x:c r="B336" s="717" t="str">
        <x:v>Google Scholar</x:v>
      </x:c>
      <x:c r="C336" s="717" t="str">
        <x:v>GS-03</x:v>
      </x:c>
      <x:c r="D336" s="720" t="str">
        <x:v>Companison of Case-Based Reasoning and Cenamly Factor Methads for Dengue Diagnosis</x:v>
      </x:c>
      <x:c r="E336" s="717" t="str">
        <x:v>Exclude</x:v>
      </x:c>
      <x:c r="F336" s="720" t="str">
        <x:v>Medical/clinical topic, but no eligible concept-based explainability contribution is evident.</x:v>
      </x:c>
      <x:c r="G336" s="717" t="str">
        <x:v>Title only</x:v>
      </x:c>
      <x:c r="H336" s="717" t="str">
        <x:v>Exclude</x:v>
      </x:c>
      <x:c r="I336" s="720" t="str">
        <x:v>Medical/clinical topic, but no eligible concept-based explainability contribution is evident.</x:v>
      </x:c>
      <x:c r="J336" s="717" t="str">
        <x:f>IF(E336=H336,E336,"Unclear")</x:f>
        <x:v>Exclude</x:v>
      </x:c>
      <x:c r="K336" s="720" t="str">
        <x:f>IF(E336=H336,"Agreement between both AI passes.","AI-pass disagreement; retain for human discussion.")</x:f>
        <x:v>Agreement between both AI passes.</x:v>
      </x:c>
      <x:c r="L336" s="720" t="str">
        <x:v>BHHamdani dR Hatta ASeptianni</x:v>
      </x:c>
      <x:c r="M336" s="728" t="n">
        <x:v>2021</x:v>
      </x:c>
      <x:c r="N336" s="717" t="str">
        <x:v>Google Scholar result</x:v>
      </x:c>
      <x:c r="O336" s="717" t="str">
        <x:v>No</x:v>
      </x:c>
      <x:c r="P336" s="717"/>
    </x:row>
    <x:row r="337" ht="38" customHeight="1">
      <x:c r="A337" s="717" t="str">
        <x:v>GS-03-090</x:v>
      </x:c>
      <x:c r="B337" s="717" t="str">
        <x:v>Google Scholar</x:v>
      </x:c>
      <x:c r="C337" s="717" t="str">
        <x:v>GS-03</x:v>
      </x:c>
      <x:c r="D337" s="720" t="str">
        <x:v>Defining case based reasoning cases with xml</x:v>
      </x:c>
      <x:c r="E337" s="717" t="str">
        <x:v>Exclude</x:v>
      </x:c>
      <x:c r="F337" s="720" t="str">
        <x:v>Clearly outside retinal/ophthalmic concept-based explainable AI.</x:v>
      </x:c>
      <x:c r="G337" s="717" t="str">
        <x:v>Title only</x:v>
      </x:c>
      <x:c r="H337" s="717" t="str">
        <x:v>Exclude</x:v>
      </x:c>
      <x:c r="I337" s="720" t="str">
        <x:v>Clearly outside retinal/ophthalmic concept-based explainable AI.</x:v>
      </x:c>
      <x:c r="J337" s="717" t="str">
        <x:f>IF(E337=H337,E337,"Unclear")</x:f>
        <x:v>Exclude</x:v>
      </x:c>
      <x:c r="K337" s="720" t="str">
        <x:f>IF(E337=H337,"Agreement between both AI passes.","AI-pass disagreement; retain for human discussion.")</x:f>
        <x:v>Agreement between both AI passes.</x:v>
      </x:c>
      <x:c r="L337" s="720" t="str">
        <x:v>EAsemota S$ Sallagher GMcrobbie -twothousandand 2018</x:v>
      </x:c>
      <x:c r="M337" s="728" t="n">
        <x:v>2018</x:v>
      </x:c>
      <x:c r="N337" s="717" t="str">
        <x:v>Google Scholar result</x:v>
      </x:c>
      <x:c r="O337" s="717" t="str">
        <x:v>No</x:v>
      </x:c>
      <x:c r="P337" s="717"/>
    </x:row>
    <x:row r="338" ht="38" customHeight="1">
      <x:c r="A338" s="717" t="str">
        <x:v>GS-03-091</x:v>
      </x:c>
      <x:c r="B338" s="717" t="str">
        <x:v>Google Scholar</x:v>
      </x:c>
      <x:c r="C338" s="717" t="str">
        <x:v>GS-03</x:v>
      </x:c>
      <x:c r="D338" s="720" t="str">
        <x:v>Case-based reasoning approach for monitoring multi-phase liquid in pipeline</x:v>
      </x:c>
      <x:c r="E338" s="717" t="str">
        <x:v>Exclude</x:v>
      </x:c>
      <x:c r="F338" s="720" t="str">
        <x:v>Clearly outside retinal/ophthalmic concept-based explainable AI.</x:v>
      </x:c>
      <x:c r="G338" s="717" t="str">
        <x:v>Title only</x:v>
      </x:c>
      <x:c r="H338" s="717" t="str">
        <x:v>Exclude</x:v>
      </x:c>
      <x:c r="I338" s="720" t="str">
        <x:v>Clearly outside retinal/ophthalmic concept-based explainable AI.</x:v>
      </x:c>
      <x:c r="J338" s="717" t="str">
        <x:f>IF(E338=H338,E338,"Unclear")</x:f>
        <x:v>Exclude</x:v>
      </x:c>
      <x:c r="K338" s="720" t="str">
        <x:f>IF(E338=H338,"Agreement between both AI passes.","AI-pass disagreement; retain for human discussion.")</x:f>
        <x:v>Agreement between both AI passes.</x:v>
      </x:c>
      <x:c r="L338" s="720" t="str">
        <x:v>ON Kuzyakov IN Glukhikh, AE Sigorova + Senes Earthand 21°? -iapscrenca iop org</x:v>
      </x:c>
      <x:c r="M338" s="728"/>
      <x:c r="N338" s="717" t="str">
        <x:v>Google Scholar result</x:v>
      </x:c>
      <x:c r="O338" s="717" t="str">
        <x:v>No</x:v>
      </x:c>
      <x:c r="P338" s="717"/>
    </x:row>
    <x:row r="339" ht="38" customHeight="1">
      <x:c r="A339" s="717" t="str">
        <x:v>GS-03-092</x:v>
      </x:c>
      <x:c r="B339" s="717" t="str">
        <x:v>Google Scholar</x:v>
      </x:c>
      <x:c r="C339" s="717" t="str">
        <x:v>GS-03</x:v>
      </x:c>
      <x:c r="D339" s="720" t="str">
        <x:v>Tachnical Report on the Learning of Case Relevance in Case-Based Reasoning with Abstract Argumentation</x:v>
      </x:c>
      <x:c r="E339" s="717" t="str">
        <x:v>Exclude</x:v>
      </x:c>
      <x:c r="F339" s="720" t="str">
        <x:v>Clearly outside retinal/ophthalmic concept-based explainable AI.</x:v>
      </x:c>
      <x:c r="G339" s="717" t="str">
        <x:v>Title only</x:v>
      </x:c>
      <x:c r="H339" s="717" t="str">
        <x:v>Exclude</x:v>
      </x:c>
      <x:c r="I339" s="720" t="str">
        <x:v>Clearly outside retinal/ophthalmic concept-based explainable AI.</x:v>
      </x:c>
      <x:c r="J339" s="717" t="str">
        <x:f>IF(E339=H339,E339,"Unclear")</x:f>
        <x:v>Exclude</x:v>
      </x:c>
      <x:c r="K339" s="720" t="str">
        <x:f>IF(E339=H339,"Agreement between both AI passes.","AI-pass disagreement; retain for human discussion.")</x:f>
        <x:v>Agreement between both AI passes.</x:v>
      </x:c>
      <x:c r="L339" s="720" t="str">
        <x:v>G Paulino-Passas F Tori- arX» preprint arXiv 2310 19627 2023</x:v>
      </x:c>
      <x:c r="M339" s="728" t="n">
        <x:v>2023</x:v>
      </x:c>
      <x:c r="N339" s="717" t="str">
        <x:v>Google Scholar result</x:v>
      </x:c>
      <x:c r="O339" s="717" t="str">
        <x:v>No</x:v>
      </x:c>
      <x:c r="P339" s="717"/>
    </x:row>
    <x:row r="340" ht="38" customHeight="1">
      <x:c r="A340" s="717" t="str">
        <x:v>GS-03-093</x:v>
      </x:c>
      <x:c r="B340" s="717" t="str">
        <x:v>Google Scholar</x:v>
      </x:c>
      <x:c r="C340" s="717" t="str">
        <x:v>GS-03</x:v>
      </x:c>
      <x:c r="D340" s="720" t="str">
        <x:v>Toddler-Centered Case-Based Reasoning Framework for Early Diagnosis of Autism Spectrum Disorder</x:v>
      </x:c>
      <x:c r="E340" s="717" t="str">
        <x:v>Exclude</x:v>
      </x:c>
      <x:c r="F340" s="720" t="str">
        <x:v>Medical/clinical topic, but no eligible concept-based explainability contribution is evident.</x:v>
      </x:c>
      <x:c r="G340" s="717" t="str">
        <x:v>Title only</x:v>
      </x:c>
      <x:c r="H340" s="717" t="str">
        <x:v>Exclude</x:v>
      </x:c>
      <x:c r="I340" s="720" t="str">
        <x:v>Medical/clinical topic, but no eligible concept-based explainability contribution is evident.</x:v>
      </x:c>
      <x:c r="J340" s="717" t="str">
        <x:f>IF(E340=H340,E340,"Unclear")</x:f>
        <x:v>Exclude</x:v>
      </x:c>
      <x:c r="K340" s="720" t="str">
        <x:f>IF(E340=H340,"Agreement between both AI passes.","AI-pass disagreement; retain for human discussion.")</x:f>
        <x:v>Agreement between both AI passes.</x:v>
      </x:c>
      <x:c r="L340" s="720" t="str">
        <x:v>H Yamina</x:v>
      </x:c>
      <x:c r="M340" s="728"/>
      <x:c r="N340" s="717" t="str">
        <x:v>Google Scholar result</x:v>
      </x:c>
      <x:c r="O340" s="717" t="str">
        <x:v>No</x:v>
      </x:c>
      <x:c r="P340" s="717"/>
    </x:row>
    <x:row r="341" ht="38" customHeight="1">
      <x:c r="A341" s="717" t="str">
        <x:v>GS-03-094</x:v>
      </x:c>
      <x:c r="B341" s="717" t="str">
        <x:v>Google Scholar</x:v>
      </x:c>
      <x:c r="C341" s="717" t="str">
        <x:v>GS-03</x:v>
      </x:c>
      <x:c r="D341" s="720" t="str">
        <x:v>(PoF] Case-based reasoning of a deep learning network for prediction of early stage of oesophageal cancer</x:v>
      </x:c>
      <x:c r="E341" s="717" t="str">
        <x:v>Exclude</x:v>
      </x:c>
      <x:c r="F341" s="720" t="str">
        <x:v>Medical/clinical topic, but no eligible concept-based explainability contribution is evident.</x:v>
      </x:c>
      <x:c r="G341" s="717" t="str">
        <x:v>Title only</x:v>
      </x:c>
      <x:c r="H341" s="717" t="str">
        <x:v>Exclude</x:v>
      </x:c>
      <x:c r="I341" s="720" t="str">
        <x:v>Medical/clinical topic, but no eligible concept-based explainability contribution is evident.</x:v>
      </x:c>
      <x:c r="J341" s="717" t="str">
        <x:f>IF(E341=H341,E341,"Unclear")</x:f>
        <x:v>Exclude</x:v>
      </x:c>
      <x:c r="K341" s="720" t="str">
        <x:f>IF(E341=H341,"Agreement between both AI passes.","AI-pass disagreement; retain for human discussion.")</x:f>
        <x:v>Agreement between both AI passes.</x:v>
      </x:c>
      <x:c r="L341" s="720" t="str">
        <x:v>X Gao B Braden L Zhavg STsyor WRanj</x:v>
      </x:c>
      <x:c r="M341" s="728" t="n">
        <x:v>2019</x:v>
      </x:c>
      <x:c r="N341" s="717" t="str">
        <x:v>Google Scholar result</x:v>
      </x:c>
      <x:c r="O341" s="717" t="str">
        <x:v>No</x:v>
      </x:c>
      <x:c r="P341" s="717"/>
    </x:row>
    <x:row r="342" ht="38" customHeight="1">
      <x:c r="A342" s="717" t="str">
        <x:v>GS-03-095</x:v>
      </x:c>
      <x:c r="B342" s="717" t="str">
        <x:v>Google Scholar</x:v>
      </x:c>
      <x:c r="C342" s="717" t="str">
        <x:v>GS-03</x:v>
      </x:c>
      <x:c r="D342" s="720" t="str">
        <x:v>Case-Based Reasoning An Applied Technique for Designing Intelligent System for the Differential Diagnosis of Oral Diseases</x:v>
      </x:c>
      <x:c r="E342" s="717" t="str">
        <x:v>Exclude</x:v>
      </x:c>
      <x:c r="F342" s="720" t="str">
        <x:v>Medical/clinical topic, but no eligible concept-based explainability contribution is evident.</x:v>
      </x:c>
      <x:c r="G342" s="717" t="str">
        <x:v>Title only</x:v>
      </x:c>
      <x:c r="H342" s="717" t="str">
        <x:v>Exclude</x:v>
      </x:c>
      <x:c r="I342" s="720" t="str">
        <x:v>Medical/clinical topic, but no eligible concept-based explainability contribution is evident.</x:v>
      </x:c>
      <x:c r="J342" s="717" t="str">
        <x:f>IF(E342=H342,E342,"Unclear")</x:f>
        <x:v>Exclude</x:v>
      </x:c>
      <x:c r="K342" s="720" t="str">
        <x:f>IF(E342=H342,"Agreement between both AI passes.","AI-pass disagreement; retain for human discussion.")</x:f>
        <x:v>Agreement between both AI passes.</x:v>
      </x:c>
      <x:c r="L342" s="720" t="str">
        <x:v>R Safsari AMDD S “ahmasebian</x:v>
      </x:c>
      <x:c r="M342" s="728" t="n">
        <x:v>2026</x:v>
      </x:c>
      <x:c r="N342" s="717" t="str">
        <x:v>Google Scholar result</x:v>
      </x:c>
      <x:c r="O342" s="717" t="str">
        <x:v>No</x:v>
      </x:c>
      <x:c r="P342" s="717"/>
    </x:row>
    <x:row r="343" ht="38" customHeight="1">
      <x:c r="A343" s="717" t="str">
        <x:v>GS-03-096</x:v>
      </x:c>
      <x:c r="B343" s="717" t="str">
        <x:v>Google Scholar</x:v>
      </x:c>
      <x:c r="C343" s="717" t="str">
        <x:v>GS-03</x:v>
      </x:c>
      <x:c r="D343" s="720" t="str">
        <x:v>Dual Encoder Contrastive Similarity for Legal Regulation Retneval in Case- Based Reasoning</x:v>
      </x:c>
      <x:c r="E343" s="717" t="str">
        <x:v>Exclude</x:v>
      </x:c>
      <x:c r="F343" s="720" t="str">
        <x:v>Clearly outside retinal/ophthalmic concept-based explainable AI.</x:v>
      </x:c>
      <x:c r="G343" s="717" t="str">
        <x:v>Title only</x:v>
      </x:c>
      <x:c r="H343" s="717" t="str">
        <x:v>Exclude</x:v>
      </x:c>
      <x:c r="I343" s="720" t="str">
        <x:v>Clearly outside retinal/ophthalmic concept-based explainable AI.</x:v>
      </x:c>
      <x:c r="J343" s="717" t="str">
        <x:f>IF(E343=H343,E343,"Unclear")</x:f>
        <x:v>Exclude</x:v>
      </x:c>
      <x:c r="K343" s="720" t="str">
        <x:f>IF(E343=H343,"Agreement between both AI passes.","AI-pass disagreement; retain for human discussion.")</x:f>
        <x:v>Agreement between both AI passes.</x:v>
      </x:c>
      <x:c r="L343" s="720" t="str">
        <x:v>APH Hulu A. Zalukhe</x:v>
      </x:c>
      <x:c r="M343" s="728"/>
      <x:c r="N343" s="717" t="str">
        <x:v>Google Scholar result</x:v>
      </x:c>
      <x:c r="O343" s="717" t="str">
        <x:v>No</x:v>
      </x:c>
      <x:c r="P343" s="717"/>
    </x:row>
    <x:row r="344" ht="38" customHeight="1">
      <x:c r="A344" s="717" t="str">
        <x:v>GS-03-097</x:v>
      </x:c>
      <x:c r="B344" s="717" t="str">
        <x:v>Google Scholar</x:v>
      </x:c>
      <x:c r="C344" s="717" t="str">
        <x:v>GS-03</x:v>
      </x:c>
      <x:c r="D344" s="720" t="str">
        <x:v>Automated Root Cause Analysis of Network Failures in |P/KIPLS Network Using Machine Learning and Case-Based Reasoning</x:v>
      </x:c>
      <x:c r="E344" s="717" t="str">
        <x:v>Exclude</x:v>
      </x:c>
      <x:c r="F344" s="720" t="str">
        <x:v>Clearly outside retinal/ophthalmic concept-based explainable AI.</x:v>
      </x:c>
      <x:c r="G344" s="717" t="str">
        <x:v>Title only</x:v>
      </x:c>
      <x:c r="H344" s="717" t="str">
        <x:v>Exclude</x:v>
      </x:c>
      <x:c r="I344" s="720" t="str">
        <x:v>Clearly outside retinal/ophthalmic concept-based explainable AI.</x:v>
      </x:c>
      <x:c r="J344" s="717" t="str">
        <x:f>IF(E344=H344,E344,"Unclear")</x:f>
        <x:v>Exclude</x:v>
      </x:c>
      <x:c r="K344" s="720" t="str">
        <x:f>IF(E344=H344,"Agreement between both AI passes.","AI-pass disagreement; retain for human discussion.")</x:f>
        <x:v>Agreement between both AI passes.</x:v>
      </x:c>
      <x:c r="L344" s="720" t="str">
        <x:v>T ‘Wackvar AWitayanjgk.m -|EEE Access. 2025</x:v>
      </x:c>
      <x:c r="M344" s="728" t="n">
        <x:v>2025</x:v>
      </x:c>
      <x:c r="N344" s="717" t="str">
        <x:v>Google Scholar result</x:v>
      </x:c>
      <x:c r="O344" s="717" t="str">
        <x:v>No</x:v>
      </x:c>
      <x:c r="P344" s="717"/>
    </x:row>
    <x:row r="345" ht="38" customHeight="1">
      <x:c r="A345" s="717" t="str">
        <x:v>GS-03-098</x:v>
      </x:c>
      <x:c r="B345" s="717" t="str">
        <x:v>Google Scholar</x:v>
      </x:c>
      <x:c r="C345" s="717" t="str">
        <x:v>GS-03</x:v>
      </x:c>
      <x:c r="D345" s="720" t="str">
        <x:v>Flicker's sources identification using a case-based reasoning prototype</x:v>
      </x:c>
      <x:c r="E345" s="717" t="str">
        <x:v>Exclude</x:v>
      </x:c>
      <x:c r="F345" s="720" t="str">
        <x:v>Clearly outside retinal/ophthalmic concept-based explainable AI.</x:v>
      </x:c>
      <x:c r="G345" s="717" t="str">
        <x:v>Title only</x:v>
      </x:c>
      <x:c r="H345" s="717" t="str">
        <x:v>Exclude</x:v>
      </x:c>
      <x:c r="I345" s="720" t="str">
        <x:v>Clearly outside retinal/ophthalmic concept-based explainable AI.</x:v>
      </x:c>
      <x:c r="J345" s="717" t="str">
        <x:f>IF(E345=H345,E345,"Unclear")</x:f>
        <x:v>Exclude</x:v>
      </x:c>
      <x:c r="K345" s="720" t="str">
        <x:f>IF(E345=H345,"Agreement between both AI passes.","AI-pass disagreement; retain for human discussion.")</x:f>
        <x:v>Agreement between both AI passes.</x:v>
      </x:c>
      <x:c r="L345" s="720" t="str">
        <x:v>AMiron SC Sziker HC Bagariy</x:v>
      </x:c>
      <x:c r="M345" s="728" t="n">
        <x:v>2019</x:v>
      </x:c>
      <x:c r="N345" s="717" t="str">
        <x:v>Google Scholar result</x:v>
      </x:c>
      <x:c r="O345" s="717" t="str">
        <x:v>No</x:v>
      </x:c>
      <x:c r="P345" s="717"/>
    </x:row>
    <x:row r="346" ht="38" customHeight="1">
      <x:c r="A346" s="717" t="str">
        <x:v>GS-03-099</x:v>
      </x:c>
      <x:c r="B346" s="717" t="str">
        <x:v>Google Scholar</x:v>
      </x:c>
      <x:c r="C346" s="717" t="str">
        <x:v>GS-03</x:v>
      </x:c>
      <x:c r="D346" s="720" t="str">
        <x:v>Knowledge Amplificatian Using Randomization in Case-Based Reasoning-- Case Study: Severity of Mammography Mass</x:v>
      </x:c>
      <x:c r="E346" s="717" t="str">
        <x:v>Exclude</x:v>
      </x:c>
      <x:c r="F346" s="720" t="str">
        <x:v>Medical/clinical topic, but no eligible concept-based explainability contribution is evident.</x:v>
      </x:c>
      <x:c r="G346" s="717" t="str">
        <x:v>Title only</x:v>
      </x:c>
      <x:c r="H346" s="717" t="str">
        <x:v>Exclude</x:v>
      </x:c>
      <x:c r="I346" s="720" t="str">
        <x:v>Medical/clinical topic, but no eligible concept-based explainability contribution is evident.</x:v>
      </x:c>
      <x:c r="J346" s="717" t="str">
        <x:f>IF(E346=H346,E346,"Unclear")</x:f>
        <x:v>Exclude</x:v>
      </x:c>
      <x:c r="K346" s="720" t="str">
        <x:f>IF(E346=H346,"Agreement between both AI passes.","AI-pass disagreement; retain for human discussion.")</x:f>
        <x:v>Agreement between both AI passes.</x:v>
      </x:c>
      <x:c r="L346" s="720" t="str">
        <x:v>MB Benaiba-Lagrid</x:v>
      </x:c>
      <x:c r="M346" s="728"/>
      <x:c r="N346" s="717" t="str">
        <x:v>Google Scholar result</x:v>
      </x:c>
      <x:c r="O346" s="717" t="str">
        <x:v>No</x:v>
      </x:c>
      <x:c r="P346" s="717"/>
    </x:row>
    <x:row r="347" ht="38" customHeight="1">
      <x:c r="A347" s="717" t="str">
        <x:v>GS-03-100</x:v>
      </x:c>
      <x:c r="B347" s="717" t="str">
        <x:v>Google Scholar</x:v>
      </x:c>
      <x:c r="C347" s="717" t="str">
        <x:v>GS-03</x:v>
      </x:c>
      <x:c r="D347" s="720" t="str">
        <x:v>Tweets similarity classification based on machine learning algonthms, TF-IDF and the dynamic case based reasoning</x:v>
      </x:c>
      <x:c r="E347" s="717" t="str">
        <x:v>Exclude</x:v>
      </x:c>
      <x:c r="F347" s="720" t="str">
        <x:v>Clearly outside retinal/ophthalmic concept-based explainable AI.</x:v>
      </x:c>
      <x:c r="G347" s="717" t="str">
        <x:v>Title only</x:v>
      </x:c>
      <x:c r="H347" s="717" t="str">
        <x:v>Exclude</x:v>
      </x:c>
      <x:c r="I347" s="720" t="str">
        <x:v>Clearly outside retinal/ophthalmic concept-based explainable AI.</x:v>
      </x:c>
      <x:c r="J347" s="717" t="str">
        <x:f>IF(E347=H347,E347,"Unclear")</x:f>
        <x:v>Exclude</x:v>
      </x:c>
      <x:c r="K347" s="720" t="str">
        <x:f>IF(E347=H347,"Agreement between both AI passes.","AI-pass disagreement; retain for human discussion.")</x:f>
        <x:v>Agreement between both AI passes.</x:v>
      </x:c>
      <x:c r="L347" s="720" t="str">
        <x:v>M 4ovissi EM En-Naini A Zouhair</x:v>
      </x:c>
      <x:c r="M347" s="728" t="n">
        <x:v>2023</x:v>
      </x:c>
      <x:c r="N347" s="717" t="str">
        <x:v>Google Scholar result</x:v>
      </x:c>
      <x:c r="O347" s="717" t="str">
        <x:v>No</x:v>
      </x:c>
      <x:c r="P347" s="717"/>
    </x:row>
    <x:row r="348" ht="38" customHeight="1">
      <x:c r="A348" s="717" t="str">
        <x:v>GS-04-002</x:v>
      </x:c>
      <x:c r="B348" s="717" t="str">
        <x:v>Google Scholar</x:v>
      </x:c>
      <x:c r="C348" s="717" t="str">
        <x:v>GS-04</x:v>
      </x:c>
      <x:c r="D348" s="720" t="str">
        <x:v>Neurosymbolic Al framework for explainable retinal disease classification fram OCT images</x:v>
      </x:c>
      <x:c r="E348" s="717"/>
      <x:c r="F348" s="720" t="str">
        <x:v>Confirmed duplicate during enhanced OCR-variant deduplication.</x:v>
      </x:c>
      <x:c r="G348" s="717" t="str">
        <x:v>Duplicate control</x:v>
      </x:c>
      <x:c r="H348" s="717"/>
      <x:c r="I348" s="720" t="str">
        <x:v>Confirmed duplicate during enhanced OCR-variant deduplication.</x:v>
      </x:c>
      <x:c r="J348" s="717"/>
      <x:c r="K348" s="720" t="str">
        <x:v>Removed from the final title/abstract denominator before full-text retrieval.</x:v>
      </x:c>
      <x:c r="L348" s="720" t="str">
        <x:v>Atdiladinovie A Bicontn MAdevic.</x:v>
      </x:c>
      <x:c r="M348" s="728"/>
      <x:c r="N348" s="717" t="str">
        <x:v>Google Scholar result</x:v>
      </x:c>
      <x:c r="O348" s="717" t="str">
        <x:v>No</x:v>
      </x:c>
      <x:c r="P348" s="717"/>
    </x:row>
    <x:row r="349" ht="38" customHeight="1">
      <x:c r="A349" s="717" t="str">
        <x:v>GS-04-003</x:v>
      </x:c>
      <x:c r="B349" s="717" t="str">
        <x:v>Google Scholar</x:v>
      </x:c>
      <x:c r="C349" s="717" t="str">
        <x:v>GS-04</x:v>
      </x:c>
      <x:c r="D349" s="720" t="str">
        <x:v>Neurosymbolic Al approach for dry and wet AMD classification using OCT Images</x:v>
      </x:c>
      <x:c r="E349" s="717" t="str">
        <x:v>Include</x:v>
      </x:c>
      <x:c r="F349" s="720" t="str">
        <x:v>Potential direct retinal/ophthalmic concept-based XAI evidence (title only).</x:v>
      </x:c>
      <x:c r="G349" s="717" t="str">
        <x:v>Title only</x:v>
      </x:c>
      <x:c r="H349" s="717" t="str">
        <x:v>Include</x:v>
      </x:c>
      <x:c r="I349" s="720" t="str">
        <x:v>Potential direct retinal/ophthalmic concept-based XAI evidence (title only).</x:v>
      </x:c>
      <x:c r="J349" s="717" t="str">
        <x:f>IF(E349=H349,E349,"Unclear")</x:f>
        <x:v>Include</x:v>
      </x:c>
      <x:c r="K349" s="720" t="str">
        <x:f>IF(E349=H349,"Agreement between both AI passes.","AI-pass disagreement; retain for human discussion.")</x:f>
        <x:v>Agreement between both AI passes.</x:v>
      </x:c>
      <x:c r="L349" s="720" t="str">
        <x:v>Atdilsdinowe 4 Biscontin. MAéevie AAccardo =</x:v>
      </x:c>
      <x:c r="M349" s="728" t="n">
        <x:v>2025</x:v>
      </x:c>
      <x:c r="N349" s="717" t="str">
        <x:v>Google Scholar result</x:v>
      </x:c>
      <x:c r="O349" s="717" t="str">
        <x:v>No</x:v>
      </x:c>
      <x:c r="P349" s="717"/>
    </x:row>
    <x:row r="350" ht="38" customHeight="1">
      <x:c r="A350" s="717" t="str">
        <x:v>GS-04-005</x:v>
      </x:c>
      <x:c r="B350" s="717" t="str">
        <x:v>Google Scholar</x:v>
      </x:c>
      <x:c r="C350" s="717" t="str">
        <x:v>GS-04</x:v>
      </x:c>
      <x:c r="D350" s="720" t="str">
        <x:v>EXPLORING NEURO-SYMBOLIC ARTIFICIAL INTELLIGENCE THROUGH BIONIC VISION</x:v>
      </x:c>
      <x:c r="E350" s="717" t="str">
        <x:v>Exclude</x:v>
      </x:c>
      <x:c r="F350" s="720" t="str">
        <x:v>Clearly outside retinal/ophthalmic concept-based explainable AI.</x:v>
      </x:c>
      <x:c r="G350" s="717" t="str">
        <x:v>Title only</x:v>
      </x:c>
      <x:c r="H350" s="717" t="str">
        <x:v>Exclude</x:v>
      </x:c>
      <x:c r="I350" s="720" t="str">
        <x:v>Clearly outside retinal/ophthalmic concept-based explainable AI.</x:v>
      </x:c>
      <x:c r="J350" s="717" t="str">
        <x:f>IF(E350=H350,E350,"Unclear")</x:f>
        <x:v>Exclude</x:v>
      </x:c>
      <x:c r="K350" s="720" t="str">
        <x:f>IF(E350=H350,"Agreement between both AI passes.","AI-pass disagreement; retain for human discussion.")</x:f>
        <x:v>Agreement between both AI passes.</x:v>
      </x:c>
      <x:c r="L350" s="720" t="str">
        <x:v>N Saleem</x:v>
      </x:c>
      <x:c r="M350" s="728" t="n">
        <x:v>2026</x:v>
      </x:c>
      <x:c r="N350" s="717" t="str">
        <x:v>Google Scholar result</x:v>
      </x:c>
      <x:c r="O350" s="717" t="str">
        <x:v>No</x:v>
      </x:c>
      <x:c r="P350" s="717"/>
    </x:row>
    <x:row r="351" ht="38" customHeight="1">
      <x:c r="A351" s="717" t="str">
        <x:v>GS-04-006</x:v>
      </x:c>
      <x:c r="B351" s="717" t="str">
        <x:v>Google Scholar</x:v>
      </x:c>
      <x:c r="C351" s="717" t="str">
        <x:v>GS-04</x:v>
      </x:c>
      <x:c r="D351" s="720" t="str">
        <x:v>KG-BG: Knowledgs-Guided Domain Generalization via Neuro-Symbolic Fusion</x:v>
      </x:c>
      <x:c r="E351" s="717" t="str">
        <x:v>Exclude</x:v>
      </x:c>
      <x:c r="F351" s="720" t="str">
        <x:v>Clearly outside retinal/ophthalmic concept-based explainable AI.</x:v>
      </x:c>
      <x:c r="G351" s="717" t="str">
        <x:v>Title only</x:v>
      </x:c>
      <x:c r="H351" s="717" t="str">
        <x:v>Exclude</x:v>
      </x:c>
      <x:c r="I351" s="720" t="str">
        <x:v>Clearly outside retinal/ophthalmic concept-based explainable AI.</x:v>
      </x:c>
      <x:c r="J351" s="717" t="str">
        <x:f>IF(E351=H351,E351,"Unclear")</x:f>
        <x:v>Exclude</x:v>
      </x:c>
      <x:c r="K351" s="720" t="str">
        <x:f>IF(E351=H351,"Agreement between both AI passes.","AI-pass disagreement; retain for human discussion.")</x:f>
        <x:v>Agreement between both AI passes.</x:v>
      </x:c>
      <x:c r="L351" s="720" t="str">
        <x:v>M Jrsoj ABanetjae S Gupta</x:v>
      </x:c>
      <x:c r="M351" s="728"/>
      <x:c r="N351" s="717" t="str">
        <x:v>Google Scholar result</x:v>
      </x:c>
      <x:c r="O351" s="717" t="str">
        <x:v>No</x:v>
      </x:c>
      <x:c r="P351" s="717"/>
    </x:row>
    <x:row r="352" ht="38" customHeight="1">
      <x:c r="A352" s="717" t="str">
        <x:v>GS-04-008</x:v>
      </x:c>
      <x:c r="B352" s="717" t="str">
        <x:v>Google Scholar</x:v>
      </x:c>
      <x:c r="C352" s="717" t="str">
        <x:v>GS-04</x:v>
      </x:c>
      <x:c r="D352" s="720" t="str">
        <x:v>Towards trustworthy and explainable Al for ocular disease diagnosis using an ontalogy-guided neuro-symbolic framework</x:v>
      </x:c>
      <x:c r="E352" s="717" t="str">
        <x:v>Include</x:v>
      </x:c>
      <x:c r="F352" s="720" t="str">
        <x:v>Potential direct retinal/ophthalmic concept-based XAI evidence (title only).</x:v>
      </x:c>
      <x:c r="G352" s="717" t="str">
        <x:v>Title only</x:v>
      </x:c>
      <x:c r="H352" s="717" t="str">
        <x:v>Include</x:v>
      </x:c>
      <x:c r="I352" s="720" t="str">
        <x:v>Potential direct retinal/ophthalmic concept-based XAI evidence (title only).</x:v>
      </x:c>
      <x:c r="J352" s="717" t="str">
        <x:f>IF(E352=H352,E352,"Unclear")</x:f>
        <x:v>Include</x:v>
      </x:c>
      <x:c r="K352" s="720" t="str">
        <x:f>IF(E352=H352,"Agreement between both AI passes.","AI-pass disagreement; retain for human discussion.")</x:f>
        <x:v>Agreement between both AI passes.</x:v>
      </x:c>
      <x:c r="L352" s="720" t="str">
        <x:v>AM Dohaim AM 4)Bakry</x:v>
      </x:c>
      <x:c r="M352" s="728" t="n">
        <x:v>2026</x:v>
      </x:c>
      <x:c r="N352" s="717" t="str">
        <x:v>Google Scholar result</x:v>
      </x:c>
      <x:c r="O352" s="717" t="str">
        <x:v>No</x:v>
      </x:c>
      <x:c r="P352" s="717"/>
    </x:row>
    <x:row r="353" ht="38" customHeight="1">
      <x:c r="A353" s="717" t="str">
        <x:v>GS-04-009</x:v>
      </x:c>
      <x:c r="B353" s="717" t="str">
        <x:v>Google Scholar</x:v>
      </x:c>
      <x:c r="C353" s="717" t="str">
        <x:v>GS-04</x:v>
      </x:c>
      <x:c r="D353" s="720" t="str">
        <x:v>Por] RETINAL IMAGE ANALYSIS USING NEURO-SYMBOLIC Al TO DIAGNOSE NEURODEGENERATIVE DISEASES</x:v>
      </x:c>
      <x:c r="E353" s="717" t="str">
        <x:v>Include</x:v>
      </x:c>
      <x:c r="F353" s="720" t="str">
        <x:v>Potential direct retinal/ophthalmic concept-based XAI evidence (title only).</x:v>
      </x:c>
      <x:c r="G353" s="717" t="str">
        <x:v>Title only</x:v>
      </x:c>
      <x:c r="H353" s="717" t="str">
        <x:v>Include</x:v>
      </x:c>
      <x:c r="I353" s="720" t="str">
        <x:v>Potential direct retinal/ophthalmic concept-based XAI evidence (title only).</x:v>
      </x:c>
      <x:c r="J353" s="717" t="str">
        <x:f>IF(E353=H353,E353,"Unclear")</x:f>
        <x:v>Include</x:v>
      </x:c>
      <x:c r="K353" s="720" t="str">
        <x:f>IF(E353=H353,"Agreement between both AI passes.","AI-pass disagreement; retain for human discussion.")</x:f>
        <x:v>Agreement between both AI passes.</x:v>
      </x:c>
      <x:c r="L353" s="720" t="str">
        <x:v>DCyrus, OD Varghese TAde: R Kaleih</x:v>
      </x:c>
      <x:c r="M353" s="728"/>
      <x:c r="N353" s="717" t="str">
        <x:v>Google Scholar result</x:v>
      </x:c>
      <x:c r="O353" s="717" t="str">
        <x:v>No</x:v>
      </x:c>
      <x:c r="P353" s="717"/>
    </x:row>
    <x:row r="354" ht="38" customHeight="1">
      <x:c r="A354" s="717" t="str">
        <x:v>GS-04-010</x:v>
      </x:c>
      <x:c r="B354" s="717" t="str">
        <x:v>Google Scholar</x:v>
      </x:c>
      <x:c r="C354" s="717" t="str">
        <x:v>GS-04</x:v>
      </x:c>
      <x:c r="D354" s="720" t="str">
        <x:v>Neuro-symbolic tearning: Principles and applications in ophthalmology</x:v>
      </x:c>
      <x:c r="E354" s="717" t="str">
        <x:v>Include</x:v>
      </x:c>
      <x:c r="F354" s="720" t="str">
        <x:v>Potential direct retinal/ophthalmic concept-based XAI evidence (title only).</x:v>
      </x:c>
      <x:c r="G354" s="717" t="str">
        <x:v>Title only</x:v>
      </x:c>
      <x:c r="H354" s="717" t="str">
        <x:v>Include</x:v>
      </x:c>
      <x:c r="I354" s="720" t="str">
        <x:v>Potential direct retinal/ophthalmic concept-based XAI evidence (title only).</x:v>
      </x:c>
      <x:c r="J354" s="717" t="str">
        <x:f>IF(E354=H354,E354,"Unclear")</x:f>
        <x:v>Include</x:v>
      </x:c>
      <x:c r="K354" s="720" t="str">
        <x:f>IF(E354=H354,"Agreement between both AI passes.","AI-pass disagreement; retain for human discussion.")</x:f>
        <x:v>Agreement between both AI passes.</x:v>
      </x:c>
      <x:c r="L354" s="720" t="str">
        <x:v>M Hassan H Goan AMeition ¥ Wang C Sun.</x:v>
      </x:c>
      <x:c r="M354" s="728"/>
      <x:c r="N354" s="717" t="str">
        <x:v>Google Scholar result</x:v>
      </x:c>
      <x:c r="O354" s="717" t="str">
        <x:v>No</x:v>
      </x:c>
      <x:c r="P354" s="717"/>
    </x:row>
    <x:row r="355" ht="38" customHeight="1">
      <x:c r="A355" s="717" t="str">
        <x:v>GS-04-012</x:v>
      </x:c>
      <x:c r="B355" s="717" t="str">
        <x:v>Google Scholar</x:v>
      </x:c>
      <x:c r="C355" s="717" t="str">
        <x:v>GS-04</x:v>
      </x:c>
      <x:c r="D355" s="720" t="str">
        <x:v>A Neuro-Symbolic Framework for Automated Glaucoma Detection using Optic Disc-Cup Segmentation and Deep Learning</x:v>
      </x:c>
      <x:c r="E355" s="717"/>
      <x:c r="F355" s="720" t="str">
        <x:v>Confirmed duplicate during enhanced OCR-variant deduplication.</x:v>
      </x:c>
      <x:c r="G355" s="717" t="str">
        <x:v>Duplicate control</x:v>
      </x:c>
      <x:c r="H355" s="717"/>
      <x:c r="I355" s="720" t="str">
        <x:v>Confirmed duplicate during enhanced OCR-variant deduplication.</x:v>
      </x:c>
      <x:c r="J355" s="717"/>
      <x:c r="K355" s="720" t="str">
        <x:v>Removed from the final title/abstract denominator before full-text retrieval.</x:v>
      </x:c>
      <x:c r="L355" s="720" t="str">
        <x:v>TSanjgeelha USangamitha</x:v>
      </x:c>
      <x:c r="M355" s="728" t="n">
        <x:v>2026</x:v>
      </x:c>
      <x:c r="N355" s="717" t="str">
        <x:v>Google Scholar result</x:v>
      </x:c>
      <x:c r="O355" s="717" t="str">
        <x:v>No</x:v>
      </x:c>
      <x:c r="P355" s="717"/>
    </x:row>
    <x:row r="356" ht="38" customHeight="1">
      <x:c r="A356" s="717" t="str">
        <x:v>GS-04-013</x:v>
      </x:c>
      <x:c r="B356" s="717" t="str">
        <x:v>Google Scholar</x:v>
      </x:c>
      <x:c r="C356" s="717" t="str">
        <x:v>GS-04</x:v>
      </x:c>
      <x:c r="D356" s="720" t="str">
        <x:v>Explainable Diabetic Retinopathy Classification Based on Neural-Symbolic Learning.</x:v>
      </x:c>
      <x:c r="E356" s="717"/>
      <x:c r="F356" s="720" t="str">
        <x:v>Confirmed duplicate during enhanced OCR-variant deduplication.</x:v>
      </x:c>
      <x:c r="G356" s="717" t="str">
        <x:v>Duplicate control</x:v>
      </x:c>
      <x:c r="H356" s="717"/>
      <x:c r="I356" s="720" t="str">
        <x:v>Confirmed duplicate during enhanced OCR-variant deduplication.</x:v>
      </x:c>
      <x:c r="J356" s="717"/>
      <x:c r="K356" s="720" t="str">
        <x:v>Removed from the final title/abstract denominator before full-text retrieval.</x:v>
      </x:c>
      <x:c r="L356" s="720" t="str">
        <x:v>SlJang MJA Guard 4H *hiery</x:v>
      </x:c>
      <x:c r="M356" s="728"/>
      <x:c r="N356" s="717" t="str">
        <x:v>Google Scholar result</x:v>
      </x:c>
      <x:c r="O356" s="717" t="str">
        <x:v>No</x:v>
      </x:c>
      <x:c r="P356" s="717"/>
    </x:row>
    <x:row r="357" ht="38" customHeight="1">
      <x:c r="A357" s="717" t="str">
        <x:v>GS-04-014</x:v>
      </x:c>
      <x:c r="B357" s="717" t="str">
        <x:v>Google Scholar</x:v>
      </x:c>
      <x:c r="C357" s="717" t="str">
        <x:v>GS-04</x:v>
      </x:c>
      <x:c r="D357" s="720" t="str">
        <x:v>system far chronic eye disease management a digital health implementation study</x:v>
      </x:c>
      <x:c r="E357" s="717"/>
      <x:c r="F357" s="720" t="str">
        <x:v>Confirmed duplicate during enhanced OCR-variant deduplication.</x:v>
      </x:c>
      <x:c r="G357" s="717" t="str">
        <x:v>Duplicate control</x:v>
      </x:c>
      <x:c r="H357" s="717"/>
      <x:c r="I357" s="720" t="str">
        <x:v>Confirmed duplicate during enhanced OCR-variant deduplication.</x:v>
      </x:c>
      <x:c r="J357" s="717"/>
      <x:c r="K357" s="720" t="str">
        <x:v>Removed from the final title/abstract denominator before full-text retrieval.</x:v>
      </x:c>
      <x:c r="L357" s="720" t="str">
        <x:v>MH Wang. SM Lee G Hou ¥ Wang</x:v>
      </x:c>
      <x:c r="M357" s="728" t="n">
        <x:v>2026</x:v>
      </x:c>
      <x:c r="N357" s="717" t="str">
        <x:v>Google Scholar result</x:v>
      </x:c>
      <x:c r="O357" s="717" t="str">
        <x:v>No</x:v>
      </x:c>
      <x:c r="P357" s="717"/>
    </x:row>
    <x:row r="358" ht="38" customHeight="1">
      <x:c r="A358" s="717" t="str">
        <x:v>GS-04-015</x:v>
      </x:c>
      <x:c r="B358" s="717" t="str">
        <x:v>Google Scholar</x:v>
      </x:c>
      <x:c r="C358" s="717" t="str">
        <x:v>GS-04</x:v>
      </x:c>
      <x:c r="D358" s="720" t="str">
        <x:v>Fairness-Aware Multimodal Glaucoma Detectian via Neurosymbolic Learning with Differentiable Clinical Constraints</x:v>
      </x:c>
      <x:c r="E358" s="717"/>
      <x:c r="F358" s="720" t="str">
        <x:v>Confirmed duplicate during enhanced OCR-variant deduplication.</x:v>
      </x:c>
      <x:c r="G358" s="717" t="str">
        <x:v>Duplicate control</x:v>
      </x:c>
      <x:c r="H358" s="717"/>
      <x:c r="I358" s="720" t="str">
        <x:v>Confirmed duplicate during enhanced OCR-variant deduplication.</x:v>
      </x:c>
      <x:c r="J358" s="717"/>
      <x:c r="K358" s="720" t="str">
        <x:v>Removed from the final title/abstract denominator before full-text retrieval.</x:v>
      </x:c>
      <x:c r="L358" s="720" t="str">
        <x:v>Afertaro Mlammarino, = Pecoreli</x:v>
      </x:c>
      <x:c r="M358" s="728" t="n">
        <x:v>2025</x:v>
      </x:c>
      <x:c r="N358" s="717" t="str">
        <x:v>Google Scholar result</x:v>
      </x:c>
      <x:c r="O358" s="717" t="str">
        <x:v>No</x:v>
      </x:c>
      <x:c r="P358" s="717"/>
    </x:row>
    <x:row r="359" ht="38" customHeight="1">
      <x:c r="A359" s="717" t="str">
        <x:v>GS-04-016</x:v>
      </x:c>
      <x:c r="B359" s="717" t="str">
        <x:v>Google Scholar</x:v>
      </x:c>
      <x:c r="C359" s="717" t="str">
        <x:v>GS-04</x:v>
      </x:c>
      <x:c r="D359" s="720" t="str">
        <x:v>Visual Categonzatian Across Minds and Models Cagnitive Analysis of Human Labeling and Neuro-Symbolic Integration</x:v>
      </x:c>
      <x:c r="E359" s="717" t="str">
        <x:v>Exclude</x:v>
      </x:c>
      <x:c r="F359" s="720" t="str">
        <x:v>Clearly outside retinal/ophthalmic concept-based explainable AI.</x:v>
      </x:c>
      <x:c r="G359" s="717" t="str">
        <x:v>Title only</x:v>
      </x:c>
      <x:c r="H359" s="717" t="str">
        <x:v>Exclude</x:v>
      </x:c>
      <x:c r="I359" s="720" t="str">
        <x:v>Clearly outside retinal/ophthalmic concept-based explainable AI.</x:v>
      </x:c>
      <x:c r="J359" s="717" t="str">
        <x:f>IF(E359=H359,E359,"Unclear")</x:f>
        <x:v>Exclude</x:v>
      </x:c>
      <x:c r="K359" s="720" t="str">
        <x:f>IF(E359=H359,"Agreement between both AI passes.","AI-pass disagreement; retain for human discussion.")</x:f>
        <x:v>Agreement between both AI passes.</x:v>
      </x:c>
      <x:c r="L359" s="720" t="str">
        <x:v>CP Kaboere</x:v>
      </x:c>
      <x:c r="M359" s="728" t="n">
        <x:v>2025</x:v>
      </x:c>
      <x:c r="N359" s="717" t="str">
        <x:v>Google Scholar result</x:v>
      </x:c>
      <x:c r="O359" s="717" t="str">
        <x:v>No</x:v>
      </x:c>
      <x:c r="P359" s="717"/>
    </x:row>
    <x:row r="360" ht="38" customHeight="1">
      <x:c r="A360" s="717" t="str">
        <x:v>GS-04-017</x:v>
      </x:c>
      <x:c r="B360" s="717" t="str">
        <x:v>Google Scholar</x:v>
      </x:c>
      <x:c r="C360" s="717" t="str">
        <x:v>GS-04</x:v>
      </x:c>
      <x:c r="D360" s="720" t="str">
        <x:v>Bridging the gap: The rise of neurosymbolic artificial intelligence in advanced computing</x:v>
      </x:c>
      <x:c r="E360" s="717" t="str">
        <x:v>Exclude</x:v>
      </x:c>
      <x:c r="F360" s="720" t="str">
        <x:v>Clearly outside retinal/ophthalmic concept-based explainable AI.</x:v>
      </x:c>
      <x:c r="G360" s="717" t="str">
        <x:v>Title only</x:v>
      </x:c>
      <x:c r="H360" s="717" t="str">
        <x:v>Exclude</x:v>
      </x:c>
      <x:c r="I360" s="720" t="str">
        <x:v>Clearly outside retinal/ophthalmic concept-based explainable AI.</x:v>
      </x:c>
      <x:c r="J360" s="717" t="str">
        <x:f>IF(E360=H360,E360,"Unclear")</x:f>
        <x:v>Exclude</x:v>
      </x:c>
      <x:c r="K360" s="720" t="str">
        <x:f>IF(E360=H360,"Agreement between both AI passes.","AI-pass disagreement; retain for human discussion.")</x:f>
        <x:v>Agreement between both AI passes.</x:v>
      </x:c>
      <x:c r="L360" s="720" t="str">
        <x:v>P Sanguly | Mukherjse</x:v>
      </x:c>
      <x:c r="M360" s="728" t="n">
        <x:v>2025</x:v>
      </x:c>
      <x:c r="N360" s="717" t="str">
        <x:v>Google Scholar result</x:v>
      </x:c>
      <x:c r="O360" s="717" t="str">
        <x:v>No</x:v>
      </x:c>
      <x:c r="P360" s="717"/>
    </x:row>
    <x:row r="361" ht="38" customHeight="1">
      <x:c r="A361" s="717" t="str">
        <x:v>GS-04-018</x:v>
      </x:c>
      <x:c r="B361" s="717" t="str">
        <x:v>Google Scholar</x:v>
      </x:c>
      <x:c r="C361" s="717" t="str">
        <x:v>GS-04</x:v>
      </x:c>
      <x:c r="D361" s="720" t="str">
        <x:v>Rapid image labeling via neuro-symbolic learning</x:v>
      </x:c>
      <x:c r="E361" s="717" t="str">
        <x:v>Exclude</x:v>
      </x:c>
      <x:c r="F361" s="720" t="str">
        <x:v>Clearly outside retinal/ophthalmic concept-based explainable AI.</x:v>
      </x:c>
      <x:c r="G361" s="717" t="str">
        <x:v>Title only</x:v>
      </x:c>
      <x:c r="H361" s="717" t="str">
        <x:v>Exclude</x:v>
      </x:c>
      <x:c r="I361" s="720" t="str">
        <x:v>Clearly outside retinal/ophthalmic concept-based explainable AI.</x:v>
      </x:c>
      <x:c r="J361" s="717" t="str">
        <x:f>IF(E361=H361,E361,"Unclear")</x:f>
        <x:v>Exclude</x:v>
      </x:c>
      <x:c r="K361" s="720" t="str">
        <x:f>IF(E361=H361,"Agreement between both AI passes.","AI-pass disagreement; retain for human discussion.")</x:f>
        <x:v>Agreement between both AI passes.</x:v>
      </x:c>
      <x:c r="L361" s="720" t="str">
        <x:v>Yang Z™u Y Xang. S2rou X Chan. Bi</x:v>
      </x:c>
      <x:c r="M361" s="728" t="n">
        <x:v>2023</x:v>
      </x:c>
      <x:c r="N361" s="717" t="str">
        <x:v>Google Scholar result</x:v>
      </x:c>
      <x:c r="O361" s="717" t="str">
        <x:v>No</x:v>
      </x:c>
      <x:c r="P361" s="717"/>
    </x:row>
    <x:row r="362" ht="38" customHeight="1">
      <x:c r="A362" s="717" t="str">
        <x:v>GS-04-021</x:v>
      </x:c>
      <x:c r="B362" s="717" t="str">
        <x:v>Google Scholar</x:v>
      </x:c>
      <x:c r="C362" s="717" t="str">
        <x:v>GS-04</x:v>
      </x:c>
      <x:c r="D362" s="720" t="str">
        <x:v>Neuro-symbolic Al in various domains</x:v>
      </x:c>
      <x:c r="E362" s="717" t="str">
        <x:v>Exclude</x:v>
      </x:c>
      <x:c r="F362" s="720" t="str">
        <x:v>Clearly outside retinal/ophthalmic concept-based explainable AI.</x:v>
      </x:c>
      <x:c r="G362" s="717" t="str">
        <x:v>Title only</x:v>
      </x:c>
      <x:c r="H362" s="717" t="str">
        <x:v>Exclude</x:v>
      </x:c>
      <x:c r="I362" s="720" t="str">
        <x:v>Clearly outside retinal/ophthalmic concept-based explainable AI.</x:v>
      </x:c>
      <x:c r="J362" s="717" t="str">
        <x:f>IF(E362=H362,E362,"Unclear")</x:f>
        <x:v>Exclude</x:v>
      </x:c>
      <x:c r="K362" s="720" t="str">
        <x:f>IF(E362=H362,"Agreement between both AI passes.","AI-pass disagreement; retain for human discussion.")</x:f>
        <x:v>Agreement between both AI passes.</x:v>
      </x:c>
      <x:c r="L362" s="720" t="str">
        <x:v>BF Bhuysn, 4Ramdane-Chen TP Singh =</x:v>
      </x:c>
      <x:c r="M362" s="728" t="n">
        <x:v>2024</x:v>
      </x:c>
      <x:c r="N362" s="717" t="str">
        <x:v>Google Scholar result</x:v>
      </x:c>
      <x:c r="O362" s="717" t="str">
        <x:v>No</x:v>
      </x:c>
      <x:c r="P362" s="717"/>
    </x:row>
    <x:row r="363" ht="38" customHeight="1">
      <x:c r="A363" s="717" t="str">
        <x:v>GS-04-023</x:v>
      </x:c>
      <x:c r="B363" s="717" t="str">
        <x:v>Google Scholar</x:v>
      </x:c>
      <x:c r="C363" s="717" t="str">
        <x:v>GS-04</x:v>
      </x:c>
      <x:c r="D363" s="720" t="str">
        <x:v>DeepInfusion A dynamic infusion based-neuro-symbolic Al madel for segmentation of intracranial aneurysms</x:v>
      </x:c>
      <x:c r="E363" s="717" t="str">
        <x:v>Exclude</x:v>
      </x:c>
      <x:c r="F363" s="720" t="str">
        <x:v>Clearly outside retinal/ophthalmic concept-based explainable AI.</x:v>
      </x:c>
      <x:c r="G363" s="717" t="str">
        <x:v>Title only</x:v>
      </x:c>
      <x:c r="H363" s="717" t="str">
        <x:v>Exclude</x:v>
      </x:c>
      <x:c r="I363" s="720" t="str">
        <x:v>Clearly outside retinal/ophthalmic concept-based explainable AI.</x:v>
      </x:c>
      <x:c r="J363" s="717" t="str">
        <x:f>IF(E363=H363,E363,"Unclear")</x:f>
        <x:v>Exclude</x:v>
      </x:c>
      <x:c r="K363" s="720" t="str">
        <x:f>IF(E363=H363,"Agreement between both AI passes.","AI-pass disagreement; retain for human discussion.")</x:f>
        <x:v>Agreement between both AI passes.</x:v>
      </x:c>
      <x:c r="L363" s="720" t="str">
        <x:v>| Abduilah. A Javed KM Malik G Malik</x:v>
      </x:c>
      <x:c r="M363" s="728" t="n">
        <x:v>2023</x:v>
      </x:c>
      <x:c r="N363" s="717" t="str">
        <x:v>Google Scholar result</x:v>
      </x:c>
      <x:c r="O363" s="717" t="str">
        <x:v>No</x:v>
      </x:c>
      <x:c r="P363" s="717"/>
    </x:row>
    <x:row r="364" ht="38" customHeight="1">
      <x:c r="A364" s="717" t="str">
        <x:v>GS-04-025</x:v>
      </x:c>
      <x:c r="B364" s="717" t="str">
        <x:v>Google Scholar</x:v>
      </x:c>
      <x:c r="C364" s="717" t="str">
        <x:v>GS-04</x:v>
      </x:c>
      <x:c r="D364" s="720" t="str">
        <x:v>Neurosymbolic inference on foundation models for remote sensing text-to- image retrieval with complex queries</x:v>
      </x:c>
      <x:c r="E364" s="717" t="str">
        <x:v>Exclude</x:v>
      </x:c>
      <x:c r="F364" s="720" t="str">
        <x:v>Clearly outside retinal/ophthalmic concept-based explainable AI.</x:v>
      </x:c>
      <x:c r="G364" s="717" t="str">
        <x:v>Title only</x:v>
      </x:c>
      <x:c r="H364" s="717" t="str">
        <x:v>Exclude</x:v>
      </x:c>
      <x:c r="I364" s="720" t="str">
        <x:v>Clearly outside retinal/ophthalmic concept-based explainable AI.</x:v>
      </x:c>
      <x:c r="J364" s="717" t="str">
        <x:f>IF(E364=H364,E364,"Unclear")</x:f>
        <x:v>Exclude</x:v>
      </x:c>
      <x:c r="K364" s="720" t="str">
        <x:f>IF(E364=H364,"Agreement between both AI passes.","AI-pass disagreement; retain for human discussion.")</x:f>
        <x:v>Agreement between both AI passes.</x:v>
      </x:c>
      <x:c r="L364" s="720" t="str">
        <x:v>EMezzi G Burghouls M Kruithof</x:v>
      </x:c>
      <x:c r="M364" s="728"/>
      <x:c r="N364" s="717" t="str">
        <x:v>Google Scholar result</x:v>
      </x:c>
      <x:c r="O364" s="717" t="str">
        <x:v>No</x:v>
      </x:c>
      <x:c r="P364" s="717"/>
    </x:row>
    <x:row r="365" ht="38" customHeight="1">
      <x:c r="A365" s="717" t="str">
        <x:v>GS-04-026</x:v>
      </x:c>
      <x:c r="B365" s="717" t="str">
        <x:v>Google Scholar</x:v>
      </x:c>
      <x:c r="C365" s="717" t="str">
        <x:v>GS-04</x:v>
      </x:c>
      <x:c r="D365" s="720" t="str">
        <x:v>NeRDO: Neuro-Symbolic Rule Distilatian far Efficient Ontology-Grounded Chain- of-Thought in Medical (mage Diagnosis</x:v>
      </x:c>
      <x:c r="E365" s="717"/>
      <x:c r="F365" s="720" t="str">
        <x:v>Confirmed duplicate during enhanced OCR-variant deduplication.</x:v>
      </x:c>
      <x:c r="G365" s="717" t="str">
        <x:v>Duplicate control</x:v>
      </x:c>
      <x:c r="H365" s="717"/>
      <x:c r="I365" s="720" t="str">
        <x:v>Confirmed duplicate during enhanced OCR-variant deduplication.</x:v>
      </x:c>
      <x:c r="J365" s="717"/>
      <x:c r="K365" s="720" t="str">
        <x:v>Removed from the final title/abstract denominator before full-text retrieval.</x:v>
      </x:c>
      <x:c r="L365" s="720" t="str">
        <x:v>HYang ¥ Jiang SYai JCrow EL! 2 Poon -srXvprepnant art = 202G</x:v>
      </x:c>
      <x:c r="M365" s="728"/>
      <x:c r="N365" s="717" t="str">
        <x:v>Google Scholar result</x:v>
      </x:c>
      <x:c r="O365" s="717" t="str">
        <x:v>No</x:v>
      </x:c>
      <x:c r="P365" s="717"/>
    </x:row>
    <x:row r="366" ht="38" customHeight="1">
      <x:c r="A366" s="717" t="str">
        <x:v>GS-04-027</x:v>
      </x:c>
      <x:c r="B366" s="717" t="str">
        <x:v>Google Scholar</x:v>
      </x:c>
      <x:c r="C366" s="717" t="str">
        <x:v>GS-04</x:v>
      </x:c>
      <x:c r="D366" s="720" t="str">
        <x:v>A KMemory-Assisted Neuro-Symbolic Approach for Chestradiography Classification</x:v>
      </x:c>
      <x:c r="E366" s="717" t="str">
        <x:v>Exclude</x:v>
      </x:c>
      <x:c r="F366" s="720" t="str">
        <x:v>Clearly outside retinal/ophthalmic concept-based explainable AI.</x:v>
      </x:c>
      <x:c r="G366" s="717" t="str">
        <x:v>Title only</x:v>
      </x:c>
      <x:c r="H366" s="717" t="str">
        <x:v>Exclude</x:v>
      </x:c>
      <x:c r="I366" s="720" t="str">
        <x:v>Clearly outside retinal/ophthalmic concept-based explainable AI.</x:v>
      </x:c>
      <x:c r="J366" s="717" t="str">
        <x:f>IF(E366=H366,E366,"Unclear")</x:f>
        <x:v>Exclude</x:v>
      </x:c>
      <x:c r="K366" s="720" t="str">
        <x:f>IF(E366=H366,"Agreement between both AI passes.","AI-pass disagreement; retain for human discussion.")</x:f>
        <x:v>Agreement between both AI passes.</x:v>
      </x:c>
      <x:c r="L366" s="720" t="str">
        <x:v>H Zhang €S Lima, R Samorinha A Tavares</x:v>
      </x:c>
      <x:c r="M366" s="728"/>
      <x:c r="N366" s="717" t="str">
        <x:v>Google Scholar result</x:v>
      </x:c>
      <x:c r="O366" s="717" t="str">
        <x:v>No</x:v>
      </x:c>
      <x:c r="P366" s="717"/>
    </x:row>
    <x:row r="367" ht="38" customHeight="1">
      <x:c r="A367" s="717" t="str">
        <x:v>GS-04-028</x:v>
      </x:c>
      <x:c r="B367" s="717" t="str">
        <x:v>Google Scholar</x:v>
      </x:c>
      <x:c r="C367" s="717" t="str">
        <x:v>GS-04</x:v>
      </x:c>
      <x:c r="D367" s="720" t="str">
        <x:v>The roles af symbols in neural-based Al: they are not what you think!</x:v>
      </x:c>
      <x:c r="E367" s="717" t="str">
        <x:v>Exclude</x:v>
      </x:c>
      <x:c r="F367" s="720" t="str">
        <x:v>Clearly outside retinal/ophthalmic concept-based explainable AI.</x:v>
      </x:c>
      <x:c r="G367" s="717" t="str">
        <x:v>Title only</x:v>
      </x:c>
      <x:c r="H367" s="717" t="str">
        <x:v>Exclude</x:v>
      </x:c>
      <x:c r="I367" s="720" t="str">
        <x:v>Clearly outside retinal/ophthalmic concept-based explainable AI.</x:v>
      </x:c>
      <x:c r="J367" s="717" t="str">
        <x:f>IF(E367=H367,E367,"Unclear")</x:f>
        <x:v>Exclude</x:v>
      </x:c>
      <x:c r="K367" s="720" t="str">
        <x:f>IF(E367=H367,"Agreement between both AI passes.","AI-pass disagreement; retain for human discussion.")</x:f>
        <x:v>Agreement between both AI passes.</x:v>
      </x:c>
      <x:c r="L367" s="720" t="str">
        <x:v>DL Silver TM Mitchel]</x:v>
      </x:c>
      <x:c r="M367" s="728" t="n">
        <x:v>2023</x:v>
      </x:c>
      <x:c r="N367" s="717" t="str">
        <x:v>Google Scholar result</x:v>
      </x:c>
      <x:c r="O367" s="717" t="str">
        <x:v>No</x:v>
      </x:c>
      <x:c r="P367" s="717"/>
    </x:row>
    <x:row r="368" ht="38" customHeight="1">
      <x:c r="A368" s="717" t="str">
        <x:v>GS-04-029</x:v>
      </x:c>
      <x:c r="B368" s="717" t="str">
        <x:v>Google Scholar</x:v>
      </x:c>
      <x:c r="C368" s="717" t="str">
        <x:v>GS-04</x:v>
      </x:c>
      <x:c r="D368" s="720" t="str">
        <x:v>Noisy Pixels, Credible Decisions—A Rabust, Edge-Ready Neuro- Symbolic Architecture for Rural {African} Clinics</x:v>
      </x:c>
      <x:c r="E368" s="717" t="str">
        <x:v>Exclude</x:v>
      </x:c>
      <x:c r="F368" s="720" t="str">
        <x:v>Medical/clinical topic, but no eligible concept-based explainability contribution is evident.</x:v>
      </x:c>
      <x:c r="G368" s="717" t="str">
        <x:v>Title only</x:v>
      </x:c>
      <x:c r="H368" s="717" t="str">
        <x:v>Exclude</x:v>
      </x:c>
      <x:c r="I368" s="720" t="str">
        <x:v>Medical/clinical topic, but no eligible concept-based explainability contribution is evident.</x:v>
      </x:c>
      <x:c r="J368" s="717" t="str">
        <x:f>IF(E368=H368,E368,"Unclear")</x:f>
        <x:v>Exclude</x:v>
      </x:c>
      <x:c r="K368" s="720" t="str">
        <x:f>IF(E368=H368,"Agreement between both AI passes.","AI-pass disagreement; retain for human discussion.")</x:f>
        <x:v>Agreement between both AI passes.</x:v>
      </x:c>
      <x:c r="L368" s="720" t="str">
        <x:v>CK Ky bakisg K Kyamakya, Wy Kambale =</x:v>
      </x:c>
      <x:c r="M368" s="728" t="n">
        <x:v>2025</x:v>
      </x:c>
      <x:c r="N368" s="717" t="str">
        <x:v>Google Scholar result</x:v>
      </x:c>
      <x:c r="O368" s="717" t="str">
        <x:v>No</x:v>
      </x:c>
      <x:c r="P368" s="717"/>
    </x:row>
    <x:row r="369" ht="38" customHeight="1">
      <x:c r="A369" s="717" t="str">
        <x:v>GS-04-030</x:v>
      </x:c>
      <x:c r="B369" s="717" t="str">
        <x:v>Google Scholar</x:v>
      </x:c>
      <x:c r="C369" s="717" t="str">
        <x:v>GS-04</x:v>
      </x:c>
      <x:c r="D369" s="720" t="str">
        <x:v>Teach me how to tearn A perspective review towards user-centered neuro- symbolic learning far robotic surgical systems</x:v>
      </x:c>
      <x:c r="E369" s="717" t="str">
        <x:v>Exclude</x:v>
      </x:c>
      <x:c r="F369" s="720" t="str">
        <x:v>Non-original evidence (review, editorial, response, protocol, or similar); retain only for background/citation chasing (E4).</x:v>
      </x:c>
      <x:c r="G369" s="717" t="str">
        <x:v>Title only</x:v>
      </x:c>
      <x:c r="H369" s="717" t="str">
        <x:v>Exclude</x:v>
      </x:c>
      <x:c r="I369" s="720" t="str">
        <x:v>Non-original evidence (review, editorial, response, protocol, or similar); retain only for background/citation chasing (E4).</x:v>
      </x:c>
      <x:c r="J369" s="717" t="str">
        <x:f>IF(E369=H369,E369,"Unclear")</x:f>
        <x:v>Exclude</x:v>
      </x:c>
      <x:c r="K369" s="720" t="str">
        <x:f>IF(E369=H369,"Agreement between both AI passes.","AI-pass disagreement; retain for human discussion.")</x:f>
        <x:v>Agreement between both AI passes.</x:v>
      </x:c>
      <x:c r="L369" s="720" t="str">
        <x:v>AGomaa BMabd,; NKleer At Fed F Kirchner</x:v>
      </x:c>
      <x:c r="M369" s="728" t="n">
        <x:v>2023</x:v>
      </x:c>
      <x:c r="N369" s="717" t="str">
        <x:v>Google Scholar result</x:v>
      </x:c>
      <x:c r="O369" s="717" t="str">
        <x:v>No</x:v>
      </x:c>
      <x:c r="P369" s="717"/>
    </x:row>
    <x:row r="370" ht="38" customHeight="1">
      <x:c r="A370" s="717" t="str">
        <x:v>GS-04-031</x:v>
      </x:c>
      <x:c r="B370" s="717" t="str">
        <x:v>Google Scholar</x:v>
      </x:c>
      <x:c r="C370" s="717" t="str">
        <x:v>GS-04</x:v>
      </x:c>
      <x:c r="D370" s="720" t="str">
        <x:v>Attention-based Neuro-Symbolic Regularization for Multi-Label Prediction of Diabetic Complications</x:v>
      </x:c>
      <x:c r="E370" s="717" t="str">
        <x:v>Exclude</x:v>
      </x:c>
      <x:c r="F370" s="720" t="str">
        <x:v>Clearly outside retinal/ophthalmic concept-based explainable AI.</x:v>
      </x:c>
      <x:c r="G370" s="717" t="str">
        <x:v>Title only</x:v>
      </x:c>
      <x:c r="H370" s="717" t="str">
        <x:v>Exclude</x:v>
      </x:c>
      <x:c r="I370" s="720" t="str">
        <x:v>Clearly outside retinal/ophthalmic concept-based explainable AI.</x:v>
      </x:c>
      <x:c r="J370" s="717" t="str">
        <x:f>IF(E370=H370,E370,"Unclear")</x:f>
        <x:v>Exclude</x:v>
      </x:c>
      <x:c r="K370" s="720" t="str">
        <x:f>IF(E370=H370,"Agreement between both AI passes.","AI-pass disagreement; retain for human discussion.")</x:f>
        <x:v>Agreement between both AI passes.</x:v>
      </x:c>
      <x:c r="L370" s="720" t="str">
        <x:v>ZLiang, W in, ¥ De-g. Ruiang LZhu</x:v>
      </x:c>
      <x:c r="M370" s="728"/>
      <x:c r="N370" s="717" t="str">
        <x:v>Google Scholar result</x:v>
      </x:c>
      <x:c r="O370" s="717" t="str">
        <x:v>No</x:v>
      </x:c>
      <x:c r="P370" s="717"/>
    </x:row>
    <x:row r="371" ht="38" customHeight="1">
      <x:c r="A371" s="717" t="str">
        <x:v>GS-04-032</x:v>
      </x:c>
      <x:c r="B371" s="717" t="str">
        <x:v>Google Scholar</x:v>
      </x:c>
      <x:c r="C371" s="717" t="str">
        <x:v>GS-04</x:v>
      </x:c>
      <x:c r="D371" s="720" t="str">
        <x:v>Neurosymbolic Framework for Concept-Driven Logical Reasoning in Skeleton- Based Human Action Recognition</x:v>
      </x:c>
      <x:c r="E371" s="717" t="str">
        <x:v>Include</x:v>
      </x:c>
      <x:c r="F371" s="720" t="str">
        <x:v>Foundational concept-XAI method relevant to the review taxonomy or reliability analysis (title only).</x:v>
      </x:c>
      <x:c r="G371" s="717" t="str">
        <x:v>Title only</x:v>
      </x:c>
      <x:c r="H371" s="717" t="str">
        <x:v>Unclear</x:v>
      </x:c>
      <x:c r="I371" s="720" t="str">
        <x:v>Concept-XAI method may be useful as foundational/contextual evidence; retinal or medical applicability requires discussion (title only).</x:v>
      </x:c>
      <x:c r="J371" s="717" t="str">
        <x:f>IF(E371=H371,E371,"Unclear")</x:f>
        <x:v>Unclear</x:v>
      </x:c>
      <x:c r="K371" s="720" t="str">
        <x:f>IF(E371=H371,"Agreement between both AI passes.","AI-pass disagreement; retain for human discussion.")</x:f>
        <x:v>AI-pass disagreement; retain for human discussion.</x:v>
      </x:c>
      <x:c r="L371" s="720" t="str">
        <x:v>Tilyas O Mehta Z Ge</x:v>
      </x:c>
      <x:c r="M371" s="728" t="n">
        <x:v>2026</x:v>
      </x:c>
      <x:c r="N371" s="717" t="str">
        <x:v>Google Scholar result</x:v>
      </x:c>
      <x:c r="O371" s="717" t="str">
        <x:v>No</x:v>
      </x:c>
      <x:c r="P371" s="717"/>
    </x:row>
    <x:row r="372" ht="38" customHeight="1">
      <x:c r="A372" s="717" t="str">
        <x:v>GS-04-033</x:v>
      </x:c>
      <x:c r="B372" s="717" t="str">
        <x:v>Google Scholar</x:v>
      </x:c>
      <x:c r="C372" s="717" t="str">
        <x:v>GS-04</x:v>
      </x:c>
      <x:c r="D372" s="720" t="str">
        <x:v>interpretable hybrid CNN-ViT framework with neuro-symbolic clinical decision support for early cervical cancer diagnosis</x:v>
      </x:c>
      <x:c r="E372" s="717" t="str">
        <x:v>Include</x:v>
      </x:c>
      <x:c r="F372" s="720" t="str">
        <x:v>Foundational concept-XAI method relevant to the review taxonomy or reliability analysis (title only).</x:v>
      </x:c>
      <x:c r="G372" s="717" t="str">
        <x:v>Title only</x:v>
      </x:c>
      <x:c r="H372" s="717" t="str">
        <x:v>Unclear</x:v>
      </x:c>
      <x:c r="I372" s="720" t="str">
        <x:v>Concept-XAI method may be useful as foundational/contextual evidence; retinal or medical applicability requires discussion (title only).</x:v>
      </x:c>
      <x:c r="J372" s="717" t="str">
        <x:f>IF(E372=H372,E372,"Unclear")</x:f>
        <x:v>Unclear</x:v>
      </x:c>
      <x:c r="K372" s="720" t="str">
        <x:f>IF(E372=H372,"Agreement between both AI passes.","AI-pass disagreement; retain for human discussion.")</x:f>
        <x:v>AI-pass disagreement; retain for human discussion.</x:v>
      </x:c>
      <x:c r="L372" s="720" t="str">
        <x:v>HT Halawani EM Seran EMAsen Othman ..</x:v>
      </x:c>
      <x:c r="M372" s="728" t="n">
        <x:v>2026</x:v>
      </x:c>
      <x:c r="N372" s="717" t="str">
        <x:v>Google Scholar result</x:v>
      </x:c>
      <x:c r="O372" s="717" t="str">
        <x:v>No</x:v>
      </x:c>
      <x:c r="P372" s="717"/>
    </x:row>
    <x:row r="373" ht="38" customHeight="1">
      <x:c r="A373" s="717" t="str">
        <x:v>GS-04-034</x:v>
      </x:c>
      <x:c r="B373" s="717" t="str">
        <x:v>Google Scholar</x:v>
      </x:c>
      <x:c r="C373" s="717" t="str">
        <x:v>GS-04</x:v>
      </x:c>
      <x:c r="D373" s="720" t="str">
        <x:v>Trustworthy Retinopathy Of Prematurity Diagnosis Using Explainable Vision- Language Model</x:v>
      </x:c>
      <x:c r="E373" s="717" t="str">
        <x:v>Unclear</x:v>
      </x:c>
      <x:c r="F373" s="720" t="str">
        <x:v>Retinal/ophthalmic AI is evident, but the concept-based mechanism is not confirmed from the available title only.</x:v>
      </x:c>
      <x:c r="G373" s="717" t="str">
        <x:v>Title only</x:v>
      </x:c>
      <x:c r="H373" s="717" t="str">
        <x:v>Unclear</x:v>
      </x:c>
      <x:c r="I373" s="720" t="str">
        <x:v>Retinal/ophthalmic AI is evident, but the concept-based mechanism is not confirmed from the available title only.</x:v>
      </x:c>
      <x:c r="J373" s="717" t="str">
        <x:f>IF(E373=H373,E373,"Unclear")</x:f>
        <x:v>Unclear</x:v>
      </x:c>
      <x:c r="K373" s="720" t="str">
        <x:f>IF(E373=H373,"Agreement between both AI passes.","AI-pass disagreement; retain for human discussion.")</x:f>
        <x:v>Agreement between both AI passes.</x:v>
      </x:c>
      <x:c r="L373" s="720" t="str">
        <x:v>HZ Netra RM Ghadban</x:v>
      </x:c>
      <x:c r="M373" s="728" t="n">
        <x:v>2026</x:v>
      </x:c>
      <x:c r="N373" s="717" t="str">
        <x:v>Google Scholar result</x:v>
      </x:c>
      <x:c r="O373" s="717" t="str">
        <x:v>No</x:v>
      </x:c>
      <x:c r="P373" s="717"/>
    </x:row>
    <x:row r="374" ht="38" customHeight="1">
      <x:c r="A374" s="717" t="str">
        <x:v>GS-04-035</x:v>
      </x:c>
      <x:c r="B374" s="717" t="str">
        <x:v>Google Scholar</x:v>
      </x:c>
      <x:c r="C374" s="717" t="str">
        <x:v>GS-04</x:v>
      </x:c>
      <x:c r="D374" s="720" t="str">
        <x:v>Author Response Using Provenance Dispersion to Trage Uncertain Neurosymbolic OCT Diagnases</x:v>
      </x:c>
      <x:c r="E374" s="717"/>
      <x:c r="F374" s="720" t="str">
        <x:v>Confirmed duplicate during enhanced OCR-variant deduplication.</x:v>
      </x:c>
      <x:c r="G374" s="717" t="str">
        <x:v>Duplicate control</x:v>
      </x:c>
      <x:c r="H374" s="717"/>
      <x:c r="I374" s="720" t="str">
        <x:v>Confirmed duplicate during enhanced OCR-variant deduplication.</x:v>
      </x:c>
      <x:c r="J374" s="717"/>
      <x:c r="K374" s="720" t="str">
        <x:v>Removed from the final title/abstract denominator before full-text retrieval.</x:v>
      </x:c>
      <x:c r="L374" s="720" t="str">
        <x:v>Atdiladinovié A Bistontn MAdevic..</x:v>
      </x:c>
      <x:c r="M374" s="728" t="n">
        <x:v>2026</x:v>
      </x:c>
      <x:c r="N374" s="717" t="str">
        <x:v>Google Scholar result</x:v>
      </x:c>
      <x:c r="O374" s="717" t="str">
        <x:v>No</x:v>
      </x:c>
      <x:c r="P374" s="717"/>
    </x:row>
    <x:row r="375" ht="38" customHeight="1">
      <x:c r="A375" s="717" t="str">
        <x:v>GS-04-036</x:v>
      </x:c>
      <x:c r="B375" s="717" t="str">
        <x:v>Google Scholar</x:v>
      </x:c>
      <x:c r="C375" s="717" t="str">
        <x:v>GS-04</x:v>
      </x:c>
      <x:c r="D375" s="720" t="str">
        <x:v>A neuro-symbolic approach to GPS trajectory classification</x:v>
      </x:c>
      <x:c r="E375" s="717" t="str">
        <x:v>Exclude</x:v>
      </x:c>
      <x:c r="F375" s="720" t="str">
        <x:v>Clearly outside retinal/ophthalmic concept-based explainable AI.</x:v>
      </x:c>
      <x:c r="G375" s="717" t="str">
        <x:v>Title only</x:v>
      </x:c>
      <x:c r="H375" s="717" t="str">
        <x:v>Exclude</x:v>
      </x:c>
      <x:c r="I375" s="720" t="str">
        <x:v>Clearly outside retinal/ophthalmic concept-based explainable AI.</x:v>
      </x:c>
      <x:c r="J375" s="717" t="str">
        <x:f>IF(E375=H375,E375,"Unclear")</x:f>
        <x:v>Exclude</x:v>
      </x:c>
      <x:c r="K375" s="720" t="str">
        <x:f>IF(E375=H375,"Agreement between both AI passes.","AI-pass disagreement; retain for human discussion.")</x:f>
        <x:v>Agreement between both AI passes.</x:v>
      </x:c>
      <x:c r="L375" s="720" t="str">
        <x:v>R Barbosa DO Cardesa DO Carvalho</x:v>
      </x:c>
      <x:c r="M375" s="728" t="n">
        <x:v>2017</x:v>
      </x:c>
      <x:c r="N375" s="717" t="str">
        <x:v>Google Scholar result</x:v>
      </x:c>
      <x:c r="O375" s="717" t="str">
        <x:v>No</x:v>
      </x:c>
      <x:c r="P375" s="717"/>
    </x:row>
    <x:row r="376" ht="38" customHeight="1">
      <x:c r="A376" s="717" t="str">
        <x:v>GS-04-037</x:v>
      </x:c>
      <x:c r="B376" s="717" t="str">
        <x:v>Google Scholar</x:v>
      </x:c>
      <x:c r="C376" s="717" t="str">
        <x:v>GS-04</x:v>
      </x:c>
      <x:c r="D376" s="720" t="str">
        <x:v>Neuro-symbolic artificial intelligence in medicine</x:v>
      </x:c>
      <x:c r="E376" s="717" t="str">
        <x:v>Exclude</x:v>
      </x:c>
      <x:c r="F376" s="720" t="str">
        <x:v>Medical/clinical topic, but no eligible concept-based explainability contribution is evident.</x:v>
      </x:c>
      <x:c r="G376" s="717" t="str">
        <x:v>Title only</x:v>
      </x:c>
      <x:c r="H376" s="717" t="str">
        <x:v>Exclude</x:v>
      </x:c>
      <x:c r="I376" s="720" t="str">
        <x:v>Medical/clinical topic, but no eligible concept-based explainability contribution is evident.</x:v>
      </x:c>
      <x:c r="J376" s="717" t="str">
        <x:f>IF(E376=H376,E376,"Unclear")</x:f>
        <x:v>Exclude</x:v>
      </x:c>
      <x:c r="K376" s="720" t="str">
        <x:f>IF(E376=H376,"Agreement between both AI passes.","AI-pass disagreement; retain for human discussion.")</x:f>
        <x:v>Agreement between both AI passes.</x:v>
      </x:c>
      <x:c r="L376" s="720" t="str">
        <x:v>MYH Wong JCL Ong N Shsh JC Klanofl</x:v>
      </x:c>
      <x:c r="M376" s="728" t="n">
        <x:v>2026</x:v>
      </x:c>
      <x:c r="N376" s="717" t="str">
        <x:v>Google Scholar result</x:v>
      </x:c>
      <x:c r="O376" s="717" t="str">
        <x:v>No</x:v>
      </x:c>
      <x:c r="P376" s="717"/>
    </x:row>
    <x:row r="377" ht="38" customHeight="1">
      <x:c r="A377" s="717" t="str">
        <x:v>GS-04-039</x:v>
      </x:c>
      <x:c r="B377" s="717" t="str">
        <x:v>Google Scholar</x:v>
      </x:c>
      <x:c r="C377" s="717" t="str">
        <x:v>GS-04</x:v>
      </x:c>
      <x:c r="D377" s="720" t="str">
        <x:v>(kTML] Weighttess neure-symbolic GPS trajectory classification</x:v>
      </x:c>
      <x:c r="E377" s="717" t="str">
        <x:v>Exclude</x:v>
      </x:c>
      <x:c r="F377" s="720" t="str">
        <x:v>Clearly outside retinal/ophthalmic concept-based explainable AI.</x:v>
      </x:c>
      <x:c r="G377" s="717" t="str">
        <x:v>Title only</x:v>
      </x:c>
      <x:c r="H377" s="717" t="str">
        <x:v>Exclude</x:v>
      </x:c>
      <x:c r="I377" s="720" t="str">
        <x:v>Clearly outside retinal/ophthalmic concept-based explainable AI.</x:v>
      </x:c>
      <x:c r="J377" s="717" t="str">
        <x:f>IF(E377=H377,E377,"Unclear")</x:f>
        <x:v>Exclude</x:v>
      </x:c>
      <x:c r="K377" s="720" t="str">
        <x:f>IF(E377=H377,"Agreement between both AI passes.","AI-pass disagreement; retain for human discussion.")</x:f>
        <x:v>Agreement between both AI passes.</x:v>
      </x:c>
      <x:c r="L377" s="720" t="str">
        <x:v>R Barbosa DO Ca-deso, D Carvalho, MG Fraica</x:v>
      </x:c>
      <x:c r="M377" s="728" t="n">
        <x:v>2018</x:v>
      </x:c>
      <x:c r="N377" s="717" t="str">
        <x:v>Google Scholar result</x:v>
      </x:c>
      <x:c r="O377" s="717" t="str">
        <x:v>No</x:v>
      </x:c>
      <x:c r="P377" s="717"/>
    </x:row>
    <x:row r="378" ht="38" customHeight="1">
      <x:c r="A378" s="717" t="str">
        <x:v>GS-04-040</x:v>
      </x:c>
      <x:c r="B378" s="717" t="str">
        <x:v>Google Scholar</x:v>
      </x:c>
      <x:c r="C378" s="717" t="str">
        <x:v>GS-04</x:v>
      </x:c>
      <x:c r="D378" s="720" t="str">
        <x:v>Cogsys Efficient and scalable neurosymbolic cagnition system via algorithm- hardware co-design</x:v>
      </x:c>
      <x:c r="E378" s="717" t="str">
        <x:v>Exclude</x:v>
      </x:c>
      <x:c r="F378" s="720" t="str">
        <x:v>Clearly outside retinal/ophthalmic concept-based explainable AI.</x:v>
      </x:c>
      <x:c r="G378" s="717" t="str">
        <x:v>Title only</x:v>
      </x:c>
      <x:c r="H378" s="717" t="str">
        <x:v>Exclude</x:v>
      </x:c>
      <x:c r="I378" s="720" t="str">
        <x:v>Clearly outside retinal/ophthalmic concept-based explainable AI.</x:v>
      </x:c>
      <x:c r="J378" s="717" t="str">
        <x:f>IF(E378=H378,E378,"Unclear")</x:f>
        <x:v>Exclude</x:v>
      </x:c>
      <x:c r="K378" s="720" t="str">
        <x:f>IF(E378=H378,"Agreement between both AI passes.","AI-pass disagreement; retain for human discussion.")</x:f>
        <x:v>Agreement between both AI passes.</x:v>
      </x:c>
      <x:c r="L378" s="720" t="str">
        <x:v>Zar HYaig.RRaj CKLiv «© SympasitmanHigh . 202</x:v>
      </x:c>
      <x:c r="M378" s="728"/>
      <x:c r="N378" s="717" t="str">
        <x:v>Google Scholar result</x:v>
      </x:c>
      <x:c r="O378" s="717" t="str">
        <x:v>No</x:v>
      </x:c>
      <x:c r="P378" s="717"/>
    </x:row>
    <x:row r="379" ht="38" customHeight="1">
      <x:c r="A379" s="717" t="str">
        <x:v>GS-04-041</x:v>
      </x:c>
      <x:c r="B379" s="717" t="str">
        <x:v>Google Scholar</x:v>
      </x:c>
      <x:c r="C379" s="717" t="str">
        <x:v>GS-04</x:v>
      </x:c>
      <x:c r="D379" s="720" t="str">
        <x:v>Neuroba Neuro-symbolic bitrate adaptation for irs-aided mobile video streaming</x:v>
      </x:c>
      <x:c r="E379" s="717" t="str">
        <x:v>Exclude</x:v>
      </x:c>
      <x:c r="F379" s="720" t="str">
        <x:v>Clearly outside retinal/ophthalmic concept-based explainable AI.</x:v>
      </x:c>
      <x:c r="G379" s="717" t="str">
        <x:v>Title only</x:v>
      </x:c>
      <x:c r="H379" s="717" t="str">
        <x:v>Exclude</x:v>
      </x:c>
      <x:c r="I379" s="720" t="str">
        <x:v>Clearly outside retinal/ophthalmic concept-based explainable AI.</x:v>
      </x:c>
      <x:c r="J379" s="717" t="str">
        <x:f>IF(E379=H379,E379,"Unclear")</x:f>
        <x:v>Exclude</x:v>
      </x:c>
      <x:c r="K379" s="720" t="str">
        <x:f>IF(E379=H379,"Agreement between both AI passes.","AI-pass disagreement; retain for human discussion.")</x:f>
        <x:v>Agreement between both AI passes.</x:v>
      </x:c>
      <x:c r="L379" s="720" t="str">
        <x:v>M Chen. v¥ Xiso ALiu AFarouk.. -(EE&amp; Transactio-s 2026. eeexpiore ieee arg</x:v>
      </x:c>
      <x:c r="M379" s="728" t="n">
        <x:v>2026</x:v>
      </x:c>
      <x:c r="N379" s="717" t="str">
        <x:v>Google Scholar result</x:v>
      </x:c>
      <x:c r="O379" s="717" t="str">
        <x:v>No</x:v>
      </x:c>
      <x:c r="P379" s="717"/>
    </x:row>
    <x:row r="380" ht="38" customHeight="1">
      <x:c r="A380" s="717" t="str">
        <x:v>GS-04-042</x:v>
      </x:c>
      <x:c r="B380" s="717" t="str">
        <x:v>Google Scholar</x:v>
      </x:c>
      <x:c r="C380" s="717" t="str">
        <x:v>GS-04</x:v>
      </x:c>
      <x:c r="D380" s="720" t="str">
        <x:v>Sequential Decision Making using Neurosymbolic Al</x:v>
      </x:c>
      <x:c r="E380" s="717" t="str">
        <x:v>Exclude</x:v>
      </x:c>
      <x:c r="F380" s="720" t="str">
        <x:v>Clearly outside retinal/ophthalmic concept-based explainable AI.</x:v>
      </x:c>
      <x:c r="G380" s="717" t="str">
        <x:v>Title only</x:v>
      </x:c>
      <x:c r="H380" s="717" t="str">
        <x:v>Exclude</x:v>
      </x:c>
      <x:c r="I380" s="720" t="str">
        <x:v>Clearly outside retinal/ophthalmic concept-based explainable AI.</x:v>
      </x:c>
      <x:c r="J380" s="717" t="str">
        <x:f>IF(E380=H380,E380,"Unclear")</x:f>
        <x:v>Exclude</x:v>
      </x:c>
      <x:c r="K380" s="720" t="str">
        <x:f>IF(E380=H380,"Agreement between both AI passes.","AI-pass disagreement; retain for human discussion.")</x:f>
        <x:v>Agreement between both AI passes.</x:v>
      </x:c>
      <x:c r="L380" s="720" t="str">
        <x:v>K. Singh</x:v>
      </x:c>
      <x:c r="M380" s="728"/>
      <x:c r="N380" s="717" t="str">
        <x:v>Google Scholar result</x:v>
      </x:c>
      <x:c r="O380" s="717" t="str">
        <x:v>No</x:v>
      </x:c>
      <x:c r="P380" s="717"/>
    </x:row>
    <x:row r="381" ht="38" customHeight="1">
      <x:c r="A381" s="717" t="str">
        <x:v>GS-04-043</x:v>
      </x:c>
      <x:c r="B381" s="717" t="str">
        <x:v>Google Scholar</x:v>
      </x:c>
      <x:c r="C381" s="717" t="str">
        <x:v>GS-04</x:v>
      </x:c>
      <x:c r="D381" s="720" t="str">
        <x:v>re rr ire, er aes Computing (HCC) Healthcare, Education and Research, Emphasizing Ethics and Safety ..</x:v>
      </x:c>
      <x:c r="E381" s="717" t="str">
        <x:v>Exclude</x:v>
      </x:c>
      <x:c r="F381" s="720" t="str">
        <x:v>Medical/clinical topic, but no eligible concept-based explainability contribution is evident.</x:v>
      </x:c>
      <x:c r="G381" s="717" t="str">
        <x:v>Title only</x:v>
      </x:c>
      <x:c r="H381" s="717" t="str">
        <x:v>Exclude</x:v>
      </x:c>
      <x:c r="I381" s="720" t="str">
        <x:v>Medical/clinical topic, but no eligible concept-based explainability contribution is evident.</x:v>
      </x:c>
      <x:c r="J381" s="717" t="str">
        <x:f>IF(E381=H381,E381,"Unclear")</x:f>
        <x:v>Exclude</x:v>
      </x:c>
      <x:c r="K381" s="720" t="str">
        <x:f>IF(E381=H381,"Agreement between both AI passes.","AI-pass disagreement; retain for human discussion.")</x:f>
        <x:v>Agreement between both AI passes.</x:v>
      </x:c>
      <x:c r="L381" s="720" t="str">
        <x:v>AAlzal</x:v>
      </x:c>
      <x:c r="M381" s="728" t="n">
        <x:v>2025</x:v>
      </x:c>
      <x:c r="N381" s="717" t="str">
        <x:v>Google Scholar result</x:v>
      </x:c>
      <x:c r="O381" s="717" t="str">
        <x:v>No</x:v>
      </x:c>
      <x:c r="P381" s="717"/>
    </x:row>
    <x:row r="382" ht="38" customHeight="1">
      <x:c r="A382" s="717" t="str">
        <x:v>GS-04-044</x:v>
      </x:c>
      <x:c r="B382" s="717" t="str">
        <x:v>Google Scholar</x:v>
      </x:c>
      <x:c r="C382" s="717" t="str">
        <x:v>GS-04</x:v>
      </x:c>
      <x:c r="D382" s="720" t="str">
        <x:v>Neurosymbolic Multi-Agent Artificial Inteligance versus General-Purpase Large Language Models for Clinical Dectsion Support in Ileus and Valvulus</x:v>
      </x:c>
      <x:c r="E382" s="717" t="str">
        <x:v>Exclude</x:v>
      </x:c>
      <x:c r="F382" s="720" t="str">
        <x:v>Medical/clinical topic, but no eligible concept-based explainability contribution is evident.</x:v>
      </x:c>
      <x:c r="G382" s="717" t="str">
        <x:v>Title only</x:v>
      </x:c>
      <x:c r="H382" s="717" t="str">
        <x:v>Exclude</x:v>
      </x:c>
      <x:c r="I382" s="720" t="str">
        <x:v>Medical/clinical topic, but no eligible concept-based explainability contribution is evident.</x:v>
      </x:c>
      <x:c r="J382" s="717" t="str">
        <x:f>IF(E382=H382,E382,"Unclear")</x:f>
        <x:v>Exclude</x:v>
      </x:c>
      <x:c r="K382" s="720" t="str">
        <x:f>IF(E382=H382,"Agreement between both AI passes.","AI-pass disagreement; retain for human discussion.")</x:f>
        <x:v>Agreement between both AI passes.</x:v>
      </x:c>
      <x:c r="L382" s="720" t="str">
        <x:v>S Keskin. L Eybateva</x:v>
      </x:c>
      <x:c r="M382" s="728"/>
      <x:c r="N382" s="717" t="str">
        <x:v>Google Scholar result</x:v>
      </x:c>
      <x:c r="O382" s="717" t="str">
        <x:v>No</x:v>
      </x:c>
      <x:c r="P382" s="717"/>
    </x:row>
    <x:row r="383" ht="38" customHeight="1">
      <x:c r="A383" s="717" t="str">
        <x:v>GS-04-045</x:v>
      </x:c>
      <x:c r="B383" s="717" t="str">
        <x:v>Google Scholar</x:v>
      </x:c>
      <x:c r="C383" s="717" t="str">
        <x:v>GS-04</x:v>
      </x:c>
      <x:c r="D383" s="720" t="str">
        <x:v>Neuro-Symbolic Sentiment Analysis Integrating Lexicon Features with Deep Learning Models</x:v>
      </x:c>
      <x:c r="E383" s="717" t="str">
        <x:v>Exclude</x:v>
      </x:c>
      <x:c r="F383" s="720" t="str">
        <x:v>Clearly outside retinal/ophthalmic concept-based explainable AI.</x:v>
      </x:c>
      <x:c r="G383" s="717" t="str">
        <x:v>Title only</x:v>
      </x:c>
      <x:c r="H383" s="717" t="str">
        <x:v>Exclude</x:v>
      </x:c>
      <x:c r="I383" s="720" t="str">
        <x:v>Clearly outside retinal/ophthalmic concept-based explainable AI.</x:v>
      </x:c>
      <x:c r="J383" s="717" t="str">
        <x:f>IF(E383=H383,E383,"Unclear")</x:f>
        <x:v>Exclude</x:v>
      </x:c>
      <x:c r="K383" s="720" t="str">
        <x:f>IF(E383=H383,"Agreement between both AI passes.","AI-pass disagreement; retain for human discussion.")</x:f>
        <x:v>Agreement between both AI passes.</x:v>
      </x:c>
      <x:c r="L383" s="720" t="str">
        <x:v>NC Madala. SDSPD Tallapudi V5 Malladi.</x:v>
      </x:c>
      <x:c r="M383" s="728" t="n">
        <x:v>2025</x:v>
      </x:c>
      <x:c r="N383" s="717" t="str">
        <x:v>Google Scholar result</x:v>
      </x:c>
      <x:c r="O383" s="717" t="str">
        <x:v>No</x:v>
      </x:c>
      <x:c r="P383" s="717"/>
    </x:row>
    <x:row r="384" ht="38" customHeight="1">
      <x:c r="A384" s="717" t="str">
        <x:v>GS-04-046</x:v>
      </x:c>
      <x:c r="B384" s="717" t="str">
        <x:v>Google Scholar</x:v>
      </x:c>
      <x:c r="C384" s="717" t="str">
        <x:v>GS-04</x:v>
      </x:c>
      <x:c r="D384" s="720" t="str">
        <x:v>Lightning tak: Trinity-assured neuro-symbolic model inspired by hierarchical predictive coding</x:v>
      </x:c>
      <x:c r="E384" s="717" t="str">
        <x:v>Exclude</x:v>
      </x:c>
      <x:c r="F384" s="720" t="str">
        <x:v>Clearly outside retinal/ophthalmic concept-based explainable AI.</x:v>
      </x:c>
      <x:c r="G384" s="717" t="str">
        <x:v>Title only</x:v>
      </x:c>
      <x:c r="H384" s="717" t="str">
        <x:v>Exclude</x:v>
      </x:c>
      <x:c r="I384" s="720" t="str">
        <x:v>Clearly outside retinal/ophthalmic concept-based explainable AI.</x:v>
      </x:c>
      <x:c r="J384" s="717" t="str">
        <x:f>IF(E384=H384,E384,"Unclear")</x:f>
        <x:v>Exclude</x:v>
      </x:c>
      <x:c r="K384" s="720" t="str">
        <x:f>IF(E384=H384,"Agreement between both AI passes.","AI-pass disagreement; retain for human discussion.")</x:f>
        <x:v>Agreement between both AI passes.</x:v>
      </x:c>
      <x:c r="L384" s="720" t="str">
        <x:v>S Jha</x:v>
      </x:c>
      <x:c r="M384" s="728" t="n">
        <x:v>2022</x:v>
      </x:c>
      <x:c r="N384" s="717" t="str">
        <x:v>Google Scholar result</x:v>
      </x:c>
      <x:c r="O384" s="717" t="str">
        <x:v>No</x:v>
      </x:c>
      <x:c r="P384" s="717"/>
    </x:row>
    <x:row r="385" ht="38" customHeight="1">
      <x:c r="A385" s="717" t="str">
        <x:v>GS-04-047</x:v>
      </x:c>
      <x:c r="B385" s="717" t="str">
        <x:v>Google Scholar</x:v>
      </x:c>
      <x:c r="C385" s="717" t="str">
        <x:v>GS-04</x:v>
      </x:c>
      <x:c r="D385" s="720" t="str">
        <x:v>Modeling cagnitive processes within a creative problem-solving task’ from symbolic to neuro- symbolic approaches in computational learning sciences</x:v>
      </x:c>
      <x:c r="E385" s="717" t="str">
        <x:v>Exclude</x:v>
      </x:c>
      <x:c r="F385" s="720" t="str">
        <x:v>Clearly outside retinal/ophthalmic concept-based explainable AI.</x:v>
      </x:c>
      <x:c r="G385" s="717" t="str">
        <x:v>Title only</x:v>
      </x:c>
      <x:c r="H385" s="717" t="str">
        <x:v>Exclude</x:v>
      </x:c>
      <x:c r="I385" s="720" t="str">
        <x:v>Clearly outside retinal/ophthalmic concept-based explainable AI.</x:v>
      </x:c>
      <x:c r="J385" s="717" t="str">
        <x:f>IF(E385=H385,E385,"Unclear")</x:f>
        <x:v>Exclude</x:v>
      </x:c>
      <x:c r="K385" s="720" t="str">
        <x:f>IF(E385=H385,"Agreement between both AI passes.","AI-pass disagreement; retain for human discussion.")</x:f>
        <x:v>Agreement between both AI passes.</x:v>
      </x:c>
      <x:c r="L385" s="720" t="str">
        <x:v>C Mercier</x:v>
      </x:c>
      <x:c r="M385" s="728" t="n">
        <x:v>2024</x:v>
      </x:c>
      <x:c r="N385" s="717" t="str">
        <x:v>Google Scholar result</x:v>
      </x:c>
      <x:c r="O385" s="717" t="str">
        <x:v>No</x:v>
      </x:c>
      <x:c r="P385" s="717"/>
    </x:row>
    <x:row r="386" ht="38" customHeight="1">
      <x:c r="A386" s="717" t="str">
        <x:v>GS-04-048</x:v>
      </x:c>
      <x:c r="B386" s="717" t="str">
        <x:v>Google Scholar</x:v>
      </x:c>
      <x:c r="C386" s="717" t="str">
        <x:v>GS-04</x:v>
      </x:c>
      <x:c r="D386" s="720" t="str">
        <x:v>Neuro-Symbolic Al with Edge Computing and Reinforcement Learning Optimizing Autonomous Engineering Design Workflows</x:v>
      </x:c>
      <x:c r="E386" s="717" t="str">
        <x:v>Exclude</x:v>
      </x:c>
      <x:c r="F386" s="720" t="str">
        <x:v>Clearly outside retinal/ophthalmic concept-based explainable AI.</x:v>
      </x:c>
      <x:c r="G386" s="717" t="str">
        <x:v>Title only</x:v>
      </x:c>
      <x:c r="H386" s="717" t="str">
        <x:v>Exclude</x:v>
      </x:c>
      <x:c r="I386" s="720" t="str">
        <x:v>Clearly outside retinal/ophthalmic concept-based explainable AI.</x:v>
      </x:c>
      <x:c r="J386" s="717" t="str">
        <x:f>IF(E386=H386,E386,"Unclear")</x:f>
        <x:v>Exclude</x:v>
      </x:c>
      <x:c r="K386" s="720" t="str">
        <x:f>IF(E386=H386,"Agreement between both AI passes.","AI-pass disagreement; retain for human discussion.")</x:f>
        <x:v>Agreement between both AI passes.</x:v>
      </x:c>
      <x:c r="L386" s="720" t="str">
        <x:v>V “hatiiarasi</x:v>
      </x:c>
      <x:c r="M386" s="728" t="n">
        <x:v>2026</x:v>
      </x:c>
      <x:c r="N386" s="717" t="str">
        <x:v>Google Scholar result</x:v>
      </x:c>
      <x:c r="O386" s="717" t="str">
        <x:v>No</x:v>
      </x:c>
      <x:c r="P386" s="717"/>
    </x:row>
    <x:row r="387" ht="38" customHeight="1">
      <x:c r="A387" s="717" t="str">
        <x:v>GS-04-049</x:v>
      </x:c>
      <x:c r="B387" s="717" t="str">
        <x:v>Google Scholar</x:v>
      </x:c>
      <x:c r="C387" s="717" t="str">
        <x:v>GS-04</x:v>
      </x:c>
      <x:c r="D387" s="720" t="str">
        <x:v>Cataract Detection Systems Using Deep Learning Technique A Survey</x:v>
      </x:c>
      <x:c r="E387" s="717" t="str">
        <x:v>Exclude</x:v>
      </x:c>
      <x:c r="F387" s="720" t="str">
        <x:v>Non-original evidence (review, editorial, response, protocol, or similar); retain only for background/citation chasing (E4).</x:v>
      </x:c>
      <x:c r="G387" s="717" t="str">
        <x:v>Title only</x:v>
      </x:c>
      <x:c r="H387" s="717" t="str">
        <x:v>Exclude</x:v>
      </x:c>
      <x:c r="I387" s="720" t="str">
        <x:v>Non-original evidence (review, editorial, response, protocol, or similar); retain only for background/citation chasing (E4).</x:v>
      </x:c>
      <x:c r="J387" s="717" t="str">
        <x:f>IF(E387=H387,E387,"Unclear")</x:f>
        <x:v>Exclude</x:v>
      </x:c>
      <x:c r="K387" s="720" t="str">
        <x:f>IF(E387=H387,"Agreement between both AI passes.","AI-pass disagreement; retain for human discussion.")</x:f>
        <x:v>Agreement between both AI passes.</x:v>
      </x:c>
      <x:c r="L387" s="720" t="str">
        <x:v>AM Rao SK Gandhimathi- Neura-Symbolic Al Concepis anc 2026</x:v>
      </x:c>
      <x:c r="M387" s="728" t="n">
        <x:v>2026</x:v>
      </x:c>
      <x:c r="N387" s="717" t="str">
        <x:v>Google Scholar result</x:v>
      </x:c>
      <x:c r="O387" s="717" t="str">
        <x:v>No</x:v>
      </x:c>
      <x:c r="P387" s="717"/>
    </x:row>
    <x:row r="388" ht="38" customHeight="1">
      <x:c r="A388" s="717" t="str">
        <x:v>GS-04-050</x:v>
      </x:c>
      <x:c r="B388" s="717" t="str">
        <x:v>Google Scholar</x:v>
      </x:c>
      <x:c r="C388" s="717" t="str">
        <x:v>GS-04</x:v>
      </x:c>
      <x:c r="D388" s="720" t="str">
        <x:v>(4TML] ACNN-DR’ Adaptive convolutional neural network for diabetic retinopathy using bias correction and continual leaming</x:v>
      </x:c>
      <x:c r="E388" s="717" t="str">
        <x:v>Exclude</x:v>
      </x:c>
      <x:c r="F388" s="720" t="str">
        <x:v>Retinal/ophthalmic topic, but no concept-based or structured explainability method is evident.</x:v>
      </x:c>
      <x:c r="G388" s="717" t="str">
        <x:v>Title only</x:v>
      </x:c>
      <x:c r="H388" s="717" t="str">
        <x:v>Exclude</x:v>
      </x:c>
      <x:c r="I388" s="720" t="str">
        <x:v>Retinal/ophthalmic topic, but no concept-based or structured explainability method is evident.</x:v>
      </x:c>
      <x:c r="J388" s="717" t="str">
        <x:f>IF(E388=H388,E388,"Unclear")</x:f>
        <x:v>Exclude</x:v>
      </x:c>
      <x:c r="K388" s="720" t="str">
        <x:f>IF(E388=H388,"Agreement between both AI passes.","AI-pass disagreement; retain for human discussion.")</x:f>
        <x:v>Agreement between both AI passes.</x:v>
      </x:c>
      <x:c r="L388" s="720" t="str">
        <x:v>AJadbay RNAwae RR ogle- B-omedical Signa Processing and Contral 2026 . Elsevier</x:v>
      </x:c>
      <x:c r="M388" s="728" t="n">
        <x:v>2026</x:v>
      </x:c>
      <x:c r="N388" s="717" t="str">
        <x:v>Google Scholar result</x:v>
      </x:c>
      <x:c r="O388" s="717" t="str">
        <x:v>No</x:v>
      </x:c>
      <x:c r="P388" s="717"/>
    </x:row>
    <x:row r="389" ht="38" customHeight="1">
      <x:c r="A389" s="717" t="str">
        <x:v>GS-04-051</x:v>
      </x:c>
      <x:c r="B389" s="717" t="str">
        <x:v>Google Scholar</x:v>
      </x:c>
      <x:c r="C389" s="717" t="str">
        <x:v>GS-04</x:v>
      </x:c>
      <x:c r="D389" s="720" t="str">
        <x:v>Retinal Prosthesis as an Experimental Pathway to the Spike-Based Neural Code</x:v>
      </x:c>
      <x:c r="E389" s="717" t="str">
        <x:v>Exclude</x:v>
      </x:c>
      <x:c r="F389" s="720" t="str">
        <x:v>Retinal/ophthalmic topic, but no concept-based or structured explainability method is evident.</x:v>
      </x:c>
      <x:c r="G389" s="717" t="str">
        <x:v>Title only</x:v>
      </x:c>
      <x:c r="H389" s="717" t="str">
        <x:v>Exclude</x:v>
      </x:c>
      <x:c r="I389" s="720" t="str">
        <x:v>Retinal/ophthalmic topic, but no concept-based or structured explainability method is evident.</x:v>
      </x:c>
      <x:c r="J389" s="717" t="str">
        <x:f>IF(E389=H389,E389,"Unclear")</x:f>
        <x:v>Exclude</x:v>
      </x:c>
      <x:c r="K389" s="720" t="str">
        <x:f>IF(E389=H389,"Agreement between both AI passes.","AI-pass disagreement; retain for human discussion.")</x:f>
        <x:v>Agreement between both AI passes.</x:v>
      </x:c>
      <x:c r="L389" s="720" t="str">
        <x:v>X “Yuan</x:v>
      </x:c>
      <x:c r="M389" s="728"/>
      <x:c r="N389" s="717" t="str">
        <x:v>Google Scholar result</x:v>
      </x:c>
      <x:c r="O389" s="717" t="str">
        <x:v>No</x:v>
      </x:c>
      <x:c r="P389" s="717"/>
    </x:row>
    <x:row r="390" ht="38" customHeight="1">
      <x:c r="A390" s="717" t="str">
        <x:v>GS-04-052</x:v>
      </x:c>
      <x:c r="B390" s="717" t="str">
        <x:v>Google Scholar</x:v>
      </x:c>
      <x:c r="C390" s="717" t="str">
        <x:v>GS-04</x:v>
      </x:c>
      <x:c r="D390" s="720" t="str">
        <x:v>From Signals to Causes A Causal Signal Processing Framework for Robust and (nterpretable Clinical Risk Prediction</x:v>
      </x:c>
      <x:c r="E390" s="717" t="str">
        <x:v>Exclude</x:v>
      </x:c>
      <x:c r="F390" s="720" t="str">
        <x:v>Medical/clinical topic, but no eligible concept-based explainability contribution is evident.</x:v>
      </x:c>
      <x:c r="G390" s="717" t="str">
        <x:v>Title only</x:v>
      </x:c>
      <x:c r="H390" s="717" t="str">
        <x:v>Exclude</x:v>
      </x:c>
      <x:c r="I390" s="720" t="str">
        <x:v>Medical/clinical topic, but no eligible concept-based explainability contribution is evident.</x:v>
      </x:c>
      <x:c r="J390" s="717" t="str">
        <x:f>IF(E390=H390,E390,"Unclear")</x:f>
        <x:v>Exclude</x:v>
      </x:c>
      <x:c r="K390" s="720" t="str">
        <x:f>IF(E390=H390,"Agreement between both AI passes.","AI-pass disagreement; retain for human discussion.")</x:f>
        <x:v>Agreement between both AI passes.</x:v>
      </x:c>
      <x:c r="L390" s="720" t="str">
        <x:v>S Das M Tat</x:v>
      </x:c>
      <x:c r="M390" s="728" t="n">
        <x:v>2026</x:v>
      </x:c>
      <x:c r="N390" s="717" t="str">
        <x:v>Google Scholar result</x:v>
      </x:c>
      <x:c r="O390" s="717" t="str">
        <x:v>No</x:v>
      </x:c>
      <x:c r="P390" s="717"/>
    </x:row>
    <x:row r="391" ht="38" customHeight="1">
      <x:c r="A391" s="717" t="str">
        <x:v>GS-04-053</x:v>
      </x:c>
      <x:c r="B391" s="717" t="str">
        <x:v>Google Scholar</x:v>
      </x:c>
      <x:c r="C391" s="717" t="str">
        <x:v>GS-04</x:v>
      </x:c>
      <x:c r="D391" s="720" t="str">
        <x:v>Predicting high coronary artery calcium score from retinal fundus images with deep learning algorithms</x:v>
      </x:c>
      <x:c r="E391" s="717" t="str">
        <x:v>Exclude</x:v>
      </x:c>
      <x:c r="F391" s="720" t="str">
        <x:v>Retinal/ophthalmic topic, but no concept-based or structured explainability method is evident.</x:v>
      </x:c>
      <x:c r="G391" s="717" t="str">
        <x:v>Title only</x:v>
      </x:c>
      <x:c r="H391" s="717" t="str">
        <x:v>Exclude</x:v>
      </x:c>
      <x:c r="I391" s="720" t="str">
        <x:v>Retinal/ophthalmic topic, but no concept-based or structured explainability method is evident.</x:v>
      </x:c>
      <x:c r="J391" s="717" t="str">
        <x:f>IF(E391=H391,E391,"Unclear")</x:f>
        <x:v>Exclude</x:v>
      </x:c>
      <x:c r="K391" s="720" t="str">
        <x:f>IF(E391=H391,"Agreement between both AI passes.","AI-pass disagreement; retain for human discussion.")</x:f>
        <x:v>Agreement between both AI passes.</x:v>
      </x:c>
      <x:c r="L391" s="720" t="str">
        <x:v>d5on. Jv Shin, Eu. Ceun KH ung = -~visior science &amp; 2920</x:v>
      </x:c>
      <x:c r="M391" s="728"/>
      <x:c r="N391" s="717" t="str">
        <x:v>Google Scholar result</x:v>
      </x:c>
      <x:c r="O391" s="717" t="str">
        <x:v>No</x:v>
      </x:c>
      <x:c r="P391" s="717"/>
    </x:row>
    <x:row r="392" ht="38" customHeight="1">
      <x:c r="A392" s="717" t="str">
        <x:v>GS-04-054</x:v>
      </x:c>
      <x:c r="B392" s="717" t="str">
        <x:v>Google Scholar</x:v>
      </x:c>
      <x:c r="C392" s="717" t="str">
        <x:v>GS-04</x:v>
      </x:c>
      <x:c r="D392" s="720" t="str">
        <x:v>Brain-Inspired Artificial Neural Nehwork for Energy-Efficient and Adaptive Learning</x:v>
      </x:c>
      <x:c r="E392" s="717" t="str">
        <x:v>Exclude</x:v>
      </x:c>
      <x:c r="F392" s="720" t="str">
        <x:v>Medical/clinical topic, but no eligible concept-based explainability contribution is evident.</x:v>
      </x:c>
      <x:c r="G392" s="717" t="str">
        <x:v>Title only</x:v>
      </x:c>
      <x:c r="H392" s="717" t="str">
        <x:v>Exclude</x:v>
      </x:c>
      <x:c r="I392" s="720" t="str">
        <x:v>Medical/clinical topic, but no eligible concept-based explainability contribution is evident.</x:v>
      </x:c>
      <x:c r="J392" s="717" t="str">
        <x:f>IF(E392=H392,E392,"Unclear")</x:f>
        <x:v>Exclude</x:v>
      </x:c>
      <x:c r="K392" s="720" t="str">
        <x:f>IF(E392=H392,"Agreement between both AI passes.","AI-pass disagreement; retain for human discussion.")</x:f>
        <x:v>Agreement between both AI passes.</x:v>
      </x:c>
      <x:c r="L392" s="720" t="str">
        <x:v>RGhanalakshmi SB Prathiba -Neuro-Symbolic Al 2026</x:v>
      </x:c>
      <x:c r="M392" s="728" t="n">
        <x:v>2026</x:v>
      </x:c>
      <x:c r="N392" s="717" t="str">
        <x:v>Google Scholar result</x:v>
      </x:c>
      <x:c r="O392" s="717" t="str">
        <x:v>No</x:v>
      </x:c>
      <x:c r="P392" s="717"/>
    </x:row>
    <x:row r="393" ht="38" customHeight="1">
      <x:c r="A393" s="717" t="str">
        <x:v>GS-04-055</x:v>
      </x:c>
      <x:c r="B393" s="717" t="str">
        <x:v>Google Scholar</x:v>
      </x:c>
      <x:c r="C393" s="717" t="str">
        <x:v>GS-04</x:v>
      </x:c>
      <x:c r="D393" s="720" t="str">
        <x:v>GraphMERT Efficrent and scalable distillation of reliable knowledge graphs from unstructured data</x:v>
      </x:c>
      <x:c r="E393" s="717" t="str">
        <x:v>Exclude</x:v>
      </x:c>
      <x:c r="F393" s="720" t="str">
        <x:v>Clearly outside retinal/ophthalmic concept-based explainable AI.</x:v>
      </x:c>
      <x:c r="G393" s="717" t="str">
        <x:v>Title only</x:v>
      </x:c>
      <x:c r="H393" s="717" t="str">
        <x:v>Exclude</x:v>
      </x:c>
      <x:c r="I393" s="720" t="str">
        <x:v>Clearly outside retinal/ophthalmic concept-based explainable AI.</x:v>
      </x:c>
      <x:c r="J393" s="717" t="str">
        <x:f>IF(E393=H393,E393,"Unclear")</x:f>
        <x:v>Exclude</x:v>
      </x:c>
      <x:c r="K393" s="720" t="str">
        <x:f>IF(E393=H393,"Agreement between both AI passes.","AI-pass disagreement; retain for human discussion.")</x:f>
        <x:v>Agreement between both AI passes.</x:v>
      </x:c>
      <x:c r="L393" s="720" t="str">
        <x:v>M 3eova J Xiaa S Tuli, NK Jha ~ arXiv preprint armen 2510 09580, 2925</x:v>
      </x:c>
      <x:c r="M393" s="728"/>
      <x:c r="N393" s="717" t="str">
        <x:v>Google Scholar result</x:v>
      </x:c>
      <x:c r="O393" s="717" t="str">
        <x:v>No</x:v>
      </x:c>
      <x:c r="P393" s="717"/>
    </x:row>
    <x:row r="394" ht="38" customHeight="1">
      <x:c r="A394" s="717" t="str">
        <x:v>GS-04-056</x:v>
      </x:c>
      <x:c r="B394" s="717" t="str">
        <x:v>Google Scholar</x:v>
      </x:c>
      <x:c r="C394" s="717" t="str">
        <x:v>GS-04</x:v>
      </x:c>
      <x:c r="D394" s="720" t="str">
        <x:v>RetinaDetachNet Automated Deep Learning Quantification of Photoreceptor Cell Death for Neuroprotection Studies in Experimental Retinal Detachment</x:v>
      </x:c>
      <x:c r="E394" s="717" t="str">
        <x:v>Exclude</x:v>
      </x:c>
      <x:c r="F394" s="720" t="str">
        <x:v>Retinal/ophthalmic topic, but no concept-based or structured explainability method is evident.</x:v>
      </x:c>
      <x:c r="G394" s="717" t="str">
        <x:v>Title only</x:v>
      </x:c>
      <x:c r="H394" s="717" t="str">
        <x:v>Exclude</x:v>
      </x:c>
      <x:c r="I394" s="720" t="str">
        <x:v>Retinal/ophthalmic topic, but no concept-based or structured explainability method is evident.</x:v>
      </x:c>
      <x:c r="J394" s="717" t="str">
        <x:f>IF(E394=H394,E394,"Unclear")</x:f>
        <x:v>Exclude</x:v>
      </x:c>
      <x:c r="K394" s="720" t="str">
        <x:f>IF(E394=H394,"Agreement between both AI passes.","AI-pass disagreement; retain for human discussion.")</x:f>
        <x:v>Agreement between both AI passes.</x:v>
      </x:c>
      <x:c r="L394" s="720" t="str">
        <x:v>KG Baroutis H =| Helwa. K Yamamoto + Visron Scrence &amp; 2026</x:v>
      </x:c>
      <x:c r="M394" s="728" t="n">
        <x:v>2026</x:v>
      </x:c>
      <x:c r="N394" s="717" t="str">
        <x:v>Google Scholar result</x:v>
      </x:c>
      <x:c r="O394" s="717" t="str">
        <x:v>No</x:v>
      </x:c>
      <x:c r="P394" s="717"/>
    </x:row>
    <x:row r="395" ht="38" customHeight="1">
      <x:c r="A395" s="717" t="str">
        <x:v>GS-04-057</x:v>
      </x:c>
      <x:c r="B395" s="717" t="str">
        <x:v>Google Scholar</x:v>
      </x:c>
      <x:c r="C395" s="717" t="str">
        <x:v>GS-04</x:v>
      </x:c>
      <x:c r="D395" s="720" t="str">
        <x:v>Neuro-Al-Driven Image Augmentation and Data Leak Prevention via Automated Classification Agents</x:v>
      </x:c>
      <x:c r="E395" s="717" t="str">
        <x:v>Exclude</x:v>
      </x:c>
      <x:c r="F395" s="720" t="str">
        <x:v>Clearly outside retinal/ophthalmic concept-based explainable AI.</x:v>
      </x:c>
      <x:c r="G395" s="717" t="str">
        <x:v>Title only</x:v>
      </x:c>
      <x:c r="H395" s="717" t="str">
        <x:v>Exclude</x:v>
      </x:c>
      <x:c r="I395" s="720" t="str">
        <x:v>Clearly outside retinal/ophthalmic concept-based explainable AI.</x:v>
      </x:c>
      <x:c r="J395" s="717" t="str">
        <x:f>IF(E395=H395,E395,"Unclear")</x:f>
        <x:v>Exclude</x:v>
      </x:c>
      <x:c r="K395" s="720" t="str">
        <x:f>IF(E395=H395,"Agreement between both AI passes.","AI-pass disagreement; retain for human discussion.")</x:f>
        <x:v>Agreement between both AI passes.</x:v>
      </x:c>
      <x:c r="L395" s="720" t="str">
        <x:v>SM Keethana, X Vijayakumar</x:v>
      </x:c>
      <x:c r="M395" s="728" t="n">
        <x:v>2026</x:v>
      </x:c>
      <x:c r="N395" s="717" t="str">
        <x:v>Google Scholar result</x:v>
      </x:c>
      <x:c r="O395" s="717" t="str">
        <x:v>No</x:v>
      </x:c>
      <x:c r="P395" s="717"/>
    </x:row>
    <x:row r="396" ht="38" customHeight="1">
      <x:c r="A396" s="717" t="str">
        <x:v>GS-04-058</x:v>
      </x:c>
      <x:c r="B396" s="717" t="str">
        <x:v>Google Scholar</x:v>
      </x:c>
      <x:c r="C396" s="717" t="str">
        <x:v>GS-04</x:v>
      </x:c>
      <x:c r="D396" s="720" t="str">
        <x:v>Selective retina therapy with fundus mage—based titration in central serous chorioretincpathy Prospective outcomes and predictive factors</x:v>
      </x:c>
      <x:c r="E396" s="717" t="str">
        <x:v>Exclude</x:v>
      </x:c>
      <x:c r="F396" s="720" t="str">
        <x:v>Retinal/ophthalmic topic, but no concept-based or structured explainability method is evident.</x:v>
      </x:c>
      <x:c r="G396" s="717" t="str">
        <x:v>Title only</x:v>
      </x:c>
      <x:c r="H396" s="717" t="str">
        <x:v>Exclude</x:v>
      </x:c>
      <x:c r="I396" s="720" t="str">
        <x:v>Retinal/ophthalmic topic, but no concept-based or structured explainability method is evident.</x:v>
      </x:c>
      <x:c r="J396" s="717" t="str">
        <x:f>IF(E396=H396,E396,"Unclear")</x:f>
        <x:v>Exclude</x:v>
      </x:c>
      <x:c r="K396" s="720" t="str">
        <x:f>IF(E396=H396,"Agreement between both AI passes.","AI-pass disagreement; retain for human discussion.")</x:f>
        <x:v>Agreement between both AI passes.</x:v>
      </x:c>
      <x:c r="L396" s="720" t="str">
        <x:v>SH Jeon D Kim ¥J Roh</x:v>
      </x:c>
      <x:c r="M396" s="728" t="n">
        <x:v>2026</x:v>
      </x:c>
      <x:c r="N396" s="717" t="str">
        <x:v>Google Scholar result</x:v>
      </x:c>
      <x:c r="O396" s="717" t="str">
        <x:v>No</x:v>
      </x:c>
      <x:c r="P396" s="717"/>
    </x:row>
    <x:row r="397" ht="38" customHeight="1">
      <x:c r="A397" s="717" t="str">
        <x:v>GS-04-059</x:v>
      </x:c>
      <x:c r="B397" s="717" t="str">
        <x:v>Google Scholar</x:v>
      </x:c>
      <x:c r="C397" s="717" t="str">
        <x:v>GS-04</x:v>
      </x:c>
      <x:c r="D397" s="720" t="str">
        <x:v>(HTM) Identifying retinal features using a self-configuring CNN for clinical Intervention</x:v>
      </x:c>
      <x:c r="E397" s="717" t="str">
        <x:v>Exclude</x:v>
      </x:c>
      <x:c r="F397" s="720" t="str">
        <x:v>Retinal/ophthalmic topic, but no concept-based or structured explainability method is evident.</x:v>
      </x:c>
      <x:c r="G397" s="717" t="str">
        <x:v>Title only</x:v>
      </x:c>
      <x:c r="H397" s="717" t="str">
        <x:v>Exclude</x:v>
      </x:c>
      <x:c r="I397" s="720" t="str">
        <x:v>Retinal/ophthalmic topic, but no concept-based or structured explainability method is evident.</x:v>
      </x:c>
      <x:c r="J397" s="717" t="str">
        <x:f>IF(E397=H397,E397,"Unclear")</x:f>
        <x:v>Exclude</x:v>
      </x:c>
      <x:c r="K397" s="720" t="str">
        <x:f>IF(E397=H397,"Agreement between both AI passes.","AI-pass disagreement; retain for human discussion.")</x:f>
        <x:v>Agreement between both AI passes.</x:v>
      </x:c>
      <x:c r="L397" s="720" t="str">
        <x:v>DS Karmany Vi Pson ABawiskar + &amp;Vis.al Scence 2025</x:v>
      </x:c>
      <x:c r="M397" s="728" t="n">
        <x:v>2025</x:v>
      </x:c>
      <x:c r="N397" s="717" t="str">
        <x:v>Google Scholar result</x:v>
      </x:c>
      <x:c r="O397" s="717" t="str">
        <x:v>No</x:v>
      </x:c>
      <x:c r="P397" s="717"/>
    </x:row>
    <x:row r="398" ht="38" customHeight="1">
      <x:c r="A398" s="717" t="str">
        <x:v>GS-04-061</x:v>
      </x:c>
      <x:c r="B398" s="717" t="str">
        <x:v>Google Scholar</x:v>
      </x:c>
      <x:c r="C398" s="717" t="str">
        <x:v>GS-04</x:v>
      </x:c>
      <x:c r="D398" s="720" t="str">
        <x:v>Retinal disease projection conditioning by biological traits</x:v>
      </x:c>
      <x:c r="E398" s="717" t="str">
        <x:v>Exclude</x:v>
      </x:c>
      <x:c r="F398" s="720" t="str">
        <x:v>Retinal/ophthalmic topic, but no concept-based or structured explainability method is evident.</x:v>
      </x:c>
      <x:c r="G398" s="717" t="str">
        <x:v>Title only</x:v>
      </x:c>
      <x:c r="H398" s="717" t="str">
        <x:v>Exclude</x:v>
      </x:c>
      <x:c r="I398" s="720" t="str">
        <x:v>Retinal/ophthalmic topic, but no concept-based or structured explainability method is evident.</x:v>
      </x:c>
      <x:c r="J398" s="717" t="str">
        <x:f>IF(E398=H398,E398,"Unclear")</x:f>
        <x:v>Exclude</x:v>
      </x:c>
      <x:c r="K398" s="720" t="str">
        <x:f>IF(E398=H398,"Agreement between both AI passes.","AI-pass disagreement; retain for human discussion.")</x:f>
        <x:v>Agreement between both AI passes.</x:v>
      </x:c>
      <x:c r="L398" s="720" t="str">
        <x:v>M 4assan H Zhang 44 Sateh SMa, WY _iang) =</x:v>
      </x:c>
      <x:c r="M398" s="728" t="n">
        <x:v>2024</x:v>
      </x:c>
      <x:c r="N398" s="717" t="str">
        <x:v>Google Scholar result</x:v>
      </x:c>
      <x:c r="O398" s="717" t="str">
        <x:v>No</x:v>
      </x:c>
      <x:c r="P398" s="717"/>
    </x:row>
    <x:row r="399" ht="38" customHeight="1">
      <x:c r="A399" s="717" t="str">
        <x:v>GS-04-062</x:v>
      </x:c>
      <x:c r="B399" s="717" t="str">
        <x:v>Google Scholar</x:v>
      </x:c>
      <x:c r="C399" s="717" t="str">
        <x:v>GS-04</x:v>
      </x:c>
      <x:c r="D399" s="720" t="str">
        <x:v>ZERO Mind Self-Evolving Lifelang Multimodal Memory Architectures for Autonomous Space Digital Twins</x:v>
      </x:c>
      <x:c r="E399" s="717" t="str">
        <x:v>Exclude</x:v>
      </x:c>
      <x:c r="F399" s="720" t="str">
        <x:v>Clearly outside retinal/ophthalmic concept-based explainable AI.</x:v>
      </x:c>
      <x:c r="G399" s="717" t="str">
        <x:v>Title only</x:v>
      </x:c>
      <x:c r="H399" s="717" t="str">
        <x:v>Exclude</x:v>
      </x:c>
      <x:c r="I399" s="720" t="str">
        <x:v>Clearly outside retinal/ophthalmic concept-based explainable AI.</x:v>
      </x:c>
      <x:c r="J399" s="717" t="str">
        <x:f>IF(E399=H399,E399,"Unclear")</x:f>
        <x:v>Exclude</x:v>
      </x:c>
      <x:c r="K399" s="720" t="str">
        <x:f>IF(E399=H399,"Agreement between both AI passes.","AI-pass disagreement; retain for human discussion.")</x:f>
        <x:v>Agreement between both AI passes.</x:v>
      </x:c>
      <x:c r="L399" s="720" t="str">
        <x:v>K Dhinaxaran 7G Balavigneshwar + 2026 EEE 2nd . 2026- iesexplore isee org</x:v>
      </x:c>
      <x:c r="M399" s="728" t="n">
        <x:v>2026</x:v>
      </x:c>
      <x:c r="N399" s="717" t="str">
        <x:v>Google Scholar result</x:v>
      </x:c>
      <x:c r="O399" s="717" t="str">
        <x:v>No</x:v>
      </x:c>
      <x:c r="P399" s="717"/>
    </x:row>
    <x:row r="400" ht="38" customHeight="1">
      <x:c r="A400" s="717" t="str">
        <x:v>GS-04-063</x:v>
      </x:c>
      <x:c r="B400" s="717" t="str">
        <x:v>Google Scholar</x:v>
      </x:c>
      <x:c r="C400" s="717" t="str">
        <x:v>GS-04</x:v>
      </x:c>
      <x:c r="D400" s="720" t="str">
        <x:v>Automated identification of referable retinal pathology in teleophthalmology setting</x:v>
      </x:c>
      <x:c r="E400" s="717" t="str">
        <x:v>Exclude</x:v>
      </x:c>
      <x:c r="F400" s="720" t="str">
        <x:v>Retinal/ophthalmic topic, but no concept-based or structured explainability method is evident.</x:v>
      </x:c>
      <x:c r="G400" s="717" t="str">
        <x:v>Title only</x:v>
      </x:c>
      <x:c r="H400" s="717" t="str">
        <x:v>Exclude</x:v>
      </x:c>
      <x:c r="I400" s="720" t="str">
        <x:v>Retinal/ophthalmic topic, but no concept-based or structured explainability method is evident.</x:v>
      </x:c>
      <x:c r="J400" s="717" t="str">
        <x:f>IF(E400=H400,E400,"Unclear")</x:f>
        <x:v>Exclude</x:v>
      </x:c>
      <x:c r="K400" s="720" t="str">
        <x:f>IF(E400=H400,"Agreement between both AI passes.","AI-pass disagreement; retain for human discussion.")</x:f>
        <x:v>Agreement between both AI passes.</x:v>
      </x:c>
      <x:c r="L400" s="720" t="str">
        <x:v>QO Gao JAmasan, S Cousins. MPajic</x:v>
      </x:c>
      <x:c r="M400" s="728"/>
      <x:c r="N400" s="717" t="str">
        <x:v>Google Scholar result</x:v>
      </x:c>
      <x:c r="O400" s="717" t="str">
        <x:v>No</x:v>
      </x:c>
      <x:c r="P400" s="717"/>
    </x:row>
    <x:row r="401" ht="38" customHeight="1">
      <x:c r="A401" s="717" t="str">
        <x:v>GS-04-064</x:v>
      </x:c>
      <x:c r="B401" s="717" t="str">
        <x:v>Google Scholar</x:v>
      </x:c>
      <x:c r="C401" s="717" t="str">
        <x:v>GS-04</x:v>
      </x:c>
      <x:c r="D401" s="720" t="str">
        <x:v>Weakly Supervised Segmentation as Semantic-Based Regularization</x:v>
      </x:c>
      <x:c r="E401" s="717" t="str">
        <x:v>Exclude</x:v>
      </x:c>
      <x:c r="F401" s="720" t="str">
        <x:v>Clearly outside retinal/ophthalmic concept-based explainable AI.</x:v>
      </x:c>
      <x:c r="G401" s="717" t="str">
        <x:v>Title only</x:v>
      </x:c>
      <x:c r="H401" s="717" t="str">
        <x:v>Exclude</x:v>
      </x:c>
      <x:c r="I401" s="720" t="str">
        <x:v>Clearly outside retinal/ophthalmic concept-based explainable AI.</x:v>
      </x:c>
      <x:c r="J401" s="717" t="str">
        <x:f>IF(E401=H401,E401,"Unclear")</x:f>
        <x:v>Exclude</x:v>
      </x:c>
      <x:c r="K401" s="720" t="str">
        <x:f>IF(E401=H401,"Agreement between both AI passes.","AI-pass disagreement; retain for human discussion.")</x:f>
        <x:v>Agreement between both AI passes.</x:v>
      </x:c>
      <x:c r="L401" s="720" t="str">
        <x:v>S Colamonace, AB Florea J Maere</x:v>
      </x:c>
      <x:c r="M401" s="728" t="n">
        <x:v>2026</x:v>
      </x:c>
      <x:c r="N401" s="717" t="str">
        <x:v>Google Scholar result</x:v>
      </x:c>
      <x:c r="O401" s="717" t="str">
        <x:v>No</x:v>
      </x:c>
      <x:c r="P401" s="717"/>
    </x:row>
    <x:row r="402" ht="38" customHeight="1">
      <x:c r="A402" s="717" t="str">
        <x:v>GS-04-065</x:v>
      </x:c>
      <x:c r="B402" s="717" t="str">
        <x:v>Google Scholar</x:v>
      </x:c>
      <x:c r="C402" s="717" t="str">
        <x:v>GS-04</x:v>
      </x:c>
      <x:c r="D402" s="720" t="str">
        <x:v>Explainable Retinal Imaging for Prediction of Mult-Organ Dysfunction in Type 2 Diabetes</x:v>
      </x:c>
      <x:c r="E402" s="717" t="str">
        <x:v>Unclear</x:v>
      </x:c>
      <x:c r="F402" s="720" t="str">
        <x:v>Retinal/ophthalmic AI is evident, but the concept-based mechanism is not confirmed from the available title only.</x:v>
      </x:c>
      <x:c r="G402" s="717" t="str">
        <x:v>Title only</x:v>
      </x:c>
      <x:c r="H402" s="717" t="str">
        <x:v>Unclear</x:v>
      </x:c>
      <x:c r="I402" s="720" t="str">
        <x:v>Retinal/ophthalmic AI is evident, but the concept-based mechanism is not confirmed from the available title only.</x:v>
      </x:c>
      <x:c r="J402" s="717" t="str">
        <x:f>IF(E402=H402,E402,"Unclear")</x:f>
        <x:v>Unclear</x:v>
      </x:c>
      <x:c r="K402" s="720" t="str">
        <x:f>IF(E402=H402,"Agreement between both AI passes.","AI-pass disagreement; retain for human discussion.")</x:f>
        <x:v>Agreement between both AI passes.</x:v>
      </x:c>
      <x:c r="L402" s="720" t="str">
        <x:v>MH Wang L H.ang ¥¥ Kong B Wingwon</x:v>
      </x:c>
      <x:c r="M402" s="728" t="n">
        <x:v>2026</x:v>
      </x:c>
      <x:c r="N402" s="717" t="str">
        <x:v>Google Scholar result</x:v>
      </x:c>
      <x:c r="O402" s="717" t="str">
        <x:v>No</x:v>
      </x:c>
      <x:c r="P402" s="717"/>
    </x:row>
    <x:row r="403" ht="38" customHeight="1">
      <x:c r="A403" s="717" t="str">
        <x:v>GS-04-066</x:v>
      </x:c>
      <x:c r="B403" s="717" t="str">
        <x:v>Google Scholar</x:v>
      </x:c>
      <x:c r="C403" s="717" t="str">
        <x:v>GS-04</x:v>
      </x:c>
      <x:c r="D403" s="720" t="str">
        <x:v>Early Detection of Chronic Traumatic Encephalopathy (CTE) Risk Using Multimodal Digital Assessments and Al-Based Analysis</x:v>
      </x:c>
      <x:c r="E403" s="717" t="str">
        <x:v>Exclude</x:v>
      </x:c>
      <x:c r="F403" s="720" t="str">
        <x:v>Clearly outside retinal/ophthalmic concept-based explainable AI.</x:v>
      </x:c>
      <x:c r="G403" s="717" t="str">
        <x:v>Title only</x:v>
      </x:c>
      <x:c r="H403" s="717" t="str">
        <x:v>Exclude</x:v>
      </x:c>
      <x:c r="I403" s="720" t="str">
        <x:v>Clearly outside retinal/ophthalmic concept-based explainable AI.</x:v>
      </x:c>
      <x:c r="J403" s="717" t="str">
        <x:f>IF(E403=H403,E403,"Unclear")</x:f>
        <x:v>Exclude</x:v>
      </x:c>
      <x:c r="K403" s="720" t="str">
        <x:f>IF(E403=H403,"Agreement between both AI passes.","AI-pass disagreement; retain for human discussion.")</x:f>
        <x:v>Agreement between both AI passes.</x:v>
      </x:c>
      <x:c r="L403" s="720" t="str">
        <x:v>AVinayak M Ryan + 2926 In’ernational Canference on =. 2026</x:v>
      </x:c>
      <x:c r="M403" s="728" t="n">
        <x:v>2026</x:v>
      </x:c>
      <x:c r="N403" s="717" t="str">
        <x:v>Google Scholar result</x:v>
      </x:c>
      <x:c r="O403" s="717" t="str">
        <x:v>No</x:v>
      </x:c>
      <x:c r="P403" s="717"/>
    </x:row>
    <x:row r="404" ht="38" customHeight="1">
      <x:c r="A404" s="717" t="str">
        <x:v>GS-04-067</x:v>
      </x:c>
      <x:c r="B404" s="717" t="str">
        <x:v>Google Scholar</x:v>
      </x:c>
      <x:c r="C404" s="717" t="str">
        <x:v>GS-04</x:v>
      </x:c>
      <x:c r="D404" s="720" t="str">
        <x:v>Tri-scale retinal feature fuston with multi-objective selection for efficient diabetic retinopathy grading</x:v>
      </x:c>
      <x:c r="E404" s="717" t="str">
        <x:v>Exclude</x:v>
      </x:c>
      <x:c r="F404" s="720" t="str">
        <x:v>Retinal/ophthalmic topic, but no concept-based or structured explainability method is evident.</x:v>
      </x:c>
      <x:c r="G404" s="717" t="str">
        <x:v>Title only</x:v>
      </x:c>
      <x:c r="H404" s="717" t="str">
        <x:v>Exclude</x:v>
      </x:c>
      <x:c r="I404" s="720" t="str">
        <x:v>Retinal/ophthalmic topic, but no concept-based or structured explainability method is evident.</x:v>
      </x:c>
      <x:c r="J404" s="717" t="str">
        <x:f>IF(E404=H404,E404,"Unclear")</x:f>
        <x:v>Exclude</x:v>
      </x:c>
      <x:c r="K404" s="720" t="str">
        <x:f>IF(E404=H404,"Agreement between both AI passes.","AI-pass disagreement; retain for human discussion.")</x:f>
        <x:v>Agreement between both AI passes.</x:v>
      </x:c>
      <x:c r="L404" s="720" t="str">
        <x:v>AZafar WAKhan, Saba SAhmad SMasood -~he Visua 2026</x:v>
      </x:c>
      <x:c r="M404" s="728" t="n">
        <x:v>2026</x:v>
      </x:c>
      <x:c r="N404" s="717" t="str">
        <x:v>Google Scholar result</x:v>
      </x:c>
      <x:c r="O404" s="717" t="str">
        <x:v>No</x:v>
      </x:c>
      <x:c r="P404" s="717"/>
    </x:row>
    <x:row r="405" ht="38" customHeight="1">
      <x:c r="A405" s="717" t="str">
        <x:v>GS-04-068</x:v>
      </x:c>
      <x:c r="B405" s="717" t="str">
        <x:v>Google Scholar</x:v>
      </x:c>
      <x:c r="C405" s="717" t="str">
        <x:v>GS-04</x:v>
      </x:c>
      <x:c r="D405" s="720" t="str">
        <x:v>Architectural Rewew of Early Alzhemmer's Diagnostics Neuro-Adaptive K-Means. Deep Embedding Clustering, and Edge-to-Claud Pipelines</x:v>
      </x:c>
      <x:c r="E405" s="717" t="str">
        <x:v>Exclude</x:v>
      </x:c>
      <x:c r="F405" s="720" t="str">
        <x:v>Medical/clinical topic, but no eligible concept-based explainability contribution is evident.</x:v>
      </x:c>
      <x:c r="G405" s="717" t="str">
        <x:v>Title only</x:v>
      </x:c>
      <x:c r="H405" s="717" t="str">
        <x:v>Exclude</x:v>
      </x:c>
      <x:c r="I405" s="720" t="str">
        <x:v>Medical/clinical topic, but no eligible concept-based explainability contribution is evident.</x:v>
      </x:c>
      <x:c r="J405" s="717" t="str">
        <x:f>IF(E405=H405,E405,"Unclear")</x:f>
        <x:v>Exclude</x:v>
      </x:c>
      <x:c r="K405" s="720" t="str">
        <x:f>IF(E405=H405,"Agreement between both AI passes.","AI-pass disagreement; retain for human discussion.")</x:f>
        <x:v>Agreement between both AI passes.</x:v>
      </x:c>
      <x:c r="L405" s="720" t="str">
        <x:v>TMohanraj SS Hammed =</x:v>
      </x:c>
      <x:c r="M405" s="728"/>
      <x:c r="N405" s="717" t="str">
        <x:v>Google Scholar result</x:v>
      </x:c>
      <x:c r="O405" s="717" t="str">
        <x:v>No</x:v>
      </x:c>
      <x:c r="P405" s="717"/>
    </x:row>
    <x:row r="406" ht="38" customHeight="1">
      <x:c r="A406" s="717" t="str">
        <x:v>GS-04-069</x:v>
      </x:c>
      <x:c r="B406" s="717" t="str">
        <x:v>Google Scholar</x:v>
      </x:c>
      <x:c r="C406" s="717" t="str">
        <x:v>GS-04</x:v>
      </x:c>
      <x:c r="D406" s="720" t="str">
        <x:v>Enhance deep learning in few-shot datasets the role of implicit symbolic rules</x:v>
      </x:c>
      <x:c r="E406" s="717" t="str">
        <x:v>Exclude</x:v>
      </x:c>
      <x:c r="F406" s="720" t="str">
        <x:v>Clearly outside retinal/ophthalmic concept-based explainable AI.</x:v>
      </x:c>
      <x:c r="G406" s="717" t="str">
        <x:v>Title only</x:v>
      </x:c>
      <x:c r="H406" s="717" t="str">
        <x:v>Exclude</x:v>
      </x:c>
      <x:c r="I406" s="720" t="str">
        <x:v>Clearly outside retinal/ophthalmic concept-based explainable AI.</x:v>
      </x:c>
      <x:c r="J406" s="717" t="str">
        <x:f>IF(E406=H406,E406,"Unclear")</x:f>
        <x:v>Exclude</x:v>
      </x:c>
      <x:c r="K406" s="720" t="str">
        <x:f>IF(E406=H406,"Agreement between both AI passes.","AI-pass disagreement; retain for human discussion.")</x:f>
        <x:v>Agreement between both AI passes.</x:v>
      </x:c>
      <x:c r="L406" s="720" t="str">
        <x:v>Mid, ATL C Gran. B Zheng SZhu</x:v>
      </x:c>
      <x:c r="M406" s="728"/>
      <x:c r="N406" s="717" t="str">
        <x:v>Google Scholar result</x:v>
      </x:c>
      <x:c r="O406" s="717" t="str">
        <x:v>No</x:v>
      </x:c>
      <x:c r="P406" s="717"/>
    </x:row>
    <x:row r="407" ht="38" customHeight="1">
      <x:c r="A407" s="717" t="str">
        <x:v>GS-04-070</x:v>
      </x:c>
      <x:c r="B407" s="717" t="str">
        <x:v>Google Scholar</x:v>
      </x:c>
      <x:c r="C407" s="717" t="str">
        <x:v>GS-04</x:v>
      </x:c>
      <x:c r="D407" s="720" t="str">
        <x:v>Por] Develapment of next generation Al by madeling brain information</x:v>
      </x:c>
      <x:c r="E407" s="717" t="str">
        <x:v>Exclude</x:v>
      </x:c>
      <x:c r="F407" s="720" t="str">
        <x:v>Medical/clinical topic, but no eligible concept-based explainability contribution is evident.</x:v>
      </x:c>
      <x:c r="G407" s="717" t="str">
        <x:v>Title only</x:v>
      </x:c>
      <x:c r="H407" s="717" t="str">
        <x:v>Exclude</x:v>
      </x:c>
      <x:c r="I407" s="720" t="str">
        <x:v>Medical/clinical topic, but no eligible concept-based explainability contribution is evident.</x:v>
      </x:c>
      <x:c r="J407" s="717" t="str">
        <x:f>IF(E407=H407,E407,"Unclear")</x:f>
        <x:v>Exclude</x:v>
      </x:c>
      <x:c r="K407" s="720" t="str">
        <x:f>IF(E407=H407,"Agreement between both AI passes.","AI-pass disagreement; retain for human discussion.")</x:f>
        <x:v>Agreement between both AI passes.</x:v>
      </x:c>
      <x:c r="L407" s="720" t="str">
        <x:v>K Shki. XK Aibarg H Nakayama</x:v>
      </x:c>
      <x:c r="M407" s="728"/>
      <x:c r="N407" s="717" t="str">
        <x:v>Google Scholar result</x:v>
      </x:c>
      <x:c r="O407" s="717" t="str">
        <x:v>No</x:v>
      </x:c>
      <x:c r="P407" s="717"/>
    </x:row>
    <x:row r="408" ht="38" customHeight="1">
      <x:c r="A408" s="717" t="str">
        <x:v>GS-04-071</x:v>
      </x:c>
      <x:c r="B408" s="717" t="str">
        <x:v>Google Scholar</x:v>
      </x:c>
      <x:c r="C408" s="717" t="str">
        <x:v>GS-04</x:v>
      </x:c>
      <x:c r="D408" s="720" t="str">
        <x:v>Chromatic pupillometry as a putative screening tool for heritable retinal disease In rhesus macaques</x:v>
      </x:c>
      <x:c r="E408" s="717" t="str">
        <x:v>Exclude</x:v>
      </x:c>
      <x:c r="F408" s="720" t="str">
        <x:v>Retinal/ophthalmic topic, but no concept-based or structured explainability method is evident.</x:v>
      </x:c>
      <x:c r="G408" s="717" t="str">
        <x:v>Title only</x:v>
      </x:c>
      <x:c r="H408" s="717" t="str">
        <x:v>Exclude</x:v>
      </x:c>
      <x:c r="I408" s="720" t="str">
        <x:v>Retinal/ophthalmic topic, but no concept-based or structured explainability method is evident.</x:v>
      </x:c>
      <x:c r="J408" s="717" t="str">
        <x:f>IF(E408=H408,E408,"Unclear")</x:f>
        <x:v>Exclude</x:v>
      </x:c>
      <x:c r="K408" s="720" t="str">
        <x:f>IF(E408=H408,"Agreement between both AI passes.","AI-pass disagreement; retain for human discussion.")</x:f>
        <x:v>Agreement between both AI passes.</x:v>
      </x:c>
      <x:c r="L408" s="720" t="str">
        <x:v>EM Salpeler. A Moshiri MFemedirg.</x:v>
      </x:c>
      <x:c r="M408" s="728"/>
      <x:c r="N408" s="717" t="str">
        <x:v>Google Scholar result</x:v>
      </x:c>
      <x:c r="O408" s="717" t="str">
        <x:v>No</x:v>
      </x:c>
      <x:c r="P408" s="717"/>
    </x:row>
    <x:row r="409" ht="38" customHeight="1">
      <x:c r="A409" s="717" t="str">
        <x:v>GS-04-072</x:v>
      </x:c>
      <x:c r="B409" s="717" t="str">
        <x:v>Google Scholar</x:v>
      </x:c>
      <x:c r="C409" s="717" t="str">
        <x:v>GS-04</x:v>
      </x:c>
      <x:c r="D409" s="720" t="str">
        <x:v>(nterpretable Deep Learning for OCT-Based Diagnosis of Vitreoretinal Lymphoma Versus Uveitis</x:v>
      </x:c>
      <x:c r="E409" s="717" t="str">
        <x:v>Exclude</x:v>
      </x:c>
      <x:c r="F409" s="720" t="str">
        <x:v>Retinal/ophthalmic topic, but no concept-based or structured explainability method is evident.</x:v>
      </x:c>
      <x:c r="G409" s="717" t="str">
        <x:v>Title only</x:v>
      </x:c>
      <x:c r="H409" s="717" t="str">
        <x:v>Exclude</x:v>
      </x:c>
      <x:c r="I409" s="720" t="str">
        <x:v>Retinal/ophthalmic topic, but no concept-based or structured explainability method is evident.</x:v>
      </x:c>
      <x:c r="J409" s="717" t="str">
        <x:f>IF(E409=H409,E409,"Unclear")</x:f>
        <x:v>Exclude</x:v>
      </x:c>
      <x:c r="K409" s="720" t="str">
        <x:f>IF(E409=H409,"Agreement between both AI passes.","AI-pass disagreement; retain for human discussion.")</x:f>
        <x:v>Agreement between both AI passes.</x:v>
      </x:c>
      <x:c r="L409" s="720" t="str">
        <x:v>Ahan OE Una ? Zang</x:v>
      </x:c>
      <x:c r="M409" s="728" t="n">
        <x:v>2026</x:v>
      </x:c>
      <x:c r="N409" s="717" t="str">
        <x:v>Google Scholar result</x:v>
      </x:c>
      <x:c r="O409" s="717" t="str">
        <x:v>No</x:v>
      </x:c>
      <x:c r="P409" s="717"/>
    </x:row>
    <x:row r="410" ht="38" customHeight="1">
      <x:c r="A410" s="717" t="str">
        <x:v>GS-04-073</x:v>
      </x:c>
      <x:c r="B410" s="717" t="str">
        <x:v>Google Scholar</x:v>
      </x:c>
      <x:c r="C410" s="717" t="str">
        <x:v>GS-04</x:v>
      </x:c>
      <x:c r="D410" s="720" t="str">
        <x:v>800k] On Symbol Grounding in Machine Learning</x:v>
      </x:c>
      <x:c r="E410" s="717" t="str">
        <x:v>Exclude</x:v>
      </x:c>
      <x:c r="F410" s="720" t="str">
        <x:v>Clearly outside retinal/ophthalmic concept-based explainable AI.</x:v>
      </x:c>
      <x:c r="G410" s="717" t="str">
        <x:v>Title only</x:v>
      </x:c>
      <x:c r="H410" s="717" t="str">
        <x:v>Exclude</x:v>
      </x:c>
      <x:c r="I410" s="720" t="str">
        <x:v>Clearly outside retinal/ophthalmic concept-based explainable AI.</x:v>
      </x:c>
      <x:c r="J410" s="717" t="str">
        <x:f>IF(E410=H410,E410,"Unclear")</x:f>
        <x:v>Exclude</x:v>
      </x:c>
      <x:c r="K410" s="720" t="str">
        <x:f>IF(E410=H410,"Agreement between both AI passes.","AI-pass disagreement; retain for human discussion.")</x:f>
        <x:v>Agreement between both AI passes.</x:v>
      </x:c>
      <x:c r="L410" s="720" t="str">
        <x:v>S “apan</x:v>
      </x:c>
      <x:c r="M410" s="728"/>
      <x:c r="N410" s="717" t="str">
        <x:v>Google Scholar result</x:v>
      </x:c>
      <x:c r="O410" s="717" t="str">
        <x:v>No</x:v>
      </x:c>
      <x:c r="P410" s="717"/>
    </x:row>
    <x:row r="411" ht="38" customHeight="1">
      <x:c r="A411" s="717" t="str">
        <x:v>GS-04-074</x:v>
      </x:c>
      <x:c r="B411" s="717" t="str">
        <x:v>Google Scholar</x:v>
      </x:c>
      <x:c r="C411" s="717" t="str">
        <x:v>GS-04</x:v>
      </x:c>
      <x:c r="D411" s="720" t="str">
        <x:v>Advancing medical image classification through graph neural networks</x:v>
      </x:c>
      <x:c r="E411" s="717" t="str">
        <x:v>Exclude</x:v>
      </x:c>
      <x:c r="F411" s="720" t="str">
        <x:v>Medical/clinical topic, but no eligible concept-based explainability contribution is evident.</x:v>
      </x:c>
      <x:c r="G411" s="717" t="str">
        <x:v>Title only</x:v>
      </x:c>
      <x:c r="H411" s="717" t="str">
        <x:v>Exclude</x:v>
      </x:c>
      <x:c r="I411" s="720" t="str">
        <x:v>Medical/clinical topic, but no eligible concept-based explainability contribution is evident.</x:v>
      </x:c>
      <x:c r="J411" s="717" t="str">
        <x:f>IF(E411=H411,E411,"Unclear")</x:f>
        <x:v>Exclude</x:v>
      </x:c>
      <x:c r="K411" s="720" t="str">
        <x:f>IF(E411=H411,"Agreement between both AI passes.","AI-pass disagreement; retain for human discussion.")</x:f>
        <x:v>Agreement between both AI passes.</x:v>
      </x:c>
      <x:c r="L411" s="720" t="str">
        <x:v>SK Swackar, MF Khan ¥ Dewangan -AIP Confare-ca = 2026</x:v>
      </x:c>
      <x:c r="M411" s="728" t="n">
        <x:v>2026</x:v>
      </x:c>
      <x:c r="N411" s="717" t="str">
        <x:v>Google Scholar result</x:v>
      </x:c>
      <x:c r="O411" s="717" t="str">
        <x:v>No</x:v>
      </x:c>
      <x:c r="P411" s="717"/>
    </x:row>
    <x:row r="412" ht="38" customHeight="1">
      <x:c r="A412" s="717" t="str">
        <x:v>GS-04-075</x:v>
      </x:c>
      <x:c r="B412" s="717" t="str">
        <x:v>Google Scholar</x:v>
      </x:c>
      <x:c r="C412" s="717" t="str">
        <x:v>GS-04</x:v>
      </x:c>
      <x:c r="D412" s="720" t="str">
        <x:v>RobOCTNet robotics and deep learning for referable postertor segment pathology detection in an emergency department population</x:v>
      </x:c>
      <x:c r="E412" s="717" t="str">
        <x:v>Exclude</x:v>
      </x:c>
      <x:c r="F412" s="720" t="str">
        <x:v>Medical/clinical topic, but no eligible concept-based explainability contribution is evident.</x:v>
      </x:c>
      <x:c r="G412" s="717" t="str">
        <x:v>Title only</x:v>
      </x:c>
      <x:c r="H412" s="717" t="str">
        <x:v>Exclude</x:v>
      </x:c>
      <x:c r="I412" s="720" t="str">
        <x:v>Medical/clinical topic, but no eligible concept-based explainability contribution is evident.</x:v>
      </x:c>
      <x:c r="J412" s="717" t="str">
        <x:f>IF(E412=H412,E412,"Unclear")</x:f>
        <x:v>Exclude</x:v>
      </x:c>
      <x:c r="K412" s="720" t="str">
        <x:f>IF(E412=H412,"Agreement between both AI passes.","AI-pass disagreement; retain for human discussion.")</x:f>
        <x:v>Agreement between both AI passes.</x:v>
      </x:c>
      <x:c r="L412" s="720" t="str">
        <x:v>ASong .BLusk Kh Rem STHsu + Vision Science&amp; | 2024. tvel arvajoumals oy</x:v>
      </x:c>
      <x:c r="M412" s="728" t="n">
        <x:v>2024</x:v>
      </x:c>
      <x:c r="N412" s="717" t="str">
        <x:v>Google Scholar result</x:v>
      </x:c>
      <x:c r="O412" s="717" t="str">
        <x:v>No</x:v>
      </x:c>
      <x:c r="P412" s="717"/>
    </x:row>
    <x:row r="413" ht="38" customHeight="1">
      <x:c r="A413" s="717" t="str">
        <x:v>GS-04-076</x:v>
      </x:c>
      <x:c r="B413" s="717" t="str">
        <x:v>Google Scholar</x:v>
      </x:c>
      <x:c r="C413" s="717" t="str">
        <x:v>GS-04</x:v>
      </x:c>
      <x:c r="D413" s="720" t="str">
        <x:v>Technological Advances in Generative and Explainable Al for Next-Generation Cyber Defense</x:v>
      </x:c>
      <x:c r="E413" s="717" t="str">
        <x:v>Exclude</x:v>
      </x:c>
      <x:c r="F413" s="720" t="str">
        <x:v>Generic explainability topic outside the retinal/medical concept-XAI scope.</x:v>
      </x:c>
      <x:c r="G413" s="717" t="str">
        <x:v>Title only</x:v>
      </x:c>
      <x:c r="H413" s="717" t="str">
        <x:v>Exclude</x:v>
      </x:c>
      <x:c r="I413" s="720" t="str">
        <x:v>Generic explainability topic outside the retinal/medical concept-XAI scope.</x:v>
      </x:c>
      <x:c r="J413" s="717" t="str">
        <x:f>IF(E413=H413,E413,"Unclear")</x:f>
        <x:v>Exclude</x:v>
      </x:c>
      <x:c r="K413" s="720" t="str">
        <x:f>IF(E413=H413,"Agreement between both AI passes.","AI-pass disagreement; retain for human discussion.")</x:f>
        <x:v>Agreement between both AI passes.</x:v>
      </x:c>
      <x:c r="L413" s="720" t="str">
        <x:v>S$ 3a! J Shamed MS Bin-Fagal</x:v>
      </x:c>
      <x:c r="M413" s="728" t="n">
        <x:v>2026</x:v>
      </x:c>
      <x:c r="N413" s="717" t="str">
        <x:v>Google Scholar result</x:v>
      </x:c>
      <x:c r="O413" s="717" t="str">
        <x:v>No</x:v>
      </x:c>
      <x:c r="P413" s="717"/>
    </x:row>
    <x:row r="414" ht="38" customHeight="1">
      <x:c r="A414" s="717" t="str">
        <x:v>GS-04-077</x:v>
      </x:c>
      <x:c r="B414" s="717" t="str">
        <x:v>Google Scholar</x:v>
      </x:c>
      <x:c r="C414" s="717" t="str">
        <x:v>GS-04</x:v>
      </x:c>
      <x:c r="D414" s="720" t="str">
        <x:v>Towards explainable deep learning in computational neuroscience’ visual and clinical applications</x:v>
      </x:c>
      <x:c r="E414" s="717" t="str">
        <x:v>Unclear</x:v>
      </x:c>
      <x:c r="F414" s="720" t="str">
        <x:v>Possible contextual explainability evidence, but concept-level relevance is not confirmed from the available title only.</x:v>
      </x:c>
      <x:c r="G414" s="717" t="str">
        <x:v>Title only</x:v>
      </x:c>
      <x:c r="H414" s="717" t="str">
        <x:v>Unclear</x:v>
      </x:c>
      <x:c r="I414" s="720" t="str">
        <x:v>Possible contextual explainability evidence, but concept-level relevance is not confirmed from the available title only.</x:v>
      </x:c>
      <x:c r="J414" s="717" t="str">
        <x:f>IF(E414=H414,E414,"Unclear")</x:f>
        <x:v>Unclear</x:v>
      </x:c>
      <x:c r="K414" s="720" t="str">
        <x:f>IF(E414=H414,"Agreement between both AI passes.","AI-pass disagreement; retain for human discussion.")</x:f>
        <x:v>Agreement between both AI passes.</x:v>
      </x:c>
      <x:c r="L414" s="720" t="str">
        <x:v>Atdahmooc E’Aeomaad J Kir</x:v>
      </x:c>
      <x:c r="M414" s="728" t="n">
        <x:v>2025</x:v>
      </x:c>
      <x:c r="N414" s="717" t="str">
        <x:v>Google Scholar result</x:v>
      </x:c>
      <x:c r="O414" s="717" t="str">
        <x:v>No</x:v>
      </x:c>
      <x:c r="P414" s="717"/>
    </x:row>
    <x:row r="415" ht="38" customHeight="1">
      <x:c r="A415" s="717" t="str">
        <x:v>GS-04-078</x:v>
      </x:c>
      <x:c r="B415" s="717" t="str">
        <x:v>Google Scholar</x:v>
      </x:c>
      <x:c r="C415" s="717" t="str">
        <x:v>GS-04</x:v>
      </x:c>
      <x:c r="D415" s="720" t="str">
        <x:v>ROPNet: A novel deep learning framework for retinopathy of prematurity detection</x:v>
      </x:c>
      <x:c r="E415" s="717" t="str">
        <x:v>Exclude</x:v>
      </x:c>
      <x:c r="F415" s="720" t="str">
        <x:v>Retinal/ophthalmic topic, but no concept-based or structured explainability method is evident.</x:v>
      </x:c>
      <x:c r="G415" s="717" t="str">
        <x:v>Title only</x:v>
      </x:c>
      <x:c r="H415" s="717" t="str">
        <x:v>Exclude</x:v>
      </x:c>
      <x:c r="I415" s="720" t="str">
        <x:v>Retinal/ophthalmic topic, but no concept-based or structured explainability method is evident.</x:v>
      </x:c>
      <x:c r="J415" s="717" t="str">
        <x:f>IF(E415=H415,E415,"Unclear")</x:f>
        <x:v>Exclude</x:v>
      </x:c>
      <x:c r="K415" s="720" t="str">
        <x:f>IF(E415=H415,"Agreement between both AI passes.","AI-pass disagreement; retain for human discussion.")</x:f>
        <x:v>Agreement between both AI passes.</x:v>
      </x:c>
      <x:c r="L415" s="720" t="str">
        <x:v>IP Okwwobi J Liu. J Wan J Jiacg</x:v>
      </x:c>
      <x:c r="M415" s="728"/>
      <x:c r="N415" s="717" t="str">
        <x:v>Google Scholar result</x:v>
      </x:c>
      <x:c r="O415" s="717" t="str">
        <x:v>No</x:v>
      </x:c>
      <x:c r="P415" s="717"/>
    </x:row>
    <x:row r="416" ht="38" customHeight="1">
      <x:c r="A416" s="717" t="str">
        <x:v>GS-04-079</x:v>
      </x:c>
      <x:c r="B416" s="717" t="str">
        <x:v>Google Scholar</x:v>
      </x:c>
      <x:c r="C416" s="717" t="str">
        <x:v>GS-04</x:v>
      </x:c>
      <x:c r="D416" s="720" t="str">
        <x:v>The Turbulent Past and Uncertain Future of Al Is there a way out of Al's boom- and-bust cycle?</x:v>
      </x:c>
      <x:c r="E416" s="717" t="str">
        <x:v>Exclude</x:v>
      </x:c>
      <x:c r="F416" s="720" t="str">
        <x:v>Clearly outside retinal/ophthalmic concept-based explainable AI.</x:v>
      </x:c>
      <x:c r="G416" s="717" t="str">
        <x:v>Title only</x:v>
      </x:c>
      <x:c r="H416" s="717" t="str">
        <x:v>Exclude</x:v>
      </x:c>
      <x:c r="I416" s="720" t="str">
        <x:v>Clearly outside retinal/ophthalmic concept-based explainable AI.</x:v>
      </x:c>
      <x:c r="J416" s="717" t="str">
        <x:f>IF(E416=H416,E416,"Unclear")</x:f>
        <x:v>Exclude</x:v>
      </x:c>
      <x:c r="K416" s="720" t="str">
        <x:f>IF(E416=H416,"Agreement between both AI passes.","AI-pass disagreement; retain for human discussion.")</x:f>
        <x:v>Agreement between both AI passes.</x:v>
      </x:c>
      <x:c r="L416" s="720" t="str">
        <x:v>E Stricklang</x:v>
      </x:c>
      <x:c r="M416" s="728" t="n">
        <x:v>2021</x:v>
      </x:c>
      <x:c r="N416" s="717" t="str">
        <x:v>Google Scholar result</x:v>
      </x:c>
      <x:c r="O416" s="717" t="str">
        <x:v>No</x:v>
      </x:c>
      <x:c r="P416" s="717"/>
    </x:row>
    <x:row r="417" ht="38" customHeight="1">
      <x:c r="A417" s="717" t="str">
        <x:v>GS-04-080</x:v>
      </x:c>
      <x:c r="B417" s="717" t="str">
        <x:v>Google Scholar</x:v>
      </x:c>
      <x:c r="C417" s="717" t="str">
        <x:v>GS-04</x:v>
      </x:c>
      <x:c r="D417" s="720" t="str">
        <x:v>Acute central serous choricretinopathy subtypes as assessed by multmodal imaging</x:v>
      </x:c>
      <x:c r="E417" s="717" t="str">
        <x:v>Exclude</x:v>
      </x:c>
      <x:c r="F417" s="720" t="str">
        <x:v>Clearly outside retinal/ophthalmic concept-based explainable AI.</x:v>
      </x:c>
      <x:c r="G417" s="717" t="str">
        <x:v>Title only</x:v>
      </x:c>
      <x:c r="H417" s="717" t="str">
        <x:v>Exclude</x:v>
      </x:c>
      <x:c r="I417" s="720" t="str">
        <x:v>Clearly outside retinal/ophthalmic concept-based explainable AI.</x:v>
      </x:c>
      <x:c r="J417" s="717" t="str">
        <x:f>IF(E417=H417,E417,"Unclear")</x:f>
        <x:v>Exclude</x:v>
      </x:c>
      <x:c r="K417" s="720" t="str">
        <x:f>IF(E417=H417,"Agreement between both AI passes.","AI-pass disagreement; retain for human discussion.")</x:f>
        <x:v>Agreement between both AI passes.</x:v>
      </x:c>
      <x:c r="L417" s="720" t="str">
        <x:v>A4mgo EAragons ABsrdalo</x:v>
      </x:c>
      <x:c r="M417" s="728"/>
      <x:c r="N417" s="717" t="str">
        <x:v>Google Scholar result</x:v>
      </x:c>
      <x:c r="O417" s="717" t="str">
        <x:v>No</x:v>
      </x:c>
      <x:c r="P417" s="717"/>
    </x:row>
    <x:row r="418" ht="38" customHeight="1">
      <x:c r="A418" s="717" t="str">
        <x:v>GS-04-081</x:v>
      </x:c>
      <x:c r="B418" s="717" t="str">
        <x:v>Google Scholar</x:v>
      </x:c>
      <x:c r="C418" s="717" t="str">
        <x:v>GS-04</x:v>
      </x:c>
      <x:c r="D418" s="720" t="str">
        <x:v>Anovel intelligent hybrid reinforcement learning framework for autonomous decision making in complex health cognitive systems</x:v>
      </x:c>
      <x:c r="E418" s="717" t="str">
        <x:v>Exclude</x:v>
      </x:c>
      <x:c r="F418" s="720" t="str">
        <x:v>Medical/clinical topic, but no eligible concept-based explainability contribution is evident.</x:v>
      </x:c>
      <x:c r="G418" s="717" t="str">
        <x:v>Title only</x:v>
      </x:c>
      <x:c r="H418" s="717" t="str">
        <x:v>Exclude</x:v>
      </x:c>
      <x:c r="I418" s="720" t="str">
        <x:v>Medical/clinical topic, but no eligible concept-based explainability contribution is evident.</x:v>
      </x:c>
      <x:c r="J418" s="717" t="str">
        <x:f>IF(E418=H418,E418,"Unclear")</x:f>
        <x:v>Exclude</x:v>
      </x:c>
      <x:c r="K418" s="720" t="str">
        <x:f>IF(E418=H418,"Agreement between both AI passes.","AI-pass disagreement; retain for human discussion.")</x:f>
        <x:v>Agreement between both AI passes.</x:v>
      </x:c>
      <x:c r="L418" s="720" t="str">
        <x:v>Abdullah Z Fatma. MAAthar JLC Rodriguez</x:v>
      </x:c>
      <x:c r="M418" s="728" t="n">
        <x:v>2026</x:v>
      </x:c>
      <x:c r="N418" s="717" t="str">
        <x:v>Google Scholar result</x:v>
      </x:c>
      <x:c r="O418" s="717" t="str">
        <x:v>No</x:v>
      </x:c>
      <x:c r="P418" s="717"/>
    </x:row>
    <x:row r="419" ht="38" customHeight="1">
      <x:c r="A419" s="717" t="str">
        <x:v>GS-04-082</x:v>
      </x:c>
      <x:c r="B419" s="717" t="str">
        <x:v>Google Scholar</x:v>
      </x:c>
      <x:c r="C419" s="717" t="str">
        <x:v>GS-04</x:v>
      </x:c>
      <x:c r="D419" s="720" t="str">
        <x:v>Visual Transfer Leaming Using Knowledge Graphs</x:v>
      </x:c>
      <x:c r="E419" s="717" t="str">
        <x:v>Exclude</x:v>
      </x:c>
      <x:c r="F419" s="720" t="str">
        <x:v>Clearly outside retinal/ophthalmic concept-based explainable AI.</x:v>
      </x:c>
      <x:c r="G419" s="717" t="str">
        <x:v>Title only</x:v>
      </x:c>
      <x:c r="H419" s="717" t="str">
        <x:v>Exclude</x:v>
      </x:c>
      <x:c r="I419" s="720" t="str">
        <x:v>Clearly outside retinal/ophthalmic concept-based explainable AI.</x:v>
      </x:c>
      <x:c r="J419" s="717" t="str">
        <x:f>IF(E419=H419,E419,"Unclear")</x:f>
        <x:v>Exclude</x:v>
      </x:c>
      <x:c r="K419" s="720" t="str">
        <x:f>IF(E419=H419,"Agreement between both AI passes.","AI-pass disagreement; retain for human discussion.")</x:f>
        <x:v>Agreement between both AI passes.</x:v>
      </x:c>
      <x:c r="L419" s="720" t="str">
        <x:v>S Moctka. ARetlingar- on Naurosymbolic 4) and Knowledga ==. 228</x:v>
      </x:c>
      <x:c r="M419" s="728"/>
      <x:c r="N419" s="717" t="str">
        <x:v>Google Scholar result</x:v>
      </x:c>
      <x:c r="O419" s="717" t="str">
        <x:v>No</x:v>
      </x:c>
      <x:c r="P419" s="717"/>
    </x:row>
    <x:row r="420" ht="38" customHeight="1">
      <x:c r="A420" s="717" t="str">
        <x:v>GS-04-083</x:v>
      </x:c>
      <x:c r="B420" s="717" t="str">
        <x:v>Google Scholar</x:v>
      </x:c>
      <x:c r="C420" s="717" t="str">
        <x:v>GS-04</x:v>
      </x:c>
      <x:c r="D420" s="720" t="str">
        <x:v>Early Detection of Breast Cancer Using Multi-Modal Deep Learning Framework</x:v>
      </x:c>
      <x:c r="E420" s="717" t="str">
        <x:v>Exclude</x:v>
      </x:c>
      <x:c r="F420" s="720" t="str">
        <x:v>Medical/clinical topic, but no eligible concept-based explainability contribution is evident.</x:v>
      </x:c>
      <x:c r="G420" s="717" t="str">
        <x:v>Title only</x:v>
      </x:c>
      <x:c r="H420" s="717" t="str">
        <x:v>Exclude</x:v>
      </x:c>
      <x:c r="I420" s="720" t="str">
        <x:v>Medical/clinical topic, but no eligible concept-based explainability contribution is evident.</x:v>
      </x:c>
      <x:c r="J420" s="717" t="str">
        <x:f>IF(E420=H420,E420,"Unclear")</x:f>
        <x:v>Exclude</x:v>
      </x:c>
      <x:c r="K420" s="720" t="str">
        <x:f>IF(E420=H420,"Agreement between both AI passes.","AI-pass disagreement; retain for human discussion.")</x:f>
        <x:v>Agreement between both AI passes.</x:v>
      </x:c>
      <x:c r="L420" s="720" t="str">
        <x:v>5 Morarmad, MA Shaik</x:v>
      </x:c>
      <x:c r="M420" s="728" t="n">
        <x:v>2026</x:v>
      </x:c>
      <x:c r="N420" s="717" t="str">
        <x:v>Google Scholar result</x:v>
      </x:c>
      <x:c r="O420" s="717" t="str">
        <x:v>No</x:v>
      </x:c>
      <x:c r="P420" s="717"/>
    </x:row>
    <x:row r="421" ht="38" customHeight="1">
      <x:c r="A421" s="717" t="str">
        <x:v>GS-04-084</x:v>
      </x:c>
      <x:c r="B421" s="717" t="str">
        <x:v>Google Scholar</x:v>
      </x:c>
      <x:c r="C421" s="717" t="str">
        <x:v>GS-04</x:v>
      </x:c>
      <x:c r="D421" s="720" t="str">
        <x:v>Convolutional neural networks for vision neuroscience’ significance, developments, and outstanding issues</x:v>
      </x:c>
      <x:c r="E421" s="717" t="str">
        <x:v>Exclude</x:v>
      </x:c>
      <x:c r="F421" s="720" t="str">
        <x:v>Clearly outside retinal/ophthalmic concept-based explainable AI.</x:v>
      </x:c>
      <x:c r="G421" s="717" t="str">
        <x:v>Title only</x:v>
      </x:c>
      <x:c r="H421" s="717" t="str">
        <x:v>Exclude</x:v>
      </x:c>
      <x:c r="I421" s="720" t="str">
        <x:v>Clearly outside retinal/ophthalmic concept-based explainable AI.</x:v>
      </x:c>
      <x:c r="J421" s="717" t="str">
        <x:f>IF(E421=H421,E421,"Unclear")</x:f>
        <x:v>Exclude</x:v>
      </x:c>
      <x:c r="K421" s="720" t="str">
        <x:f>IF(E421=H421,"Agreement between both AI passes.","AI-pass disagreement; retain for human discussion.")</x:f>
        <x:v>Agreement between both AI passes.</x:v>
      </x:c>
      <x:c r="L421" s="720" t="str">
        <x:v>ACeeghn ABorrien D Orsenigo M Disno -Frombersir = 20.23</x:v>
      </x:c>
      <x:c r="M421" s="728"/>
      <x:c r="N421" s="717" t="str">
        <x:v>Google Scholar result</x:v>
      </x:c>
      <x:c r="O421" s="717" t="str">
        <x:v>No</x:v>
      </x:c>
      <x:c r="P421" s="717"/>
    </x:row>
    <x:row r="422" ht="38" customHeight="1">
      <x:c r="A422" s="717" t="str">
        <x:v>GS-04-085</x:v>
      </x:c>
      <x:c r="B422" s="717" t="str">
        <x:v>Google Scholar</x:v>
      </x:c>
      <x:c r="C422" s="717" t="str">
        <x:v>GS-04</x:v>
      </x:c>
      <x:c r="D422" s="720" t="str">
        <x:v>Symbuotic Intelligence</x:v>
      </x:c>
      <x:c r="E422" s="717" t="str">
        <x:v>Exclude</x:v>
      </x:c>
      <x:c r="F422" s="720" t="str">
        <x:v>Clearly outside retinal/ophthalmic concept-based explainable AI.</x:v>
      </x:c>
      <x:c r="G422" s="717" t="str">
        <x:v>Title only</x:v>
      </x:c>
      <x:c r="H422" s="717" t="str">
        <x:v>Exclude</x:v>
      </x:c>
      <x:c r="I422" s="720" t="str">
        <x:v>Clearly outside retinal/ophthalmic concept-based explainable AI.</x:v>
      </x:c>
      <x:c r="J422" s="717" t="str">
        <x:f>IF(E422=H422,E422,"Unclear")</x:f>
        <x:v>Exclude</x:v>
      </x:c>
      <x:c r="K422" s="720" t="str">
        <x:f>IF(E422=H422,"Agreement between both AI passes.","AI-pass disagreement; retain for human discussion.")</x:f>
        <x:v>Agreement between both AI passes.</x:v>
      </x:c>
      <x:c r="L422" s="720" t="str">
        <x:v>HAI Collaboraton</x:v>
      </x:c>
      <x:c r="M422" s="728"/>
      <x:c r="N422" s="717" t="str">
        <x:v>Google Scholar result</x:v>
      </x:c>
      <x:c r="O422" s="717" t="str">
        <x:v>No</x:v>
      </x:c>
      <x:c r="P422" s="717"/>
    </x:row>
    <x:row r="423" ht="38" customHeight="1">
      <x:c r="A423" s="717" t="str">
        <x:v>GS-04-086</x:v>
      </x:c>
      <x:c r="B423" s="717" t="str">
        <x:v>Google Scholar</x:v>
      </x:c>
      <x:c r="C423" s="717" t="str">
        <x:v>GS-04</x:v>
      </x:c>
      <x:c r="D423" s="720" t="str">
        <x:v>ZERO Swarm Distributed Collective Intelligence for Autonomous Planetary Space Exploration</x:v>
      </x:c>
      <x:c r="E423" s="717" t="str">
        <x:v>Exclude</x:v>
      </x:c>
      <x:c r="F423" s="720" t="str">
        <x:v>Clearly outside retinal/ophthalmic concept-based explainable AI.</x:v>
      </x:c>
      <x:c r="G423" s="717" t="str">
        <x:v>Title only</x:v>
      </x:c>
      <x:c r="H423" s="717" t="str">
        <x:v>Exclude</x:v>
      </x:c>
      <x:c r="I423" s="720" t="str">
        <x:v>Clearly outside retinal/ophthalmic concept-based explainable AI.</x:v>
      </x:c>
      <x:c r="J423" s="717" t="str">
        <x:f>IF(E423=H423,E423,"Unclear")</x:f>
        <x:v>Exclude</x:v>
      </x:c>
      <x:c r="K423" s="720" t="str">
        <x:f>IF(E423=H423,"Agreement between both AI passes.","AI-pass disagreement; retain for human discussion.")</x:f>
        <x:v>Agreement between both AI passes.</x:v>
      </x:c>
      <x:c r="L423" s="720" t="str">
        <x:v>K Jhinakgcan 7G Balavigneshwar</x:v>
      </x:c>
      <x:c r="M423" s="728" t="n">
        <x:v>2026</x:v>
      </x:c>
      <x:c r="N423" s="717" t="str">
        <x:v>Google Scholar result</x:v>
      </x:c>
      <x:c r="O423" s="717" t="str">
        <x:v>No</x:v>
      </x:c>
      <x:c r="P423" s="717"/>
    </x:row>
    <x:row r="424" ht="38" customHeight="1">
      <x:c r="A424" s="717" t="str">
        <x:v>GS-04-087</x:v>
      </x:c>
      <x:c r="B424" s="717" t="str">
        <x:v>Google Scholar</x:v>
      </x:c>
      <x:c r="C424" s="717" t="str">
        <x:v>GS-04</x:v>
      </x:c>
      <x:c r="D424" s="720" t="str">
        <x:v>Microaneurysm segmentation under aut-of-domain generalization’ from diabetic retinopathy to leukemic retinopathy</x:v>
      </x:c>
      <x:c r="E424" s="717" t="str">
        <x:v>Exclude</x:v>
      </x:c>
      <x:c r="F424" s="720" t="str">
        <x:v>Retinal/ophthalmic topic, but no concept-based or structured explainability method is evident.</x:v>
      </x:c>
      <x:c r="G424" s="717" t="str">
        <x:v>Title only</x:v>
      </x:c>
      <x:c r="H424" s="717" t="str">
        <x:v>Exclude</x:v>
      </x:c>
      <x:c r="I424" s="720" t="str">
        <x:v>Retinal/ophthalmic topic, but no concept-based or structured explainability method is evident.</x:v>
      </x:c>
      <x:c r="J424" s="717" t="str">
        <x:f>IF(E424=H424,E424,"Unclear")</x:f>
        <x:v>Exclude</x:v>
      </x:c>
      <x:c r="K424" s="720" t="str">
        <x:f>IF(E424=H424,"Agreement between both AI passes.","AI-pass disagreement; retain for human discussion.")</x:f>
        <x:v>Agreement between both AI passes.</x:v>
      </x:c>
      <x:c r="L424" s="720" t="str">
        <x:v>E Platas-Campero RJ az-Hercandez</x:v>
      </x:c>
      <x:c r="M424" s="728" t="n">
        <x:v>2026</x:v>
      </x:c>
      <x:c r="N424" s="717" t="str">
        <x:v>Google Scholar result</x:v>
      </x:c>
      <x:c r="O424" s="717" t="str">
        <x:v>No</x:v>
      </x:c>
      <x:c r="P424" s="717"/>
    </x:row>
    <x:row r="425" ht="38" customHeight="1">
      <x:c r="A425" s="717" t="str">
        <x:v>GS-04-088</x:v>
      </x:c>
      <x:c r="B425" s="717" t="str">
        <x:v>Google Scholar</x:v>
      </x:c>
      <x:c r="C425" s="717" t="str">
        <x:v>GS-04</x:v>
      </x:c>
      <x:c r="D425" s="720" t="str">
        <x:v>From Policy to Lagic for Efficient and Interpretable Coverage Assessment</x:v>
      </x:c>
      <x:c r="E425" s="717" t="str">
        <x:v>Exclude</x:v>
      </x:c>
      <x:c r="F425" s="720" t="str">
        <x:v>Generic explainability topic outside the retinal/medical concept-XAI scope.</x:v>
      </x:c>
      <x:c r="G425" s="717" t="str">
        <x:v>Title only</x:v>
      </x:c>
      <x:c r="H425" s="717" t="str">
        <x:v>Exclude</x:v>
      </x:c>
      <x:c r="I425" s="720" t="str">
        <x:v>Generic explainability topic outside the retinal/medical concept-XAI scope.</x:v>
      </x:c>
      <x:c r="J425" s="717" t="str">
        <x:f>IF(E425=H425,E425,"Unclear")</x:f>
        <x:v>Exclude</x:v>
      </x:c>
      <x:c r="K425" s="720" t="str">
        <x:f>IF(E425=H425,"Agreement between both AI passes.","AI-pass disagreement; retain for human discussion.")</x:f>
        <x:v>Agreement between both AI passes.</x:v>
      </x:c>
      <x:c r="L425" s="720" t="str">
        <x:v>RPoekhare] HR Hassanzageh AAgrawal</x:v>
      </x:c>
      <x:c r="M425" s="728"/>
      <x:c r="N425" s="717" t="str">
        <x:v>Google Scholar result</x:v>
      </x:c>
      <x:c r="O425" s="717" t="str">
        <x:v>No</x:v>
      </x:c>
      <x:c r="P425" s="717"/>
    </x:row>
    <x:row r="426" ht="38" customHeight="1">
      <x:c r="A426" s="717" t="str">
        <x:v>GS-04-089</x:v>
      </x:c>
      <x:c r="B426" s="717" t="str">
        <x:v>Google Scholar</x:v>
      </x:c>
      <x:c r="C426" s="717" t="str">
        <x:v>GS-04</x:v>
      </x:c>
      <x:c r="D426" s="720" t="str">
        <x:v>Simple code implementation for deep learning—based segmentation to evaluate central serous chorioretinopathy in fundus photography</x:v>
      </x:c>
      <x:c r="E426" s="717" t="str">
        <x:v>Exclude</x:v>
      </x:c>
      <x:c r="F426" s="720" t="str">
        <x:v>Retinal/ophthalmic topic, but no concept-based or structured explainability method is evident.</x:v>
      </x:c>
      <x:c r="G426" s="717" t="str">
        <x:v>Title only</x:v>
      </x:c>
      <x:c r="H426" s="717" t="str">
        <x:v>Exclude</x:v>
      </x:c>
      <x:c r="I426" s="720" t="str">
        <x:v>Retinal/ophthalmic topic, but no concept-based or structured explainability method is evident.</x:v>
      </x:c>
      <x:c r="J426" s="717" t="str">
        <x:f>IF(E426=H426,E426,"Unclear")</x:f>
        <x:v>Exclude</x:v>
      </x:c>
      <x:c r="K426" s="720" t="str">
        <x:f>IF(E426=H426,"Agreement between both AI passes.","AI-pass disagreement; retain for human discussion.")</x:f>
        <x:v>Agreement between both AI passes.</x:v>
      </x:c>
      <x:c r="L426" s="720" t="str">
        <x:v>TK Yoo BY Kim HK .eong HK Kim. vision scence &amp; =. 2022</x:v>
      </x:c>
      <x:c r="M426" s="728" t="n">
        <x:v>2022</x:v>
      </x:c>
      <x:c r="N426" s="717" t="str">
        <x:v>Google Scholar result</x:v>
      </x:c>
      <x:c r="O426" s="717" t="str">
        <x:v>No</x:v>
      </x:c>
      <x:c r="P426" s="717"/>
    </x:row>
    <x:row r="427" ht="38" customHeight="1">
      <x:c r="A427" s="717" t="str">
        <x:v>GS-04-090</x:v>
      </x:c>
      <x:c r="B427" s="717" t="str">
        <x:v>Google Scholar</x:v>
      </x:c>
      <x:c r="C427" s="717" t="str">
        <x:v>GS-04</x:v>
      </x:c>
      <x:c r="D427" s="720" t="str">
        <x:v>Innovative Machine Learning Techniques for Equitable and Preventive Cardiovascular Health Prediction</x:v>
      </x:c>
      <x:c r="E427" s="717" t="str">
        <x:v>Exclude</x:v>
      </x:c>
      <x:c r="F427" s="720" t="str">
        <x:v>Medical/clinical topic, but no eligible concept-based explainability contribution is evident.</x:v>
      </x:c>
      <x:c r="G427" s="717" t="str">
        <x:v>Title only</x:v>
      </x:c>
      <x:c r="H427" s="717" t="str">
        <x:v>Exclude</x:v>
      </x:c>
      <x:c r="I427" s="720" t="str">
        <x:v>Medical/clinical topic, but no eligible concept-based explainability contribution is evident.</x:v>
      </x:c>
      <x:c r="J427" s="717" t="str">
        <x:f>IF(E427=H427,E427,"Unclear")</x:f>
        <x:v>Exclude</x:v>
      </x:c>
      <x:c r="K427" s="720" t="str">
        <x:f>IF(E427=H427,"Agreement between both AI passes.","AI-pass disagreement; retain for human discussion.")</x:f>
        <x:v>Agreement between both AI passes.</x:v>
      </x:c>
      <x:c r="L427" s="720" t="str">
        <x:v>MR Kristna KBala- Sth Intamaticnal Conference on Trends in 2026 -iaeexplcre ieee ong</x:v>
      </x:c>
      <x:c r="M427" s="728" t="n">
        <x:v>2026</x:v>
      </x:c>
      <x:c r="N427" s="717" t="str">
        <x:v>Google Scholar result</x:v>
      </x:c>
      <x:c r="O427" s="717" t="str">
        <x:v>No</x:v>
      </x:c>
      <x:c r="P427" s="717"/>
    </x:row>
    <x:row r="428" ht="38" customHeight="1">
      <x:c r="A428" s="717" t="str">
        <x:v>GS-04-091</x:v>
      </x:c>
      <x:c r="B428" s="717" t="str">
        <x:v>Google Scholar</x:v>
      </x:c>
      <x:c r="C428" s="717" t="str">
        <x:v>GS-04</x:v>
      </x:c>
      <x:c r="D428" s="720" t="str">
        <x:v>(4TML] Multitask deep lsaming for Joint detection of necrotrzing viral and noninfectious retinitis from common blead and seralogy test data</x:v>
      </x:c>
      <x:c r="E428" s="717" t="str">
        <x:v>Exclude</x:v>
      </x:c>
      <x:c r="F428" s="720" t="str">
        <x:v>Clearly outside retinal/ophthalmic concept-based explainable AI.</x:v>
      </x:c>
      <x:c r="G428" s="717" t="str">
        <x:v>Title only</x:v>
      </x:c>
      <x:c r="H428" s="717" t="str">
        <x:v>Exclude</x:v>
      </x:c>
      <x:c r="I428" s="720" t="str">
        <x:v>Clearly outside retinal/ophthalmic concept-based explainable AI.</x:v>
      </x:c>
      <x:c r="J428" s="717" t="str">
        <x:f>IF(E428=H428,E428,"Unclear")</x:f>
        <x:v>Exclude</x:v>
      </x:c>
      <x:c r="K428" s="720" t="str">
        <x:f>IF(E428=H428,"Agreement between both AI passes.","AI-pass disagreement; retain for human discussion.")</x:f>
        <x:v>Agreement between both AI passes.</x:v>
      </x:c>
      <x:c r="L428" s="720" t="str">
        <x:v>KT Ong TKwor HJang MKim CSlee</x:v>
      </x:c>
      <x:c r="M428" s="728" t="n">
        <x:v>2024</x:v>
      </x:c>
      <x:c r="N428" s="717" t="str">
        <x:v>Google Scholar result</x:v>
      </x:c>
      <x:c r="O428" s="717" t="str">
        <x:v>No</x:v>
      </x:c>
      <x:c r="P428" s="717"/>
    </x:row>
    <x:row r="429" ht="38" customHeight="1">
      <x:c r="A429" s="717" t="str">
        <x:v>GS-04-092</x:v>
      </x:c>
      <x:c r="B429" s="717" t="str">
        <x:v>Google Scholar</x:v>
      </x:c>
      <x:c r="C429" s="717" t="str">
        <x:v>GS-04</x:v>
      </x:c>
      <x:c r="D429" s="720" t="str">
        <x:v>Toward human-level concept learning Pattern benchmarking for Al algorithms</x:v>
      </x:c>
      <x:c r="E429" s="717" t="str">
        <x:v>Unclear</x:v>
      </x:c>
      <x:c r="F429" s="720" t="str">
        <x:v>Concept-XAI method may be useful as foundational/contextual evidence; retinal or medical applicability requires discussion (title only).</x:v>
      </x:c>
      <x:c r="G429" s="717" t="str">
        <x:v>Title only</x:v>
      </x:c>
      <x:c r="H429" s="717" t="str">
        <x:v>Exclude</x:v>
      </x:c>
      <x:c r="I429" s="720" t="str">
        <x:v>Clearly outside retinal/ophthalmic concept-based explainable AI.</x:v>
      </x:c>
      <x:c r="J429" s="717" t="str">
        <x:f>IF(E429=H429,E429,"Unclear")</x:f>
        <x:v>Unclear</x:v>
      </x:c>
      <x:c r="K429" s="720" t="str">
        <x:f>IF(E429=H429,"Agreement between both AI passes.","AI-pass disagreement; retain for human discussion.")</x:f>
        <x:v>AI-pass disagreement; retain for human discussion.</x:v>
      </x:c>
      <x:c r="L429" s="720" t="str">
        <x:v>AHovinger ASarant. AAngerschmid 8 Firzel</x:v>
      </x:c>
      <x:c r="M429" s="728" t="n">
        <x:v>2023</x:v>
      </x:c>
      <x:c r="N429" s="717" t="str">
        <x:v>Google Scholar result</x:v>
      </x:c>
      <x:c r="O429" s="717" t="str">
        <x:v>No</x:v>
      </x:c>
      <x:c r="P429" s="717"/>
    </x:row>
    <x:row r="430" ht="38" customHeight="1">
      <x:c r="A430" s="717" t="str">
        <x:v>GS-04-093</x:v>
      </x:c>
      <x:c r="B430" s="717" t="str">
        <x:v>Google Scholar</x:v>
      </x:c>
      <x:c r="C430" s="717" t="str">
        <x:v>GS-04</x:v>
      </x:c>
      <x:c r="D430" s="720" t="str">
        <x:v>Faderated learning for next-gen computing applications and privacy preserving medical diagnosis</x:v>
      </x:c>
      <x:c r="E430" s="717" t="str">
        <x:v>Exclude</x:v>
      </x:c>
      <x:c r="F430" s="720" t="str">
        <x:v>Medical/clinical topic, but no eligible concept-based explainability contribution is evident.</x:v>
      </x:c>
      <x:c r="G430" s="717" t="str">
        <x:v>Title only</x:v>
      </x:c>
      <x:c r="H430" s="717" t="str">
        <x:v>Exclude</x:v>
      </x:c>
      <x:c r="I430" s="720" t="str">
        <x:v>Medical/clinical topic, but no eligible concept-based explainability contribution is evident.</x:v>
      </x:c>
      <x:c r="J430" s="717" t="str">
        <x:f>IF(E430=H430,E430,"Unclear")</x:f>
        <x:v>Exclude</x:v>
      </x:c>
      <x:c r="K430" s="720" t="str">
        <x:f>IF(E430=H430,"Agreement between both AI passes.","AI-pass disagreement; retain for human discussion.")</x:f>
        <x:v>Agreement between both AI passes.</x:v>
      </x:c>
      <x:c r="L430" s="720" t="str">
        <x:v>P Dusi</x:v>
      </x:c>
      <x:c r="M430" s="728" t="n">
        <x:v>2024</x:v>
      </x:c>
      <x:c r="N430" s="717" t="str">
        <x:v>Google Scholar result</x:v>
      </x:c>
      <x:c r="O430" s="717" t="str">
        <x:v>No</x:v>
      </x:c>
      <x:c r="P430" s="717"/>
    </x:row>
    <x:row r="431" ht="38" customHeight="1">
      <x:c r="A431" s="717" t="str">
        <x:v>GS-04-094</x:v>
      </x:c>
      <x:c r="B431" s="717" t="str">
        <x:v>Google Scholar</x:v>
      </x:c>
      <x:c r="C431" s="717" t="str">
        <x:v>GS-04</x:v>
      </x:c>
      <x:c r="D431" s="720" t="str">
        <x:v>Super-clevr A virtual benchmark to diagnose domain robustness in visual reasoning</x:v>
      </x:c>
      <x:c r="E431" s="717" t="str">
        <x:v>Exclude</x:v>
      </x:c>
      <x:c r="F431" s="720" t="str">
        <x:v>Medical/clinical topic, but no eligible concept-based explainability contribution is evident.</x:v>
      </x:c>
      <x:c r="G431" s="717" t="str">
        <x:v>Title only</x:v>
      </x:c>
      <x:c r="H431" s="717" t="str">
        <x:v>Exclude</x:v>
      </x:c>
      <x:c r="I431" s="720" t="str">
        <x:v>Medical/clinical topic, but no eligible concept-based explainability contribution is evident.</x:v>
      </x:c>
      <x:c r="J431" s="717" t="str">
        <x:f>IF(E431=H431,E431,"Unclear")</x:f>
        <x:v>Exclude</x:v>
      </x:c>
      <x:c r="K431" s="720" t="str">
        <x:f>IF(E431=H431,"Agreement between both AI passes.","AI-pass disagreement; retain for human discussion.")</x:f>
        <x:v>Agreement between both AI passes.</x:v>
      </x:c>
      <x:c r="L431" s="720" t="str">
        <x:v>ZU X ‘Wang £ Stangel-=skin§ -Proceedi-gs ofthe 223</x:v>
      </x:c>
      <x:c r="M431" s="728"/>
      <x:c r="N431" s="717" t="str">
        <x:v>Google Scholar result</x:v>
      </x:c>
      <x:c r="O431" s="717" t="str">
        <x:v>No</x:v>
      </x:c>
      <x:c r="P431" s="717"/>
    </x:row>
    <x:row r="432" ht="38" customHeight="1">
      <x:c r="A432" s="717" t="str">
        <x:v>GS-04-095</x:v>
      </x:c>
      <x:c r="B432" s="717" t="str">
        <x:v>Google Scholar</x:v>
      </x:c>
      <x:c r="C432" s="717" t="str">
        <x:v>GS-04</x:v>
      </x:c>
      <x:c r="D432" s="720" t="str">
        <x:v>Breakthroughs, Operational Challenges and the Roadmap to Integrated Healthcare</x:v>
      </x:c>
      <x:c r="E432" s="717" t="str">
        <x:v>Exclude</x:v>
      </x:c>
      <x:c r="F432" s="720" t="str">
        <x:v>Medical/clinical topic, but no eligible concept-based explainability contribution is evident.</x:v>
      </x:c>
      <x:c r="G432" s="717" t="str">
        <x:v>Title only</x:v>
      </x:c>
      <x:c r="H432" s="717" t="str">
        <x:v>Exclude</x:v>
      </x:c>
      <x:c r="I432" s="720" t="str">
        <x:v>Medical/clinical topic, but no eligible concept-based explainability contribution is evident.</x:v>
      </x:c>
      <x:c r="J432" s="717" t="str">
        <x:f>IF(E432=H432,E432,"Unclear")</x:f>
        <x:v>Exclude</x:v>
      </x:c>
      <x:c r="K432" s="720" t="str">
        <x:f>IF(E432=H432,"Agreement between both AI passes.","AI-pass disagreement; retain for human discussion.")</x:f>
        <x:v>Agreement between both AI passes.</x:v>
      </x:c>
      <x:c r="L432" s="720" t="str">
        <x:v>D Chetan. C Pathak SN ‘wari M* Siddiqui</x:v>
      </x:c>
      <x:c r="M432" s="728"/>
      <x:c r="N432" s="717" t="str">
        <x:v>Google Scholar result</x:v>
      </x:c>
      <x:c r="O432" s="717" t="str">
        <x:v>No</x:v>
      </x:c>
      <x:c r="P432" s="717"/>
    </x:row>
    <x:row r="433" ht="38" customHeight="1">
      <x:c r="A433" s="717" t="str">
        <x:v>GS-04-096</x:v>
      </x:c>
      <x:c r="B433" s="717" t="str">
        <x:v>Google Scholar</x:v>
      </x:c>
      <x:c r="C433" s="717" t="str">
        <x:v>GS-04</x:v>
      </x:c>
      <x:c r="D433" s="720" t="str">
        <x:v>Brain-inspired artificial intelligence research: A review</x:v>
      </x:c>
      <x:c r="E433" s="717" t="str">
        <x:v>Exclude</x:v>
      </x:c>
      <x:c r="F433" s="720" t="str">
        <x:v>Non-original evidence (review, editorial, response, protocol, or similar); retain only for background/citation chasing (E4).</x:v>
      </x:c>
      <x:c r="G433" s="717" t="str">
        <x:v>Title only</x:v>
      </x:c>
      <x:c r="H433" s="717" t="str">
        <x:v>Exclude</x:v>
      </x:c>
      <x:c r="I433" s="720" t="str">
        <x:v>Non-original evidence (review, editorial, response, protocol, or similar); retain only for background/citation chasing (E4).</x:v>
      </x:c>
      <x:c r="J433" s="717" t="str">
        <x:f>IF(E433=H433,E433,"Unclear")</x:f>
        <x:v>Exclude</x:v>
      </x:c>
      <x:c r="K433" s="720" t="str">
        <x:f>IF(E433=H433,"Agreement between both AI passes.","AI-pass disagreement; retain for human discussion.")</x:f>
        <x:v>Agreement between both AI passes.</x:v>
      </x:c>
      <x:c r="L433" s="720" t="str">
        <x:v>GY Wang HN Bao C Liu ~“G Zhou SWs «+ Stiance China 2024+ Springer</x:v>
      </x:c>
      <x:c r="M433" s="728" t="n">
        <x:v>2024</x:v>
      </x:c>
      <x:c r="N433" s="717" t="str">
        <x:v>Google Scholar result</x:v>
      </x:c>
      <x:c r="O433" s="717" t="str">
        <x:v>No</x:v>
      </x:c>
      <x:c r="P433" s="717"/>
    </x:row>
    <x:row r="434" ht="38" customHeight="1">
      <x:c r="A434" s="717" t="str">
        <x:v>GS-04-097</x:v>
      </x:c>
      <x:c r="B434" s="717" t="str">
        <x:v>Google Scholar</x:v>
      </x:c>
      <x:c r="C434" s="717" t="str">
        <x:v>GS-04</x:v>
      </x:c>
      <x:c r="D434" s="720" t="str">
        <x:v>From Insight to Intelligence’ Integrating Human Expertise in Machine Learning</x:v>
      </x:c>
      <x:c r="E434" s="717" t="str">
        <x:v>Exclude</x:v>
      </x:c>
      <x:c r="F434" s="720" t="str">
        <x:v>Clearly outside retinal/ophthalmic concept-based explainable AI.</x:v>
      </x:c>
      <x:c r="G434" s="717" t="str">
        <x:v>Title only</x:v>
      </x:c>
      <x:c r="H434" s="717" t="str">
        <x:v>Exclude</x:v>
      </x:c>
      <x:c r="I434" s="720" t="str">
        <x:v>Clearly outside retinal/ophthalmic concept-based explainable AI.</x:v>
      </x:c>
      <x:c r="J434" s="717" t="str">
        <x:f>IF(E434=H434,E434,"Unclear")</x:f>
        <x:v>Exclude</x:v>
      </x:c>
      <x:c r="K434" s="720" t="str">
        <x:f>IF(E434=H434,"Agreement between both AI passes.","AI-pass disagreement; retain for human discussion.")</x:f>
        <x:v>Agreement between both AI passes.</x:v>
      </x:c>
      <x:c r="L434" s="720" t="str">
        <x:v>R Kumar M Ravi PR Verna</x:v>
      </x:c>
      <x:c r="M434" s="728" t="n">
        <x:v>2025</x:v>
      </x:c>
      <x:c r="N434" s="717" t="str">
        <x:v>Google Scholar result</x:v>
      </x:c>
      <x:c r="O434" s="717" t="str">
        <x:v>No</x:v>
      </x:c>
      <x:c r="P434" s="717"/>
    </x:row>
    <x:row r="435" ht="38" customHeight="1">
      <x:c r="A435" s="717" t="str">
        <x:v>GS-04-098</x:v>
      </x:c>
      <x:c r="B435" s="717" t="str">
        <x:v>Google Scholar</x:v>
      </x:c>
      <x:c r="C435" s="717" t="str">
        <x:v>GS-04</x:v>
      </x:c>
      <x:c r="D435" s="720" t="str">
        <x:v>(s00k) Cognitive artificial intetligence for health and climate Deep models interpretability, and decision support</x:v>
      </x:c>
      <x:c r="E435" s="717" t="str">
        <x:v>Unclear</x:v>
      </x:c>
      <x:c r="F435" s="720" t="str">
        <x:v>Possible contextual explainability evidence, but concept-level relevance is not confirmed from the available title only.</x:v>
      </x:c>
      <x:c r="G435" s="717" t="str">
        <x:v>Title only</x:v>
      </x:c>
      <x:c r="H435" s="717" t="str">
        <x:v>Exclude</x:v>
      </x:c>
      <x:c r="I435" s="720" t="str">
        <x:v>Medical/clinical topic, but no eligible concept-based explainability contribution is evident.</x:v>
      </x:c>
      <x:c r="J435" s="717" t="str">
        <x:f>IF(E435=H435,E435,"Unclear")</x:f>
        <x:v>Unclear</x:v>
      </x:c>
      <x:c r="K435" s="720" t="str">
        <x:f>IF(E435=H435,"Agreement between both AI passes.","AI-pass disagreement; retain for human discussion.")</x:f>
        <x:v>AI-pass disagreement; retain for human discussion.</x:v>
      </x:c>
      <x:c r="L435" s="720" t="str">
        <x:v>S Shwadakar</x:v>
      </x:c>
      <x:c r="M435" s="728" t="n">
        <x:v>2025</x:v>
      </x:c>
      <x:c r="N435" s="717" t="str">
        <x:v>Google Scholar result</x:v>
      </x:c>
      <x:c r="O435" s="717" t="str">
        <x:v>No</x:v>
      </x:c>
      <x:c r="P435" s="717"/>
    </x:row>
    <x:row r="436" ht="38" customHeight="1">
      <x:c r="A436" s="717" t="str">
        <x:v>GS-04-099</x:v>
      </x:c>
      <x:c r="B436" s="717" t="str">
        <x:v>Google Scholar</x:v>
      </x:c>
      <x:c r="C436" s="717" t="str">
        <x:v>GS-04</x:v>
      </x:c>
      <x:c r="D436" s="720" t="str">
        <x:v>MedXAl: A Retrieval-Augmented and Self-Verifying Framework for Knowledge- Guided Medical Image Analysis</x:v>
      </x:c>
      <x:c r="E436" s="717" t="str">
        <x:v>Exclude</x:v>
      </x:c>
      <x:c r="F436" s="720" t="str">
        <x:v>Medical/clinical topic, but no eligible concept-based explainability contribution is evident.</x:v>
      </x:c>
      <x:c r="G436" s="717" t="str">
        <x:v>Title only</x:v>
      </x:c>
      <x:c r="H436" s="717" t="str">
        <x:v>Exclude</x:v>
      </x:c>
      <x:c r="I436" s="720" t="str">
        <x:v>Medical/clinical topic, but no eligible concept-based explainability contribution is evident.</x:v>
      </x:c>
      <x:c r="J436" s="717" t="str">
        <x:f>IF(E436=H436,E436,"Unclear")</x:f>
        <x:v>Exclude</x:v>
      </x:c>
      <x:c r="K436" s="720" t="str">
        <x:f>IF(E436=H436,"Agreement between both AI passes.","AI-pass disagreement; retain for human discussion.")</x:f>
        <x:v>Agreement between both AI passes.</x:v>
      </x:c>
      <x:c r="L436" s="720" t="str">
        <x:v>MJrsoj ABanerjae F Shaikh 9</x:v>
      </x:c>
      <x:c r="M436" s="728" t="n">
        <x:v>2025</x:v>
      </x:c>
      <x:c r="N436" s="717" t="str">
        <x:v>Google Scholar result</x:v>
      </x:c>
      <x:c r="O436" s="717" t="str">
        <x:v>No</x:v>
      </x:c>
      <x:c r="P436" s="717"/>
    </x:row>
    <x:row r="437" ht="38" customHeight="1">
      <x:c r="A437" s="717" t="str">
        <x:v>GS-04-100</x:v>
      </x:c>
      <x:c r="B437" s="717" t="str">
        <x:v>Google Scholar</x:v>
      </x:c>
      <x:c r="C437" s="717" t="str">
        <x:v>GS-04</x:v>
      </x:c>
      <x:c r="D437" s="720" t="str">
        <x:v>Embodied intelligence in surgical robotics’ From perception-action loops to cognitive collaboration</x:v>
      </x:c>
      <x:c r="E437" s="717" t="str">
        <x:v>Exclude</x:v>
      </x:c>
      <x:c r="F437" s="720" t="str">
        <x:v>Medical/clinical topic, but no eligible concept-based explainability contribution is evident.</x:v>
      </x:c>
      <x:c r="G437" s="717" t="str">
        <x:v>Title only</x:v>
      </x:c>
      <x:c r="H437" s="717" t="str">
        <x:v>Exclude</x:v>
      </x:c>
      <x:c r="I437" s="720" t="str">
        <x:v>Medical/clinical topic, but no eligible concept-based explainability contribution is evident.</x:v>
      </x:c>
      <x:c r="J437" s="717" t="str">
        <x:f>IF(E437=H437,E437,"Unclear")</x:f>
        <x:v>Exclude</x:v>
      </x:c>
      <x:c r="K437" s="720" t="str">
        <x:f>IF(E437=H437,"Agreement between both AI passes.","AI-pass disagreement; retain for human discussion.")</x:f>
        <x:v>Agreement between both AI passes.</x:v>
      </x:c>
      <x:c r="L437" s="720" t="str">
        <x:v>Fido Z yu, KZuo S Rong H Cheng WZhao. 2 Guan</x:v>
      </x:c>
      <x:c r="M437" s="728" t="n">
        <x:v>2026</x:v>
      </x:c>
      <x:c r="N437" s="717" t="str">
        <x:v>Google Scholar result</x:v>
      </x:c>
      <x:c r="O437" s="717" t="str">
        <x:v>No</x:v>
      </x:c>
      <x:c r="P437" s="717"/>
    </x:row>
    <x:row r="438" ht="38" customHeight="1">
      <x:c r="A438" s="717" t="str">
        <x:v>GS-05-004</x:v>
      </x:c>
      <x:c r="B438" s="717" t="str">
        <x:v>Google Scholar</x:v>
      </x:c>
      <x:c r="C438" s="717" t="str">
        <x:v>GS-05</x:v>
      </x:c>
      <x:c r="D438" s="720" t="str">
        <x:v>Neuro-symbolic earning: Principles and applications in ophthalmology</x:v>
      </x:c>
      <x:c r="E438" s="717"/>
      <x:c r="F438" s="720" t="str">
        <x:v>Confirmed duplicate during enhanced OCR-variant deduplication.</x:v>
      </x:c>
      <x:c r="G438" s="717" t="str">
        <x:v>Duplicate control</x:v>
      </x:c>
      <x:c r="H438" s="717"/>
      <x:c r="I438" s="720" t="str">
        <x:v>Confirmed duplicate during enhanced OCR-variant deduplication.</x:v>
      </x:c>
      <x:c r="J438" s="717"/>
      <x:c r="K438" s="720" t="str">
        <x:v>Removed from the final title/abstract denominator before full-text retrieval.</x:v>
      </x:c>
      <x:c r="L438" s="720" t="str">
        <x:v>M dassan H Guan AMeitiou ¥ Vang C Sun...</x:v>
      </x:c>
      <x:c r="M438" s="728" t="n">
        <x:v>2022</x:v>
      </x:c>
      <x:c r="N438" s="717" t="str">
        <x:v>Google Scholar result</x:v>
      </x:c>
      <x:c r="O438" s="717" t="str">
        <x:v>No</x:v>
      </x:c>
      <x:c r="P438" s="717"/>
    </x:row>
    <x:row r="439" ht="38" customHeight="1">
      <x:c r="A439" s="717" t="str">
        <x:v>GS-05-007</x:v>
      </x:c>
      <x:c r="B439" s="717" t="str">
        <x:v>Google Scholar</x:v>
      </x:c>
      <x:c r="C439" s="717" t="str">
        <x:v>GS-05</x:v>
      </x:c>
      <x:c r="D439" s="720" t="str">
        <x:v>KG-DG. Knowledge-Guided Domain Generalization via Neuro-Symbolic Fusion</x:v>
      </x:c>
      <x:c r="E439" s="717"/>
      <x:c r="F439" s="720" t="str">
        <x:v>Confirmed duplicate during enhanced OCR-variant deduplication.</x:v>
      </x:c>
      <x:c r="G439" s="717" t="str">
        <x:v>Duplicate control</x:v>
      </x:c>
      <x:c r="H439" s="717"/>
      <x:c r="I439" s="720" t="str">
        <x:v>Confirmed duplicate during enhanced OCR-variant deduplication.</x:v>
      </x:c>
      <x:c r="J439" s="717"/>
      <x:c r="K439" s="720" t="str">
        <x:v>Removed from the final title/abstract denominator before full-text retrieval.</x:v>
      </x:c>
      <x:c r="L439" s="720" t="str">
        <x:v>M Jrcoj ABaneges S Gupta</x:v>
      </x:c>
      <x:c r="M439" s="728"/>
      <x:c r="N439" s="717" t="str">
        <x:v>Google Scholar result</x:v>
      </x:c>
      <x:c r="O439" s="717" t="str">
        <x:v>No</x:v>
      </x:c>
      <x:c r="P439" s="717"/>
    </x:row>
    <x:row r="440" ht="38" customHeight="1">
      <x:c r="A440" s="717" t="str">
        <x:v>GS-05-008</x:v>
      </x:c>
      <x:c r="B440" s="717" t="str">
        <x:v>Google Scholar</x:v>
      </x:c>
      <x:c r="C440" s="717" t="str">
        <x:v>GS-05</x:v>
      </x:c>
      <x:c r="D440" s="720" t="str">
        <x:v>EXPLORING NEUROQ-SYMBOLIC ARTIFICIAL INTELLIGENCE THROUGH BIONIC VISION</x:v>
      </x:c>
      <x:c r="E440" s="717"/>
      <x:c r="F440" s="720" t="str">
        <x:v>Confirmed duplicate during enhanced OCR-variant deduplication.</x:v>
      </x:c>
      <x:c r="G440" s="717" t="str">
        <x:v>Duplicate control</x:v>
      </x:c>
      <x:c r="H440" s="717"/>
      <x:c r="I440" s="720" t="str">
        <x:v>Confirmed duplicate during enhanced OCR-variant deduplication.</x:v>
      </x:c>
      <x:c r="J440" s="717"/>
      <x:c r="K440" s="720" t="str">
        <x:v>Removed from the final title/abstract denominator before full-text retrieval.</x:v>
      </x:c>
      <x:c r="L440" s="720" t="str">
        <x:v>N Saleen</x:v>
      </x:c>
      <x:c r="M440" s="728" t="n">
        <x:v>2025</x:v>
      </x:c>
      <x:c r="N440" s="717" t="str">
        <x:v>Google Scholar result</x:v>
      </x:c>
      <x:c r="O440" s="717" t="str">
        <x:v>No</x:v>
      </x:c>
      <x:c r="P440" s="717"/>
    </x:row>
    <x:row r="441" ht="38" customHeight="1">
      <x:c r="A441" s="717" t="str">
        <x:v>GS-05-016</x:v>
      </x:c>
      <x:c r="B441" s="717" t="str">
        <x:v>Google Scholar</x:v>
      </x:c>
      <x:c r="C441" s="717" t="str">
        <x:v>GS-05</x:v>
      </x:c>
      <x:c r="D441" s="720" t="str">
        <x:v>Rapid image labeling via newro-symbolic learning</x:v>
      </x:c>
      <x:c r="E441" s="717"/>
      <x:c r="F441" s="720" t="str">
        <x:v>Confirmed duplicate during enhanced OCR-variant deduplication.</x:v>
      </x:c>
      <x:c r="G441" s="717" t="str">
        <x:v>Duplicate control</x:v>
      </x:c>
      <x:c r="H441" s="717"/>
      <x:c r="I441" s="720" t="str">
        <x:v>Confirmed duplicate during enhanced OCR-variant deduplication.</x:v>
      </x:c>
      <x:c r="J441" s="717"/>
      <x:c r="K441" s="720" t="str">
        <x:v>Removed from the final title/abstract denominator before full-text retrieval.</x:v>
      </x:c>
      <x:c r="L441" s="720" t="str">
        <x:v>Yang Z™u ¥ Xarg. SZrou X Chen Bi + Proceedings ofthe 29th =| 2023+ dl acm org</x:v>
      </x:c>
      <x:c r="M441" s="728" t="n">
        <x:v>2023</x:v>
      </x:c>
      <x:c r="N441" s="717" t="str">
        <x:v>Google Scholar result</x:v>
      </x:c>
      <x:c r="O441" s="717" t="str">
        <x:v>No</x:v>
      </x:c>
      <x:c r="P441" s="717"/>
    </x:row>
    <x:row r="442" ht="38" customHeight="1">
      <x:c r="A442" s="717" t="str">
        <x:v>GS-05-021</x:v>
      </x:c>
      <x:c r="B442" s="717" t="str">
        <x:v>Google Scholar</x:v>
      </x:c>
      <x:c r="C442" s="717" t="str">
        <x:v>GS-05</x:v>
      </x:c>
      <x:c r="D442" s="720" t="str">
        <x:v>Naisy Pixels, Credible Decisions-A Robust, Edge-Ready Neuro-Symbolic Architecture for Rural {African} Clinics</x:v>
      </x:c>
      <x:c r="E442" s="717"/>
      <x:c r="F442" s="720" t="str">
        <x:v>Confirmed duplicate during enhanced OCR-variant deduplication.</x:v>
      </x:c>
      <x:c r="G442" s="717" t="str">
        <x:v>Duplicate control</x:v>
      </x:c>
      <x:c r="H442" s="717"/>
      <x:c r="I442" s="720" t="str">
        <x:v>Confirmed duplicate during enhanced OCR-variant deduplication.</x:v>
      </x:c>
      <x:c r="J442" s="717"/>
      <x:c r="K442" s="720" t="str">
        <x:v>Removed from the final title/abstract denominator before full-text retrieval.</x:v>
      </x:c>
      <x:c r="L442" s="720" t="str">
        <x:v>CK Kubakisa. K Kyarnakya, WV Kambale -20251EEE .. 2025</x:v>
      </x:c>
      <x:c r="M442" s="728" t="n">
        <x:v>2025</x:v>
      </x:c>
      <x:c r="N442" s="717" t="str">
        <x:v>Google Scholar result</x:v>
      </x:c>
      <x:c r="O442" s="717" t="str">
        <x:v>No</x:v>
      </x:c>
      <x:c r="P442" s="717"/>
    </x:row>
    <x:row r="443" ht="38" customHeight="1">
      <x:c r="A443" s="717" t="str">
        <x:v>GS-05-022</x:v>
      </x:c>
      <x:c r="B443" s="717" t="str">
        <x:v>Google Scholar</x:v>
      </x:c>
      <x:c r="C443" s="717" t="str">
        <x:v>GS-05</x:v>
      </x:c>
      <x:c r="D443" s="720" t="str">
        <x:v>NeRO- Neuro-Symbolic Rule Distillation for Efficient Ontology-Grounded Chain- of-Thought in Medical Image Diagnosis</x:v>
      </x:c>
      <x:c r="E443" s="717"/>
      <x:c r="F443" s="720" t="str">
        <x:v>Confirmed duplicate during enhanced OCR-variant deduplication.</x:v>
      </x:c>
      <x:c r="G443" s="717" t="str">
        <x:v>Duplicate control</x:v>
      </x:c>
      <x:c r="H443" s="717"/>
      <x:c r="I443" s="720" t="str">
        <x:v>Confirmed duplicate during enhanced OCR-variant deduplication.</x:v>
      </x:c>
      <x:c r="J443" s="717"/>
      <x:c r="K443" s="720" t="str">
        <x:v>Removed from the final title/abstract denominator before full-text retrieval.</x:v>
      </x:c>
      <x:c r="L443" s="720" t="str">
        <x:v>H Yang ¥ Jiang SYan JCrow ELI, C Poon + ark prapnnt arXiv =. 2026</x:v>
      </x:c>
      <x:c r="M443" s="728" t="n">
        <x:v>2026</x:v>
      </x:c>
      <x:c r="N443" s="717" t="str">
        <x:v>Google Scholar result</x:v>
      </x:c>
      <x:c r="O443" s="717" t="str">
        <x:v>No</x:v>
      </x:c>
      <x:c r="P443" s="717"/>
    </x:row>
    <x:row r="444" ht="38" customHeight="1">
      <x:c r="A444" s="717" t="str">
        <x:v>GS-05-026</x:v>
      </x:c>
      <x:c r="B444" s="717" t="str">
        <x:v>Google Scholar</x:v>
      </x:c>
      <x:c r="C444" s="717" t="str">
        <x:v>GS-05</x:v>
      </x:c>
      <x:c r="D444" s="720" t="str">
        <x:v>Symbrotic Intelligence</x:v>
      </x:c>
      <x:c r="E444" s="717"/>
      <x:c r="F444" s="720" t="str">
        <x:v>Confirmed duplicate during enhanced OCR-variant deduplication.</x:v>
      </x:c>
      <x:c r="G444" s="717" t="str">
        <x:v>Duplicate control</x:v>
      </x:c>
      <x:c r="H444" s="717"/>
      <x:c r="I444" s="720" t="str">
        <x:v>Confirmed duplicate during enhanced OCR-variant deduplication.</x:v>
      </x:c>
      <x:c r="J444" s="717"/>
      <x:c r="K444" s="720" t="str">
        <x:v>Removed from the final title/abstract denominator before full-text retrieval.</x:v>
      </x:c>
      <x:c r="L444" s="720" t="str">
        <x:v>HAI Collaboraton</x:v>
      </x:c>
      <x:c r="M444" s="728"/>
      <x:c r="N444" s="717" t="str">
        <x:v>Google Scholar result</x:v>
      </x:c>
      <x:c r="O444" s="717" t="str">
        <x:v>No</x:v>
      </x:c>
      <x:c r="P444" s="717"/>
    </x:row>
    <x:row r="445" ht="38" customHeight="1">
      <x:c r="A445" s="717" t="str">
        <x:v>GS-05-028</x:v>
      </x:c>
      <x:c r="B445" s="717" t="str">
        <x:v>Google Scholar</x:v>
      </x:c>
      <x:c r="C445" s="717" t="str">
        <x:v>GS-05</x:v>
      </x:c>
      <x:c r="D445" s="720" t="str">
        <x:v>Neura-Symbolic Sentiment Analysis Integrating Lexicon Features with Deep Learning Klodets</x:v>
      </x:c>
      <x:c r="E445" s="717"/>
      <x:c r="F445" s="720" t="str">
        <x:v>Confirmed duplicate during enhanced OCR-variant deduplication.</x:v>
      </x:c>
      <x:c r="G445" s="717" t="str">
        <x:v>Duplicate control</x:v>
      </x:c>
      <x:c r="H445" s="717"/>
      <x:c r="I445" s="720" t="str">
        <x:v>Confirmed duplicate during enhanced OCR-variant deduplication.</x:v>
      </x:c>
      <x:c r="J445" s="717"/>
      <x:c r="K445" s="720" t="str">
        <x:v>Removed from the final title/abstract denominator before full-text retrieval.</x:v>
      </x:c>
      <x:c r="L445" s="720" t="str">
        <x:v>NC Madala SDSPD Tallapedi VS Malladi</x:v>
      </x:c>
      <x:c r="M445" s="728" t="n">
        <x:v>2025</x:v>
      </x:c>
      <x:c r="N445" s="717" t="str">
        <x:v>Google Scholar result</x:v>
      </x:c>
      <x:c r="O445" s="717" t="str">
        <x:v>No</x:v>
      </x:c>
      <x:c r="P445" s="717"/>
    </x:row>
    <x:row r="446" ht="38" customHeight="1">
      <x:c r="A446" s="717" t="str">
        <x:v>GS-05-030</x:v>
      </x:c>
      <x:c r="B446" s="717" t="str">
        <x:v>Google Scholar</x:v>
      </x:c>
      <x:c r="C446" s="717" t="str">
        <x:v>GS-05</x:v>
      </x:c>
      <x:c r="D446" s="720" t="str">
        <x:v>(PpF] Trustworthy Retinapathy Of Prematurity Diagnasis Using Explainable Vision- Language Madel</x:v>
      </x:c>
      <x:c r="E446" s="717"/>
      <x:c r="F446" s="720" t="str">
        <x:v>Confirmed duplicate during enhanced OCR-variant deduplication.</x:v>
      </x:c>
      <x:c r="G446" s="717" t="str">
        <x:v>Duplicate control</x:v>
      </x:c>
      <x:c r="H446" s="717"/>
      <x:c r="I446" s="720" t="str">
        <x:v>Confirmed duplicate during enhanced OCR-variant deduplication.</x:v>
      </x:c>
      <x:c r="J446" s="717"/>
      <x:c r="K446" s="720" t="str">
        <x:v>Removed from the final title/abstract denominator before full-text retrieval.</x:v>
      </x:c>
      <x:c r="L446" s="720" t="str">
        <x:v>HZ Negima RM Ghadban</x:v>
      </x:c>
      <x:c r="M446" s="728"/>
      <x:c r="N446" s="717" t="str">
        <x:v>Google Scholar result</x:v>
      </x:c>
      <x:c r="O446" s="717" t="str">
        <x:v>No</x:v>
      </x:c>
      <x:c r="P446" s="717"/>
    </x:row>
    <x:row r="447" ht="38" customHeight="1">
      <x:c r="A447" s="717" t="str">
        <x:v>GS-05-031</x:v>
      </x:c>
      <x:c r="B447" s="717" t="str">
        <x:v>Google Scholar</x:v>
      </x:c>
      <x:c r="C447" s="717" t="str">
        <x:v>GS-05</x:v>
      </x:c>
      <x:c r="D447" s="720" t="str">
        <x:v>Modsling cognitive processes within a creative problam-solving task: from symbolic to nauro-symbolic approaches in computational learning sciences</x:v>
      </x:c>
      <x:c r="E447" s="717"/>
      <x:c r="F447" s="720" t="str">
        <x:v>Confirmed duplicate during enhanced OCR-variant deduplication.</x:v>
      </x:c>
      <x:c r="G447" s="717" t="str">
        <x:v>Duplicate control</x:v>
      </x:c>
      <x:c r="H447" s="717"/>
      <x:c r="I447" s="720" t="str">
        <x:v>Confirmed duplicate during enhanced OCR-variant deduplication.</x:v>
      </x:c>
      <x:c r="J447" s="717"/>
      <x:c r="K447" s="720" t="str">
        <x:v>Removed from the final title/abstract denominator before full-text retrieval.</x:v>
      </x:c>
      <x:c r="L447" s="720" t="str">
        <x:v>C Mercier</x:v>
      </x:c>
      <x:c r="M447" s="728" t="n">
        <x:v>2024</x:v>
      </x:c>
      <x:c r="N447" s="717" t="str">
        <x:v>Google Scholar result</x:v>
      </x:c>
      <x:c r="O447" s="717" t="str">
        <x:v>No</x:v>
      </x:c>
      <x:c r="P447" s="717"/>
    </x:row>
    <x:row r="448" ht="38" customHeight="1">
      <x:c r="A448" s="717" t="str">
        <x:v>GS-05-035</x:v>
      </x:c>
      <x:c r="B448" s="717" t="str">
        <x:v>Google Scholar</x:v>
      </x:c>
      <x:c r="C448" s="717" t="str">
        <x:v>GS-05</x:v>
      </x:c>
      <x:c r="D448" s="720" t="str">
        <x:v>ea re re rere, ee eee Computing (HCC) Feaithcare Education and Research, Emphasizing Ethics and Safety .</x:v>
      </x:c>
      <x:c r="E448" s="717"/>
      <x:c r="F448" s="720" t="str">
        <x:v>Confirmed duplicate during enhanced OCR-variant deduplication.</x:v>
      </x:c>
      <x:c r="G448" s="717" t="str">
        <x:v>Duplicate control</x:v>
      </x:c>
      <x:c r="H448" s="717"/>
      <x:c r="I448" s="720" t="str">
        <x:v>Confirmed duplicate during enhanced OCR-variant deduplication.</x:v>
      </x:c>
      <x:c r="J448" s="717"/>
      <x:c r="K448" s="720" t="str">
        <x:v>Removed from the final title/abstract denominator before full-text retrieval.</x:v>
      </x:c>
      <x:c r="L448" s="720" t="str">
        <x:v>AAfzal</x:v>
      </x:c>
      <x:c r="M448" s="728" t="n">
        <x:v>2025</x:v>
      </x:c>
      <x:c r="N448" s="717" t="str">
        <x:v>Google Scholar result</x:v>
      </x:c>
      <x:c r="O448" s="717" t="str">
        <x:v>No</x:v>
      </x:c>
      <x:c r="P448" s="717"/>
    </x:row>
    <x:row r="449" ht="38" customHeight="1">
      <x:c r="A449" s="717" t="str">
        <x:v>GS-05-036</x:v>
      </x:c>
      <x:c r="B449" s="717" t="str">
        <x:v>Google Scholar</x:v>
      </x:c>
      <x:c r="C449" s="717" t="str">
        <x:v>GS-05</x:v>
      </x:c>
      <x:c r="D449" s="720" t="str">
        <x:v>Neuro-symbolic artificial intalligence in medicine</x:v>
      </x:c>
      <x:c r="E449" s="717"/>
      <x:c r="F449" s="720" t="str">
        <x:v>Confirmed duplicate during enhanced OCR-variant deduplication.</x:v>
      </x:c>
      <x:c r="G449" s="717" t="str">
        <x:v>Duplicate control</x:v>
      </x:c>
      <x:c r="H449" s="717"/>
      <x:c r="I449" s="720" t="str">
        <x:v>Confirmed duplicate during enhanced OCR-variant deduplication.</x:v>
      </x:c>
      <x:c r="J449" s="717"/>
      <x:c r="K449" s="720" t="str">
        <x:v>Removed from the final title/abstract denominator before full-text retrieval.</x:v>
      </x:c>
      <x:c r="L449" s="720" t="str">
        <x:v>MYH Wong JCL Ong N Shah DC Klancff</x:v>
      </x:c>
      <x:c r="M449" s="728" t="n">
        <x:v>2026</x:v>
      </x:c>
      <x:c r="N449" s="717" t="str">
        <x:v>Google Scholar result</x:v>
      </x:c>
      <x:c r="O449" s="717" t="str">
        <x:v>No</x:v>
      </x:c>
      <x:c r="P449" s="717"/>
    </x:row>
    <x:row r="450" ht="38" customHeight="1">
      <x:c r="A450" s="717" t="str">
        <x:v>GS-05-038</x:v>
      </x:c>
      <x:c r="B450" s="717" t="str">
        <x:v>Google Scholar</x:v>
      </x:c>
      <x:c r="C450" s="717" t="str">
        <x:v>GS-05</x:v>
      </x:c>
      <x:c r="D450" s="720" t="str">
        <x:v>Neurosymbolic inference on foundation models for remote sensing text-to-images retreval with complex queries</x:v>
      </x:c>
      <x:c r="E450" s="717"/>
      <x:c r="F450" s="720" t="str">
        <x:v>Confirmed duplicate during enhanced OCR-variant deduplication.</x:v>
      </x:c>
      <x:c r="G450" s="717" t="str">
        <x:v>Duplicate control</x:v>
      </x:c>
      <x:c r="H450" s="717"/>
      <x:c r="I450" s="720" t="str">
        <x:v>Confirmed duplicate during enhanced OCR-variant deduplication.</x:v>
      </x:c>
      <x:c r="J450" s="717"/>
      <x:c r="K450" s="720" t="str">
        <x:v>Removed from the final title/abstract denominator before full-text retrieval.</x:v>
      </x:c>
      <x:c r="L450" s="720" t="str">
        <x:v>E Mezzi G Burghouls M Kruithof -ACM Transactions on Spatal 2126-d acmorg</x:v>
      </x:c>
      <x:c r="M450" s="728"/>
      <x:c r="N450" s="717" t="str">
        <x:v>Google Scholar result</x:v>
      </x:c>
      <x:c r="O450" s="717" t="str">
        <x:v>No</x:v>
      </x:c>
      <x:c r="P450" s="717"/>
    </x:row>
    <x:row r="451" ht="38" customHeight="1">
      <x:c r="A451" s="717" t="str">
        <x:v>GS-05-039</x:v>
      </x:c>
      <x:c r="B451" s="717" t="str">
        <x:v>Google Scholar</x:v>
      </x:c>
      <x:c r="C451" s="717" t="str">
        <x:v>GS-05</x:v>
      </x:c>
      <x:c r="D451" s="720" t="str">
        <x:v>POF] A neure-symbolic approach to GPS trajectory classification</x:v>
      </x:c>
      <x:c r="E451" s="717"/>
      <x:c r="F451" s="720" t="str">
        <x:v>Confirmed duplicate during enhanced OCR-variant deduplication.</x:v>
      </x:c>
      <x:c r="G451" s="717" t="str">
        <x:v>Duplicate control</x:v>
      </x:c>
      <x:c r="H451" s="717"/>
      <x:c r="I451" s="720" t="str">
        <x:v>Confirmed duplicate during enhanced OCR-variant deduplication.</x:v>
      </x:c>
      <x:c r="J451" s="717"/>
      <x:c r="K451" s="720" t="str">
        <x:v>Removed from the final title/abstract denominator before full-text retrieval.</x:v>
      </x:c>
      <x:c r="L451" s="720" t="str">
        <x:v>R Barbosa DO Ca-deso DCapralho =</x:v>
      </x:c>
      <x:c r="M451" s="728" t="n">
        <x:v>2017</x:v>
      </x:c>
      <x:c r="N451" s="717" t="str">
        <x:v>Google Scholar result</x:v>
      </x:c>
      <x:c r="O451" s="717" t="str">
        <x:v>No</x:v>
      </x:c>
      <x:c r="P451" s="717"/>
    </x:row>
    <x:row r="452" ht="38" customHeight="1">
      <x:c r="A452" s="717" t="str">
        <x:v>GS-05-040</x:v>
      </x:c>
      <x:c r="B452" s="717" t="str">
        <x:v>Google Scholar</x:v>
      </x:c>
      <x:c r="C452" s="717" t="str">
        <x:v>GS-05</x:v>
      </x:c>
      <x:c r="D452" s="720" t="str">
        <x:v>YVeightless neuro-symbolic GPS trajectory classification</x:v>
      </x:c>
      <x:c r="E452" s="717"/>
      <x:c r="F452" s="720" t="str">
        <x:v>Confirmed duplicate during enhanced OCR-variant deduplication.</x:v>
      </x:c>
      <x:c r="G452" s="717" t="str">
        <x:v>Duplicate control</x:v>
      </x:c>
      <x:c r="H452" s="717"/>
      <x:c r="I452" s="720" t="str">
        <x:v>Confirmed duplicate during enhanced OCR-variant deduplication.</x:v>
      </x:c>
      <x:c r="J452" s="717"/>
      <x:c r="K452" s="720" t="str">
        <x:v>Removed from the final title/abstract denominator before full-text retrieval.</x:v>
      </x:c>
      <x:c r="L452" s="720" t="str">
        <x:v>R Barbosa DO Cadosa, D Carvalho, =MG Fraica</x:v>
      </x:c>
      <x:c r="M452" s="728" t="n">
        <x:v>2018</x:v>
      </x:c>
      <x:c r="N452" s="717" t="str">
        <x:v>Google Scholar result</x:v>
      </x:c>
      <x:c r="O452" s="717" t="str">
        <x:v>No</x:v>
      </x:c>
      <x:c r="P452" s="717"/>
    </x:row>
    <x:row r="453" ht="38" customHeight="1">
      <x:c r="A453" s="717" t="str">
        <x:v>GS-05-045</x:v>
      </x:c>
      <x:c r="B453" s="717" t="str">
        <x:v>Google Scholar</x:v>
      </x:c>
      <x:c r="C453" s="717" t="str">
        <x:v>GS-05</x:v>
      </x:c>
      <x:c r="D453" s="720" t="str">
        <x:v>t4TML] ACNN-DR’ Adaptive convolutional neural network for diabetic retinopathy using bias correction and continual learning</x:v>
      </x:c>
      <x:c r="E453" s="717"/>
      <x:c r="F453" s="720" t="str">
        <x:v>Confirmed duplicate during enhanced OCR-variant deduplication.</x:v>
      </x:c>
      <x:c r="G453" s="717" t="str">
        <x:v>Duplicate control</x:v>
      </x:c>
      <x:c r="H453" s="717"/>
      <x:c r="I453" s="720" t="str">
        <x:v>Confirmed duplicate during enhanced OCR-variant deduplication.</x:v>
      </x:c>
      <x:c r="J453" s="717"/>
      <x:c r="K453" s="720" t="str">
        <x:v>Removed from the final title/abstract denominator before full-text retrieval.</x:v>
      </x:c>
      <x:c r="L453" s="720" t="str">
        <x:v>AJadray RNAwae RR ngle- B-omedical Signa Processing and Contral 2026 « Elsevier</x:v>
      </x:c>
      <x:c r="M453" s="728" t="n">
        <x:v>2026</x:v>
      </x:c>
      <x:c r="N453" s="717" t="str">
        <x:v>Google Scholar result</x:v>
      </x:c>
      <x:c r="O453" s="717" t="str">
        <x:v>No</x:v>
      </x:c>
      <x:c r="P453" s="717"/>
    </x:row>
    <x:row r="454" ht="38" customHeight="1">
      <x:c r="A454" s="717" t="str">
        <x:v>GS-05-048</x:v>
      </x:c>
      <x:c r="B454" s="717" t="str">
        <x:v>Google Scholar</x:v>
      </x:c>
      <x:c r="C454" s="717" t="str">
        <x:v>GS-05</x:v>
      </x:c>
      <x:c r="D454" s="720" t="str">
        <x:v>Architectural Review of Early Alzheimer's Diagnostics Neurc-Adaptive K-Means. Deep Embedding Clustering, and Edge-to-Cloud Pipelines</x:v>
      </x:c>
      <x:c r="E454" s="717"/>
      <x:c r="F454" s="720" t="str">
        <x:v>Confirmed duplicate during enhanced OCR-variant deduplication.</x:v>
      </x:c>
      <x:c r="G454" s="717" t="str">
        <x:v>Duplicate control</x:v>
      </x:c>
      <x:c r="H454" s="717"/>
      <x:c r="I454" s="720" t="str">
        <x:v>Confirmed duplicate during enhanced OCR-variant deduplication.</x:v>
      </x:c>
      <x:c r="J454" s="717"/>
      <x:c r="K454" s="720" t="str">
        <x:v>Removed from the final title/abstract denominator before full-text retrieval.</x:v>
      </x:c>
      <x:c r="L454" s="720" t="str">
        <x:v>TMohanraj SS Hammed =</x:v>
      </x:c>
      <x:c r="M454" s="728" t="n">
        <x:v>2025</x:v>
      </x:c>
      <x:c r="N454" s="717" t="str">
        <x:v>Google Scholar result</x:v>
      </x:c>
      <x:c r="O454" s="717" t="str">
        <x:v>No</x:v>
      </x:c>
      <x:c r="P454" s="717"/>
    </x:row>
    <x:row r="455" ht="38" customHeight="1">
      <x:c r="A455" s="717" t="str">
        <x:v>GS-05-050</x:v>
      </x:c>
      <x:c r="B455" s="717" t="str">
        <x:v>Google Scholar</x:v>
      </x:c>
      <x:c r="C455" s="717" t="str">
        <x:v>GS-05</x:v>
      </x:c>
      <x:c r="D455" s="720" t="str">
        <x:v>Cogsys Efficient and scalable neurosymbalic cognition systam via algonthm- hardware co-design</x:v>
      </x:c>
      <x:c r="E455" s="717"/>
      <x:c r="F455" s="720" t="str">
        <x:v>Confirmed duplicate during enhanced OCR-variant deduplication.</x:v>
      </x:c>
      <x:c r="G455" s="717" t="str">
        <x:v>Duplicate control</x:v>
      </x:c>
      <x:c r="H455" s="717"/>
      <x:c r="I455" s="720" t="str">
        <x:v>Confirmed duplicate during enhanced OCR-variant deduplication.</x:v>
      </x:c>
      <x:c r="J455" s="717"/>
      <x:c r="K455" s="720" t="str">
        <x:v>Removed from the final title/abstract denominator before full-text retrieval.</x:v>
      </x:c>
      <x:c r="L455" s="720" t="str">
        <x:v>éivar HY¥ang, RRaj. CK Lig</x:v>
      </x:c>
      <x:c r="M455" s="728" t="n">
        <x:v>2026</x:v>
      </x:c>
      <x:c r="N455" s="717" t="str">
        <x:v>Google Scholar result</x:v>
      </x:c>
      <x:c r="O455" s="717" t="str">
        <x:v>No</x:v>
      </x:c>
      <x:c r="P455" s="717"/>
    </x:row>
    <x:row r="456" ht="38" customHeight="1">
      <x:c r="A456" s="717" t="str">
        <x:v>GS-05-058</x:v>
      </x:c>
      <x:c r="B456" s="717" t="str">
        <x:v>Google Scholar</x:v>
      </x:c>
      <x:c r="C456" s="717" t="str">
        <x:v>GS-05</x:v>
      </x:c>
      <x:c r="D456" s="720" t="str">
        <x:v>POF] Shamamsm: Evolution in Mystic Disguise</x:v>
      </x:c>
      <x:c r="E456" s="717" t="str">
        <x:v>Exclude</x:v>
      </x:c>
      <x:c r="F456" s="720" t="str">
        <x:v>Clearly outside retinal/ophthalmic concept-based explainable AI.</x:v>
      </x:c>
      <x:c r="G456" s="717" t="str">
        <x:v>Title only</x:v>
      </x:c>
      <x:c r="H456" s="717" t="str">
        <x:v>Exclude</x:v>
      </x:c>
      <x:c r="I456" s="720" t="str">
        <x:v>Clearly outside retinal/ophthalmic concept-based explainable AI.</x:v>
      </x:c>
      <x:c r="J456" s="717" t="str">
        <x:f>IF(E456=H456,E456,"Unclear")</x:f>
        <x:v>Exclude</x:v>
      </x:c>
      <x:c r="K456" s="720" t="str">
        <x:f>IF(E456=H456,"Agreement between both AI passes.","AI-pass disagreement; retain for human discussion.")</x:f>
        <x:v>Agreement between both AI passes.</x:v>
      </x:c>
      <x:c r="L456" s="720" t="str">
        <x:v>S$ Buyuk</x:v>
      </x:c>
      <x:c r="M456" s="728" t="n">
        <x:v>2025</x:v>
      </x:c>
      <x:c r="N456" s="717" t="str">
        <x:v>Google Scholar result</x:v>
      </x:c>
      <x:c r="O456" s="717" t="str">
        <x:v>No</x:v>
      </x:c>
      <x:c r="P456" s="717"/>
    </x:row>
    <x:row r="457" ht="38" customHeight="1">
      <x:c r="A457" s="717" t="str">
        <x:v>GS-05-063</x:v>
      </x:c>
      <x:c r="B457" s="717" t="str">
        <x:v>Google Scholar</x:v>
      </x:c>
      <x:c r="C457" s="717" t="str">
        <x:v>GS-05</x:v>
      </x:c>
      <x:c r="D457" s="720" t="str">
        <x:v>por] LIm-based personalized recommendations in health</x:v>
      </x:c>
      <x:c r="E457" s="717" t="str">
        <x:v>Exclude</x:v>
      </x:c>
      <x:c r="F457" s="720" t="str">
        <x:v>Medical/clinical topic, but no eligible concept-based explainability contribution is evident.</x:v>
      </x:c>
      <x:c r="G457" s="717" t="str">
        <x:v>Title only</x:v>
      </x:c>
      <x:c r="H457" s="717" t="str">
        <x:v>Exclude</x:v>
      </x:c>
      <x:c r="I457" s="720" t="str">
        <x:v>Medical/clinical topic, but no eligible concept-based explainability contribution is evident.</x:v>
      </x:c>
      <x:c r="J457" s="717" t="str">
        <x:f>IF(E457=H457,E457,"Unclear")</x:f>
        <x:v>Exclude</x:v>
      </x:c>
      <x:c r="K457" s="720" t="str">
        <x:f>IF(E457=H457,"Agreement between both AI passes.","AI-pass disagreement; retain for human discussion.")</x:f>
        <x:v>Agreement between both AI passes.</x:v>
      </x:c>
      <x:c r="L457" s="720" t="str">
        <x:v>BA Galitsky</x:v>
      </x:c>
      <x:c r="M457" s="728" t="n">
        <x:v>2024</x:v>
      </x:c>
      <x:c r="N457" s="717" t="str">
        <x:v>Google Scholar result</x:v>
      </x:c>
      <x:c r="O457" s="717" t="str">
        <x:v>No</x:v>
      </x:c>
      <x:c r="P457" s="717"/>
    </x:row>
    <x:row r="458" ht="38" customHeight="1">
      <x:c r="A458" s="717" t="str">
        <x:v>GS-05-065</x:v>
      </x:c>
      <x:c r="B458" s="717" t="str">
        <x:v>Google Scholar</x:v>
      </x:c>
      <x:c r="C458" s="717" t="str">
        <x:v>GS-05</x:v>
      </x:c>
      <x:c r="D458" s="720" t="str">
        <x:v>Towards Personalized Oncolagy Rehabilitation: A Hybrid LLM-Knowledge Graph Recommendation Approach</x:v>
      </x:c>
      <x:c r="E458" s="717" t="str">
        <x:v>Exclude</x:v>
      </x:c>
      <x:c r="F458" s="720" t="str">
        <x:v>Clearly outside retinal/ophthalmic concept-based explainable AI.</x:v>
      </x:c>
      <x:c r="G458" s="717" t="str">
        <x:v>Title only</x:v>
      </x:c>
      <x:c r="H458" s="717" t="str">
        <x:v>Exclude</x:v>
      </x:c>
      <x:c r="I458" s="720" t="str">
        <x:v>Clearly outside retinal/ophthalmic concept-based explainable AI.</x:v>
      </x:c>
      <x:c r="J458" s="717" t="str">
        <x:f>IF(E458=H458,E458,"Unclear")</x:f>
        <x:v>Exclude</x:v>
      </x:c>
      <x:c r="K458" s="720" t="str">
        <x:f>IF(E458=H458,"Agreement between both AI passes.","AI-pass disagreement; retain for human discussion.")</x:f>
        <x:v>Agreement between both AI passes.</x:v>
      </x:c>
      <x:c r="L458" s="720" t="str">
        <x:v>H Djecabria. Y Sem N Messai</x:v>
      </x:c>
      <x:c r="M458" s="728" t="n">
        <x:v>2026</x:v>
      </x:c>
      <x:c r="N458" s="717" t="str">
        <x:v>Google Scholar result</x:v>
      </x:c>
      <x:c r="O458" s="717" t="str">
        <x:v>No</x:v>
      </x:c>
      <x:c r="P458" s="717"/>
    </x:row>
    <x:row r="459" ht="38" customHeight="1">
      <x:c r="A459" s="717" t="str">
        <x:v>GS-05-066</x:v>
      </x:c>
      <x:c r="B459" s="717" t="str">
        <x:v>Google Scholar</x:v>
      </x:c>
      <x:c r="C459" s="717" t="str">
        <x:v>GS-05</x:v>
      </x:c>
      <x:c r="D459" s="720" t="str">
        <x:v>Homotopic Hierarchies of Mental Content A Structural Account of Percepts, Beliefs and Artificial Cognition</x:v>
      </x:c>
      <x:c r="E459" s="717" t="str">
        <x:v>Exclude</x:v>
      </x:c>
      <x:c r="F459" s="720" t="str">
        <x:v>Clearly outside retinal/ophthalmic concept-based explainable AI.</x:v>
      </x:c>
      <x:c r="G459" s="717" t="str">
        <x:v>Title only</x:v>
      </x:c>
      <x:c r="H459" s="717" t="str">
        <x:v>Exclude</x:v>
      </x:c>
      <x:c r="I459" s="720" t="str">
        <x:v>Clearly outside retinal/ophthalmic concept-based explainable AI.</x:v>
      </x:c>
      <x:c r="J459" s="717" t="str">
        <x:f>IF(E459=H459,E459,"Unclear")</x:f>
        <x:v>Exclude</x:v>
      </x:c>
      <x:c r="K459" s="720" t="str">
        <x:f>IF(E459=H459,"Agreement between both AI passes.","AI-pass disagreement; retain for human discussion.")</x:f>
        <x:v>Agreement between both AI passes.</x:v>
      </x:c>
      <x:c r="L459" s="720" t="str">
        <x:v>F Erdman</x:v>
      </x:c>
      <x:c r="M459" s="728" t="n">
        <x:v>2026</x:v>
      </x:c>
      <x:c r="N459" s="717" t="str">
        <x:v>Google Scholar result</x:v>
      </x:c>
      <x:c r="O459" s="717" t="str">
        <x:v>No</x:v>
      </x:c>
      <x:c r="P459" s="717"/>
    </x:row>
    <x:row r="460" ht="38" customHeight="1">
      <x:c r="A460" s="717" t="str">
        <x:v>GS-05-068</x:v>
      </x:c>
      <x:c r="B460" s="717" t="str">
        <x:v>Google Scholar</x:v>
      </x:c>
      <x:c r="C460" s="717" t="str">
        <x:v>GS-05</x:v>
      </x:c>
      <x:c r="D460" s="720" t="str">
        <x:v>POF] The Evolutionary Function of Dreams: From Symbolic Cognition to Biological Encading</x:v>
      </x:c>
      <x:c r="E460" s="717" t="str">
        <x:v>Exclude</x:v>
      </x:c>
      <x:c r="F460" s="720" t="str">
        <x:v>Clearly outside retinal/ophthalmic concept-based explainable AI.</x:v>
      </x:c>
      <x:c r="G460" s="717" t="str">
        <x:v>Title only</x:v>
      </x:c>
      <x:c r="H460" s="717" t="str">
        <x:v>Exclude</x:v>
      </x:c>
      <x:c r="I460" s="720" t="str">
        <x:v>Clearly outside retinal/ophthalmic concept-based explainable AI.</x:v>
      </x:c>
      <x:c r="J460" s="717" t="str">
        <x:f>IF(E460=H460,E460,"Unclear")</x:f>
        <x:v>Exclude</x:v>
      </x:c>
      <x:c r="K460" s="720" t="str">
        <x:f>IF(E460=H460,"Agreement between both AI passes.","AI-pass disagreement; retain for human discussion.")</x:f>
        <x:v>Agreement between both AI passes.</x:v>
      </x:c>
      <x:c r="L460" s="720" t="str">
        <x:v>S Suyuk</x:v>
      </x:c>
      <x:c r="M460" s="728" t="n">
        <x:v>2025</x:v>
      </x:c>
      <x:c r="N460" s="717" t="str">
        <x:v>Google Scholar result</x:v>
      </x:c>
      <x:c r="O460" s="717" t="str">
        <x:v>No</x:v>
      </x:c>
      <x:c r="P460" s="717"/>
    </x:row>
    <x:row r="461" ht="38" customHeight="1">
      <x:c r="A461" s="717" t="str">
        <x:v>GS-05-069</x:v>
      </x:c>
      <x:c r="B461" s="717" t="str">
        <x:v>Google Scholar</x:v>
      </x:c>
      <x:c r="C461" s="717" t="str">
        <x:v>GS-05</x:v>
      </x:c>
      <x:c r="D461" s="720" t="str">
        <x:v>(PoF] Al-Driven Predictive Analytics and loT Sensors for Optimizing Municipal Waste Collection in Smart Cities</x:v>
      </x:c>
      <x:c r="E461" s="717" t="str">
        <x:v>Exclude</x:v>
      </x:c>
      <x:c r="F461" s="720" t="str">
        <x:v>Clearly outside retinal/ophthalmic concept-based explainable AI.</x:v>
      </x:c>
      <x:c r="G461" s="717" t="str">
        <x:v>Title only</x:v>
      </x:c>
      <x:c r="H461" s="717" t="str">
        <x:v>Exclude</x:v>
      </x:c>
      <x:c r="I461" s="720" t="str">
        <x:v>Clearly outside retinal/ophthalmic concept-based explainable AI.</x:v>
      </x:c>
      <x:c r="J461" s="717" t="str">
        <x:f>IF(E461=H461,E461,"Unclear")</x:f>
        <x:v>Exclude</x:v>
      </x:c>
      <x:c r="K461" s="720" t="str">
        <x:f>IF(E461=H461,"Agreement between both AI passes.","AI-pass disagreement; retain for human discussion.")</x:f>
        <x:v>Agreement between both AI passes.</x:v>
      </x:c>
      <x:c r="L461" s="720" t="str">
        <x:v>ASnnivasan G Praturam | Deepika 4 Balaxrishnan</x:v>
      </x:c>
      <x:c r="M461" s="728"/>
      <x:c r="N461" s="717" t="str">
        <x:v>Google Scholar result</x:v>
      </x:c>
      <x:c r="O461" s="717" t="str">
        <x:v>No</x:v>
      </x:c>
      <x:c r="P461" s="717"/>
    </x:row>
    <x:row r="462" ht="38" customHeight="1">
      <x:c r="A462" s="717" t="str">
        <x:v>GS-05-071</x:v>
      </x:c>
      <x:c r="B462" s="717" t="str">
        <x:v>Google Scholar</x:v>
      </x:c>
      <x:c r="C462" s="717" t="str">
        <x:v>GS-05</x:v>
      </x:c>
      <x:c r="D462" s="720" t="str">
        <x:v>The long and winding path towards a trustworthy Al</x:v>
      </x:c>
      <x:c r="E462" s="717" t="str">
        <x:v>Exclude</x:v>
      </x:c>
      <x:c r="F462" s="720" t="str">
        <x:v>Generic explainability topic outside the retinal/medical concept-XAI scope.</x:v>
      </x:c>
      <x:c r="G462" s="717" t="str">
        <x:v>Title only</x:v>
      </x:c>
      <x:c r="H462" s="717" t="str">
        <x:v>Exclude</x:v>
      </x:c>
      <x:c r="I462" s="720" t="str">
        <x:v>Generic explainability topic outside the retinal/medical concept-XAI scope.</x:v>
      </x:c>
      <x:c r="J462" s="717" t="str">
        <x:f>IF(E462=H462,E462,"Unclear")</x:f>
        <x:v>Exclude</x:v>
      </x:c>
      <x:c r="K462" s="720" t="str">
        <x:f>IF(E462=H462,"Agreement between both AI passes.","AI-pass disagreement; retain for human discussion.")</x:f>
        <x:v>Agreement between both AI passes.</x:v>
      </x:c>
      <x:c r="L462" s="720" t="str">
        <x:v>A Quana</x:v>
      </x:c>
      <x:c r="M462" s="728"/>
      <x:c r="N462" s="717" t="str">
        <x:v>Google Scholar result</x:v>
      </x:c>
      <x:c r="O462" s="717" t="str">
        <x:v>No</x:v>
      </x:c>
      <x:c r="P462" s="717"/>
    </x:row>
    <x:row r="463" ht="38" customHeight="1">
      <x:c r="A463" s="717" t="str">
        <x:v>GS-05-072</x:v>
      </x:c>
      <x:c r="B463" s="717" t="str">
        <x:v>Google Scholar</x:v>
      </x:c>
      <x:c r="C463" s="717" t="str">
        <x:v>GS-05</x:v>
      </x:c>
      <x:c r="D463" s="720" t="str">
        <x:v>Layers folds, and semi-neuronal information processing</x:v>
      </x:c>
      <x:c r="E463" s="717" t="str">
        <x:v>Exclude</x:v>
      </x:c>
      <x:c r="F463" s="720" t="str">
        <x:v>Clearly outside retinal/ophthalmic concept-based explainable AI.</x:v>
      </x:c>
      <x:c r="G463" s="717" t="str">
        <x:v>Title only</x:v>
      </x:c>
      <x:c r="H463" s="717" t="str">
        <x:v>Exclude</x:v>
      </x:c>
      <x:c r="I463" s="720" t="str">
        <x:v>Clearly outside retinal/ophthalmic concept-based explainable AI.</x:v>
      </x:c>
      <x:c r="J463" s="717" t="str">
        <x:f>IF(E463=H463,E463,"Unclear")</x:f>
        <x:v>Exclude</x:v>
      </x:c>
      <x:c r="K463" s="720" t="str">
        <x:f>IF(E463=H463,"Agreement between both AI passes.","AI-pass disagreement; retain for human discussion.")</x:f>
        <x:v>Agreement between both AI passes.</x:v>
      </x:c>
      <x:c r="L463" s="720" t="str">
        <x:v>BAbcea J Parent. Procedis Computer Science 2722 . Elsaviac</x:v>
      </x:c>
      <x:c r="M463" s="728"/>
      <x:c r="N463" s="717" t="str">
        <x:v>Google Scholar result</x:v>
      </x:c>
      <x:c r="O463" s="717" t="str">
        <x:v>No</x:v>
      </x:c>
      <x:c r="P463" s="717"/>
    </x:row>
    <x:row r="464" ht="38" customHeight="1">
      <x:c r="A464" s="717" t="str">
        <x:v>GS-05-073</x:v>
      </x:c>
      <x:c r="B464" s="717" t="str">
        <x:v>Google Scholar</x:v>
      </x:c>
      <x:c r="C464" s="717" t="str">
        <x:v>GS-05</x:v>
      </x:c>
      <x:c r="D464" s="720" t="str">
        <x:v>Back to the feature Aneural-symbolic perspective on explainable Al</x:v>
      </x:c>
      <x:c r="E464" s="717" t="str">
        <x:v>Include</x:v>
      </x:c>
      <x:c r="F464" s="720" t="str">
        <x:v>Foundational concept-XAI method relevant to the review taxonomy or reliability analysis (title only).</x:v>
      </x:c>
      <x:c r="G464" s="717" t="str">
        <x:v>Title only</x:v>
      </x:c>
      <x:c r="H464" s="717" t="str">
        <x:v>Unclear</x:v>
      </x:c>
      <x:c r="I464" s="720" t="str">
        <x:v>Concept-XAI method may be useful as foundational/contextual evidence; retinal or medical applicability requires discussion (title only).</x:v>
      </x:c>
      <x:c r="J464" s="717" t="str">
        <x:f>IF(E464=H464,E464,"Unclear")</x:f>
        <x:v>Unclear</x:v>
      </x:c>
      <x:c r="K464" s="720" t="str">
        <x:f>IF(E464=H464,"Agreement between both AI passes.","AI-pass disagreement; retain for human discussion.")</x:f>
        <x:v>AI-pass disagreement; retain for human discussion.</x:v>
      </x:c>
      <x:c r="L464" s="720" t="str">
        <x:v>ACanpsgner F Cabiza- -Corrain Canterenca fo’ Machine Laaming and =. 2020</x:v>
      </x:c>
      <x:c r="M464" s="728" t="n">
        <x:v>2020</x:v>
      </x:c>
      <x:c r="N464" s="717" t="str">
        <x:v>Google Scholar result</x:v>
      </x:c>
      <x:c r="O464" s="717" t="str">
        <x:v>No</x:v>
      </x:c>
      <x:c r="P464" s="717"/>
    </x:row>
    <x:row r="465" ht="38" customHeight="1">
      <x:c r="A465" s="717" t="str">
        <x:v>GS-05-074</x:v>
      </x:c>
      <x:c r="B465" s="717" t="str">
        <x:v>Google Scholar</x:v>
      </x:c>
      <x:c r="C465" s="717" t="str">
        <x:v>GS-05</x:v>
      </x:c>
      <x:c r="D465" s="720" t="str">
        <x:v>(PoF] Development of next generation Al by modeling brain information</x:v>
      </x:c>
      <x:c r="E465" s="717"/>
      <x:c r="F465" s="720" t="str">
        <x:v>Confirmed duplicate during enhanced OCR-variant deduplication.</x:v>
      </x:c>
      <x:c r="G465" s="717" t="str">
        <x:v>Duplicate control</x:v>
      </x:c>
      <x:c r="H465" s="717"/>
      <x:c r="I465" s="720" t="str">
        <x:v>Confirmed duplicate during enhanced OCR-variant deduplication.</x:v>
      </x:c>
      <x:c r="J465" s="717"/>
      <x:c r="K465" s="720" t="str">
        <x:v>Removed from the final title/abstract denominator before full-text retrieval.</x:v>
      </x:c>
      <x:c r="L465" s="720" t="str">
        <x:v>K Ohki. K Aihara H Nakayama</x:v>
      </x:c>
      <x:c r="M465" s="728"/>
      <x:c r="N465" s="717" t="str">
        <x:v>Google Scholar result</x:v>
      </x:c>
      <x:c r="O465" s="717" t="str">
        <x:v>No</x:v>
      </x:c>
      <x:c r="P465" s="717"/>
    </x:row>
    <x:row r="466" ht="38" customHeight="1">
      <x:c r="A466" s="717" t="str">
        <x:v>GS-05-075</x:v>
      </x:c>
      <x:c r="B466" s="717" t="str">
        <x:v>Google Scholar</x:v>
      </x:c>
      <x:c r="C466" s="717" t="str">
        <x:v>GS-05</x:v>
      </x:c>
      <x:c r="D466" s="720" t="str">
        <x:v>(PoF] Human-Centered Pathways to Trustworthy Al in Healthcare A Comparative Analysis of Explainable Al, Human-in-the-Loop, Hybrid Al: and Uncertainty</x:v>
      </x:c>
      <x:c r="E466" s="717" t="str">
        <x:v>Unclear</x:v>
      </x:c>
      <x:c r="F466" s="720" t="str">
        <x:v>Possible contextual explainability evidence, but concept-level relevance is not confirmed from the available title only.</x:v>
      </x:c>
      <x:c r="G466" s="717" t="str">
        <x:v>Title only</x:v>
      </x:c>
      <x:c r="H466" s="717" t="str">
        <x:v>Exclude</x:v>
      </x:c>
      <x:c r="I466" s="720" t="str">
        <x:v>Medical/clinical topic, but no eligible concept-based explainability contribution is evident.</x:v>
      </x:c>
      <x:c r="J466" s="717" t="str">
        <x:f>IF(E466=H466,E466,"Unclear")</x:f>
        <x:v>Unclear</x:v>
      </x:c>
      <x:c r="K466" s="720" t="str">
        <x:f>IF(E466=H466,"Agreement between both AI passes.","AI-pass disagreement; retain for human discussion.")</x:f>
        <x:v>AI-pass disagreement; retain for human discussion.</x:v>
      </x:c>
      <x:c r="L466" s="720" t="str">
        <x:v>AKohan, JXu LX%ao XiV¥u AKukkar Shussain</x:v>
      </x:c>
      <x:c r="M466" s="728" t="n">
        <x:v>2026</x:v>
      </x:c>
      <x:c r="N466" s="717" t="str">
        <x:v>Google Scholar result</x:v>
      </x:c>
      <x:c r="O466" s="717" t="str">
        <x:v>No</x:v>
      </x:c>
      <x:c r="P466" s="717"/>
    </x:row>
    <x:row r="467" ht="38" customHeight="1">
      <x:c r="A467" s="717" t="str">
        <x:v>GS-05-076</x:v>
      </x:c>
      <x:c r="B467" s="717" t="str">
        <x:v>Google Scholar</x:v>
      </x:c>
      <x:c r="C467" s="717" t="str">
        <x:v>GS-05</x:v>
      </x:c>
      <x:c r="D467" s="720" t="str">
        <x:v>(Book) Cognitive artificial intelligence for health and climate Deep models, interpretability, and decision support</x:v>
      </x:c>
      <x:c r="E467" s="717"/>
      <x:c r="F467" s="720" t="str">
        <x:v>Confirmed duplicate during enhanced OCR-variant deduplication.</x:v>
      </x:c>
      <x:c r="G467" s="717" t="str">
        <x:v>Duplicate control</x:v>
      </x:c>
      <x:c r="H467" s="717"/>
      <x:c r="I467" s="720" t="str">
        <x:v>Confirmed duplicate during enhanced OCR-variant deduplication.</x:v>
      </x:c>
      <x:c r="J467" s="717"/>
      <x:c r="K467" s="720" t="str">
        <x:v>Removed from the final title/abstract denominator before full-text retrieval.</x:v>
      </x:c>
      <x:c r="L467" s="720" t="str">
        <x:v>S$ Shivadakar- 2025</x:v>
      </x:c>
      <x:c r="M467" s="728" t="n">
        <x:v>2025</x:v>
      </x:c>
      <x:c r="N467" s="717" t="str">
        <x:v>Google Scholar result</x:v>
      </x:c>
      <x:c r="O467" s="717" t="str">
        <x:v>No</x:v>
      </x:c>
      <x:c r="P467" s="717"/>
    </x:row>
    <x:row r="468" ht="38" customHeight="1">
      <x:c r="A468" s="717" t="str">
        <x:v>GS-05-078</x:v>
      </x:c>
      <x:c r="B468" s="717" t="str">
        <x:v>Google Scholar</x:v>
      </x:c>
      <x:c r="C468" s="717" t="str">
        <x:v>GS-05</x:v>
      </x:c>
      <x:c r="D468" s="720" t="str">
        <x:v>Constraint programming for constrained text generatian</x:v>
      </x:c>
      <x:c r="E468" s="717" t="str">
        <x:v>Exclude</x:v>
      </x:c>
      <x:c r="F468" s="720" t="str">
        <x:v>Clearly outside retinal/ophthalmic concept-based explainable AI.</x:v>
      </x:c>
      <x:c r="G468" s="717" t="str">
        <x:v>Title only</x:v>
      </x:c>
      <x:c r="H468" s="717" t="str">
        <x:v>Exclude</x:v>
      </x:c>
      <x:c r="I468" s="720" t="str">
        <x:v>Clearly outside retinal/ophthalmic concept-based explainable AI.</x:v>
      </x:c>
      <x:c r="J468" s="717" t="str">
        <x:f>IF(E468=H468,E468,"Unclear")</x:f>
        <x:v>Exclude</x:v>
      </x:c>
      <x:c r="K468" s="720" t="str">
        <x:f>IF(E468=H468,"Agreement between both AI passes.","AI-pass disagreement; retain for human discussion.")</x:f>
        <x:v>Agreement between both AI passes.</x:v>
      </x:c>
      <x:c r="L468" s="720" t="str">
        <x:v>ABonlarron</x:v>
      </x:c>
      <x:c r="M468" s="728" t="n">
        <x:v>2025</x:v>
      </x:c>
      <x:c r="N468" s="717" t="str">
        <x:v>Google Scholar result</x:v>
      </x:c>
      <x:c r="O468" s="717" t="str">
        <x:v>No</x:v>
      </x:c>
      <x:c r="P468" s="717"/>
    </x:row>
    <x:row r="469" ht="38" customHeight="1">
      <x:c r="A469" s="717" t="str">
        <x:v>GS-05-079</x:v>
      </x:c>
      <x:c r="B469" s="717" t="str">
        <x:v>Google Scholar</x:v>
      </x:c>
      <x:c r="C469" s="717" t="str">
        <x:v>GS-05</x:v>
      </x:c>
      <x:c r="D469" s="720" t="str">
        <x:v>Brain-insptred artificial intelligence research’ A review</x:v>
      </x:c>
      <x:c r="E469" s="717"/>
      <x:c r="F469" s="720" t="str">
        <x:v>Confirmed duplicate during enhanced OCR-variant deduplication.</x:v>
      </x:c>
      <x:c r="G469" s="717" t="str">
        <x:v>Duplicate control</x:v>
      </x:c>
      <x:c r="H469" s="717"/>
      <x:c r="I469" s="720" t="str">
        <x:v>Confirmed duplicate during enhanced OCR-variant deduplication.</x:v>
      </x:c>
      <x:c r="J469" s="717"/>
      <x:c r="K469" s="720" t="str">
        <x:v>Removed from the final title/abstract denominator before full-text retrieval.</x:v>
      </x:c>
      <x:c r="L469" s="720" t="str">
        <x:v>GY Wane HN Bao C Liv. “G Zhou. Siu</x:v>
      </x:c>
      <x:c r="M469" s="728" t="n">
        <x:v>2024</x:v>
      </x:c>
      <x:c r="N469" s="717" t="str">
        <x:v>Google Scholar result</x:v>
      </x:c>
      <x:c r="O469" s="717" t="str">
        <x:v>No</x:v>
      </x:c>
      <x:c r="P469" s="717"/>
    </x:row>
    <x:row r="470" ht="38" customHeight="1">
      <x:c r="A470" s="717" t="str">
        <x:v>GS-05-080</x:v>
      </x:c>
      <x:c r="B470" s="717" t="str">
        <x:v>Google Scholar</x:v>
      </x:c>
      <x:c r="C470" s="717" t="str">
        <x:v>GS-05</x:v>
      </x:c>
      <x:c r="D470" s="720" t="str">
        <x:v>Neural brain A neurascience-inspired framework for embodied agents</x:v>
      </x:c>
      <x:c r="E470" s="717" t="str">
        <x:v>Exclude</x:v>
      </x:c>
      <x:c r="F470" s="720" t="str">
        <x:v>Medical/clinical topic, but no eligible concept-based explainability contribution is evident.</x:v>
      </x:c>
      <x:c r="G470" s="717" t="str">
        <x:v>Title only</x:v>
      </x:c>
      <x:c r="H470" s="717" t="str">
        <x:v>Exclude</x:v>
      </x:c>
      <x:c r="I470" s="720" t="str">
        <x:v>Medical/clinical topic, but no eligible concept-based explainability contribution is evident.</x:v>
      </x:c>
      <x:c r="J470" s="717" t="str">
        <x:f>IF(E470=H470,E470,"Unclear")</x:f>
        <x:v>Exclude</x:v>
      </x:c>
      <x:c r="K470" s="720" t="str">
        <x:f>IF(E470=H470,"Agreement between both AI passes.","AI-pass disagreement; retain for human discussion.")</x:f>
        <x:v>Agreement between both AI passes.</x:v>
      </x:c>
      <x:c r="L470" s="720" t="str">
        <x:v>dhiy XShi [DO Nouven HZnang TZhang</x:v>
      </x:c>
      <x:c r="M470" s="728"/>
      <x:c r="N470" s="717" t="str">
        <x:v>Google Scholar result</x:v>
      </x:c>
      <x:c r="O470" s="717" t="str">
        <x:v>No</x:v>
      </x:c>
      <x:c r="P470" s="717"/>
    </x:row>
    <x:row r="471" ht="38" customHeight="1">
      <x:c r="A471" s="717" t="str">
        <x:v>GS-05-081</x:v>
      </x:c>
      <x:c r="B471" s="717" t="str">
        <x:v>Google Scholar</x:v>
      </x:c>
      <x:c r="C471" s="717" t="str">
        <x:v>GS-05</x:v>
      </x:c>
      <x:c r="D471" s="720" t="str">
        <x:v>soak] Embodied, Simulation-Based Cognition A Hybrid Approach</x:v>
      </x:c>
      <x:c r="E471" s="717" t="str">
        <x:v>Exclude</x:v>
      </x:c>
      <x:c r="F471" s="720" t="str">
        <x:v>Clearly outside retinal/ophthalmic concept-based explainable AI.</x:v>
      </x:c>
      <x:c r="G471" s="717" t="str">
        <x:v>Title only</x:v>
      </x:c>
      <x:c r="H471" s="717" t="str">
        <x:v>Exclude</x:v>
      </x:c>
      <x:c r="I471" s="720" t="str">
        <x:v>Clearly outside retinal/ophthalmic concept-based explainable AI.</x:v>
      </x:c>
      <x:c r="J471" s="717" t="str">
        <x:f>IF(E471=H471,E471,"Unclear")</x:f>
        <x:v>Exclude</x:v>
      </x:c>
      <x:c r="K471" s="720" t="str">
        <x:f>IF(E471=H471,"Agreement between both AI passes.","AI-pass disagreement; retain for human discussion.")</x:f>
        <x:v>Agreement between both AI passes.</x:v>
      </x:c>
      <x:c r="L471" s="720" t="str">
        <x:v>SC Kugele</x:v>
      </x:c>
      <x:c r="M471" s="728" t="n">
        <x:v>2023</x:v>
      </x:c>
      <x:c r="N471" s="717" t="str">
        <x:v>Google Scholar result</x:v>
      </x:c>
      <x:c r="O471" s="717" t="str">
        <x:v>No</x:v>
      </x:c>
      <x:c r="P471" s="717"/>
    </x:row>
    <x:row r="472" ht="38" customHeight="1">
      <x:c r="A472" s="717" t="str">
        <x:v>GS-05-083</x:v>
      </x:c>
      <x:c r="B472" s="717" t="str">
        <x:v>Google Scholar</x:v>
      </x:c>
      <x:c r="C472" s="717" t="str">
        <x:v>GS-05</x:v>
      </x:c>
      <x:c r="D472" s="720" t="str">
        <x:v>(4tML] Upper bounds for the constants of Bennett's inequality and the Gale-- Berlekamp switching game</x:v>
      </x:c>
      <x:c r="E472" s="717" t="str">
        <x:v>Exclude</x:v>
      </x:c>
      <x:c r="F472" s="720" t="str">
        <x:v>Clearly outside retinal/ophthalmic concept-based explainable AI.</x:v>
      </x:c>
      <x:c r="G472" s="717" t="str">
        <x:v>Title only</x:v>
      </x:c>
      <x:c r="H472" s="717" t="str">
        <x:v>Exclude</x:v>
      </x:c>
      <x:c r="I472" s="720" t="str">
        <x:v>Clearly outside retinal/ophthalmic concept-based explainable AI.</x:v>
      </x:c>
      <x:c r="J472" s="717" t="str">
        <x:f>IF(E472=H472,E472,"Unclear")</x:f>
        <x:v>Exclude</x:v>
      </x:c>
      <x:c r="K472" s="720" t="str">
        <x:f>IF(E472=H472,"Agreement between both AI passes.","AI-pass disagreement; retain for human discussion.")</x:f>
        <x:v>Agreement between both AI passes.</x:v>
      </x:c>
      <x:c r="L472" s="720" t="str">
        <x:v>ARaposo</x:v>
      </x:c>
      <x:c r="M472" s="728" t="n">
        <x:v>2021</x:v>
      </x:c>
      <x:c r="N472" s="717" t="str">
        <x:v>Google Scholar result</x:v>
      </x:c>
      <x:c r="O472" s="717" t="str">
        <x:v>No</x:v>
      </x:c>
      <x:c r="P472" s="717"/>
    </x:row>
    <x:row r="473" ht="38" customHeight="1">
      <x:c r="A473" s="717" t="str">
        <x:v>GS-05-084</x:v>
      </x:c>
      <x:c r="B473" s="717" t="str">
        <x:v>Google Scholar</x:v>
      </x:c>
      <x:c r="C473" s="717" t="str">
        <x:v>GS-05</x:v>
      </x:c>
      <x:c r="D473" s="720" t="str">
        <x:v>por] EXPLAINABLE MULTIMODAL REASONING: ACom-PREHENSIVE SURVEY OF PRINCIPLES METHODS, AND APPLICATIONS</x:v>
      </x:c>
      <x:c r="E473" s="717" t="str">
        <x:v>Exclude</x:v>
      </x:c>
      <x:c r="F473" s="720" t="str">
        <x:v>Non-original evidence (review, editorial, response, protocol, or similar); retain only for background/citation chasing (E4).</x:v>
      </x:c>
      <x:c r="G473" s="717" t="str">
        <x:v>Title only</x:v>
      </x:c>
      <x:c r="H473" s="717" t="str">
        <x:v>Exclude</x:v>
      </x:c>
      <x:c r="I473" s="720" t="str">
        <x:v>Non-original evidence (review, editorial, response, protocol, or similar); retain only for background/citation chasing (E4).</x:v>
      </x:c>
      <x:c r="J473" s="717" t="str">
        <x:f>IF(E473=H473,E473,"Unclear")</x:f>
        <x:v>Exclude</x:v>
      </x:c>
      <x:c r="K473" s="720" t="str">
        <x:f>IF(E473=H473,"Agreement between both AI passes.","AI-pass disagreement; retain for human discussion.")</x:f>
        <x:v>Agreement between both AI passes.</x:v>
      </x:c>
      <x:c r="L473" s="720" t="str">
        <x:v>E Xiskin</x:v>
      </x:c>
      <x:c r="M473" s="728"/>
      <x:c r="N473" s="717" t="str">
        <x:v>Google Scholar result</x:v>
      </x:c>
      <x:c r="O473" s="717" t="str">
        <x:v>No</x:v>
      </x:c>
      <x:c r="P473" s="717"/>
    </x:row>
    <x:row r="474" ht="38" customHeight="1">
      <x:c r="A474" s="717" t="str">
        <x:v>GS-05-085</x:v>
      </x:c>
      <x:c r="B474" s="717" t="str">
        <x:v>Google Scholar</x:v>
      </x:c>
      <x:c r="C474" s="717" t="str">
        <x:v>GS-05</x:v>
      </x:c>
      <x:c r="D474" s="720" t="str">
        <x:v>Nature's Insight A Novel Framework and Comprehensive Analysis of Agentic Reasoning Through the | ens of Neuroscience</x:v>
      </x:c>
      <x:c r="E474" s="717" t="str">
        <x:v>Exclude</x:v>
      </x:c>
      <x:c r="F474" s="720" t="str">
        <x:v>Clearly outside retinal/ophthalmic concept-based explainable AI.</x:v>
      </x:c>
      <x:c r="G474" s="717" t="str">
        <x:v>Title only</x:v>
      </x:c>
      <x:c r="H474" s="717" t="str">
        <x:v>Exclude</x:v>
      </x:c>
      <x:c r="I474" s="720" t="str">
        <x:v>Clearly outside retinal/ophthalmic concept-based explainable AI.</x:v>
      </x:c>
      <x:c r="J474" s="717" t="str">
        <x:f>IF(E474=H474,E474,"Unclear")</x:f>
        <x:v>Exclude</x:v>
      </x:c>
      <x:c r="K474" s="720" t="str">
        <x:f>IF(E474=H474,"Agreement between both AI passes.","AI-pass disagreement; retain for human discussion.")</x:f>
        <x:v>Agreement between both AI passes.</x:v>
      </x:c>
      <x:c r="L474" s="720" t="str">
        <x:v>Zlu HLi JLu.GMa X Hong. Glacca</x:v>
      </x:c>
      <x:c r="M474" s="728" t="n">
        <x:v>2025</x:v>
      </x:c>
      <x:c r="N474" s="717" t="str">
        <x:v>Google Scholar result</x:v>
      </x:c>
      <x:c r="O474" s="717" t="str">
        <x:v>No</x:v>
      </x:c>
      <x:c r="P474" s="717"/>
    </x:row>
    <x:row r="475" ht="38" customHeight="1">
      <x:c r="A475" s="717" t="str">
        <x:v>GS-05-086</x:v>
      </x:c>
      <x:c r="B475" s="717" t="str">
        <x:v>Google Scholar</x:v>
      </x:c>
      <x:c r="C475" s="717" t="str">
        <x:v>GS-05</x:v>
      </x:c>
      <x:c r="D475" s="720" t="str">
        <x:v>(4TmL] Editorial for the Special Issue Applied and Innovative Computational Intelligence Systems</x:v>
      </x:c>
      <x:c r="E475" s="717" t="str">
        <x:v>Exclude</x:v>
      </x:c>
      <x:c r="F475" s="720" t="str">
        <x:v>Clearly outside retinal/ophthalmic concept-based explainable AI.</x:v>
      </x:c>
      <x:c r="G475" s="717" t="str">
        <x:v>Title only</x:v>
      </x:c>
      <x:c r="H475" s="717" t="str">
        <x:v>Exclude</x:v>
      </x:c>
      <x:c r="I475" s="720" t="str">
        <x:v>Clearly outside retinal/ophthalmic concept-based explainable AI.</x:v>
      </x:c>
      <x:c r="J475" s="717" t="str">
        <x:f>IF(E475=H475,E475,"Unclear")</x:f>
        <x:v>Exclude</x:v>
      </x:c>
      <x:c r="K475" s="720" t="str">
        <x:f>IF(E475=H475,"Agreement between both AI passes.","AI-pass disagreement; retain for human discussion.")</x:f>
        <x:v>Agreement between both AI passes.</x:v>
      </x:c>
      <x:c r="L475" s="720" t="str">
        <x:v>BlS Cardoso JME Rodrigues C Portals</x:v>
      </x:c>
      <x:c r="M475" s="728" t="n">
        <x:v>2025</x:v>
      </x:c>
      <x:c r="N475" s="717" t="str">
        <x:v>Google Scholar result</x:v>
      </x:c>
      <x:c r="O475" s="717" t="str">
        <x:v>No</x:v>
      </x:c>
      <x:c r="P475" s="717"/>
    </x:row>
    <x:row r="476" ht="38" customHeight="1">
      <x:c r="A476" s="717" t="str">
        <x:v>GS-05-087</x:v>
      </x:c>
      <x:c r="B476" s="717" t="str">
        <x:v>Google Scholar</x:v>
      </x:c>
      <x:c r="C476" s="717" t="str">
        <x:v>GS-05</x:v>
      </x:c>
      <x:c r="D476" s="720" t="str">
        <x:v>Oream-Driven Symbolic Evolution A Comparative Analysis of ine Myths of Moken and Bajau Peaples</x:v>
      </x:c>
      <x:c r="E476" s="717" t="str">
        <x:v>Exclude</x:v>
      </x:c>
      <x:c r="F476" s="720" t="str">
        <x:v>Clearly outside retinal/ophthalmic concept-based explainable AI.</x:v>
      </x:c>
      <x:c r="G476" s="717" t="str">
        <x:v>Title only</x:v>
      </x:c>
      <x:c r="H476" s="717" t="str">
        <x:v>Exclude</x:v>
      </x:c>
      <x:c r="I476" s="720" t="str">
        <x:v>Clearly outside retinal/ophthalmic concept-based explainable AI.</x:v>
      </x:c>
      <x:c r="J476" s="717" t="str">
        <x:f>IF(E476=H476,E476,"Unclear")</x:f>
        <x:v>Exclude</x:v>
      </x:c>
      <x:c r="K476" s="720" t="str">
        <x:f>IF(E476=H476,"Agreement between both AI passes.","AI-pass disagreement; retain for human discussion.")</x:f>
        <x:v>Agreement between both AI passes.</x:v>
      </x:c>
      <x:c r="L476" s="720" t="str">
        <x:v>SByyuk</x:v>
      </x:c>
      <x:c r="M476" s="728" t="n">
        <x:v>2025</x:v>
      </x:c>
      <x:c r="N476" s="717" t="str">
        <x:v>Google Scholar result</x:v>
      </x:c>
      <x:c r="O476" s="717" t="str">
        <x:v>No</x:v>
      </x:c>
      <x:c r="P476" s="717"/>
    </x:row>
    <x:row r="477" ht="38" customHeight="1">
      <x:c r="A477" s="717" t="str">
        <x:v>GS-05-088</x:v>
      </x:c>
      <x:c r="B477" s="717" t="str">
        <x:v>Google Scholar</x:v>
      </x:c>
      <x:c r="C477" s="717" t="str">
        <x:v>GS-05</x:v>
      </x:c>
      <x:c r="D477" s="720" t="str">
        <x:v>Consciousness Dream, and Evolution A Scientific Perspective on Religion (hrough the Schizoid Pracess</x:v>
      </x:c>
      <x:c r="E477" s="717" t="str">
        <x:v>Exclude</x:v>
      </x:c>
      <x:c r="F477" s="720" t="str">
        <x:v>Clearly outside retinal/ophthalmic concept-based explainable AI.</x:v>
      </x:c>
      <x:c r="G477" s="717" t="str">
        <x:v>Title only</x:v>
      </x:c>
      <x:c r="H477" s="717" t="str">
        <x:v>Exclude</x:v>
      </x:c>
      <x:c r="I477" s="720" t="str">
        <x:v>Clearly outside retinal/ophthalmic concept-based explainable AI.</x:v>
      </x:c>
      <x:c r="J477" s="717" t="str">
        <x:f>IF(E477=H477,E477,"Unclear")</x:f>
        <x:v>Exclude</x:v>
      </x:c>
      <x:c r="K477" s="720" t="str">
        <x:f>IF(E477=H477,"Agreement between both AI passes.","AI-pass disagreement; retain for human discussion.")</x:f>
        <x:v>Agreement between both AI passes.</x:v>
      </x:c>
      <x:c r="L477" s="720" t="str">
        <x:v>S Buyuk</x:v>
      </x:c>
      <x:c r="M477" s="728" t="n">
        <x:v>2025</x:v>
      </x:c>
      <x:c r="N477" s="717" t="str">
        <x:v>Google Scholar result</x:v>
      </x:c>
      <x:c r="O477" s="717" t="str">
        <x:v>No</x:v>
      </x:c>
      <x:c r="P477" s="717"/>
    </x:row>
    <x:row r="478" ht="38" customHeight="1">
      <x:c r="A478" s="717" t="str">
        <x:v>GS-05-089</x:v>
      </x:c>
      <x:c r="B478" s="717" t="str">
        <x:v>Google Scholar</x:v>
      </x:c>
      <x:c r="C478" s="717" t="str">
        <x:v>GS-05</x:v>
      </x:c>
      <x:c r="D478" s="720" t="str">
        <x:v>Convolutional neural networks far visian neuroscience. significance, developments, and outstanding issues</x:v>
      </x:c>
      <x:c r="E478" s="717"/>
      <x:c r="F478" s="720" t="str">
        <x:v>Confirmed duplicate during enhanced OCR-variant deduplication.</x:v>
      </x:c>
      <x:c r="G478" s="717" t="str">
        <x:v>Duplicate control</x:v>
      </x:c>
      <x:c r="H478" s="717"/>
      <x:c r="I478" s="720" t="str">
        <x:v>Confirmed duplicate during enhanced OCR-variant deduplication.</x:v>
      </x:c>
      <x:c r="J478" s="717"/>
      <x:c r="K478" s="720" t="str">
        <x:v>Removed from the final title/abstract denominator before full-text retrieval.</x:v>
      </x:c>
      <x:c r="L478" s="720" t="str">
        <x:v>ACeeghn.APoriang O Orsenoo ff Digno -Frarhersir = 2023</x:v>
      </x:c>
      <x:c r="M478" s="728" t="n">
        <x:v>2023</x:v>
      </x:c>
      <x:c r="N478" s="717" t="str">
        <x:v>Google Scholar result</x:v>
      </x:c>
      <x:c r="O478" s="717" t="str">
        <x:v>No</x:v>
      </x:c>
      <x:c r="P478" s="717"/>
    </x:row>
    <x:row r="479" ht="38" customHeight="1">
      <x:c r="A479" s="717" t="str">
        <x:v>GS-05-090</x:v>
      </x:c>
      <x:c r="B479" s="717" t="str">
        <x:v>Google Scholar</x:v>
      </x:c>
      <x:c r="C479" s="717" t="str">
        <x:v>GS-05</x:v>
      </x:c>
      <x:c r="D479" s="720" t="str">
        <x:v>(poF] Deep Learning vs Shallow Learning in Detecting Anomalies in Biomedical Images</x:v>
      </x:c>
      <x:c r="E479" s="717" t="str">
        <x:v>Exclude</x:v>
      </x:c>
      <x:c r="F479" s="720" t="str">
        <x:v>Clearly outside retinal/ophthalmic concept-based explainable AI.</x:v>
      </x:c>
      <x:c r="G479" s="717" t="str">
        <x:v>Title only</x:v>
      </x:c>
      <x:c r="H479" s="717" t="str">
        <x:v>Exclude</x:v>
      </x:c>
      <x:c r="I479" s="720" t="str">
        <x:v>Clearly outside retinal/ophthalmic concept-based explainable AI.</x:v>
      </x:c>
      <x:c r="J479" s="717" t="str">
        <x:f>IF(E479=H479,E479,"Unclear")</x:f>
        <x:v>Exclude</x:v>
      </x:c>
      <x:c r="K479" s="720" t="str">
        <x:f>IF(E479=H479,"Agreement between both AI passes.","AI-pass disagreement; retain for human discussion.")</x:f>
        <x:v>Agreement between both AI passes.</x:v>
      </x:c>
      <x:c r="L479" s="720" t="str">
        <x:v>F Samuei</x:v>
      </x:c>
      <x:c r="M479" s="728"/>
      <x:c r="N479" s="717" t="str">
        <x:v>Google Scholar result</x:v>
      </x:c>
      <x:c r="O479" s="717" t="str">
        <x:v>No</x:v>
      </x:c>
      <x:c r="P479" s="717"/>
    </x:row>
    <x:row r="480" ht="38" customHeight="1">
      <x:c r="A480" s="717" t="str">
        <x:v>GS-05-091</x:v>
      </x:c>
      <x:c r="B480" s="717" t="str">
        <x:v>Google Scholar</x:v>
      </x:c>
      <x:c r="C480" s="717" t="str">
        <x:v>GS-05</x:v>
      </x:c>
      <x:c r="D480" s="720" t="str">
        <x:v>eee are, ler ree Res systematic review on the transformative potential of artificial intelligence: SG Alt et al.</x:v>
      </x:c>
      <x:c r="E480" s="717" t="str">
        <x:v>Exclude</x:v>
      </x:c>
      <x:c r="F480" s="720" t="str">
        <x:v>Non-original evidence (review, editorial, response, protocol, or similar); retain only for background/citation chasing (E4).</x:v>
      </x:c>
      <x:c r="G480" s="717" t="str">
        <x:v>Title only</x:v>
      </x:c>
      <x:c r="H480" s="717" t="str">
        <x:v>Exclude</x:v>
      </x:c>
      <x:c r="I480" s="720" t="str">
        <x:v>Non-original evidence (review, editorial, response, protocol, or similar); retain only for background/citation chasing (E4).</x:v>
      </x:c>
      <x:c r="J480" s="717" t="str">
        <x:f>IF(E480=H480,E480,"Unclear")</x:f>
        <x:v>Exclude</x:v>
      </x:c>
      <x:c r="K480" s="720" t="str">
        <x:f>IF(E480=H480,"Agreement between both AI passes.","AI-pass disagreement; retain for human discussion.")</x:f>
        <x:v>Agreement between both AI passes.</x:v>
      </x:c>
      <x:c r="L480" s="720" t="str">
        <x:v>SG Au X Yang, S Masood 7 Ghazanfar, ¥ Jung)</x:v>
      </x:c>
      <x:c r="M480" s="728" t="n">
        <x:v>2025</x:v>
      </x:c>
      <x:c r="N480" s="717" t="str">
        <x:v>Google Scholar result</x:v>
      </x:c>
      <x:c r="O480" s="717" t="str">
        <x:v>No</x:v>
      </x:c>
      <x:c r="P480" s="717"/>
    </x:row>
    <x:row r="481" ht="38" customHeight="1">
      <x:c r="A481" s="717" t="str">
        <x:v>GS-05-092</x:v>
      </x:c>
      <x:c r="B481" s="717" t="str">
        <x:v>Google Scholar</x:v>
      </x:c>
      <x:c r="C481" s="717" t="str">
        <x:v>GS-05</x:v>
      </x:c>
      <x:c r="D481" s="720" t="str">
        <x:v>Foundaticn models in biomedical imaging turning hype into reality</x:v>
      </x:c>
      <x:c r="E481" s="717" t="str">
        <x:v>Exclude</x:v>
      </x:c>
      <x:c r="F481" s="720" t="str">
        <x:v>Clearly outside retinal/ophthalmic concept-based explainable AI.</x:v>
      </x:c>
      <x:c r="G481" s="717" t="str">
        <x:v>Title only</x:v>
      </x:c>
      <x:c r="H481" s="717" t="str">
        <x:v>Exclude</x:v>
      </x:c>
      <x:c r="I481" s="720" t="str">
        <x:v>Clearly outside retinal/ophthalmic concept-based explainable AI.</x:v>
      </x:c>
      <x:c r="J481" s="717" t="str">
        <x:f>IF(E481=H481,E481,"Unclear")</x:f>
        <x:v>Exclude</x:v>
      </x:c>
      <x:c r="K481" s="720" t="str">
        <x:f>IF(E481=H481,"Agreement between both AI passes.","AI-pass disagreement; retain for human discussion.")</x:f>
        <x:v>Agreement between both AI passes.</x:v>
      </x:c>
      <x:c r="L481" s="720" t="str">
        <x:v>AtAunser. K Zhang |Hand FR Qureshi</x:v>
      </x:c>
      <x:c r="M481" s="728" t="n">
        <x:v>2025</x:v>
      </x:c>
      <x:c r="N481" s="717" t="str">
        <x:v>Google Scholar result</x:v>
      </x:c>
      <x:c r="O481" s="717" t="str">
        <x:v>No</x:v>
      </x:c>
      <x:c r="P481" s="717"/>
    </x:row>
    <x:row r="482" ht="38" customHeight="1">
      <x:c r="A482" s="717" t="str">
        <x:v>GS-05-093</x:v>
      </x:c>
      <x:c r="B482" s="717" t="str">
        <x:v>Google Scholar</x:v>
      </x:c>
      <x:c r="C482" s="717" t="str">
        <x:v>GS-05</x:v>
      </x:c>
      <x:c r="D482" s="720" t="str">
        <x:v>Diagnose like a radiologist: Hybrid neuro-probabilistic reasoning for attribute- based medical image diagnosis</x:v>
      </x:c>
      <x:c r="E482" s="717" t="str">
        <x:v>Exclude</x:v>
      </x:c>
      <x:c r="F482" s="720" t="str">
        <x:v>Medical/clinical topic, but no eligible concept-based explainability contribution is evident.</x:v>
      </x:c>
      <x:c r="G482" s="717" t="str">
        <x:v>Title only</x:v>
      </x:c>
      <x:c r="H482" s="717" t="str">
        <x:v>Exclude</x:v>
      </x:c>
      <x:c r="I482" s="720" t="str">
        <x:v>Medical/clinical topic, but no eligible concept-based explainability contribution is evident.</x:v>
      </x:c>
      <x:c r="J482" s="717" t="str">
        <x:f>IF(E482=H482,E482,"Unclear")</x:f>
        <x:v>Exclude</x:v>
      </x:c>
      <x:c r="K482" s="720" t="str">
        <x:f>IF(E482=H482,"Agreement between both AI passes.","AI-pass disagreement; retain for human discussion.")</x:f>
        <x:v>Agreement between both AI passes.</x:v>
      </x:c>
      <x:c r="L482" s="720" t="str">
        <x:v>G Zhao, DFang C Chen Z2hou =</x:v>
      </x:c>
      <x:c r="M482" s="728" t="n">
        <x:v>2021</x:v>
      </x:c>
      <x:c r="N482" s="717" t="str">
        <x:v>Google Scholar result</x:v>
      </x:c>
      <x:c r="O482" s="717" t="str">
        <x:v>No</x:v>
      </x:c>
      <x:c r="P482" s="717"/>
    </x:row>
    <x:row r="483" ht="38" customHeight="1">
      <x:c r="A483" s="717" t="str">
        <x:v>GS-05-094</x:v>
      </x:c>
      <x:c r="B483" s="717" t="str">
        <x:v>Google Scholar</x:v>
      </x:c>
      <x:c r="C483" s="717" t="str">
        <x:v>GS-05</x:v>
      </x:c>
      <x:c r="D483" s="720" t="str">
        <x:v>(ook) The Digital Monadology Revival of the Characteristica Universalis in the Age of Large Language Madels</x:v>
      </x:c>
      <x:c r="E483" s="717" t="str">
        <x:v>Exclude</x:v>
      </x:c>
      <x:c r="F483" s="720" t="str">
        <x:v>Clearly outside retinal/ophthalmic concept-based explainable AI.</x:v>
      </x:c>
      <x:c r="G483" s="717" t="str">
        <x:v>Title only</x:v>
      </x:c>
      <x:c r="H483" s="717" t="str">
        <x:v>Exclude</x:v>
      </x:c>
      <x:c r="I483" s="720" t="str">
        <x:v>Clearly outside retinal/ophthalmic concept-based explainable AI.</x:v>
      </x:c>
      <x:c r="J483" s="717" t="str">
        <x:f>IF(E483=H483,E483,"Unclear")</x:f>
        <x:v>Exclude</x:v>
      </x:c>
      <x:c r="K483" s="720" t="str">
        <x:f>IF(E483=H483,"Agreement between both AI passes.","AI-pass disagreement; retain for human discussion.")</x:f>
        <x:v>Agreement between both AI passes.</x:v>
      </x:c>
      <x:c r="L483" s="720" t="str">
        <x:v>E Mo-il2</x:v>
      </x:c>
      <x:c r="M483" s="728"/>
      <x:c r="N483" s="717" t="str">
        <x:v>Google Scholar result</x:v>
      </x:c>
      <x:c r="O483" s="717" t="str">
        <x:v>No</x:v>
      </x:c>
      <x:c r="P483" s="717"/>
    </x:row>
    <x:row r="484" ht="38" customHeight="1">
      <x:c r="A484" s="717" t="str">
        <x:v>GS-05-095</x:v>
      </x:c>
      <x:c r="B484" s="717" t="str">
        <x:v>Google Scholar</x:v>
      </x:c>
      <x:c r="C484" s="717" t="str">
        <x:v>GS-05</x:v>
      </x:c>
      <x:c r="D484" s="720" t="str">
        <x:v>The Camputational Model of Mind A Comprehensive Synthesis of Cognition, Machines and Artificial Inteiligence</x:v>
      </x:c>
      <x:c r="E484" s="717" t="str">
        <x:v>Exclude</x:v>
      </x:c>
      <x:c r="F484" s="720" t="str">
        <x:v>Clearly outside retinal/ophthalmic concept-based explainable AI.</x:v>
      </x:c>
      <x:c r="G484" s="717" t="str">
        <x:v>Title only</x:v>
      </x:c>
      <x:c r="H484" s="717" t="str">
        <x:v>Exclude</x:v>
      </x:c>
      <x:c r="I484" s="720" t="str">
        <x:v>Clearly outside retinal/ophthalmic concept-based explainable AI.</x:v>
      </x:c>
      <x:c r="J484" s="717" t="str">
        <x:f>IF(E484=H484,E484,"Unclear")</x:f>
        <x:v>Exclude</x:v>
      </x:c>
      <x:c r="K484" s="720" t="str">
        <x:f>IF(E484=H484,"Agreement between both AI passes.","AI-pass disagreement; retain for human discussion.")</x:f>
        <x:v>Agreement between both AI passes.</x:v>
      </x:c>
      <x:c r="L484" s="720" t="str">
        <x:v>D Ngathlign</x:v>
      </x:c>
      <x:c r="M484" s="728" t="n">
        <x:v>2025</x:v>
      </x:c>
      <x:c r="N484" s="717" t="str">
        <x:v>Google Scholar result</x:v>
      </x:c>
      <x:c r="O484" s="717" t="str">
        <x:v>No</x:v>
      </x:c>
      <x:c r="P484" s="717"/>
    </x:row>
    <x:row r="485" ht="38" customHeight="1">
      <x:c r="A485" s="717" t="str">
        <x:v>GS-05-096</x:v>
      </x:c>
      <x:c r="B485" s="717" t="str">
        <x:v>Google Scholar</x:v>
      </x:c>
      <x:c r="C485" s="717" t="str">
        <x:v>GS-05</x:v>
      </x:c>
      <x:c r="D485" s="720" t="str">
        <x:v>Predictive Coding Meets Symbolic Cagnition’ A Framework for Modality-Guided Visual Imagination</x:v>
      </x:c>
      <x:c r="E485" s="717" t="str">
        <x:v>Exclude</x:v>
      </x:c>
      <x:c r="F485" s="720" t="str">
        <x:v>Clearly outside retinal/ophthalmic concept-based explainable AI.</x:v>
      </x:c>
      <x:c r="G485" s="717" t="str">
        <x:v>Title only</x:v>
      </x:c>
      <x:c r="H485" s="717" t="str">
        <x:v>Exclude</x:v>
      </x:c>
      <x:c r="I485" s="720" t="str">
        <x:v>Clearly outside retinal/ophthalmic concept-based explainable AI.</x:v>
      </x:c>
      <x:c r="J485" s="717" t="str">
        <x:f>IF(E485=H485,E485,"Unclear")</x:f>
        <x:v>Exclude</x:v>
      </x:c>
      <x:c r="K485" s="720" t="str">
        <x:f>IF(E485=H485,"Agreement between both AI passes.","AI-pass disagreement; retain for human discussion.")</x:f>
        <x:v>Agreement between both AI passes.</x:v>
      </x:c>
      <x:c r="L485" s="720" t="str">
        <x:v>M Zaamani</x:v>
      </x:c>
      <x:c r="M485" s="728" t="n">
        <x:v>2026</x:v>
      </x:c>
      <x:c r="N485" s="717" t="str">
        <x:v>Google Scholar result</x:v>
      </x:c>
      <x:c r="O485" s="717" t="str">
        <x:v>No</x:v>
      </x:c>
      <x:c r="P485" s="717"/>
    </x:row>
    <x:row r="486" ht="38" customHeight="1">
      <x:c r="A486" s="717" t="str">
        <x:v>GS-05-097</x:v>
      </x:c>
      <x:c r="B486" s="717" t="str">
        <x:v>Google Scholar</x:v>
      </x:c>
      <x:c r="C486" s="717" t="str">
        <x:v>GS-05</x:v>
      </x:c>
      <x:c r="D486" s="720" t="str">
        <x:v>Al-based detection, classification and prediction‘prognosis in medical imaging towards radiophenomics</x:v>
      </x:c>
      <x:c r="E486" s="717" t="str">
        <x:v>Exclude</x:v>
      </x:c>
      <x:c r="F486" s="720" t="str">
        <x:v>Medical/clinical topic, but no eligible concept-based explainability contribution is evident.</x:v>
      </x:c>
      <x:c r="G486" s="717" t="str">
        <x:v>Title only</x:v>
      </x:c>
      <x:c r="H486" s="717" t="str">
        <x:v>Exclude</x:v>
      </x:c>
      <x:c r="I486" s="720" t="str">
        <x:v>Medical/clinical topic, but no eligible concept-based explainability contribution is evident.</x:v>
      </x:c>
      <x:c r="J486" s="717" t="str">
        <x:f>IF(E486=H486,E486,"Unclear")</x:f>
        <x:v>Exclude</x:v>
      </x:c>
      <x:c r="K486" s="720" t="str">
        <x:f>IF(E486=H486,"Agreement between both AI passes.","AI-pass disagreement; retain for human discussion.")</x:f>
        <x:v>Agreement between both AI passes.</x:v>
      </x:c>
      <x:c r="L486" s="720" t="str">
        <x:v>F Yousefrizi P Decazas AAmyar S Ruan.</x:v>
      </x:c>
      <x:c r="M486" s="728" t="n">
        <x:v>2022</x:v>
      </x:c>
      <x:c r="N486" s="717" t="str">
        <x:v>Google Scholar result</x:v>
      </x:c>
      <x:c r="O486" s="717" t="str">
        <x:v>No</x:v>
      </x:c>
      <x:c r="P486" s="717"/>
    </x:row>
    <x:row r="487" ht="38" customHeight="1">
      <x:c r="A487" s="717" t="str">
        <x:v>GS-05-099</x:v>
      </x:c>
      <x:c r="B487" s="717" t="str">
        <x:v>Google Scholar</x:v>
      </x:c>
      <x:c r="C487" s="717" t="str">
        <x:v>GS-05</x:v>
      </x:c>
      <x:c r="D487" s="720" t="str">
        <x:v>(Po The Compression Principle’ Persistence and Cooperation Across Physics, Computation, and Cognition</x:v>
      </x:c>
      <x:c r="E487" s="717" t="str">
        <x:v>Exclude</x:v>
      </x:c>
      <x:c r="F487" s="720" t="str">
        <x:v>Clearly outside retinal/ophthalmic concept-based explainable AI.</x:v>
      </x:c>
      <x:c r="G487" s="717" t="str">
        <x:v>Title only</x:v>
      </x:c>
      <x:c r="H487" s="717" t="str">
        <x:v>Exclude</x:v>
      </x:c>
      <x:c r="I487" s="720" t="str">
        <x:v>Clearly outside retinal/ophthalmic concept-based explainable AI.</x:v>
      </x:c>
      <x:c r="J487" s="717" t="str">
        <x:f>IF(E487=H487,E487,"Unclear")</x:f>
        <x:v>Exclude</x:v>
      </x:c>
      <x:c r="K487" s="720" t="str">
        <x:f>IF(E487=H487,"Agreement between both AI passes.","AI-pass disagreement; retain for human discussion.")</x:f>
        <x:v>Agreement between both AI passes.</x:v>
      </x:c>
      <x:c r="L487" s="720" t="str">
        <x:v>TA dunl</x:v>
      </x:c>
      <x:c r="M487" s="728"/>
      <x:c r="N487" s="717" t="str">
        <x:v>Google Scholar result</x:v>
      </x:c>
      <x:c r="O487" s="717" t="str">
        <x:v>No</x:v>
      </x:c>
      <x:c r="P487" s="717"/>
    </x:row>
    <x:row r="488" ht="38" customHeight="1">
      <x:c r="A488" s="717" t="str">
        <x:v>GS-06-002</x:v>
      </x:c>
      <x:c r="B488" s="717" t="str">
        <x:v>Google Scholar</x:v>
      </x:c>
      <x:c r="C488" s="717" t="str">
        <x:v>GS-06</x:v>
      </x:c>
      <x:c r="D488" s="720" t="str">
        <x:v>interpretability beyond feature attribution’ Quantitative testing with concept activation vectors (tcay)</x:v>
      </x:c>
      <x:c r="E488" s="717" t="str">
        <x:v>Include</x:v>
      </x:c>
      <x:c r="F488" s="720" t="str">
        <x:v>Foundational concept-XAI method relevant to the review taxonomy or reliability analysis (title only).</x:v>
      </x:c>
      <x:c r="G488" s="717" t="str">
        <x:v>Title only</x:v>
      </x:c>
      <x:c r="H488" s="717" t="str">
        <x:v>Unclear</x:v>
      </x:c>
      <x:c r="I488" s="720" t="str">
        <x:v>Concept-XAI method may be useful as foundational/contextual evidence; retinal or medical applicability requires discussion (title only).</x:v>
      </x:c>
      <x:c r="J488" s="717" t="str">
        <x:f>IF(E488=H488,E488,"Unclear")</x:f>
        <x:v>Unclear</x:v>
      </x:c>
      <x:c r="K488" s="720" t="str">
        <x:f>IF(E488=H488,"Agreement between both AI passes.","AI-pass disagreement; retain for human discussion.")</x:f>
        <x:v>AI-pass disagreement; retain for human discussion.</x:v>
      </x:c>
      <x:c r="L488" s="720" t="str">
        <x:v>Bim. M\Watlenbsrg J Silme: C Cai</x:v>
      </x:c>
      <x:c r="M488" s="728" t="n">
        <x:v>2018</x:v>
      </x:c>
      <x:c r="N488" s="717" t="str">
        <x:v>Google Scholar result</x:v>
      </x:c>
      <x:c r="O488" s="717" t="str">
        <x:v>No</x:v>
      </x:c>
      <x:c r="P488" s="717"/>
    </x:row>
    <x:row r="489" ht="38" customHeight="1">
      <x:c r="A489" s="717" t="str">
        <x:v>GS-06-003</x:v>
      </x:c>
      <x:c r="B489" s="717" t="str">
        <x:v>Google Scholar</x:v>
      </x:c>
      <x:c r="C489" s="717" t="str">
        <x:v>GS-06</x:v>
      </x:c>
      <x:c r="D489" s="720" t="str">
        <x:v>Al based Deep Radiomics for Quantification of Macular Edema’ A Continuous, Non-categoricat Numerical Score for Personalized Medicine</x:v>
      </x:c>
      <x:c r="E489" s="717" t="str">
        <x:v>Exclude</x:v>
      </x:c>
      <x:c r="F489" s="720" t="str">
        <x:v>Retinal/ophthalmic topic, but no concept-based or structured explainability method is evident.</x:v>
      </x:c>
      <x:c r="G489" s="717" t="str">
        <x:v>Title only</x:v>
      </x:c>
      <x:c r="H489" s="717" t="str">
        <x:v>Exclude</x:v>
      </x:c>
      <x:c r="I489" s="720" t="str">
        <x:v>Retinal/ophthalmic topic, but no concept-based or structured explainability method is evident.</x:v>
      </x:c>
      <x:c r="J489" s="717" t="str">
        <x:f>IF(E489=H489,E489,"Unclear")</x:f>
        <x:v>Exclude</x:v>
      </x:c>
      <x:c r="K489" s="720" t="str">
        <x:f>IF(E489=H489,"Agreement between both AI passes.","AI-pass disagreement; retain for human discussion.")</x:f>
        <x:v>Agreement between both AI passes.</x:v>
      </x:c>
      <x:c r="L489" s="720" t="str">
        <x:v>APurl, R Krueger</x:v>
      </x:c>
      <x:c r="M489" s="728" t="n">
        <x:v>2024</x:v>
      </x:c>
      <x:c r="N489" s="717" t="str">
        <x:v>Google Scholar result</x:v>
      </x:c>
      <x:c r="O489" s="717" t="str">
        <x:v>No</x:v>
      </x:c>
      <x:c r="P489" s="717"/>
    </x:row>
    <x:row r="490" ht="38" customHeight="1">
      <x:c r="A490" s="717" t="str">
        <x:v>GS-06-006</x:v>
      </x:c>
      <x:c r="B490" s="717" t="str">
        <x:v>Google Scholar</x:v>
      </x:c>
      <x:c r="C490" s="717" t="str">
        <x:v>GS-06</x:v>
      </x:c>
      <x:c r="D490" s="720" t="str">
        <x:v>Intarpretability Beyond Feature Attnbution Quantitative Testing with Cancapt Achvation Vactars {TCAY)</x:v>
      </x:c>
      <x:c r="E490" s="717"/>
      <x:c r="F490" s="720" t="str">
        <x:v>Confirmed duplicate during enhanced OCR-variant deduplication.</x:v>
      </x:c>
      <x:c r="G490" s="717" t="str">
        <x:v>Duplicate control</x:v>
      </x:c>
      <x:c r="H490" s="717"/>
      <x:c r="I490" s="720" t="str">
        <x:v>Confirmed duplicate during enhanced OCR-variant deduplication.</x:v>
      </x:c>
      <x:c r="J490" s="717"/>
      <x:c r="K490" s="720" t="str">
        <x:v>Removed from the final title/abstract denominator before full-text retrieval.</x:v>
      </x:c>
      <x:c r="L490" s="720" t="str">
        <x:v>BKMWJGCS JamasYexlar, “YR Say’es</x:v>
      </x:c>
      <x:c r="M490" s="728" t="n">
        <x:v>2018</x:v>
      </x:c>
      <x:c r="N490" s="717" t="str">
        <x:v>Google Scholar result</x:v>
      </x:c>
      <x:c r="O490" s="717" t="str">
        <x:v>No</x:v>
      </x:c>
      <x:c r="P490" s="717"/>
    </x:row>
    <x:row r="491" ht="38" customHeight="1">
      <x:c r="A491" s="717" t="str">
        <x:v>GS-06-007</x:v>
      </x:c>
      <x:c r="B491" s="717" t="str">
        <x:v>Google Scholar</x:v>
      </x:c>
      <x:c r="C491" s="717" t="str">
        <x:v>GS-06</x:v>
      </x:c>
      <x:c r="D491" s="720" t="str">
        <x:v>(KTML] Interpretabilily Beyond Feature Attribution Quantitative Tasting with Concept Activation Vectors (I CAV)</x:v>
      </x:c>
      <x:c r="E491" s="717"/>
      <x:c r="F491" s="720" t="str">
        <x:v>Confirmed duplicate during enhanced OCR-variant deduplication.</x:v>
      </x:c>
      <x:c r="G491" s="717" t="str">
        <x:v>Duplicate control</x:v>
      </x:c>
      <x:c r="H491" s="717"/>
      <x:c r="I491" s="720" t="str">
        <x:v>Confirmed duplicate during enhanced OCR-variant deduplication.</x:v>
      </x:c>
      <x:c r="J491" s="717"/>
      <x:c r="K491" s="720" t="str">
        <x:v>Removed from the final title/abstract denominator before full-text retrieval.</x:v>
      </x:c>
      <x:c r="L491" s="720" t="str">
        <x:v>E ¥iégag</x:v>
      </x:c>
      <x:c r="M491" s="728"/>
      <x:c r="N491" s="717" t="str">
        <x:v>Google Scholar result</x:v>
      </x:c>
      <x:c r="O491" s="717" t="str">
        <x:v>No</x:v>
      </x:c>
      <x:c r="P491" s="717"/>
    </x:row>
    <x:row r="492" ht="38" customHeight="1">
      <x:c r="A492" s="717" t="str">
        <x:v>GS-06-009</x:v>
      </x:c>
      <x:c r="B492" s="717" t="str">
        <x:v>Google Scholar</x:v>
      </x:c>
      <x:c r="C492" s="717" t="str">
        <x:v>GS-06</x:v>
      </x:c>
      <x:c r="D492" s="720" t="str">
        <x:v>Explainable artificial intelligence in biomedical image analysis A comprehensive suey</x:v>
      </x:c>
      <x:c r="E492" s="717" t="str">
        <x:v>Exclude</x:v>
      </x:c>
      <x:c r="F492" s="720" t="str">
        <x:v>Generic explainability topic outside the retinal/medical concept-XAI scope.</x:v>
      </x:c>
      <x:c r="G492" s="717" t="str">
        <x:v>Title only</x:v>
      </x:c>
      <x:c r="H492" s="717" t="str">
        <x:v>Exclude</x:v>
      </x:c>
      <x:c r="I492" s="720" t="str">
        <x:v>Generic explainability topic outside the retinal/medical concept-XAI scope.</x:v>
      </x:c>
      <x:c r="J492" s="717" t="str">
        <x:f>IF(E492=H492,E492,"Unclear")</x:f>
        <x:v>Exclude</x:v>
      </x:c>
      <x:c r="K492" s="720" t="str">
        <x:f>IF(E492=H492,"Agreement between both AI passes.","AI-pass disagreement; retain for human discussion.")</x:f>
        <x:v>Agreement between both AI passes.</x:v>
      </x:c>
      <x:c r="L492" s="720" t="str">
        <x:v>GH Dagnaw ¥ Zh, MH Magspod i Yang «arXiv preprint ark = =—-2025- ann org</x:v>
      </x:c>
      <x:c r="M492" s="728" t="n">
        <x:v>2025</x:v>
      </x:c>
      <x:c r="N492" s="717" t="str">
        <x:v>Google Scholar result</x:v>
      </x:c>
      <x:c r="O492" s="717" t="str">
        <x:v>No</x:v>
      </x:c>
      <x:c r="P492" s="717"/>
    </x:row>
    <x:row r="493" ht="38" customHeight="1">
      <x:c r="A493" s="717" t="str">
        <x:v>GS-06-010</x:v>
      </x:c>
      <x:c r="B493" s="717" t="str">
        <x:v>Google Scholar</x:v>
      </x:c>
      <x:c r="C493" s="717" t="str">
        <x:v>GS-06</x:v>
      </x:c>
      <x:c r="D493" s="720" t="str">
        <x:v>Transparency of medical artificial intelligence systems</x:v>
      </x:c>
      <x:c r="E493" s="717" t="str">
        <x:v>Unclear</x:v>
      </x:c>
      <x:c r="F493" s="720" t="str">
        <x:v>Possible contextual explainability evidence, but concept-level relevance is not confirmed from the available title only.</x:v>
      </x:c>
      <x:c r="G493" s="717" t="str">
        <x:v>Title only</x:v>
      </x:c>
      <x:c r="H493" s="717" t="str">
        <x:v>Exclude</x:v>
      </x:c>
      <x:c r="I493" s="720" t="str">
        <x:v>Medical/clinical topic, but no eligible concept-based explainability contribution is evident.</x:v>
      </x:c>
      <x:c r="J493" s="717" t="str">
        <x:f>IF(E493=H493,E493,"Unclear")</x:f>
        <x:v>Unclear</x:v>
      </x:c>
      <x:c r="K493" s="720" t="str">
        <x:f>IF(E493=H493,"Agreement between both AI passes.","AI-pass disagreement; retain for human discussion.")</x:f>
        <x:v>AI-pass disagreement; retain for human discussion.</x:v>
      </x:c>
      <x:c r="L493" s="720" t="str">
        <x:v>CKir SU Gaggil Sl Lee</x:v>
      </x:c>
      <x:c r="M493" s="728"/>
      <x:c r="N493" s="717" t="str">
        <x:v>Google Scholar result</x:v>
      </x:c>
      <x:c r="O493" s="717" t="str">
        <x:v>No</x:v>
      </x:c>
      <x:c r="P493" s="717"/>
    </x:row>
    <x:row r="494" ht="38" customHeight="1">
      <x:c r="A494" s="717" t="str">
        <x:v>GS-06-011</x:v>
      </x:c>
      <x:c r="B494" s="717" t="str">
        <x:v>Google Scholar</x:v>
      </x:c>
      <x:c r="C494" s="717" t="str">
        <x:v>GS-06</x:v>
      </x:c>
      <x:c r="D494" s="720" t="str">
        <x:v>PSScreen V2: Partially Supervised Mlultiple Retinal Disease Screening</x:v>
      </x:c>
      <x:c r="E494" s="717" t="str">
        <x:v>Exclude</x:v>
      </x:c>
      <x:c r="F494" s="720" t="str">
        <x:v>Retinal/ophthalmic topic, but no concept-based or structured explainability method is evident.</x:v>
      </x:c>
      <x:c r="G494" s="717" t="str">
        <x:v>Title only</x:v>
      </x:c>
      <x:c r="H494" s="717" t="str">
        <x:v>Exclude</x:v>
      </x:c>
      <x:c r="I494" s="720" t="str">
        <x:v>Retinal/ophthalmic topic, but no concept-based or structured explainability method is evident.</x:v>
      </x:c>
      <x:c r="J494" s="717" t="str">
        <x:f>IF(E494=H494,E494,"Unclear")</x:f>
        <x:v>Exclude</x:v>
      </x:c>
      <x:c r="K494" s="720" t="str">
        <x:f>IF(E494=H494,"Agreement between both AI passes.","AI-pass disagreement; retain for human discussion.")</x:f>
        <x:v>Agreement between both AI passes.</x:v>
      </x:c>
      <x:c r="L494" s="720" t="str">
        <x:v>B Zheng. ¥ Zheng. H Boqunovic G Luu</x:v>
      </x:c>
      <x:c r="M494" s="728" t="n">
        <x:v>2025</x:v>
      </x:c>
      <x:c r="N494" s="717" t="str">
        <x:v>Google Scholar result</x:v>
      </x:c>
      <x:c r="O494" s="717" t="str">
        <x:v>No</x:v>
      </x:c>
      <x:c r="P494" s="717"/>
    </x:row>
    <x:row r="495" ht="38" customHeight="1">
      <x:c r="A495" s="717" t="str">
        <x:v>GS-06-012</x:v>
      </x:c>
      <x:c r="B495" s="717" t="str">
        <x:v>Google Scholar</x:v>
      </x:c>
      <x:c r="C495" s="717" t="str">
        <x:v>GS-06</x:v>
      </x:c>
      <x:c r="D495" s="720" t="str">
        <x:v>Explainable artifictal intelligence for medical imaging: Review and experiments with infrared breast mages</x:v>
      </x:c>
      <x:c r="E495" s="717" t="str">
        <x:v>Exclude</x:v>
      </x:c>
      <x:c r="F495" s="720" t="str">
        <x:v>Non-original evidence (review, editorial, response, protocol, or similar); retain only for background/citation chasing (E4).</x:v>
      </x:c>
      <x:c r="G495" s="717" t="str">
        <x:v>Title only</x:v>
      </x:c>
      <x:c r="H495" s="717" t="str">
        <x:v>Exclude</x:v>
      </x:c>
      <x:c r="I495" s="720" t="str">
        <x:v>Non-original evidence (review, editorial, response, protocol, or similar); retain only for background/citation chasing (E4).</x:v>
      </x:c>
      <x:c r="J495" s="717" t="str">
        <x:f>IF(E495=H495,E495,"Unclear")</x:f>
        <x:v>Exclude</x:v>
      </x:c>
      <x:c r="K495" s="720" t="str">
        <x:f>IF(E495=H495,"Agreement between both AI passes.","AI-pass disagreement; retain for human discussion.")</x:f>
        <x:v>Agreement between both AI passes.</x:v>
      </x:c>
      <x:c r="L495" s="720" t="str">
        <x:v>K Qaghavar $ Balasubramanian.</x:v>
      </x:c>
      <x:c r="M495" s="728" t="n">
        <x:v>2024</x:v>
      </x:c>
      <x:c r="N495" s="717" t="str">
        <x:v>Google Scholar result</x:v>
      </x:c>
      <x:c r="O495" s="717" t="str">
        <x:v>No</x:v>
      </x:c>
      <x:c r="P495" s="717"/>
    </x:row>
    <x:row r="496" ht="38" customHeight="1">
      <x:c r="A496" s="717" t="str">
        <x:v>GS-06-013</x:v>
      </x:c>
      <x:c r="B496" s="717" t="str">
        <x:v>Google Scholar</x:v>
      </x:c>
      <x:c r="C496" s="717" t="str">
        <x:v>GS-06</x:v>
      </x:c>
      <x:c r="D496" s="720" t="str">
        <x:v>Application of machine learning in intelligent medical image diagnosis and construction of intelligent service process</x:v>
      </x:c>
      <x:c r="E496" s="717" t="str">
        <x:v>Exclude</x:v>
      </x:c>
      <x:c r="F496" s="720" t="str">
        <x:v>Medical/clinical topic, but no eligible concept-based explainability contribution is evident.</x:v>
      </x:c>
      <x:c r="G496" s="717" t="str">
        <x:v>Title only</x:v>
      </x:c>
      <x:c r="H496" s="717" t="str">
        <x:v>Exclude</x:v>
      </x:c>
      <x:c r="I496" s="720" t="str">
        <x:v>Medical/clinical topic, but no eligible concept-based explainability contribution is evident.</x:v>
      </x:c>
      <x:c r="J496" s="717" t="str">
        <x:f>IF(E496=H496,E496,"Unclear")</x:f>
        <x:v>Exclude</x:v>
      </x:c>
      <x:c r="K496" s="720" t="str">
        <x:f>IF(E496=H496,"Agreement between both AI passes.","AI-pass disagreement; retain for human discussion.")</x:f>
        <x:v>Agreement between both AI passes.</x:v>
      </x:c>
      <x:c r="L496" s="720" t="str">
        <x:v>2Gao LLos MWang Z Sun. X Chan</x:v>
      </x:c>
      <x:c r="M496" s="728"/>
      <x:c r="N496" s="717" t="str">
        <x:v>Google Scholar result</x:v>
      </x:c>
      <x:c r="O496" s="717" t="str">
        <x:v>No</x:v>
      </x:c>
      <x:c r="P496" s="717"/>
    </x:row>
    <x:row r="497" ht="38" customHeight="1">
      <x:c r="A497" s="717" t="str">
        <x:v>GS-06-014</x:v>
      </x:c>
      <x:c r="B497" s="717" t="str">
        <x:v>Google Scholar</x:v>
      </x:c>
      <x:c r="C497" s="717" t="str">
        <x:v>GS-06</x:v>
      </x:c>
      <x:c r="D497" s="720" t="str">
        <x:v>Developing explainable machine learning model using augmented concept activation vector</x:v>
      </x:c>
      <x:c r="E497" s="717" t="str">
        <x:v>Include</x:v>
      </x:c>
      <x:c r="F497" s="720" t="str">
        <x:v>Foundational concept-XAI method relevant to the review taxonomy or reliability analysis (title only).</x:v>
      </x:c>
      <x:c r="G497" s="717" t="str">
        <x:v>Title only</x:v>
      </x:c>
      <x:c r="H497" s="717" t="str">
        <x:v>Unclear</x:v>
      </x:c>
      <x:c r="I497" s="720" t="str">
        <x:v>Concept-XAI method may be useful as foundational/contextual evidence; retinal or medical applicability requires discussion (title only).</x:v>
      </x:c>
      <x:c r="J497" s="717" t="str">
        <x:f>IF(E497=H497,E497,"Unclear")</x:f>
        <x:v>Unclear</x:v>
      </x:c>
      <x:c r="K497" s="720" t="str">
        <x:f>IF(E497=H497,"Agreement between both AI passes.","AI-pass disagreement; retain for human discussion.")</x:f>
        <x:v>AI-pass disagreement; retain for human discussion.</x:v>
      </x:c>
      <x:c r="L497" s="720" t="str">
        <x:v>R Hassanpcur K Ozlaprak MN Netlen, TBusker =</x:v>
      </x:c>
      <x:c r="M497" s="728" t="n">
        <x:v>2024</x:v>
      </x:c>
      <x:c r="N497" s="717" t="str">
        <x:v>Google Scholar result</x:v>
      </x:c>
      <x:c r="O497" s="717" t="str">
        <x:v>No</x:v>
      </x:c>
      <x:c r="P497" s="717"/>
    </x:row>
    <x:row r="498" ht="38" customHeight="1">
      <x:c r="A498" s="717" t="str">
        <x:v>GS-06-015</x:v>
      </x:c>
      <x:c r="B498" s="717" t="str">
        <x:v>Google Scholar</x:v>
      </x:c>
      <x:c r="C498" s="717" t="str">
        <x:v>GS-06</x:v>
      </x:c>
      <x:c r="D498" s="720" t="str">
        <x:v>ExAID A multimodal explanation framework for computer-aided diagnosis of skin lesions</x:v>
      </x:c>
      <x:c r="E498" s="717" t="str">
        <x:v>Unclear</x:v>
      </x:c>
      <x:c r="F498" s="720" t="str">
        <x:v>Possible contextual explainability evidence, but concept-level relevance is not confirmed from the available title only.</x:v>
      </x:c>
      <x:c r="G498" s="717" t="str">
        <x:v>Title only</x:v>
      </x:c>
      <x:c r="H498" s="717" t="str">
        <x:v>Exclude</x:v>
      </x:c>
      <x:c r="I498" s="720" t="str">
        <x:v>Medical/clinical topic, but no eligible concept-based explainability contribution is evident.</x:v>
      </x:c>
      <x:c r="J498" s="717" t="str">
        <x:f>IF(E498=H498,E498,"Unclear")</x:f>
        <x:v>Unclear</x:v>
      </x:c>
      <x:c r="K498" s="720" t="str">
        <x:f>IF(E498=H498,"Agreement between both AI passes.","AI-pass disagreement; retain for human discussion.")</x:f>
        <x:v>AI-pass disagreement; retain for human discussion.</x:v>
      </x:c>
      <x:c r="L498" s="720" t="str">
        <x:v>Aluceri WIN Bapyva SABraun MI Malik -Compuler Mathads and | 2022. Elsev-er</x:v>
      </x:c>
      <x:c r="M498" s="728" t="n">
        <x:v>2022</x:v>
      </x:c>
      <x:c r="N498" s="717" t="str">
        <x:v>Google Scholar result</x:v>
      </x:c>
      <x:c r="O498" s="717" t="str">
        <x:v>No</x:v>
      </x:c>
      <x:c r="P498" s="717"/>
    </x:row>
    <x:row r="499" ht="38" customHeight="1">
      <x:c r="A499" s="717" t="str">
        <x:v>GS-06-016</x:v>
      </x:c>
      <x:c r="B499" s="717" t="str">
        <x:v>Google Scholar</x:v>
      </x:c>
      <x:c r="C499" s="717" t="str">
        <x:v>GS-06</x:v>
      </x:c>
      <x:c r="D499" s="720" t="str">
        <x:v>Fairness in deep learning A computational perspective</x:v>
      </x:c>
      <x:c r="E499" s="717" t="str">
        <x:v>Exclude</x:v>
      </x:c>
      <x:c r="F499" s="720" t="str">
        <x:v>Clearly outside retinal/ophthalmic concept-based explainable AI.</x:v>
      </x:c>
      <x:c r="G499" s="717" t="str">
        <x:v>Title only</x:v>
      </x:c>
      <x:c r="H499" s="717" t="str">
        <x:v>Exclude</x:v>
      </x:c>
      <x:c r="I499" s="720" t="str">
        <x:v>Clearly outside retinal/ophthalmic concept-based explainable AI.</x:v>
      </x:c>
      <x:c r="J499" s="717" t="str">
        <x:f>IF(E499=H499,E499,"Unclear")</x:f>
        <x:v>Exclude</x:v>
      </x:c>
      <x:c r="K499" s="720" t="str">
        <x:f>IF(E499=H499,"Agreement between both AI passes.","AI-pass disagreement; retain for human discussion.")</x:f>
        <x:v>Agreement between both AI passes.</x:v>
      </x:c>
      <x:c r="L499" s="720" t="str">
        <x:v>My, F Yarg. 5 Zou X Hu</x:v>
      </x:c>
      <x:c r="M499" s="728"/>
      <x:c r="N499" s="717" t="str">
        <x:v>Google Scholar result</x:v>
      </x:c>
      <x:c r="O499" s="717" t="str">
        <x:v>No</x:v>
      </x:c>
      <x:c r="P499" s="717"/>
    </x:row>
    <x:row r="500" ht="38" customHeight="1">
      <x:c r="A500" s="717" t="str">
        <x:v>GS-06-017</x:v>
      </x:c>
      <x:c r="B500" s="717" t="str">
        <x:v>Google Scholar</x:v>
      </x:c>
      <x:c r="C500" s="717" t="str">
        <x:v>GS-06</x:v>
      </x:c>
      <x:c r="D500" s="720" t="str">
        <x:v>Robust and Interpretable Chest X-ray Classification via Diffusion Purificatian and Concept-Based Adversanai Detection</x:v>
      </x:c>
      <x:c r="E500" s="717" t="str">
        <x:v>Include</x:v>
      </x:c>
      <x:c r="F500" s="720" t="str">
        <x:v>Foundational concept-XAI method relevant to the review taxonomy or reliability analysis (title only).</x:v>
      </x:c>
      <x:c r="G500" s="717" t="str">
        <x:v>Title only</x:v>
      </x:c>
      <x:c r="H500" s="717" t="str">
        <x:v>Unclear</x:v>
      </x:c>
      <x:c r="I500" s="720" t="str">
        <x:v>Concept-XAI method may be useful as foundational/contextual evidence; retinal or medical applicability requires discussion (title only).</x:v>
      </x:c>
      <x:c r="J500" s="717" t="str">
        <x:f>IF(E500=H500,E500,"Unclear")</x:f>
        <x:v>Unclear</x:v>
      </x:c>
      <x:c r="K500" s="720" t="str">
        <x:f>IF(E500=H500,"Agreement between both AI passes.","AI-pass disagreement; retain for human discussion.")</x:f>
        <x:v>AI-pass disagreement; retain for human discussion.</x:v>
      </x:c>
      <x:c r="L500" s="720" t="str">
        <x:v>AK Alj</x:v>
      </x:c>
      <x:c r="M500" s="728" t="n">
        <x:v>2025</x:v>
      </x:c>
      <x:c r="N500" s="717" t="str">
        <x:v>Google Scholar result</x:v>
      </x:c>
      <x:c r="O500" s="717" t="str">
        <x:v>No</x:v>
      </x:c>
      <x:c r="P500" s="717"/>
    </x:row>
    <x:row r="501" ht="38" customHeight="1">
      <x:c r="A501" s="717" t="str">
        <x:v>GS-06-018</x:v>
      </x:c>
      <x:c r="B501" s="717" t="str">
        <x:v>Google Scholar</x:v>
      </x:c>
      <x:c r="C501" s="717" t="str">
        <x:v>GS-06</x:v>
      </x:c>
      <x:c r="D501" s="720" t="str">
        <x:v>Explainable Al for Deep Learning Models: Enhancing Trust and Transparency tn Intelligent Medical Applications</x:v>
      </x:c>
      <x:c r="E501" s="717" t="str">
        <x:v>Unclear</x:v>
      </x:c>
      <x:c r="F501" s="720" t="str">
        <x:v>Possible contextual explainability evidence, but concept-level relevance is not confirmed from the available title only.</x:v>
      </x:c>
      <x:c r="G501" s="717" t="str">
        <x:v>Title only</x:v>
      </x:c>
      <x:c r="H501" s="717" t="str">
        <x:v>Exclude</x:v>
      </x:c>
      <x:c r="I501" s="720" t="str">
        <x:v>Medical/clinical topic, but no eligible concept-based explainability contribution is evident.</x:v>
      </x:c>
      <x:c r="J501" s="717" t="str">
        <x:f>IF(E501=H501,E501,"Unclear")</x:f>
        <x:v>Unclear</x:v>
      </x:c>
      <x:c r="K501" s="720" t="str">
        <x:f>IF(E501=H501,"Agreement between both AI passes.","AI-pass disagreement; retain for human discussion.")</x:f>
        <x:v>AI-pass disagreement; retain for human discussion.</x:v>
      </x:c>
      <x:c r="L501" s="720" t="str">
        <x:v>JMachyr, MS Bhargavi- Arbficial Inlelligence for Medical ala Anslytes =. 2026</x:v>
      </x:c>
      <x:c r="M501" s="728" t="n">
        <x:v>2026</x:v>
      </x:c>
      <x:c r="N501" s="717" t="str">
        <x:v>Google Scholar result</x:v>
      </x:c>
      <x:c r="O501" s="717" t="str">
        <x:v>No</x:v>
      </x:c>
      <x:c r="P501" s="717"/>
    </x:row>
    <x:row r="502" ht="38" customHeight="1">
      <x:c r="A502" s="717" t="str">
        <x:v>GS-06-019</x:v>
      </x:c>
      <x:c r="B502" s="717" t="str">
        <x:v>Google Scholar</x:v>
      </x:c>
      <x:c r="C502" s="717" t="str">
        <x:v>GS-06</x:v>
      </x:c>
      <x:c r="D502" s="720" t="str">
        <x:v>Evaluation of strategic decision taken by autonomous agent using explainable Al</x:v>
      </x:c>
      <x:c r="E502" s="717" t="str">
        <x:v>Exclude</x:v>
      </x:c>
      <x:c r="F502" s="720" t="str">
        <x:v>Generic explainability topic outside the retinal/medical concept-XAI scope.</x:v>
      </x:c>
      <x:c r="G502" s="717" t="str">
        <x:v>Title only</x:v>
      </x:c>
      <x:c r="H502" s="717" t="str">
        <x:v>Exclude</x:v>
      </x:c>
      <x:c r="I502" s="720" t="str">
        <x:v>Generic explainability topic outside the retinal/medical concept-XAI scope.</x:v>
      </x:c>
      <x:c r="J502" s="717" t="str">
        <x:f>IF(E502=H502,E502,"Unclear")</x:f>
        <x:v>Exclude</x:v>
      </x:c>
      <x:c r="K502" s="720" t="str">
        <x:f>IF(E502=H502,"Agreement between both AI passes.","AI-pass disagreement; retain for human discussion.")</x:f>
        <x:v>Agreement between both AI passes.</x:v>
      </x:c>
      <x:c r="L502" s="720" t="str">
        <x:v>RR Prasad ARR Aobinson. &amp; Thomas</x:v>
      </x:c>
      <x:c r="M502" s="728"/>
      <x:c r="N502" s="717" t="str">
        <x:v>Google Scholar result</x:v>
      </x:c>
      <x:c r="O502" s="717" t="str">
        <x:v>No</x:v>
      </x:c>
      <x:c r="P502" s="717"/>
    </x:row>
    <x:row r="503" ht="38" customHeight="1">
      <x:c r="A503" s="717" t="str">
        <x:v>GS-06-020</x:v>
      </x:c>
      <x:c r="B503" s="717" t="str">
        <x:v>Google Scholar</x:v>
      </x:c>
      <x:c r="C503" s="717" t="str">
        <x:v>GS-06</x:v>
      </x:c>
      <x:c r="D503" s="720" t="str">
        <x:v>{s0oK) Daes Computer Vision Madels Understand Human Interpretable Concepts? Benchmarking with Counterfactual Images</x:v>
      </x:c>
      <x:c r="E503" s="717" t="str">
        <x:v>Exclude</x:v>
      </x:c>
      <x:c r="F503" s="720" t="str">
        <x:v>Generic explainability topic outside the retinal/medical concept-XAI scope.</x:v>
      </x:c>
      <x:c r="G503" s="717" t="str">
        <x:v>Title only</x:v>
      </x:c>
      <x:c r="H503" s="717" t="str">
        <x:v>Exclude</x:v>
      </x:c>
      <x:c r="I503" s="720" t="str">
        <x:v>Generic explainability topic outside the retinal/medical concept-XAI scope.</x:v>
      </x:c>
      <x:c r="J503" s="717" t="str">
        <x:f>IF(E503=H503,E503,"Unclear")</x:f>
        <x:v>Exclude</x:v>
      </x:c>
      <x:c r="K503" s="720" t="str">
        <x:f>IF(E503=H503,"Agreement between both AI passes.","AI-pass disagreement; retain for human discussion.")</x:f>
        <x:v>Agreement between both AI passes.</x:v>
      </x:c>
      <x:c r="L503" s="720" t="str">
        <x:v>KT Tafti</x:v>
      </x:c>
      <x:c r="M503" s="728" t="n">
        <x:v>2025</x:v>
      </x:c>
      <x:c r="N503" s="717" t="str">
        <x:v>Google Scholar result</x:v>
      </x:c>
      <x:c r="O503" s="717" t="str">
        <x:v>No</x:v>
      </x:c>
      <x:c r="P503" s="717"/>
    </x:row>
    <x:row r="504" ht="38" customHeight="1">
      <x:c r="A504" s="717" t="str">
        <x:v>GS-06-021</x:v>
      </x:c>
      <x:c r="B504" s="717" t="str">
        <x:v>Google Scholar</x:v>
      </x:c>
      <x:c r="C504" s="717" t="str">
        <x:v>GS-06</x:v>
      </x:c>
      <x:c r="D504" s="720" t="str">
        <x:v>A Unifed Non-Visual Explainable Al Framework for Neonatal Pain Assessment</x:v>
      </x:c>
      <x:c r="E504" s="717" t="str">
        <x:v>Unclear</x:v>
      </x:c>
      <x:c r="F504" s="720" t="str">
        <x:v>Possible contextual explainability evidence, but concept-level relevance is not confirmed from the available title only.</x:v>
      </x:c>
      <x:c r="G504" s="717" t="str">
        <x:v>Title only</x:v>
      </x:c>
      <x:c r="H504" s="717" t="str">
        <x:v>Unclear</x:v>
      </x:c>
      <x:c r="I504" s="720" t="str">
        <x:v>Possible contextual explainability evidence, but concept-level relevance is not confirmed from the available title only.</x:v>
      </x:c>
      <x:c r="J504" s="717" t="str">
        <x:f>IF(E504=H504,E504,"Unclear")</x:f>
        <x:v>Unclear</x:v>
      </x:c>
      <x:c r="K504" s="720" t="str">
        <x:f>IF(E504=H504,"Agreement between both AI passes.","AI-pass disagreement; retain for human discussion.")</x:f>
        <x:v>Agreement between both AI passes.</x:v>
      </x:c>
      <x:c r="L504" s="720" t="str">
        <x:v>MI Hossain</x:v>
      </x:c>
      <x:c r="M504" s="728" t="n">
        <x:v>2026</x:v>
      </x:c>
      <x:c r="N504" s="717" t="str">
        <x:v>Google Scholar result</x:v>
      </x:c>
      <x:c r="O504" s="717" t="str">
        <x:v>No</x:v>
      </x:c>
      <x:c r="P504" s="717"/>
    </x:row>
    <x:row r="505" ht="38" customHeight="1">
      <x:c r="A505" s="717" t="str">
        <x:v>GS-06-022</x:v>
      </x:c>
      <x:c r="B505" s="717" t="str">
        <x:v>Google Scholar</x:v>
      </x:c>
      <x:c r="C505" s="717" t="str">
        <x:v>GS-06</x:v>
      </x:c>
      <x:c r="D505" s="720" t="str">
        <x:v>Explainable artifictal intelligence for medical applications: A review</x:v>
      </x:c>
      <x:c r="E505" s="717" t="str">
        <x:v>Exclude</x:v>
      </x:c>
      <x:c r="F505" s="720" t="str">
        <x:v>Non-original evidence (review, editorial, response, protocol, or similar); retain only for background/citation chasing (E4).</x:v>
      </x:c>
      <x:c r="G505" s="717" t="str">
        <x:v>Title only</x:v>
      </x:c>
      <x:c r="H505" s="717" t="str">
        <x:v>Exclude</x:v>
      </x:c>
      <x:c r="I505" s="720" t="str">
        <x:v>Non-original evidence (review, editorial, response, protocol, or similar); retain only for background/citation chasing (E4).</x:v>
      </x:c>
      <x:c r="J505" s="717" t="str">
        <x:f>IF(E505=H505,E505,"Unclear")</x:f>
        <x:v>Exclude</x:v>
      </x:c>
      <x:c r="K505" s="720" t="str">
        <x:f>IF(E505=H505,"Agreement between both AI passes.","AI-pass disagreement; retain for human discussion.")</x:f>
        <x:v>Agreement between both AI passes.</x:v>
      </x:c>
      <x:c r="L505" s="720" t="str">
        <x:v>O Sun AAkman By Schuller</x:v>
      </x:c>
      <x:c r="M505" s="728" t="n">
        <x:v>2025</x:v>
      </x:c>
      <x:c r="N505" s="717" t="str">
        <x:v>Google Scholar result</x:v>
      </x:c>
      <x:c r="O505" s="717" t="str">
        <x:v>No</x:v>
      </x:c>
      <x:c r="P505" s="717"/>
    </x:row>
    <x:row r="506" ht="38" customHeight="1">
      <x:c r="A506" s="717" t="str">
        <x:v>GS-06-023</x:v>
      </x:c>
      <x:c r="B506" s="717" t="str">
        <x:v>Google Scholar</x:v>
      </x:c>
      <x:c r="C506" s="717" t="str">
        <x:v>GS-06</x:v>
      </x:c>
      <x:c r="D506" s="720" t="str">
        <x:v>Tackling the class imbalanced dermoscopic image classification using data augmentation and GAN</x:v>
      </x:c>
      <x:c r="E506" s="717" t="str">
        <x:v>Exclude</x:v>
      </x:c>
      <x:c r="F506" s="720" t="str">
        <x:v>Clearly outside retinal/ophthalmic concept-based explainable AI.</x:v>
      </x:c>
      <x:c r="G506" s="717" t="str">
        <x:v>Title only</x:v>
      </x:c>
      <x:c r="H506" s="717" t="str">
        <x:v>Exclude</x:v>
      </x:c>
      <x:c r="I506" s="720" t="str">
        <x:v>Clearly outside retinal/ophthalmic concept-based explainable AI.</x:v>
      </x:c>
      <x:c r="J506" s="717" t="str">
        <x:f>IF(E506=H506,E506,"Unclear")</x:f>
        <x:v>Exclude</x:v>
      </x:c>
      <x:c r="K506" s="720" t="str">
        <x:f>IF(E506=H506,"Agreement between both AI passes.","AI-pass disagreement; retain for human discussion.")</x:f>
        <x:v>Agreement between both AI passes.</x:v>
      </x:c>
      <x:c r="L506" s="720" t="str">
        <x:v>M Alsaidi M7 Jan AAdahe: H Zhyang + Multimedia Tools ard . 2024</x:v>
      </x:c>
      <x:c r="M506" s="728" t="n">
        <x:v>2024</x:v>
      </x:c>
      <x:c r="N506" s="717" t="str">
        <x:v>Google Scholar result</x:v>
      </x:c>
      <x:c r="O506" s="717" t="str">
        <x:v>No</x:v>
      </x:c>
      <x:c r="P506" s="717"/>
    </x:row>
    <x:row r="507" ht="38" customHeight="1">
      <x:c r="A507" s="717" t="str">
        <x:v>GS-06-024</x:v>
      </x:c>
      <x:c r="B507" s="717" t="str">
        <x:v>Google Scholar</x:v>
      </x:c>
      <x:c r="C507" s="717" t="str">
        <x:v>GS-06</x:v>
      </x:c>
      <x:c r="D507" s="720" t="str">
        <x:v>explainadle artificial intelligence on medical images’ A survey</x:v>
      </x:c>
      <x:c r="E507" s="717" t="str">
        <x:v>Exclude</x:v>
      </x:c>
      <x:c r="F507" s="720" t="str">
        <x:v>Non-original evidence (review, editorial, response, protocol, or similar); retain only for background/citation chasing (E4).</x:v>
      </x:c>
      <x:c r="G507" s="717" t="str">
        <x:v>Title only</x:v>
      </x:c>
      <x:c r="H507" s="717" t="str">
        <x:v>Exclude</x:v>
      </x:c>
      <x:c r="I507" s="720" t="str">
        <x:v>Non-original evidence (review, editorial, response, protocol, or similar); retain only for background/citation chasing (E4).</x:v>
      </x:c>
      <x:c r="J507" s="717" t="str">
        <x:f>IF(E507=H507,E507,"Unclear")</x:f>
        <x:v>Exclude</x:v>
      </x:c>
      <x:c r="K507" s="720" t="str">
        <x:f>IF(E507=H507,"Agreement between both AI passes.","AI-pass disagreement; retain for human discussion.")</x:f>
        <x:v>Agreement between both AI passes.</x:v>
      </x:c>
      <x:c r="L507" s="720" t="str">
        <x:v>MVS da Silva RR Arrais, VS da Siva =</x:v>
      </x:c>
      <x:c r="M507" s="728" t="n">
        <x:v>2023</x:v>
      </x:c>
      <x:c r="N507" s="717" t="str">
        <x:v>Google Scholar result</x:v>
      </x:c>
      <x:c r="O507" s="717" t="str">
        <x:v>No</x:v>
      </x:c>
      <x:c r="P507" s="717"/>
    </x:row>
    <x:row r="508" ht="38" customHeight="1">
      <x:c r="A508" s="717" t="str">
        <x:v>GS-06-025</x:v>
      </x:c>
      <x:c r="B508" s="717" t="str">
        <x:v>Google Scholar</x:v>
      </x:c>
      <x:c r="C508" s="717" t="str">
        <x:v>GS-06</x:v>
      </x:c>
      <x:c r="D508" s="720" t="str">
        <x:v>Explainable Al in deep learning Methods, challanges, and future directions</x:v>
      </x:c>
      <x:c r="E508" s="717" t="str">
        <x:v>Exclude</x:v>
      </x:c>
      <x:c r="F508" s="720" t="str">
        <x:v>Generic explainability topic outside the retinal/medical concept-XAI scope.</x:v>
      </x:c>
      <x:c r="G508" s="717" t="str">
        <x:v>Title only</x:v>
      </x:c>
      <x:c r="H508" s="717" t="str">
        <x:v>Exclude</x:v>
      </x:c>
      <x:c r="I508" s="720" t="str">
        <x:v>Generic explainability topic outside the retinal/medical concept-XAI scope.</x:v>
      </x:c>
      <x:c r="J508" s="717" t="str">
        <x:f>IF(E508=H508,E508,"Unclear")</x:f>
        <x:v>Exclude</x:v>
      </x:c>
      <x:c r="K508" s="720" t="str">
        <x:f>IF(E508=H508,"Agreement between both AI passes.","AI-pass disagreement; retain for human discussion.")</x:f>
        <x:v>Agreement between both AI passes.</x:v>
      </x:c>
      <x:c r="L508" s="720" t="str">
        <x:v>G Zhang J Song . Ciao</x:v>
      </x:c>
      <x:c r="M508" s="728" t="n">
        <x:v>2026</x:v>
      </x:c>
      <x:c r="N508" s="717" t="str">
        <x:v>Google Scholar result</x:v>
      </x:c>
      <x:c r="O508" s="717" t="str">
        <x:v>No</x:v>
      </x:c>
      <x:c r="P508" s="717"/>
    </x:row>
    <x:row r="509" ht="38" customHeight="1">
      <x:c r="A509" s="717" t="str">
        <x:v>GS-06-026</x:v>
      </x:c>
      <x:c r="B509" s="717" t="str">
        <x:v>Google Scholar</x:v>
      </x:c>
      <x:c r="C509" s="717" t="str">
        <x:v>GS-06</x:v>
      </x:c>
      <x:c r="D509" s="720" t="str">
        <x:v>{s00x) Rabust Interpretable, and Portable Deep Learning Systems for Detection of Ophthalmic Diseases</x:v>
      </x:c>
      <x:c r="E509" s="717" t="str">
        <x:v>Unclear</x:v>
      </x:c>
      <x:c r="F509" s="720" t="str">
        <x:v>Retinal/ophthalmic AI is evident, but the concept-based mechanism is not confirmed from the available title only.</x:v>
      </x:c>
      <x:c r="G509" s="717" t="str">
        <x:v>Title only</x:v>
      </x:c>
      <x:c r="H509" s="717" t="str">
        <x:v>Unclear</x:v>
      </x:c>
      <x:c r="I509" s="720" t="str">
        <x:v>Retinal/ophthalmic AI is evident, but the concept-based mechanism is not confirmed from the available title only.</x:v>
      </x:c>
      <x:c r="J509" s="717" t="str">
        <x:f>IF(E509=H509,E509,"Unclear")</x:f>
        <x:v>Unclear</x:v>
      </x:c>
      <x:c r="K509" s="720" t="str">
        <x:f>IF(E509=H509,"Agreement between both AI passes.","AI-pass disagreement; retain for human discussion.")</x:f>
        <x:v>Agreement between both AI passes.</x:v>
      </x:c>
      <x:c r="L509" s="720" t="str">
        <x:v>K4é Thakoor</x:v>
      </x:c>
      <x:c r="M509" s="728"/>
      <x:c r="N509" s="717" t="str">
        <x:v>Google Scholar result</x:v>
      </x:c>
      <x:c r="O509" s="717" t="str">
        <x:v>No</x:v>
      </x:c>
      <x:c r="P509" s="717"/>
    </x:row>
    <x:row r="510" ht="38" customHeight="1">
      <x:c r="A510" s="717" t="str">
        <x:v>GS-06-027</x:v>
      </x:c>
      <x:c r="B510" s="717" t="str">
        <x:v>Google Scholar</x:v>
      </x:c>
      <x:c r="C510" s="717" t="str">
        <x:v>GS-06</x:v>
      </x:c>
      <x:c r="D510" s="720" t="str">
        <x:v>Deep Neuro-Fuzzy Systems: A Large Scale Image Classification Perspective</x:v>
      </x:c>
      <x:c r="E510" s="717" t="str">
        <x:v>Exclude</x:v>
      </x:c>
      <x:c r="F510" s="720" t="str">
        <x:v>Clearly outside retinal/ophthalmic concept-based explainable AI.</x:v>
      </x:c>
      <x:c r="G510" s="717" t="str">
        <x:v>Title only</x:v>
      </x:c>
      <x:c r="H510" s="717" t="str">
        <x:v>Exclude</x:v>
      </x:c>
      <x:c r="I510" s="720" t="str">
        <x:v>Clearly outside retinal/ophthalmic concept-based explainable AI.</x:v>
      </x:c>
      <x:c r="J510" s="717" t="str">
        <x:f>IF(E510=H510,E510,"Unclear")</x:f>
        <x:v>Exclude</x:v>
      </x:c>
      <x:c r="K510" s="720" t="str">
        <x:f>IF(E510=H510,"Agreement between both AI passes.","AI-pass disagreement; retain for human discussion.")</x:f>
        <x:v>Agreement between both AI passes.</x:v>
      </x:c>
      <x:c r="L510" s="720" t="str">
        <x:v>M Yegangyjoy</x:v>
      </x:c>
      <x:c r="M510" s="728" t="n">
        <x:v>2025</x:v>
      </x:c>
      <x:c r="N510" s="717" t="str">
        <x:v>Google Scholar result</x:v>
      </x:c>
      <x:c r="O510" s="717" t="str">
        <x:v>No</x:v>
      </x:c>
      <x:c r="P510" s="717"/>
    </x:row>
    <x:row r="511" ht="38" customHeight="1">
      <x:c r="A511" s="717" t="str">
        <x:v>GS-06-028</x:v>
      </x:c>
      <x:c r="B511" s="717" t="str">
        <x:v>Google Scholar</x:v>
      </x:c>
      <x:c r="C511" s="717" t="str">
        <x:v>GS-06</x:v>
      </x:c>
      <x:c r="D511" s="720" t="str">
        <x:v>(nterpretable deep leaming interpretation, interpretability, trustworthiness, and beyond X. Let al</x:v>
      </x:c>
      <x:c r="E511" s="717" t="str">
        <x:v>Exclude</x:v>
      </x:c>
      <x:c r="F511" s="720" t="str">
        <x:v>Generic explainability topic outside the retinal/medical concept-XAI scope.</x:v>
      </x:c>
      <x:c r="G511" s="717" t="str">
        <x:v>Title only</x:v>
      </x:c>
      <x:c r="H511" s="717" t="str">
        <x:v>Exclude</x:v>
      </x:c>
      <x:c r="I511" s="720" t="str">
        <x:v>Generic explainability topic outside the retinal/medical concept-XAI scope.</x:v>
      </x:c>
      <x:c r="J511" s="717" t="str">
        <x:f>IF(E511=H511,E511,"Unclear")</x:f>
        <x:v>Exclude</x:v>
      </x:c>
      <x:c r="K511" s="720" t="str">
        <x:f>IF(E511=H511,"Agreement between both AI passes.","AI-pass disagreement; retain for human discussion.")</x:f>
        <x:v>Agreement between both AI passes.</x:v>
      </x:c>
      <x:c r="L511" s="720" t="str">
        <x:v>Aaj HXiang ALI Xu XA Zhang thi, 2Bign</x:v>
      </x:c>
      <x:c r="M511" s="728" t="n">
        <x:v>2022</x:v>
      </x:c>
      <x:c r="N511" s="717" t="str">
        <x:v>Google Scholar result</x:v>
      </x:c>
      <x:c r="O511" s="717" t="str">
        <x:v>No</x:v>
      </x:c>
      <x:c r="P511" s="717"/>
    </x:row>
    <x:row r="512" ht="38" customHeight="1">
      <x:c r="A512" s="717" t="str">
        <x:v>GS-06-029</x:v>
      </x:c>
      <x:c r="B512" s="717" t="str">
        <x:v>Google Scholar</x:v>
      </x:c>
      <x:c r="C512" s="717" t="str">
        <x:v>GS-06</x:v>
      </x:c>
      <x:c r="D512" s="720" t="str">
        <x:v>Bias in predictive models for vitreoretinal diseases ethnic and socioeconomic disparities in artificial intelligence</x:v>
      </x:c>
      <x:c r="E512" s="717" t="str">
        <x:v>Exclude</x:v>
      </x:c>
      <x:c r="F512" s="720" t="str">
        <x:v>Clearly outside retinal/ophthalmic concept-based explainable AI.</x:v>
      </x:c>
      <x:c r="G512" s="717" t="str">
        <x:v>Title only</x:v>
      </x:c>
      <x:c r="H512" s="717" t="str">
        <x:v>Exclude</x:v>
      </x:c>
      <x:c r="I512" s="720" t="str">
        <x:v>Clearly outside retinal/ophthalmic concept-based explainable AI.</x:v>
      </x:c>
      <x:c r="J512" s="717" t="str">
        <x:f>IF(E512=H512,E512,"Unclear")</x:f>
        <x:v>Exclude</x:v>
      </x:c>
      <x:c r="K512" s="720" t="str">
        <x:f>IF(E512=H512,"Agreement between both AI passes.","AI-pass disagreement; retain for human discussion.")</x:f>
        <x:v>Agreement between both AI passes.</x:v>
      </x:c>
      <x:c r="L512" s="720" t="str">
        <x:v>Ferro Desert B Kirkpatrick 'A Zinkernagel -Eye 2025</x:v>
      </x:c>
      <x:c r="M512" s="728" t="n">
        <x:v>2025</x:v>
      </x:c>
      <x:c r="N512" s="717" t="str">
        <x:v>Google Scholar result</x:v>
      </x:c>
      <x:c r="O512" s="717" t="str">
        <x:v>No</x:v>
      </x:c>
      <x:c r="P512" s="717"/>
    </x:row>
    <x:row r="513" ht="38" customHeight="1">
      <x:c r="A513" s="717" t="str">
        <x:v>GS-06-030</x:v>
      </x:c>
      <x:c r="B513" s="717" t="str">
        <x:v>Google Scholar</x:v>
      </x:c>
      <x:c r="C513" s="717" t="str">
        <x:v>GS-06</x:v>
      </x:c>
      <x:c r="D513" s="720" t="str">
        <x:v>Explainable Al for medical data current methods, limitations. and future directions</x:v>
      </x:c>
      <x:c r="E513" s="717" t="str">
        <x:v>Unclear</x:v>
      </x:c>
      <x:c r="F513" s="720" t="str">
        <x:v>Possible contextual explainability evidence, but concept-level relevance is not confirmed from the available title only.</x:v>
      </x:c>
      <x:c r="G513" s="717" t="str">
        <x:v>Title only</x:v>
      </x:c>
      <x:c r="H513" s="717" t="str">
        <x:v>Exclude</x:v>
      </x:c>
      <x:c r="I513" s="720" t="str">
        <x:v>Medical/clinical topic, but no eligible concept-based explainability contribution is evident.</x:v>
      </x:c>
      <x:c r="J513" s="717" t="str">
        <x:f>IF(E513=H513,E513,"Unclear")</x:f>
        <x:v>Unclear</x:v>
      </x:c>
      <x:c r="K513" s="720" t="str">
        <x:f>IF(E513=H513,"Agreement between both AI passes.","AI-pass disagreement; retain for human discussion.")</x:f>
        <x:v>AI-pass disagreement; retain for human discussion.</x:v>
      </x:c>
      <x:c r="L513" s="720" t="str">
        <x:v>Mibossain GZamzrj PR Mouign MS Salekiz -ACM Computing . 2025-dlacmog</x:v>
      </x:c>
      <x:c r="M513" s="728" t="n">
        <x:v>2025</x:v>
      </x:c>
      <x:c r="N513" s="717" t="str">
        <x:v>Google Scholar result</x:v>
      </x:c>
      <x:c r="O513" s="717" t="str">
        <x:v>No</x:v>
      </x:c>
      <x:c r="P513" s="717"/>
    </x:row>
    <x:row r="514" ht="38" customHeight="1">
      <x:c r="A514" s="717" t="str">
        <x:v>GS-06-031</x:v>
      </x:c>
      <x:c r="B514" s="717" t="str">
        <x:v>Google Scholar</x:v>
      </x:c>
      <x:c r="C514" s="717" t="str">
        <x:v>GS-06</x:v>
      </x:c>
      <x:c r="D514" s="720" t="str">
        <x:v>Offset Networks and Segmentations Based Attention with Explorations into the Ethical .</x:v>
      </x:c>
      <x:c r="E514" s="717" t="str">
        <x:v>Exclude</x:v>
      </x:c>
      <x:c r="F514" s="720" t="str">
        <x:v>Clearly outside retinal/ophthalmic concept-based explainable AI.</x:v>
      </x:c>
      <x:c r="G514" s="717" t="str">
        <x:v>Title only</x:v>
      </x:c>
      <x:c r="H514" s="717" t="str">
        <x:v>Exclude</x:v>
      </x:c>
      <x:c r="I514" s="720" t="str">
        <x:v>Clearly outside retinal/ophthalmic concept-based explainable AI.</x:v>
      </x:c>
      <x:c r="J514" s="717" t="str">
        <x:f>IF(E514=H514,E514,"Unclear")</x:f>
        <x:v>Exclude</x:v>
      </x:c>
      <x:c r="K514" s="720" t="str">
        <x:f>IF(E514=H514,"Agreement between both AI passes.","AI-pass disagreement; retain for human discussion.")</x:f>
        <x:v>Agreement between both AI passes.</x:v>
      </x:c>
      <x:c r="L514" s="720" t="str">
        <x:v>V Agarwal. EAyoroa R Burdick AGaneshan .</x:v>
      </x:c>
      <x:c r="M514" s="728"/>
      <x:c r="N514" s="717" t="str">
        <x:v>Google Scholar result</x:v>
      </x:c>
      <x:c r="O514" s="717" t="str">
        <x:v>No</x:v>
      </x:c>
      <x:c r="P514" s="717"/>
    </x:row>
    <x:row r="515" ht="38" customHeight="1">
      <x:c r="A515" s="717" t="str">
        <x:v>GS-06-032</x:v>
      </x:c>
      <x:c r="B515" s="717" t="str">
        <x:v>Google Scholar</x:v>
      </x:c>
      <x:c r="C515" s="717" t="str">
        <x:v>GS-06</x:v>
      </x:c>
      <x:c r="D515" s="720" t="str">
        <x:v>(nterpretable machine tearning applied to fusian plasmas</x:v>
      </x:c>
      <x:c r="E515" s="717" t="str">
        <x:v>Exclude</x:v>
      </x:c>
      <x:c r="F515" s="720" t="str">
        <x:v>Clearly outside retinal/ophthalmic concept-based explainable AI.</x:v>
      </x:c>
      <x:c r="G515" s="717" t="str">
        <x:v>Title only</x:v>
      </x:c>
      <x:c r="H515" s="717" t="str">
        <x:v>Exclude</x:v>
      </x:c>
      <x:c r="I515" s="720" t="str">
        <x:v>Clearly outside retinal/ophthalmic concept-based explainable AI.</x:v>
      </x:c>
      <x:c r="J515" s="717" t="str">
        <x:f>IF(E515=H515,E515,"Unclear")</x:f>
        <x:v>Exclude</x:v>
      </x:c>
      <x:c r="K515" s="720" t="str">
        <x:f>IF(E515=H515,"Agreement between both AI passes.","AI-pass disagreement; retain for human discussion.")</x:f>
        <x:v>Agreement between both AI passes.</x:v>
      </x:c>
      <x:c r="L515" s="720" t="str">
        <x:v>AGillgren</x:v>
      </x:c>
      <x:c r="M515" s="728" t="n">
        <x:v>2026</x:v>
      </x:c>
      <x:c r="N515" s="717" t="str">
        <x:v>Google Scholar result</x:v>
      </x:c>
      <x:c r="O515" s="717" t="str">
        <x:v>No</x:v>
      </x:c>
      <x:c r="P515" s="717"/>
    </x:row>
    <x:row r="516" ht="38" customHeight="1">
      <x:c r="A516" s="717" t="str">
        <x:v>GS-06-033</x:v>
      </x:c>
      <x:c r="B516" s="717" t="str">
        <x:v>Google Scholar</x:v>
      </x:c>
      <x:c r="C516" s="717" t="str">
        <x:v>GS-06</x:v>
      </x:c>
      <x:c r="D516" s="720" t="str">
        <x:v>BXplainable Artificial Intelligence on Medical Images A Survey</x:v>
      </x:c>
      <x:c r="E516" s="717"/>
      <x:c r="F516" s="720" t="str">
        <x:v>Confirmed duplicate during enhanced OCR-variant deduplication.</x:v>
      </x:c>
      <x:c r="G516" s="717" t="str">
        <x:v>Duplicate control</x:v>
      </x:c>
      <x:c r="H516" s="717"/>
      <x:c r="I516" s="720" t="str">
        <x:v>Confirmed duplicate during enhanced OCR-variant deduplication.</x:v>
      </x:c>
      <x:c r="J516" s="717"/>
      <x:c r="K516" s="720" t="str">
        <x:v>Removed from the final title/abstract denominator before full-text retrieval.</x:v>
      </x:c>
      <x:c r="L516" s="720" t="str">
        <x:v>R De Paris</x:v>
      </x:c>
      <x:c r="M516" s="728"/>
      <x:c r="N516" s="717" t="str">
        <x:v>Google Scholar result</x:v>
      </x:c>
      <x:c r="O516" s="717" t="str">
        <x:v>No</x:v>
      </x:c>
      <x:c r="P516" s="717"/>
    </x:row>
    <x:row r="517" ht="38" customHeight="1">
      <x:c r="A517" s="717" t="str">
        <x:v>GS-06-034</x:v>
      </x:c>
      <x:c r="B517" s="717" t="str">
        <x:v>Google Scholar</x:v>
      </x:c>
      <x:c r="C517" s="717" t="str">
        <x:v>GS-06</x:v>
      </x:c>
      <x:c r="D517" s="720" t="str">
        <x:v>Self-supervised representation learning far trustworthy ultrasound video analysis</x:v>
      </x:c>
      <x:c r="E517" s="717" t="str">
        <x:v>Unclear</x:v>
      </x:c>
      <x:c r="F517" s="720" t="str">
        <x:v>Possible contextual explainability evidence, but concept-level relevance is not confirmed from the available title only.</x:v>
      </x:c>
      <x:c r="G517" s="717" t="str">
        <x:v>Title only</x:v>
      </x:c>
      <x:c r="H517" s="717" t="str">
        <x:v>Unclear</x:v>
      </x:c>
      <x:c r="I517" s="720" t="str">
        <x:v>Possible contextual explainability evidence, but concept-level relevance is not confirmed from the available title only.</x:v>
      </x:c>
      <x:c r="J517" s="717" t="str">
        <x:f>IF(E517=H517,E517,"Unclear")</x:f>
        <x:v>Unclear</x:v>
      </x:c>
      <x:c r="K517" s="720" t="str">
        <x:f>IF(E517=H517,"Agreement between both AI passes.","AI-pass disagreement; retain for human discussion.")</x:f>
        <x:v>Agreement between both AI passes.</x:v>
      </x:c>
      <x:c r="L517" s="720" t="str">
        <x:v>K Zhang</x:v>
      </x:c>
      <x:c r="M517" s="728" t="n">
        <x:v>2024</x:v>
      </x:c>
      <x:c r="N517" s="717" t="str">
        <x:v>Google Scholar result</x:v>
      </x:c>
      <x:c r="O517" s="717" t="str">
        <x:v>No</x:v>
      </x:c>
      <x:c r="P517" s="717"/>
    </x:row>
    <x:row r="518" ht="38" customHeight="1">
      <x:c r="A518" s="717" t="str">
        <x:v>GS-06-035</x:v>
      </x:c>
      <x:c r="B518" s="717" t="str">
        <x:v>Google Scholar</x:v>
      </x:c>
      <x:c r="C518" s="717" t="str">
        <x:v>GS-06</x:v>
      </x:c>
      <x:c r="D518" s="720" t="str">
        <x:v>Argument-based natural language explanation generation and assessment in healthcare</x:v>
      </x:c>
      <x:c r="E518" s="717" t="str">
        <x:v>Unclear</x:v>
      </x:c>
      <x:c r="F518" s="720" t="str">
        <x:v>Possible contextual explainability evidence, but concept-level relevance is not confirmed from the available title only.</x:v>
      </x:c>
      <x:c r="G518" s="717" t="str">
        <x:v>Title only</x:v>
      </x:c>
      <x:c r="H518" s="717" t="str">
        <x:v>Exclude</x:v>
      </x:c>
      <x:c r="I518" s="720" t="str">
        <x:v>Medical/clinical topic, but no eligible concept-based explainability contribution is evident.</x:v>
      </x:c>
      <x:c r="J518" s="717" t="str">
        <x:f>IF(E518=H518,E518,"Unclear")</x:f>
        <x:v>Unclear</x:v>
      </x:c>
      <x:c r="K518" s="720" t="str">
        <x:f>IF(E518=H518,"Agreement between both AI passes.","AI-pass disagreement; retain for human discussion.")</x:f>
        <x:v>AI-pass disagreement; retain for human discussion.</x:v>
      </x:c>
      <x:c r="L518" s="720" t="str">
        <x:v>B Moiine:</x:v>
      </x:c>
      <x:c r="M518" s="728" t="n">
        <x:v>2024</x:v>
      </x:c>
      <x:c r="N518" s="717" t="str">
        <x:v>Google Scholar result</x:v>
      </x:c>
      <x:c r="O518" s="717" t="str">
        <x:v>No</x:v>
      </x:c>
      <x:c r="P518" s="717"/>
    </x:row>
    <x:row r="519" ht="38" customHeight="1">
      <x:c r="A519" s="717" t="str">
        <x:v>GS-06-036</x:v>
      </x:c>
      <x:c r="B519" s="717" t="str">
        <x:v>Google Scholar</x:v>
      </x:c>
      <x:c r="C519" s="717" t="str">
        <x:v>GS-06</x:v>
      </x:c>
      <x:c r="D519" s="720" t="str">
        <x:v>Bridging the gap’ Explainable Al for advancing Earth System Scrence</x:v>
      </x:c>
      <x:c r="E519" s="717" t="str">
        <x:v>Exclude</x:v>
      </x:c>
      <x:c r="F519" s="720" t="str">
        <x:v>Generic explainability topic outside the retinal/medical concept-XAI scope.</x:v>
      </x:c>
      <x:c r="G519" s="717" t="str">
        <x:v>Title only</x:v>
      </x:c>
      <x:c r="H519" s="717" t="str">
        <x:v>Exclude</x:v>
      </x:c>
      <x:c r="I519" s="720" t="str">
        <x:v>Generic explainability topic outside the retinal/medical concept-XAI scope.</x:v>
      </x:c>
      <x:c r="J519" s="717" t="str">
        <x:f>IF(E519=H519,E519,"Unclear")</x:f>
        <x:v>Exclude</x:v>
      </x:c>
      <x:c r="K519" s="720" t="str">
        <x:f>IF(E519=H519,"Agreement between both AI passes.","AI-pass disagreement; retain for human discussion.")</x:f>
        <x:v>Agreement between both AI passes.</x:v>
      </x:c>
      <x:c r="L519" s="720" t="str">
        <x:v>F Huang S yiang W/ Shangquan LLi ¥ Zhang -Scianca China Eanth = 2026- Sprirger</x:v>
      </x:c>
      <x:c r="M519" s="728" t="n">
        <x:v>2026</x:v>
      </x:c>
      <x:c r="N519" s="717" t="str">
        <x:v>Google Scholar result</x:v>
      </x:c>
      <x:c r="O519" s="717" t="str">
        <x:v>No</x:v>
      </x:c>
      <x:c r="P519" s="717"/>
    </x:row>
    <x:row r="520" ht="38" customHeight="1">
      <x:c r="A520" s="717" t="str">
        <x:v>GS-06-037</x:v>
      </x:c>
      <x:c r="B520" s="717" t="str">
        <x:v>Google Scholar</x:v>
      </x:c>
      <x:c r="C520" s="717" t="str">
        <x:v>GS-06</x:v>
      </x:c>
      <x:c r="D520" s="720" t="str">
        <x:v>Interpretabilidade de redes neurais convelucionais com estudo de caso eam diagnéstica por imagem</x:v>
      </x:c>
      <x:c r="E520" s="717" t="str">
        <x:v>Exclude</x:v>
      </x:c>
      <x:c r="F520" s="720" t="str">
        <x:v>Generic explainability topic outside the retinal/medical concept-XAI scope.</x:v>
      </x:c>
      <x:c r="G520" s="717" t="str">
        <x:v>Title only</x:v>
      </x:c>
      <x:c r="H520" s="717" t="str">
        <x:v>Exclude</x:v>
      </x:c>
      <x:c r="I520" s="720" t="str">
        <x:v>Generic explainability topic outside the retinal/medical concept-XAI scope.</x:v>
      </x:c>
      <x:c r="J520" s="717" t="str">
        <x:f>IF(E520=H520,E520,"Unclear")</x:f>
        <x:v>Exclude</x:v>
      </x:c>
      <x:c r="K520" s="720" t="str">
        <x:f>IF(E520=H520,"Agreement between both AI passes.","AI-pass disagreement; retain for human discussion.")</x:f>
        <x:v>Agreement between both AI passes.</x:v>
      </x:c>
      <x:c r="L520" s="720" t="str">
        <x:v>MG Maia</x:v>
      </x:c>
      <x:c r="M520" s="728" t="n">
        <x:v>2022</x:v>
      </x:c>
      <x:c r="N520" s="717" t="str">
        <x:v>Google Scholar result</x:v>
      </x:c>
      <x:c r="O520" s="717" t="str">
        <x:v>No</x:v>
      </x:c>
      <x:c r="P520" s="717"/>
    </x:row>
    <x:row r="521" ht="38" customHeight="1">
      <x:c r="A521" s="717" t="str">
        <x:v>GS-06-038</x:v>
      </x:c>
      <x:c r="B521" s="717" t="str">
        <x:v>Google Scholar</x:v>
      </x:c>
      <x:c r="C521" s="717" t="str">
        <x:v>GS-06</x:v>
      </x:c>
      <x:c r="D521" s="720" t="str">
        <x:v>Towards falsifiable interpretability research</x:v>
      </x:c>
      <x:c r="E521" s="717" t="str">
        <x:v>Exclude</x:v>
      </x:c>
      <x:c r="F521" s="720" t="str">
        <x:v>Generic explainability topic outside the retinal/medical concept-XAI scope.</x:v>
      </x:c>
      <x:c r="G521" s="717" t="str">
        <x:v>Title only</x:v>
      </x:c>
      <x:c r="H521" s="717" t="str">
        <x:v>Exclude</x:v>
      </x:c>
      <x:c r="I521" s="720" t="str">
        <x:v>Generic explainability topic outside the retinal/medical concept-XAI scope.</x:v>
      </x:c>
      <x:c r="J521" s="717" t="str">
        <x:f>IF(E521=H521,E521,"Unclear")</x:f>
        <x:v>Exclude</x:v>
      </x:c>
      <x:c r="K521" s="720" t="str">
        <x:f>IF(E521=H521,"Agreement between both AI passes.","AI-pass disagreement; retain for human discussion.")</x:f>
        <x:v>Agreement between both AI passes.</x:v>
      </x:c>
      <x:c r="L521" s="720" t="str">
        <x:v>ML Leavit AbMarcas</x:v>
      </x:c>
      <x:c r="M521" s="728" t="n">
        <x:v>2020</x:v>
      </x:c>
      <x:c r="N521" s="717" t="str">
        <x:v>Google Scholar result</x:v>
      </x:c>
      <x:c r="O521" s="717" t="str">
        <x:v>No</x:v>
      </x:c>
      <x:c r="P521" s="717"/>
    </x:row>
    <x:row r="522" ht="38" customHeight="1">
      <x:c r="A522" s="717" t="str">
        <x:v>GS-06-039</x:v>
      </x:c>
      <x:c r="B522" s="717" t="str">
        <x:v>Google Scholar</x:v>
      </x:c>
      <x:c r="C522" s="717" t="str">
        <x:v>GS-06</x:v>
      </x:c>
      <x:c r="D522" s="720" t="str">
        <x:v>(PpF) Towards Human-Centred Explainable Al</x:v>
      </x:c>
      <x:c r="E522" s="717" t="str">
        <x:v>Exclude</x:v>
      </x:c>
      <x:c r="F522" s="720" t="str">
        <x:v>Generic explainability topic outside the retinal/medical concept-XAI scope.</x:v>
      </x:c>
      <x:c r="G522" s="717" t="str">
        <x:v>Title only</x:v>
      </x:c>
      <x:c r="H522" s="717" t="str">
        <x:v>Exclude</x:v>
      </x:c>
      <x:c r="I522" s="720" t="str">
        <x:v>Generic explainability topic outside the retinal/medical concept-XAI scope.</x:v>
      </x:c>
      <x:c r="J522" s="717" t="str">
        <x:f>IF(E522=H522,E522,"Unclear")</x:f>
        <x:v>Exclude</x:v>
      </x:c>
      <x:c r="K522" s="720" t="str">
        <x:f>IF(E522=H522,"Agreement between both AI passes.","AI-pass disagreement; retain for human discussion.")</x:f>
        <x:v>Agreement between both AI passes.</x:v>
      </x:c>
      <x:c r="L522" s="720" t="str">
        <x:v>MSH len Keppel T Schligpe</x:v>
      </x:c>
      <x:c r="M522" s="728"/>
      <x:c r="N522" s="717" t="str">
        <x:v>Google Scholar result</x:v>
      </x:c>
      <x:c r="O522" s="717" t="str">
        <x:v>No</x:v>
      </x:c>
      <x:c r="P522" s="717"/>
    </x:row>
    <x:row r="523" ht="38" customHeight="1">
      <x:c r="A523" s="717" t="str">
        <x:v>GS-06-040</x:v>
      </x:c>
      <x:c r="B523" s="717" t="str">
        <x:v>Google Scholar</x:v>
      </x:c>
      <x:c r="C523" s="717" t="str">
        <x:v>GS-06</x:v>
      </x:c>
      <x:c r="D523" s="720" t="str">
        <x:v>Explainable deep machine learning for medical image analysis</x:v>
      </x:c>
      <x:c r="E523" s="717" t="str">
        <x:v>Unclear</x:v>
      </x:c>
      <x:c r="F523" s="720" t="str">
        <x:v>Possible contextual explainability evidence, but concept-level relevance is not confirmed from the available title only.</x:v>
      </x:c>
      <x:c r="G523" s="717" t="str">
        <x:v>Title only</x:v>
      </x:c>
      <x:c r="H523" s="717" t="str">
        <x:v>Unclear</x:v>
      </x:c>
      <x:c r="I523" s="720" t="str">
        <x:v>Possible contextual explainability evidence, but concept-level relevance is not confirmed from the available title only.</x:v>
      </x:c>
      <x:c r="J523" s="717" t="str">
        <x:f>IF(E523=H523,E523,"Unclear")</x:f>
        <x:v>Unclear</x:v>
      </x:c>
      <x:c r="K523" s="720" t="str">
        <x:f>IF(E523=H523,"Agreement between both AI passes.","AI-pass disagreement; retain for human discussion.")</x:f>
        <x:v>Agreement between both AI passes.</x:v>
      </x:c>
      <x:c r="L523" s="720" t="str">
        <x:v>AGaudic</x:v>
      </x:c>
      <x:c r="M523" s="728"/>
      <x:c r="N523" s="717" t="str">
        <x:v>Google Scholar result</x:v>
      </x:c>
      <x:c r="O523" s="717" t="str">
        <x:v>No</x:v>
      </x:c>
      <x:c r="P523" s="717"/>
    </x:row>
    <x:row r="524" ht="38" customHeight="1">
      <x:c r="A524" s="717" t="str">
        <x:v>GS-06-041</x:v>
      </x:c>
      <x:c r="B524" s="717" t="str">
        <x:v>Google Scholar</x:v>
      </x:c>
      <x:c r="C524" s="717" t="str">
        <x:v>GS-06</x:v>
      </x:c>
      <x:c r="D524" s="720" t="str">
        <x:v>How is fairness measured in practice? A survey and critique of fairness analyses applied to predictive algorithms</x:v>
      </x:c>
      <x:c r="E524" s="717" t="str">
        <x:v>Exclude</x:v>
      </x:c>
      <x:c r="F524" s="720" t="str">
        <x:v>Non-original evidence (review, editorial, response, protocol, or similar); retain only for background/citation chasing (E4).</x:v>
      </x:c>
      <x:c r="G524" s="717" t="str">
        <x:v>Title only</x:v>
      </x:c>
      <x:c r="H524" s="717" t="str">
        <x:v>Exclude</x:v>
      </x:c>
      <x:c r="I524" s="720" t="str">
        <x:v>Non-original evidence (review, editorial, response, protocol, or similar); retain only for background/citation chasing (E4).</x:v>
      </x:c>
      <x:c r="J524" s="717" t="str">
        <x:f>IF(E524=H524,E524,"Unclear")</x:f>
        <x:v>Exclude</x:v>
      </x:c>
      <x:c r="K524" s="720" t="str">
        <x:f>IF(E524=H524,"Agreement between both AI passes.","AI-pass disagreement; retain for human discussion.")</x:f>
        <x:v>Agreement between both AI passes.</x:v>
      </x:c>
      <x:c r="L524" s="720" t="str">
        <x:v>A Putman. P Lewis. O Rudmer</x:v>
      </x:c>
      <x:c r="M524" s="728" t="n">
        <x:v>2026</x:v>
      </x:c>
      <x:c r="N524" s="717" t="str">
        <x:v>Google Scholar result</x:v>
      </x:c>
      <x:c r="O524" s="717" t="str">
        <x:v>No</x:v>
      </x:c>
      <x:c r="P524" s="717"/>
    </x:row>
    <x:row r="525" ht="38" customHeight="1">
      <x:c r="A525" s="717" t="str">
        <x:v>GS-07-001</x:v>
      </x:c>
      <x:c r="B525" s="717" t="str">
        <x:v>Google Scholar</x:v>
      </x:c>
      <x:c r="C525" s="717" t="str">
        <x:v>GS-07</x:v>
      </x:c>
      <x:c r="D525" s="720" t="str">
        <x:v>sock] Interpretabilily in deep learning</x:v>
      </x:c>
      <x:c r="E525" s="717" t="str">
        <x:v>Exclude</x:v>
      </x:c>
      <x:c r="F525" s="720" t="str">
        <x:v>Generic explainability topic outside the retinal/medical concept-XAI scope.</x:v>
      </x:c>
      <x:c r="G525" s="717" t="str">
        <x:v>Title only</x:v>
      </x:c>
      <x:c r="H525" s="717" t="str">
        <x:v>Exclude</x:v>
      </x:c>
      <x:c r="I525" s="720" t="str">
        <x:v>Generic explainability topic outside the retinal/medical concept-XAI scope.</x:v>
      </x:c>
      <x:c r="J525" s="717" t="str">
        <x:f>IF(E525=H525,E525,"Unclear")</x:f>
        <x:v>Exclude</x:v>
      </x:c>
      <x:c r="K525" s="720" t="str">
        <x:f>IF(E525=H525,"Agreement between both AI passes.","AI-pass disagreement; retain for human discussion.")</x:f>
        <x:v>Agreement between both AI passes.</x:v>
      </x:c>
      <x:c r="L525" s="720" t="str">
        <x:v>ASomani A Horsch. SK Prasad</x:v>
      </x:c>
      <x:c r="M525" s="728"/>
      <x:c r="N525" s="717" t="str">
        <x:v>Google Scholar result</x:v>
      </x:c>
      <x:c r="O525" s="717" t="str">
        <x:v>No</x:v>
      </x:c>
      <x:c r="P525" s="717"/>
    </x:row>
    <x:row r="526" ht="38" customHeight="1">
      <x:c r="A526" s="717" t="str">
        <x:v>GS-07-002</x:v>
      </x:c>
      <x:c r="B526" s="717" t="str">
        <x:v>Google Scholar</x:v>
      </x:c>
      <x:c r="C526" s="717" t="str">
        <x:v>GS-07</x:v>
      </x:c>
      <x:c r="D526" s="720" t="str">
        <x:v>Artificial intelligence in clinical data analysis A review of large language models, foundation models digital twins, and allergy applications</x:v>
      </x:c>
      <x:c r="E526" s="717" t="str">
        <x:v>Exclude</x:v>
      </x:c>
      <x:c r="F526" s="720" t="str">
        <x:v>Non-original evidence (review, editorial, response, protocol, or similar); retain only for background/citation chasing (E4).</x:v>
      </x:c>
      <x:c r="G526" s="717" t="str">
        <x:v>Title only</x:v>
      </x:c>
      <x:c r="H526" s="717" t="str">
        <x:v>Exclude</x:v>
      </x:c>
      <x:c r="I526" s="720" t="str">
        <x:v>Non-original evidence (review, editorial, response, protocol, or similar); retain only for background/citation chasing (E4).</x:v>
      </x:c>
      <x:c r="J526" s="717" t="str">
        <x:f>IF(E526=H526,E526,"Unclear")</x:f>
        <x:v>Exclude</x:v>
      </x:c>
      <x:c r="K526" s="720" t="str">
        <x:f>IF(E526=H526,"Agreement between both AI passes.","AI-pass disagreement; retain for human discussion.")</x:f>
        <x:v>Agreement between both AI passes.</x:v>
      </x:c>
      <x:c r="L526" s="720" t="str">
        <x:v>Y Fuse 5N Murphy Hikari. ATakahash -Allergalogy 2025 -jstage jst gc ip</x:v>
      </x:c>
      <x:c r="M526" s="728" t="n">
        <x:v>2025</x:v>
      </x:c>
      <x:c r="N526" s="717" t="str">
        <x:v>Google Scholar result</x:v>
      </x:c>
      <x:c r="O526" s="717" t="str">
        <x:v>No</x:v>
      </x:c>
      <x:c r="P526" s="717"/>
    </x:row>
    <x:row r="527" ht="38" customHeight="1">
      <x:c r="A527" s="717" t="str">
        <x:v>GS-07-003</x:v>
      </x:c>
      <x:c r="B527" s="717" t="str">
        <x:v>Google Scholar</x:v>
      </x:c>
      <x:c r="C527" s="717" t="str">
        <x:v>GS-07</x:v>
      </x:c>
      <x:c r="D527" s="720" t="str">
        <x:v>CAD System Utilizing UNet and Hough Transform for Automated Measurement of Fetal Head Circumference and Age in 2D Ultrasound Images</x:v>
      </x:c>
      <x:c r="E527" s="717" t="str">
        <x:v>Exclude</x:v>
      </x:c>
      <x:c r="F527" s="720" t="str">
        <x:v>Medical/clinical topic, but no eligible concept-based explainability contribution is evident.</x:v>
      </x:c>
      <x:c r="G527" s="717" t="str">
        <x:v>Title only</x:v>
      </x:c>
      <x:c r="H527" s="717" t="str">
        <x:v>Exclude</x:v>
      </x:c>
      <x:c r="I527" s="720" t="str">
        <x:v>Medical/clinical topic, but no eligible concept-based explainability contribution is evident.</x:v>
      </x:c>
      <x:c r="J527" s="717" t="str">
        <x:f>IF(E527=H527,E527,"Unclear")</x:f>
        <x:v>Exclude</x:v>
      </x:c>
      <x:c r="K527" s="720" t="str">
        <x:f>IF(E527=H527,"Agreement between both AI passes.","AI-pass disagreement; retain for human discussion.")</x:f>
        <x:v>Agreement between both AI passes.</x:v>
      </x:c>
      <x:c r="L527" s="720" t="str">
        <x:v>H Jabar AAMchammed B Zhang ~ 4rtilicial Inlallgenca 2926 . ojs bo-viewpress com</x:v>
      </x:c>
      <x:c r="M527" s="728"/>
      <x:c r="N527" s="717" t="str">
        <x:v>Google Scholar result</x:v>
      </x:c>
      <x:c r="O527" s="717" t="str">
        <x:v>No</x:v>
      </x:c>
      <x:c r="P527" s="717"/>
    </x:row>
    <x:row r="528" ht="38" customHeight="1">
      <x:c r="A528" s="717" t="str">
        <x:v>GS-07-004</x:v>
      </x:c>
      <x:c r="B528" s="717" t="str">
        <x:v>Google Scholar</x:v>
      </x:c>
      <x:c r="C528" s="717" t="str">
        <x:v>GS-07</x:v>
      </x:c>
      <x:c r="D528" s="720" t="str">
        <x:v>ODiscovenng interpretable biolagical concapts in single-cell ma-seq foundation models</x:v>
      </x:c>
      <x:c r="E528" s="717" t="str">
        <x:v>Exclude</x:v>
      </x:c>
      <x:c r="F528" s="720" t="str">
        <x:v>Generic explainability topic outside the retinal/medical concept-XAI scope.</x:v>
      </x:c>
      <x:c r="G528" s="717" t="str">
        <x:v>Title only</x:v>
      </x:c>
      <x:c r="H528" s="717" t="str">
        <x:v>Exclude</x:v>
      </x:c>
      <x:c r="I528" s="720" t="str">
        <x:v>Generic explainability topic outside the retinal/medical concept-XAI scope.</x:v>
      </x:c>
      <x:c r="J528" s="717" t="str">
        <x:f>IF(E528=H528,E528,"Unclear")</x:f>
        <x:v>Exclude</x:v>
      </x:c>
      <x:c r="K528" s="720" t="str">
        <x:f>IF(E528=H528,"Agreement between both AI passes.","AI-pass disagreement; retain for human discussion.")</x:f>
        <x:v>Agreement between both AI passes.</x:v>
      </x:c>
      <x:c r="L528" s="720" t="str">
        <x:v>CClaye P Marschall, WV Overdane C Hudelot « arkiv prapictarxiv§ =| 2025+ arxivarg</x:v>
      </x:c>
      <x:c r="M528" s="728" t="n">
        <x:v>2025</x:v>
      </x:c>
      <x:c r="N528" s="717" t="str">
        <x:v>Google Scholar result</x:v>
      </x:c>
      <x:c r="O528" s="717" t="str">
        <x:v>No</x:v>
      </x:c>
      <x:c r="P528" s="717"/>
    </x:row>
    <x:row r="529" ht="38" customHeight="1">
      <x:c r="A529" s="717" t="str">
        <x:v>GS-07-005</x:v>
      </x:c>
      <x:c r="B529" s="717" t="str">
        <x:v>Google Scholar</x:v>
      </x:c>
      <x:c r="C529" s="717" t="str">
        <x:v>GS-07</x:v>
      </x:c>
      <x:c r="D529" s="720" t="str">
        <x:v>(PoF] CAD System Utdhzing UNet and Hough Transform for Automated Measurement of Fetal Head Circumference and Age in 20 Ultrasound Images</x:v>
      </x:c>
      <x:c r="E529" s="717"/>
      <x:c r="F529" s="720" t="str">
        <x:v>Confirmed duplicate during enhanced OCR-variant deduplication.</x:v>
      </x:c>
      <x:c r="G529" s="717" t="str">
        <x:v>Duplicate control</x:v>
      </x:c>
      <x:c r="H529" s="717"/>
      <x:c r="I529" s="720" t="str">
        <x:v>Confirmed duplicate during enhanced OCR-variant deduplication.</x:v>
      </x:c>
      <x:c r="J529" s="717"/>
      <x:c r="K529" s="720" t="str">
        <x:v>Removed from the final title/abstract denominator before full-text retrieval.</x:v>
      </x:c>
      <x:c r="L529" s="720" t="str">
        <x:v>AAM Hanzah Jaber A Zhang M Cw MM And Zaiy 2025: schola: archive org</x:v>
      </x:c>
      <x:c r="M529" s="728" t="n">
        <x:v>2025</x:v>
      </x:c>
      <x:c r="N529" s="717" t="str">
        <x:v>Google Scholar result</x:v>
      </x:c>
      <x:c r="O529" s="717" t="str">
        <x:v>No</x:v>
      </x:c>
      <x:c r="P529" s="717"/>
    </x:row>
    <x:row r="530" ht="38" customHeight="1">
      <x:c r="A530" s="717" t="str">
        <x:v>GS-07-006</x:v>
      </x:c>
      <x:c r="B530" s="717" t="str">
        <x:v>Google Scholar</x:v>
      </x:c>
      <x:c r="C530" s="717" t="str">
        <x:v>GS-07</x:v>
      </x:c>
      <x:c r="D530" s="720" t="str">
        <x:v>(PpF] A Brief Review of Explainable Artificral Intelligence in Healthcare</x:v>
      </x:c>
      <x:c r="E530" s="717" t="str">
        <x:v>Exclude</x:v>
      </x:c>
      <x:c r="F530" s="720" t="str">
        <x:v>Non-original evidence (review, editorial, response, protocol, or similar); retain only for background/citation chasing (E4).</x:v>
      </x:c>
      <x:c r="G530" s="717" t="str">
        <x:v>Title only</x:v>
      </x:c>
      <x:c r="H530" s="717" t="str">
        <x:v>Exclude</x:v>
      </x:c>
      <x:c r="I530" s="720" t="str">
        <x:v>Non-original evidence (review, editorial, response, protocol, or similar); retain only for background/citation chasing (E4).</x:v>
      </x:c>
      <x:c r="J530" s="717" t="str">
        <x:f>IF(E530=H530,E530,"Unclear")</x:f>
        <x:v>Exclude</x:v>
      </x:c>
      <x:c r="K530" s="720" t="str">
        <x:f>IF(E530=H530,"Agreement between both AI passes.","AI-pass disagreement; retain for human discussion.")</x:f>
        <x:v>Agreement between both AI passes.</x:v>
      </x:c>
      <x:c r="L530" s="720" t="str">
        <x:v>BaAlatas'1, M Panos</x:v>
      </x:c>
      <x:c r="M530" s="728"/>
      <x:c r="N530" s="717" t="str">
        <x:v>Google Scholar result</x:v>
      </x:c>
      <x:c r="O530" s="717" t="str">
        <x:v>No</x:v>
      </x:c>
      <x:c r="P530" s="717"/>
    </x:row>
    <x:row r="531" ht="38" customHeight="1">
      <x:c r="A531" s="717" t="str">
        <x:v>GS-07-007</x:v>
      </x:c>
      <x:c r="B531" s="717" t="str">
        <x:v>Google Scholar</x:v>
      </x:c>
      <x:c r="C531" s="717" t="str">
        <x:v>GS-07</x:v>
      </x:c>
      <x:c r="D531" s="720" t="str">
        <x:v>A Systematic Review of Al, Emotional Analysis. and Patient-Centric Applications in Healthcare</x:v>
      </x:c>
      <x:c r="E531" s="717" t="str">
        <x:v>Exclude</x:v>
      </x:c>
      <x:c r="F531" s="720" t="str">
        <x:v>Non-original evidence (review, editorial, response, protocol, or similar); retain only for background/citation chasing (E4).</x:v>
      </x:c>
      <x:c r="G531" s="717" t="str">
        <x:v>Title only</x:v>
      </x:c>
      <x:c r="H531" s="717" t="str">
        <x:v>Exclude</x:v>
      </x:c>
      <x:c r="I531" s="720" t="str">
        <x:v>Non-original evidence (review, editorial, response, protocol, or similar); retain only for background/citation chasing (E4).</x:v>
      </x:c>
      <x:c r="J531" s="717" t="str">
        <x:f>IF(E531=H531,E531,"Unclear")</x:f>
        <x:v>Exclude</x:v>
      </x:c>
      <x:c r="K531" s="720" t="str">
        <x:f>IF(E531=H531,"Agreement between both AI passes.","AI-pass disagreement; retain for human discussion.")</x:f>
        <x:v>Agreement between both AI passes.</x:v>
      </x:c>
      <x:c r="L531" s="720" t="str">
        <x:v>PK Neg ABhagal RY Priya</x:v>
      </x:c>
      <x:c r="M531" s="728" t="n">
        <x:v>2024</x:v>
      </x:c>
      <x:c r="N531" s="717" t="str">
        <x:v>Google Scholar result</x:v>
      </x:c>
      <x:c r="O531" s="717" t="str">
        <x:v>No</x:v>
      </x:c>
      <x:c r="P531" s="717"/>
    </x:row>
    <x:row r="532" ht="38" customHeight="1">
      <x:c r="A532" s="717" t="str">
        <x:v>GS-08-005</x:v>
      </x:c>
      <x:c r="B532" s="717" t="str">
        <x:v>Google Scholar</x:v>
      </x:c>
      <x:c r="C532" s="717" t="str">
        <x:v>GS-08</x:v>
      </x:c>
      <x:c r="D532" s="720" t="str">
        <x:v>Translating theory into practice’ assessing the pnyacy implications of concept- based explanations for biomedical A)</x:v>
      </x:c>
      <x:c r="E532" s="717" t="str">
        <x:v>Exclude</x:v>
      </x:c>
      <x:c r="F532" s="720" t="str">
        <x:v>Clearly outside retinal/ophthalmic concept-based explainable AI.</x:v>
      </x:c>
      <x:c r="G532" s="717" t="str">
        <x:v>Title only</x:v>
      </x:c>
      <x:c r="H532" s="717" t="str">
        <x:v>Exclude</x:v>
      </x:c>
      <x:c r="I532" s="720" t="str">
        <x:v>Clearly outside retinal/ophthalmic concept-based explainable AI.</x:v>
      </x:c>
      <x:c r="J532" s="717" t="str">
        <x:f>IF(E532=H532,E532,"Unclear")</x:f>
        <x:v>Exclude</x:v>
      </x:c>
      <x:c r="K532" s="720" t="str">
        <x:f>IF(E532=H532,"Agreement between both AI passes.","AI-pass disagreement; retain for human discussion.")</x:f>
        <x:v>Agreement between both AI passes.</x:v>
      </x:c>
      <x:c r="L532" s="720" t="str">
        <x:v>Aluceri ADe-ge. S Ahmed</x:v>
      </x:c>
      <x:c r="M532" s="728" t="n">
        <x:v>2023</x:v>
      </x:c>
      <x:c r="N532" s="717" t="str">
        <x:v>Google Scholar result</x:v>
      </x:c>
      <x:c r="O532" s="717" t="str">
        <x:v>No</x:v>
      </x:c>
      <x:c r="P532" s="717"/>
    </x:row>
    <x:row r="533" ht="38" customHeight="1">
      <x:c r="A533" s="717" t="str">
        <x:v>GS-08-007</x:v>
      </x:c>
      <x:c r="B533" s="717" t="str">
        <x:v>Google Scholar</x:v>
      </x:c>
      <x:c r="C533" s="717" t="str">
        <x:v>GS-08</x:v>
      </x:c>
      <x:c r="D533" s="720" t="str">
        <x:v>thT_] Tawards explainable deep learning in computational neuroscience’ visual and clinical applications</x:v>
      </x:c>
      <x:c r="E533" s="717"/>
      <x:c r="F533" s="720" t="str">
        <x:v>Confirmed duplicate during enhanced OCR-variant deduplication.</x:v>
      </x:c>
      <x:c r="G533" s="717" t="str">
        <x:v>Duplicate control</x:v>
      </x:c>
      <x:c r="H533" s="717"/>
      <x:c r="I533" s="720" t="str">
        <x:v>Confirmed duplicate during enhanced OCR-variant deduplication.</x:v>
      </x:c>
      <x:c r="J533" s="717"/>
      <x:c r="K533" s="720" t="str">
        <x:v>Removed from the final title/abstract denominator before full-text retrieval.</x:v>
      </x:c>
      <x:c r="L533" s="720" t="str">
        <x:v>Atdshmooc EMenmaog J Kim</x:v>
      </x:c>
      <x:c r="M533" s="728" t="n">
        <x:v>2025</x:v>
      </x:c>
      <x:c r="N533" s="717" t="str">
        <x:v>Google Scholar result</x:v>
      </x:c>
      <x:c r="O533" s="717" t="str">
        <x:v>No</x:v>
      </x:c>
      <x:c r="P533" s="717"/>
    </x:row>
    <x:row r="534" ht="38" customHeight="1">
      <x:c r="A534" s="717" t="str">
        <x:v>GS-08-008</x:v>
      </x:c>
      <x:c r="B534" s="717" t="str">
        <x:v>Google Scholar</x:v>
      </x:c>
      <x:c r="C534" s="717" t="str">
        <x:v>GS-08</x:v>
      </x:c>
      <x:c r="D534" s="720" t="str">
        <x:v>Explainable deep learning methods in madical image classification A survey</x:v>
      </x:c>
      <x:c r="E534" s="717" t="str">
        <x:v>Exclude</x:v>
      </x:c>
      <x:c r="F534" s="720" t="str">
        <x:v>Non-original evidence (review, editorial, response, protocol, or similar); retain only for background/citation chasing (E4).</x:v>
      </x:c>
      <x:c r="G534" s="717" t="str">
        <x:v>Title only</x:v>
      </x:c>
      <x:c r="H534" s="717" t="str">
        <x:v>Exclude</x:v>
      </x:c>
      <x:c r="I534" s="720" t="str">
        <x:v>Non-original evidence (review, editorial, response, protocol, or similar); retain only for background/citation chasing (E4).</x:v>
      </x:c>
      <x:c r="J534" s="717" t="str">
        <x:f>IF(E534=H534,E534,"Unclear")</x:f>
        <x:v>Exclude</x:v>
      </x:c>
      <x:c r="K534" s="720" t="str">
        <x:f>IF(E534=H534,"Agreement between both AI passes.","AI-pass disagreement; retain for human discussion.")</x:f>
        <x:v>Agreement between both AI passes.</x:v>
      </x:c>
      <x:c r="L534" s="720" t="str">
        <x:v>CParicio. JIC Neves. LE Te-xeira</x:v>
      </x:c>
      <x:c r="M534" s="728"/>
      <x:c r="N534" s="717" t="str">
        <x:v>Google Scholar result</x:v>
      </x:c>
      <x:c r="O534" s="717" t="str">
        <x:v>No</x:v>
      </x:c>
      <x:c r="P534" s="717"/>
    </x:row>
    <x:row r="535" ht="38" customHeight="1">
      <x:c r="A535" s="717" t="str">
        <x:v>GS-08-009</x:v>
      </x:c>
      <x:c r="B535" s="717" t="str">
        <x:v>Google Scholar</x:v>
      </x:c>
      <x:c r="C535" s="717" t="str">
        <x:v>GS-08</x:v>
      </x:c>
      <x:c r="D535" s="720" t="str">
        <x:v>Con¥VLM Cancept-Gurded Vision-Language Madels for Explainable Dermatological Diagnosis</x:v>
      </x:c>
      <x:c r="E535" s="717"/>
      <x:c r="F535" s="720" t="str">
        <x:v>Confirmed duplicate during enhanced OCR-variant deduplication.</x:v>
      </x:c>
      <x:c r="G535" s="717" t="str">
        <x:v>Duplicate control</x:v>
      </x:c>
      <x:c r="H535" s="717"/>
      <x:c r="I535" s="720" t="str">
        <x:v>Confirmed duplicate during enhanced OCR-variant deduplication.</x:v>
      </x:c>
      <x:c r="J535" s="717"/>
      <x:c r="K535" s="720" t="str">
        <x:v>Removed from the final title/abstract denominator before full-text retrieval.</x:v>
      </x:c>
      <x:c r="L535" s="720" t="str">
        <x:v>ADaws</x:v>
      </x:c>
      <x:c r="M535" s="728"/>
      <x:c r="N535" s="717" t="str">
        <x:v>Google Scholar result</x:v>
      </x:c>
      <x:c r="O535" s="717" t="str">
        <x:v>No</x:v>
      </x:c>
      <x:c r="P535" s="717"/>
    </x:row>
    <x:row r="536" ht="38" customHeight="1">
      <x:c r="A536" s="717" t="str">
        <x:v>GS-08-010</x:v>
      </x:c>
      <x:c r="B536" s="717" t="str">
        <x:v>Google Scholar</x:v>
      </x:c>
      <x:c r="C536" s="717" t="str">
        <x:v>GS-08</x:v>
      </x:c>
      <x:c r="D536" s="720" t="str">
        <x:v>Towards automatic concept-based explanations</x:v>
      </x:c>
      <x:c r="E536" s="717" t="str">
        <x:v>Unclear</x:v>
      </x:c>
      <x:c r="F536" s="720" t="str">
        <x:v>Concept-XAI method may be useful as foundational/contextual evidence; retinal or medical applicability requires discussion (title only).</x:v>
      </x:c>
      <x:c r="G536" s="717" t="str">
        <x:v>Title only</x:v>
      </x:c>
      <x:c r="H536" s="717" t="str">
        <x:v>Exclude</x:v>
      </x:c>
      <x:c r="I536" s="720" t="str">
        <x:v>Clearly outside retinal/ophthalmic concept-based explainable AI.</x:v>
      </x:c>
      <x:c r="J536" s="717" t="str">
        <x:f>IF(E536=H536,E536,"Unclear")</x:f>
        <x:v>Unclear</x:v>
      </x:c>
      <x:c r="K536" s="720" t="str">
        <x:f>IF(E536=H536,"Agreement between both AI passes.","AI-pass disagreement; retain for human discussion.")</x:f>
        <x:v>AI-pass disagreement; retain for human discussion.</x:v>
      </x:c>
      <x:c r="L536" s="720" t="str">
        <x:v>AGhorbani JiYexier JY Zou -Advances nveural 2019</x:v>
      </x:c>
      <x:c r="M536" s="728" t="n">
        <x:v>2019</x:v>
      </x:c>
      <x:c r="N536" s="717" t="str">
        <x:v>Google Scholar result</x:v>
      </x:c>
      <x:c r="O536" s="717" t="str">
        <x:v>No</x:v>
      </x:c>
      <x:c r="P536" s="717"/>
    </x:row>
    <x:row r="537" ht="38" customHeight="1">
      <x:c r="A537" s="717" t="str">
        <x:v>GS-08-011</x:v>
      </x:c>
      <x:c r="B537" s="717" t="str">
        <x:v>Google Scholar</x:v>
      </x:c>
      <x:c r="C537" s="717" t="str">
        <x:v>GS-08</x:v>
      </x:c>
      <x:c r="D537" s="720" t="str">
        <x:v>(4TML] Concept-based Al interpretability in physiological time-series data: Example of abnarmality detection in electroencephalagraphy</x:v>
      </x:c>
      <x:c r="E537" s="717"/>
      <x:c r="F537" s="720" t="str">
        <x:v>Confirmed duplicate during enhanced OCR-variant deduplication.</x:v>
      </x:c>
      <x:c r="G537" s="717" t="str">
        <x:v>Duplicate control</x:v>
      </x:c>
      <x:c r="H537" s="717"/>
      <x:c r="I537" s="720" t="str">
        <x:v>Confirmed duplicate during enhanced OCR-variant deduplication.</x:v>
      </x:c>
      <x:c r="J537" s="717"/>
      <x:c r="K537" s="720" t="str">
        <x:v>Removed from the final title/abstract denominator before full-text retrieval.</x:v>
      </x:c>
      <x:c r="L537" s="720" t="str">
        <x:v>ABrenner. F Krispel FP Fischer PRassmnait</x:v>
      </x:c>
      <x:c r="M537" s="728"/>
      <x:c r="N537" s="717" t="str">
        <x:v>Google Scholar result</x:v>
      </x:c>
      <x:c r="O537" s="717" t="str">
        <x:v>No</x:v>
      </x:c>
      <x:c r="P537" s="717"/>
    </x:row>
    <x:row r="538" ht="38" customHeight="1">
      <x:c r="A538" s="717" t="str">
        <x:v>GS-08-012</x:v>
      </x:c>
      <x:c r="B538" s="717" t="str">
        <x:v>Google Scholar</x:v>
      </x:c>
      <x:c r="C538" s="717" t="str">
        <x:v>GS-08</x:v>
      </x:c>
      <x:c r="D538" s="720" t="str">
        <x:v>XA\|-based data visualization in multimadal medical data</x:v>
      </x:c>
      <x:c r="E538" s="717" t="str">
        <x:v>Exclude</x:v>
      </x:c>
      <x:c r="F538" s="720" t="str">
        <x:v>Medical/clinical topic, but no eligible concept-based explainability contribution is evident.</x:v>
      </x:c>
      <x:c r="G538" s="717" t="str">
        <x:v>Title only</x:v>
      </x:c>
      <x:c r="H538" s="717" t="str">
        <x:v>Exclude</x:v>
      </x:c>
      <x:c r="I538" s="720" t="str">
        <x:v>Medical/clinical topic, but no eligible concept-based explainability contribution is evident.</x:v>
      </x:c>
      <x:c r="J538" s="717" t="str">
        <x:f>IF(E538=H538,E538,"Unclear")</x:f>
        <x:v>Exclude</x:v>
      </x:c>
      <x:c r="K538" s="720" t="str">
        <x:f>IF(E538=H538,"Agreement between both AI passes.","AI-pass disagreement; retain for human discussion.")</x:f>
        <x:v>Agreement between both AI passes.</x:v>
      </x:c>
      <x:c r="L538" s="720" t="str">
        <x:v>S Shanna M Singh L WeDaid S Bhattacharyya</x:v>
      </x:c>
      <x:c r="M538" s="728" t="n">
        <x:v>2025</x:v>
      </x:c>
      <x:c r="N538" s="717" t="str">
        <x:v>Google Scholar result</x:v>
      </x:c>
      <x:c r="O538" s="717" t="str">
        <x:v>No</x:v>
      </x:c>
      <x:c r="P538" s="717"/>
    </x:row>
    <x:row r="539" ht="38" customHeight="1">
      <x:c r="A539" s="717" t="str">
        <x:v>GS-08-013</x:v>
      </x:c>
      <x:c r="B539" s="717" t="str">
        <x:v>Google Scholar</x:v>
      </x:c>
      <x:c r="C539" s="717" t="str">
        <x:v>GS-08</x:v>
      </x:c>
      <x:c r="D539" s="720" t="str">
        <x:v>Achievements and challenges in explaining deep learning based computer-aided diagnosis systems</x:v>
      </x:c>
      <x:c r="E539" s="717" t="str">
        <x:v>Exclude</x:v>
      </x:c>
      <x:c r="F539" s="720" t="str">
        <x:v>Medical/clinical topic, but no eligible concept-based explainability contribution is evident.</x:v>
      </x:c>
      <x:c r="G539" s="717" t="str">
        <x:v>Title only</x:v>
      </x:c>
      <x:c r="H539" s="717" t="str">
        <x:v>Exclude</x:v>
      </x:c>
      <x:c r="I539" s="720" t="str">
        <x:v>Medical/clinical topic, but no eligible concept-based explainability contribution is evident.</x:v>
      </x:c>
      <x:c r="J539" s="717" t="str">
        <x:f>IF(E539=H539,E539,"Unclear")</x:f>
        <x:v>Exclude</x:v>
      </x:c>
      <x:c r="K539" s="720" t="str">
        <x:f>IF(E539=H539,"Agreement between both AI passes.","AI-pass disagreement; retain for human discussion.")</x:f>
        <x:v>Agreement between both AI passes.</x:v>
      </x:c>
      <x:c r="L539" s="720" t="str">
        <x:v>ALuceri MN Bajwa 4 Denzel S Ahmed</x:v>
      </x:c>
      <x:c r="M539" s="728" t="n">
        <x:v>2020</x:v>
      </x:c>
      <x:c r="N539" s="717" t="str">
        <x:v>Google Scholar result</x:v>
      </x:c>
      <x:c r="O539" s="717" t="str">
        <x:v>No</x:v>
      </x:c>
      <x:c r="P539" s="717"/>
    </x:row>
    <x:row r="540" ht="38" customHeight="1">
      <x:c r="A540" s="717" t="str">
        <x:v>GS-08-014</x:v>
      </x:c>
      <x:c r="B540" s="717" t="str">
        <x:v>Google Scholar</x:v>
      </x:c>
      <x:c r="C540" s="717" t="str">
        <x:v>GS-08</x:v>
      </x:c>
      <x:c r="D540" s="720" t="str">
        <x:v>YVhich explainable Al methods in medical imaging are clinically impactful? A systematic literature review addressing the clinician's perspective</x:v>
      </x:c>
      <x:c r="E540" s="717" t="str">
        <x:v>Exclude</x:v>
      </x:c>
      <x:c r="F540" s="720" t="str">
        <x:v>Non-original evidence (review, editorial, response, protocol, or similar); retain only for background/citation chasing (E4).</x:v>
      </x:c>
      <x:c r="G540" s="717" t="str">
        <x:v>Title only</x:v>
      </x:c>
      <x:c r="H540" s="717" t="str">
        <x:v>Exclude</x:v>
      </x:c>
      <x:c r="I540" s="720" t="str">
        <x:v>Non-original evidence (review, editorial, response, protocol, or similar); retain only for background/citation chasing (E4).</x:v>
      </x:c>
      <x:c r="J540" s="717" t="str">
        <x:f>IF(E540=H540,E540,"Unclear")</x:f>
        <x:v>Exclude</x:v>
      </x:c>
      <x:c r="K540" s="720" t="str">
        <x:f>IF(E540=H540,"Agreement between both AI passes.","AI-pass disagreement; retain for human discussion.")</x:f>
        <x:v>Agreement between both AI passes.</x:v>
      </x:c>
      <x:c r="L540" s="720" t="str">
        <x:v>$ Jd Jin R&amp;enns JCF Kel Migba</x:v>
      </x:c>
      <x:c r="M540" s="728" t="n">
        <x:v>2026</x:v>
      </x:c>
      <x:c r="N540" s="717" t="str">
        <x:v>Google Scholar result</x:v>
      </x:c>
      <x:c r="O540" s="717" t="str">
        <x:v>No</x:v>
      </x:c>
      <x:c r="P540" s="717"/>
    </x:row>
    <x:row r="541" ht="38" customHeight="1">
      <x:c r="A541" s="717" t="str">
        <x:v>GS-08-016</x:v>
      </x:c>
      <x:c r="B541" s="717" t="str">
        <x:v>Google Scholar</x:v>
      </x:c>
      <x:c r="C541" s="717" t="str">
        <x:v>GS-08</x:v>
      </x:c>
      <x:c r="D541" s="720" t="str">
        <x:v>Concept based explanation for fine-grained images and its application in infectious keratitis classification</x:v>
      </x:c>
      <x:c r="E541" s="717" t="str">
        <x:v>Include</x:v>
      </x:c>
      <x:c r="F541" s="720" t="str">
        <x:v>Foundational concept-XAI method relevant to the review taxonomy or reliability analysis (title only).</x:v>
      </x:c>
      <x:c r="G541" s="717" t="str">
        <x:v>Title only</x:v>
      </x:c>
      <x:c r="H541" s="717" t="str">
        <x:v>Unclear</x:v>
      </x:c>
      <x:c r="I541" s="720" t="str">
        <x:v>Concept-XAI method may be useful as foundational/contextual evidence; retinal or medical applicability requires discussion (title only).</x:v>
      </x:c>
      <x:c r="J541" s="717" t="str">
        <x:f>IF(E541=H541,E541,"Unclear")</x:f>
        <x:v>Unclear</x:v>
      </x:c>
      <x:c r="K541" s="720" t="str">
        <x:f>IF(E541=H541,"Agreement between both AI passes.","AI-pass disagreement; retain for human discussion.")</x:f>
        <x:v>AI-pass disagreement; retain for human discussion.</x:v>
      </x:c>
      <x:c r="L541" s="720" t="str">
        <x:v>2Fang. « Kuang ¥ Ln F Wu YF Yas</x:v>
      </x:c>
      <x:c r="M541" s="728" t="n">
        <x:v>2020</x:v>
      </x:c>
      <x:c r="N541" s="717" t="str">
        <x:v>Google Scholar result</x:v>
      </x:c>
      <x:c r="O541" s="717" t="str">
        <x:v>No</x:v>
      </x:c>
      <x:c r="P541" s="717"/>
    </x:row>
    <x:row r="542" ht="38" customHeight="1">
      <x:c r="A542" s="717" t="str">
        <x:v>GS-08-018</x:v>
      </x:c>
      <x:c r="B542" s="717" t="str">
        <x:v>Google Scholar</x:v>
      </x:c>
      <x:c r="C542" s="717" t="str">
        <x:v>GS-08</x:v>
      </x:c>
      <x:c r="D542" s="720" t="str">
        <x:v>On interpretability of deep learning based skin lesion classifiers using concept activation vectors</x:v>
      </x:c>
      <x:c r="E542" s="717"/>
      <x:c r="F542" s="720" t="str">
        <x:v>Confirmed duplicate during enhanced OCR-variant deduplication.</x:v>
      </x:c>
      <x:c r="G542" s="717" t="str">
        <x:v>Duplicate control</x:v>
      </x:c>
      <x:c r="H542" s="717"/>
      <x:c r="I542" s="720" t="str">
        <x:v>Confirmed duplicate during enhanced OCR-variant deduplication.</x:v>
      </x:c>
      <x:c r="J542" s="717"/>
      <x:c r="K542" s="720" t="str">
        <x:v>Removed from the final title/abstract denominator before full-text retrieval.</x:v>
      </x:c>
      <x:c r="L542" s="720" t="str">
        <x:v>Alyc:eri MN Bajwa. SAGraun Mi Malik</x:v>
      </x:c>
      <x:c r="M542" s="728"/>
      <x:c r="N542" s="717" t="str">
        <x:v>Google Scholar result</x:v>
      </x:c>
      <x:c r="O542" s="717" t="str">
        <x:v>No</x:v>
      </x:c>
      <x:c r="P542" s="717"/>
    </x:row>
    <x:row r="543" ht="38" customHeight="1">
      <x:c r="A543" s="717" t="str">
        <x:v>GS-08-019</x:v>
      </x:c>
      <x:c r="B543" s="717" t="str">
        <x:v>Google Scholar</x:v>
      </x:c>
      <x:c r="C543" s="717" t="str">
        <x:v>GS-08</x:v>
      </x:c>
      <x:c r="D543" s="720" t="str">
        <x:v>ConceptFlaw Hierarchical and Fine-grained Concept-Based Explanation for Convolutional Neural Netwarks</x:v>
      </x:c>
      <x:c r="E543" s="717" t="str">
        <x:v>Include</x:v>
      </x:c>
      <x:c r="F543" s="720" t="str">
        <x:v>Foundational concept-XAI method relevant to the review taxonomy or reliability analysis (title only).</x:v>
      </x:c>
      <x:c r="G543" s="717" t="str">
        <x:v>Title only</x:v>
      </x:c>
      <x:c r="H543" s="717" t="str">
        <x:v>Unclear</x:v>
      </x:c>
      <x:c r="I543" s="720" t="str">
        <x:v>Concept-XAI method may be useful as foundational/contextual evidence; retinal or medical applicability requires discussion (title only).</x:v>
      </x:c>
      <x:c r="J543" s="717" t="str">
        <x:f>IF(E543=H543,E543,"Unclear")</x:f>
        <x:v>Unclear</x:v>
      </x:c>
      <x:c r="K543" s="720" t="str">
        <x:f>IF(E543=H543,"Agreement between both AI passes.","AI-pass disagreement; retain for human discussion.")</x:f>
        <x:v>AI-pass disagreement; retain for human discussion.</x:v>
      </x:c>
      <x:c r="L543" s="720" t="str">
        <x:v>X My H Jou F Sher J Zhge</x:v>
      </x:c>
      <x:c r="M543" s="728" t="n">
        <x:v>2025</x:v>
      </x:c>
      <x:c r="N543" s="717" t="str">
        <x:v>Google Scholar result</x:v>
      </x:c>
      <x:c r="O543" s="717" t="str">
        <x:v>No</x:v>
      </x:c>
      <x:c r="P543" s="717"/>
    </x:row>
    <x:row r="544" ht="38" customHeight="1">
      <x:c r="A544" s="717" t="str">
        <x:v>GS-08-020</x:v>
      </x:c>
      <x:c r="B544" s="717" t="str">
        <x:v>Google Scholar</x:v>
      </x:c>
      <x:c r="C544" s="717" t="str">
        <x:v>GS-08</x:v>
      </x:c>
      <x:c r="D544" s="720" t="str">
        <x:v>Cat interpretable concept-based taylor additive models</x:v>
      </x:c>
      <x:c r="E544" s="717" t="str">
        <x:v>Include</x:v>
      </x:c>
      <x:c r="F544" s="720" t="str">
        <x:v>Foundational concept-XAI method relevant to the review taxonomy or reliability analysis (title only).</x:v>
      </x:c>
      <x:c r="G544" s="717" t="str">
        <x:v>Title only</x:v>
      </x:c>
      <x:c r="H544" s="717" t="str">
        <x:v>Unclear</x:v>
      </x:c>
      <x:c r="I544" s="720" t="str">
        <x:v>Concept-XAI method may be useful as foundational/contextual evidence; retinal or medical applicability requires discussion (title only).</x:v>
      </x:c>
      <x:c r="J544" s="717" t="str">
        <x:f>IF(E544=H544,E544,"Unclear")</x:f>
        <x:v>Unclear</x:v>
      </x:c>
      <x:c r="K544" s="720" t="str">
        <x:f>IF(E544=H544,"Agreement between both AI passes.","AI-pass disagreement; retain for human discussion.")</x:f>
        <x:v>AI-pass disagreement; retain for human discussion.</x:v>
      </x:c>
      <x:c r="L544" s="720" t="str">
        <x:v>¥ignong Qty. 2 Zhou, 4 Zhao. 24.9 -Proceedings oflhe 30ih =. 2024</x:v>
      </x:c>
      <x:c r="M544" s="728" t="n">
        <x:v>2024</x:v>
      </x:c>
      <x:c r="N544" s="717" t="str">
        <x:v>Google Scholar result</x:v>
      </x:c>
      <x:c r="O544" s="717" t="str">
        <x:v>No</x:v>
      </x:c>
      <x:c r="P544" s="717"/>
    </x:row>
    <x:row r="545" ht="38" customHeight="1">
      <x:c r="A545" s="717" t="str">
        <x:v>GS-08-021</x:v>
      </x:c>
      <x:c r="B545" s="717" t="str">
        <x:v>Google Scholar</x:v>
      </x:c>
      <x:c r="C545" s="717" t="str">
        <x:v>GS-08</x:v>
      </x:c>
      <x:c r="D545" s="720" t="str">
        <x:v>(4TmL] Which explainable Al methads in medical imaging are clinically impactful? A systematic literature review addressing the clinician's perspective</x:v>
      </x:c>
      <x:c r="E545" s="717"/>
      <x:c r="F545" s="720" t="str">
        <x:v>Confirmed duplicate during enhanced OCR-variant deduplication.</x:v>
      </x:c>
      <x:c r="G545" s="717" t="str">
        <x:v>Duplicate control</x:v>
      </x:c>
      <x:c r="H545" s="717"/>
      <x:c r="I545" s="720" t="str">
        <x:v>Confirmed duplicate during enhanced OCR-variant deduplication.</x:v>
      </x:c>
      <x:c r="J545" s="717"/>
      <x:c r="K545" s="720" t="str">
        <x:v>Removed from the final title/abstract denominator before full-text retrieval.</x:v>
      </x:c>
      <x:c r="L545" s="720" t="str">
        <x:v>SU Oin, R Kemra JCP Ket. Migbal -FroniiersinAnmcial =, 2026</x:v>
      </x:c>
      <x:c r="M545" s="728" t="n">
        <x:v>2026</x:v>
      </x:c>
      <x:c r="N545" s="717" t="str">
        <x:v>Google Scholar result</x:v>
      </x:c>
      <x:c r="O545" s="717" t="str">
        <x:v>No</x:v>
      </x:c>
      <x:c r="P545" s="717"/>
    </x:row>
    <x:row r="546" ht="38" customHeight="1">
      <x:c r="A546" s="717" t="str">
        <x:v>GS-08-023</x:v>
      </x:c>
      <x:c r="B546" s="717" t="str">
        <x:v>Google Scholar</x:v>
      </x:c>
      <x:c r="C546" s="717" t="str">
        <x:v>GS-08</x:v>
      </x:c>
      <x:c r="D546" s="720" t="str">
        <x:v>Explainable artificral intelligence in biomedical image analysis A comprehensive survey</x:v>
      </x:c>
      <x:c r="E546" s="717"/>
      <x:c r="F546" s="720" t="str">
        <x:v>Confirmed duplicate during enhanced OCR-variant deduplication.</x:v>
      </x:c>
      <x:c r="G546" s="717" t="str">
        <x:v>Duplicate control</x:v>
      </x:c>
      <x:c r="H546" s="717"/>
      <x:c r="I546" s="720" t="str">
        <x:v>Confirmed duplicate during enhanced OCR-variant deduplication.</x:v>
      </x:c>
      <x:c r="J546" s="717"/>
      <x:c r="K546" s="720" t="str">
        <x:v>Removed from the final title/abstract denominator before full-text retrieval.</x:v>
      </x:c>
      <x:c r="L546" s="720" t="str">
        <x:v>GH Dagnaw ¥ Zh, MH Magsood “i Yang)</x:v>
      </x:c>
      <x:c r="M546" s="728" t="n">
        <x:v>2025</x:v>
      </x:c>
      <x:c r="N546" s="717" t="str">
        <x:v>Google Scholar result</x:v>
      </x:c>
      <x:c r="O546" s="717" t="str">
        <x:v>No</x:v>
      </x:c>
      <x:c r="P546" s="717"/>
    </x:row>
    <x:row r="547" ht="38" customHeight="1">
      <x:c r="A547" s="717" t="str">
        <x:v>GS-08-026</x:v>
      </x:c>
      <x:c r="B547" s="717" t="str">
        <x:v>Google Scholar</x:v>
      </x:c>
      <x:c r="C547" s="717" t="str">
        <x:v>GS-08</x:v>
      </x:c>
      <x:c r="D547" s="720" t="str">
        <x:v>Overcoming the black box challenge: Building Trust in Artificial Intelligence Algorithms in oncology</x:v>
      </x:c>
      <x:c r="E547" s="717" t="str">
        <x:v>Exclude</x:v>
      </x:c>
      <x:c r="F547" s="720" t="str">
        <x:v>Clearly outside retinal/ophthalmic concept-based explainable AI.</x:v>
      </x:c>
      <x:c r="G547" s="717" t="str">
        <x:v>Title only</x:v>
      </x:c>
      <x:c r="H547" s="717" t="str">
        <x:v>Exclude</x:v>
      </x:c>
      <x:c r="I547" s="720" t="str">
        <x:v>Clearly outside retinal/ophthalmic concept-based explainable AI.</x:v>
      </x:c>
      <x:c r="J547" s="717" t="str">
        <x:f>IF(E547=H547,E547,"Unclear")</x:f>
        <x:v>Exclude</x:v>
      </x:c>
      <x:c r="K547" s="720" t="str">
        <x:f>IF(E547=H547,"Agreement between both AI passes.","AI-pass disagreement; retain for human discussion.")</x:f>
        <x:v>Agreement between both AI passes.</x:v>
      </x:c>
      <x:c r="L547" s="720" t="str">
        <x:v>EU ALm CKREgwu YS Manjula</x:v>
      </x:c>
      <x:c r="M547" s="728" t="n">
        <x:v>2026</x:v>
      </x:c>
      <x:c r="N547" s="717" t="str">
        <x:v>Google Scholar result</x:v>
      </x:c>
      <x:c r="O547" s="717" t="str">
        <x:v>No</x:v>
      </x:c>
      <x:c r="P547" s="717"/>
    </x:row>
    <x:row r="548" ht="38" customHeight="1">
      <x:c r="A548" s="717" t="str">
        <x:v>GS-08-027</x:v>
      </x:c>
      <x:c r="B548" s="717" t="str">
        <x:v>Google Scholar</x:v>
      </x:c>
      <x:c r="C548" s="717" t="str">
        <x:v>GS-08</x:v>
      </x:c>
      <x:c r="D548" s="720" t="str">
        <x:v>A Taxonomic Survey of Deep Learning Architectures for Biomedical Image Classification</x:v>
      </x:c>
      <x:c r="E548" s="717" t="str">
        <x:v>Exclude</x:v>
      </x:c>
      <x:c r="F548" s="720" t="str">
        <x:v>Non-original evidence (review, editorial, response, protocol, or similar); retain only for background/citation chasing (E4).</x:v>
      </x:c>
      <x:c r="G548" s="717" t="str">
        <x:v>Title only</x:v>
      </x:c>
      <x:c r="H548" s="717" t="str">
        <x:v>Exclude</x:v>
      </x:c>
      <x:c r="I548" s="720" t="str">
        <x:v>Non-original evidence (review, editorial, response, protocol, or similar); retain only for background/citation chasing (E4).</x:v>
      </x:c>
      <x:c r="J548" s="717" t="str">
        <x:f>IF(E548=H548,E548,"Unclear")</x:f>
        <x:v>Exclude</x:v>
      </x:c>
      <x:c r="K548" s="720" t="str">
        <x:f>IF(E548=H548,"Agreement between both AI passes.","AI-pass disagreement; retain for human discussion.")</x:f>
        <x:v>Agreement between both AI passes.</x:v>
      </x:c>
      <x:c r="L548" s="720" t="str">
        <x:v>S Supta JGS Banu .!M Oli TR Kulkam + Irlernationsl Journal af Sman 2026</x:v>
      </x:c>
      <x:c r="M548" s="728" t="n">
        <x:v>2026</x:v>
      </x:c>
      <x:c r="N548" s="717" t="str">
        <x:v>Google Scholar result</x:v>
      </x:c>
      <x:c r="O548" s="717" t="str">
        <x:v>No</x:v>
      </x:c>
      <x:c r="P548" s="717"/>
    </x:row>
    <x:row r="549" ht="38" customHeight="1">
      <x:c r="A549" s="717" t="str">
        <x:v>GS-08-028</x:v>
      </x:c>
      <x:c r="B549" s="717" t="str">
        <x:v>Google Scholar</x:v>
      </x:c>
      <x:c r="C549" s="717" t="str">
        <x:v>GS-08</x:v>
      </x:c>
      <x:c r="D549" s="720" t="str">
        <x:v>VITAMIn-O° Democratizing camputer vision-based machine learning for stem cell research</x:v>
      </x:c>
      <x:c r="E549" s="717" t="str">
        <x:v>Exclude</x:v>
      </x:c>
      <x:c r="F549" s="720" t="str">
        <x:v>Clearly outside retinal/ophthalmic concept-based explainable AI.</x:v>
      </x:c>
      <x:c r="G549" s="717" t="str">
        <x:v>Title only</x:v>
      </x:c>
      <x:c r="H549" s="717" t="str">
        <x:v>Exclude</x:v>
      </x:c>
      <x:c r="I549" s="720" t="str">
        <x:v>Clearly outside retinal/ophthalmic concept-based explainable AI.</x:v>
      </x:c>
      <x:c r="J549" s="717" t="str">
        <x:f>IF(E549=H549,E549,"Unclear")</x:f>
        <x:v>Exclude</x:v>
      </x:c>
      <x:c r="K549" s="720" t="str">
        <x:f>IF(E549=H549,"Agreement between both AI passes.","AI-pass disagreement; retain for human discussion.")</x:f>
        <x:v>Agreement between both AI passes.</x:v>
      </x:c>
      <x:c r="L549" s="720" t="str">
        <x:v>FHatyescu M Breunig AVerga B Bosch =</x:v>
      </x:c>
      <x:c r="M549" s="728" t="n">
        <x:v>2026</x:v>
      </x:c>
      <x:c r="N549" s="717" t="str">
        <x:v>Google Scholar result</x:v>
      </x:c>
      <x:c r="O549" s="717" t="str">
        <x:v>No</x:v>
      </x:c>
      <x:c r="P549" s="717"/>
    </x:row>
    <x:row r="550" ht="38" customHeight="1">
      <x:c r="A550" s="717" t="str">
        <x:v>GS-08-029</x:v>
      </x:c>
      <x:c r="B550" s="717" t="str">
        <x:v>Google Scholar</x:v>
      </x:c>
      <x:c r="C550" s="717" t="str">
        <x:v>GS-08</x:v>
      </x:c>
      <x:c r="D550" s="720" t="str">
        <x:v>Unveiling ADP-binding sites and channels in respiratory complexes Validation of Murburn concept as a holistic explanation for oxidative phosphorylation</x:v>
      </x:c>
      <x:c r="E550" s="717" t="str">
        <x:v>Exclude</x:v>
      </x:c>
      <x:c r="F550" s="720" t="str">
        <x:v>Generic explainability topic outside the retinal/medical concept-XAI scope.</x:v>
      </x:c>
      <x:c r="G550" s="717" t="str">
        <x:v>Title only</x:v>
      </x:c>
      <x:c r="H550" s="717" t="str">
        <x:v>Exclude</x:v>
      </x:c>
      <x:c r="I550" s="720" t="str">
        <x:v>Generic explainability topic outside the retinal/medical concept-XAI scope.</x:v>
      </x:c>
      <x:c r="J550" s="717" t="str">
        <x:f>IF(E550=H550,E550,"Unclear")</x:f>
        <x:v>Exclude</x:v>
      </x:c>
      <x:c r="K550" s="720" t="str">
        <x:f>IF(E550=H550,"Agreement between both AI passes.","AI-pass disagreement; retain for human discussion.")</x:f>
        <x:v>Agreement between both AI passes.</x:v>
      </x:c>
      <x:c r="L550" s="720" t="str">
        <x:v>KM Manzy 4 Parashar</x:v>
      </x:c>
      <x:c r="M550" s="728" t="n">
        <x:v>2018</x:v>
      </x:c>
      <x:c r="N550" s="717" t="str">
        <x:v>Google Scholar result</x:v>
      </x:c>
      <x:c r="O550" s="717" t="str">
        <x:v>No</x:v>
      </x:c>
      <x:c r="P550" s="717"/>
    </x:row>
    <x:row r="551" ht="38" customHeight="1">
      <x:c r="A551" s="717" t="str">
        <x:v>GS-08-030</x:v>
      </x:c>
      <x:c r="B551" s="717" t="str">
        <x:v>Google Scholar</x:v>
      </x:c>
      <x:c r="C551" s="717" t="str">
        <x:v>GS-08</x:v>
      </x:c>
      <x:c r="D551" s="720" t="str">
        <x:v>A camprehensive review of explainable artificial intelligence in healthcare methods, evaluation, and clinical integration</x:v>
      </x:c>
      <x:c r="E551" s="717" t="str">
        <x:v>Exclude</x:v>
      </x:c>
      <x:c r="F551" s="720" t="str">
        <x:v>Non-original evidence (review, editorial, response, protocol, or similar); retain only for background/citation chasing (E4).</x:v>
      </x:c>
      <x:c r="G551" s="717" t="str">
        <x:v>Title only</x:v>
      </x:c>
      <x:c r="H551" s="717" t="str">
        <x:v>Exclude</x:v>
      </x:c>
      <x:c r="I551" s="720" t="str">
        <x:v>Non-original evidence (review, editorial, response, protocol, or similar); retain only for background/citation chasing (E4).</x:v>
      </x:c>
      <x:c r="J551" s="717" t="str">
        <x:f>IF(E551=H551,E551,"Unclear")</x:f>
        <x:v>Exclude</x:v>
      </x:c>
      <x:c r="K551" s="720" t="str">
        <x:f>IF(E551=H551,"Agreement between both AI passes.","AI-pass disagreement; retain for human discussion.")</x:f>
        <x:v>Agreement between both AI passes.</x:v>
      </x:c>
      <x:c r="L551" s="720" t="str">
        <x:v>K Zhang, 0 Wang. Flin J Xie W Zhoy</x:v>
      </x:c>
      <x:c r="M551" s="728" t="n">
        <x:v>2026</x:v>
      </x:c>
      <x:c r="N551" s="717" t="str">
        <x:v>Google Scholar result</x:v>
      </x:c>
      <x:c r="O551" s="717" t="str">
        <x:v>No</x:v>
      </x:c>
      <x:c r="P551" s="717"/>
    </x:row>
    <x:row r="552" ht="38" customHeight="1">
      <x:c r="A552" s="717" t="str">
        <x:v>GS-08-031</x:v>
      </x:c>
      <x:c r="B552" s="717" t="str">
        <x:v>Google Scholar</x:v>
      </x:c>
      <x:c r="C552" s="717" t="str">
        <x:v>GS-08</x:v>
      </x:c>
      <x:c r="D552" s="720" t="str">
        <x:v>Spoof Trace Discovery far Deep Learning Based Explainable Face Anti-Spoofing</x:v>
      </x:c>
      <x:c r="E552" s="717" t="str">
        <x:v>Exclude</x:v>
      </x:c>
      <x:c r="F552" s="720" t="str">
        <x:v>Generic explainability topic outside the retinal/medical concept-XAI scope.</x:v>
      </x:c>
      <x:c r="G552" s="717" t="str">
        <x:v>Title only</x:v>
      </x:c>
      <x:c r="H552" s="717" t="str">
        <x:v>Exclude</x:v>
      </x:c>
      <x:c r="I552" s="720" t="str">
        <x:v>Generic explainability topic outside the retinal/medical concept-XAI scope.</x:v>
      </x:c>
      <x:c r="J552" s="717" t="str">
        <x:f>IF(E552=H552,E552,"Unclear")</x:f>
        <x:v>Exclude</x:v>
      </x:c>
      <x:c r="K552" s="720" t="str">
        <x:f>IF(E552=H552,"Agreement between both AI passes.","AI-pass disagreement; retain for human discussion.")</x:f>
        <x:v>Agreement between both AI passes.</x:v>
      </x:c>
      <x:c r="L552" s="720" t="str">
        <x:v>Héhsng XZho LGaau. Pan KPang</x:v>
      </x:c>
      <x:c r="M552" s="728" t="n">
        <x:v>2025</x:v>
      </x:c>
      <x:c r="N552" s="717" t="str">
        <x:v>Google Scholar result</x:v>
      </x:c>
      <x:c r="O552" s="717" t="str">
        <x:v>No</x:v>
      </x:c>
      <x:c r="P552" s="717"/>
    </x:row>
    <x:row r="553" ht="38" customHeight="1">
      <x:c r="A553" s="717" t="str">
        <x:v>GS-08-032</x:v>
      </x:c>
      <x:c r="B553" s="717" t="str">
        <x:v>Google Scholar</x:v>
      </x:c>
      <x:c r="C553" s="717" t="str">
        <x:v>GS-08</x:v>
      </x:c>
      <x:c r="D553" s="720" t="str">
        <x:v>Deep learning for medical imaging from diagnosis prediction to its counterfactual explanation</x:v>
      </x:c>
      <x:c r="E553" s="717" t="str">
        <x:v>Unclear</x:v>
      </x:c>
      <x:c r="F553" s="720" t="str">
        <x:v>Possible contextual explainability evidence, but concept-level relevance is not confirmed from the available title only.</x:v>
      </x:c>
      <x:c r="G553" s="717" t="str">
        <x:v>Title only</x:v>
      </x:c>
      <x:c r="H553" s="717" t="str">
        <x:v>Unclear</x:v>
      </x:c>
      <x:c r="I553" s="720" t="str">
        <x:v>Possible contextual explainability evidence, but concept-level relevance is not confirmed from the available title only.</x:v>
      </x:c>
      <x:c r="J553" s="717" t="str">
        <x:f>IF(E553=H553,E553,"Unclear")</x:f>
        <x:v>Unclear</x:v>
      </x:c>
      <x:c r="K553" s="720" t="str">
        <x:f>IF(E553=H553,"Agreement between both AI passes.","AI-pass disagreement; retain for human discussion.")</x:f>
        <x:v>Agreement between both AI passes.</x:v>
      </x:c>
      <x:c r="L553" s="720" t="str">
        <x:v>S Singla</x:v>
      </x:c>
      <x:c r="M553" s="728" t="n">
        <x:v>2022</x:v>
      </x:c>
      <x:c r="N553" s="717" t="str">
        <x:v>Google Scholar result</x:v>
      </x:c>
      <x:c r="O553" s="717" t="str">
        <x:v>No</x:v>
      </x:c>
      <x:c r="P553" s="717"/>
    </x:row>
    <x:row r="554" ht="38" customHeight="1">
      <x:c r="A554" s="717" t="str">
        <x:v>GS-08-033</x:v>
      </x:c>
      <x:c r="B554" s="717" t="str">
        <x:v>Google Scholar</x:v>
      </x:c>
      <x:c r="C554" s="717" t="str">
        <x:v>GS-08</x:v>
      </x:c>
      <x:c r="D554" s="720" t="str">
        <x:v>Explainable Al for chnical risk prediction a survey of concepts methods. and modalities</x:v>
      </x:c>
      <x:c r="E554" s="717" t="str">
        <x:v>Exclude</x:v>
      </x:c>
      <x:c r="F554" s="720" t="str">
        <x:v>Non-original evidence (review, editorial, response, protocol, or similar); retain only for background/citation chasing (E4).</x:v>
      </x:c>
      <x:c r="G554" s="717" t="str">
        <x:v>Title only</x:v>
      </x:c>
      <x:c r="H554" s="717" t="str">
        <x:v>Exclude</x:v>
      </x:c>
      <x:c r="I554" s="720" t="str">
        <x:v>Non-original evidence (review, editorial, response, protocol, or similar); retain only for background/citation chasing (E4).</x:v>
      </x:c>
      <x:c r="J554" s="717" t="str">
        <x:f>IF(E554=H554,E554,"Unclear")</x:f>
        <x:v>Exclude</x:v>
      </x:c>
      <x:c r="K554" s="720" t="str">
        <x:f>IF(E554=H554,"Agreement between both AI passes.","AI-pass disagreement; retain for human discussion.")</x:f>
        <x:v>Agreement between both AI passes.</x:v>
      </x:c>
      <x:c r="L554" s="720" t="str">
        <x:v>M Masinovic P Watkinson T Zhu</x:v>
      </x:c>
      <x:c r="M554" s="728" t="n">
        <x:v>2023</x:v>
      </x:c>
      <x:c r="N554" s="717" t="str">
        <x:v>Google Scholar result</x:v>
      </x:c>
      <x:c r="O554" s="717" t="str">
        <x:v>No</x:v>
      </x:c>
      <x:c r="P554" s="717"/>
    </x:row>
    <x:row r="555" ht="38" customHeight="1">
      <x:c r="A555" s="717" t="str">
        <x:v>GS-08-034</x:v>
      </x:c>
      <x:c r="B555" s="717" t="str">
        <x:v>Google Scholar</x:v>
      </x:c>
      <x:c r="C555" s="717" t="str">
        <x:v>GS-08</x:v>
      </x:c>
      <x:c r="D555" s="720" t="str">
        <x:v>Finding representative interpretations on convolutional neural networks</x:v>
      </x:c>
      <x:c r="E555" s="717" t="str">
        <x:v>Exclude</x:v>
      </x:c>
      <x:c r="F555" s="720" t="str">
        <x:v>Generic explainability topic outside the retinal/medical concept-XAI scope.</x:v>
      </x:c>
      <x:c r="G555" s="717" t="str">
        <x:v>Title only</x:v>
      </x:c>
      <x:c r="H555" s="717" t="str">
        <x:v>Exclude</x:v>
      </x:c>
      <x:c r="I555" s="720" t="str">
        <x:v>Generic explainability topic outside the retinal/medical concept-XAI scope.</x:v>
      </x:c>
      <x:c r="J555" s="717" t="str">
        <x:f>IF(E555=H555,E555,"Unclear")</x:f>
        <x:v>Exclude</x:v>
      </x:c>
      <x:c r="K555" s="720" t="str">
        <x:f>IF(E555=H555,"Agreement between both AI passes.","AI-pass disagreement; retain for human discussion.")</x:f>
        <x:v>Agreement between both AI passes.</x:v>
      </x:c>
      <x:c r="L555" s="720" t="str">
        <x:v>PCH Lam | Ch M Torgansky JPai -2c21IEES/CVF 2021- iesaxplare ieee org</x:v>
      </x:c>
      <x:c r="M555" s="728" t="n">
        <x:v>2021</x:v>
      </x:c>
      <x:c r="N555" s="717" t="str">
        <x:v>Google Scholar result</x:v>
      </x:c>
      <x:c r="O555" s="717" t="str">
        <x:v>No</x:v>
      </x:c>
      <x:c r="P555" s="717"/>
    </x:row>
    <x:row r="556" ht="38" customHeight="1">
      <x:c r="A556" s="717" t="str">
        <x:v>GS-08-035</x:v>
      </x:c>
      <x:c r="B556" s="717" t="str">
        <x:v>Google Scholar</x:v>
      </x:c>
      <x:c r="C556" s="717" t="str">
        <x:v>GS-08</x:v>
      </x:c>
      <x:c r="D556" s="720" t="str">
        <x:v>Explainable Al: A review of applications to neuroimaging data</x:v>
      </x:c>
      <x:c r="E556" s="717" t="str">
        <x:v>Exclude</x:v>
      </x:c>
      <x:c r="F556" s="720" t="str">
        <x:v>Non-original evidence (review, editorial, response, protocol, or similar); retain only for background/citation chasing (E4).</x:v>
      </x:c>
      <x:c r="G556" s="717" t="str">
        <x:v>Title only</x:v>
      </x:c>
      <x:c r="H556" s="717" t="str">
        <x:v>Exclude</x:v>
      </x:c>
      <x:c r="I556" s="720" t="str">
        <x:v>Non-original evidence (review, editorial, response, protocol, or similar); retain only for background/citation chasing (E4).</x:v>
      </x:c>
      <x:c r="J556" s="717" t="str">
        <x:f>IF(E556=H556,E556,"Unclear")</x:f>
        <x:v>Exclude</x:v>
      </x:c>
      <x:c r="K556" s="720" t="str">
        <x:f>IF(E556=H556,"Agreement between both AI passes.","AI-pass disagreement; retain for human discussion.")</x:f>
        <x:v>Agreement between both AI passes.</x:v>
      </x:c>
      <x:c r="L556" s="720" t="str">
        <x:v>FV Farghani K Fiok BLshijgnian -Frontigrsin . 2022</x:v>
      </x:c>
      <x:c r="M556" s="728" t="n">
        <x:v>2022</x:v>
      </x:c>
      <x:c r="N556" s="717" t="str">
        <x:v>Google Scholar result</x:v>
      </x:c>
      <x:c r="O556" s="717" t="str">
        <x:v>No</x:v>
      </x:c>
      <x:c r="P556" s="717"/>
    </x:row>
    <x:row r="557" ht="38" customHeight="1">
      <x:c r="A557" s="717" t="str">
        <x:v>GS-08-036</x:v>
      </x:c>
      <x:c r="B557" s="717" t="str">
        <x:v>Google Scholar</x:v>
      </x:c>
      <x:c r="C557" s="717" t="str">
        <x:v>GS-08</x:v>
      </x:c>
      <x:c r="D557" s="720" t="str">
        <x:v>Explaring the Causes of Artwork Misclassrfication Through Machine Learning</x:v>
      </x:c>
      <x:c r="E557" s="717" t="str">
        <x:v>Exclude</x:v>
      </x:c>
      <x:c r="F557" s="720" t="str">
        <x:v>Clearly outside retinal/ophthalmic concept-based explainable AI.</x:v>
      </x:c>
      <x:c r="G557" s="717" t="str">
        <x:v>Title only</x:v>
      </x:c>
      <x:c r="H557" s="717" t="str">
        <x:v>Exclude</x:v>
      </x:c>
      <x:c r="I557" s="720" t="str">
        <x:v>Clearly outside retinal/ophthalmic concept-based explainable AI.</x:v>
      </x:c>
      <x:c r="J557" s="717" t="str">
        <x:f>IF(E557=H557,E557,"Unclear")</x:f>
        <x:v>Exclude</x:v>
      </x:c>
      <x:c r="K557" s="720" t="str">
        <x:f>IF(E557=H557,"Agreement between both AI passes.","AI-pass disagreement; retain for human discussion.")</x:f>
        <x:v>Agreement between both AI passes.</x:v>
      </x:c>
      <x:c r="L557" s="720" t="str">
        <x:v>$ Jin</x:v>
      </x:c>
      <x:c r="M557" s="728" t="n">
        <x:v>2023</x:v>
      </x:c>
      <x:c r="N557" s="717" t="str">
        <x:v>Google Scholar result</x:v>
      </x:c>
      <x:c r="O557" s="717" t="str">
        <x:v>No</x:v>
      </x:c>
      <x:c r="P557" s="717"/>
    </x:row>
    <x:row r="558" ht="38" customHeight="1">
      <x:c r="A558" s="717" t="str">
        <x:v>GS-08-037</x:v>
      </x:c>
      <x:c r="B558" s="717" t="str">
        <x:v>Google Scholar</x:v>
      </x:c>
      <x:c r="C558" s="717" t="str">
        <x:v>GS-08</x:v>
      </x:c>
      <x:c r="D558" s="720" t="str">
        <x:v>A systematic review of explainable artificial intelligence in terms of different application damains and tasks</x:v>
      </x:c>
      <x:c r="E558" s="717" t="str">
        <x:v>Exclude</x:v>
      </x:c>
      <x:c r="F558" s="720" t="str">
        <x:v>Non-original evidence (review, editorial, response, protocol, or similar); retain only for background/citation chasing (E4).</x:v>
      </x:c>
      <x:c r="G558" s="717" t="str">
        <x:v>Title only</x:v>
      </x:c>
      <x:c r="H558" s="717" t="str">
        <x:v>Exclude</x:v>
      </x:c>
      <x:c r="I558" s="720" t="str">
        <x:v>Non-original evidence (review, editorial, response, protocol, or similar); retain only for background/citation chasing (E4).</x:v>
      </x:c>
      <x:c r="J558" s="717" t="str">
        <x:f>IF(E558=H558,E558,"Unclear")</x:f>
        <x:v>Exclude</x:v>
      </x:c>
      <x:c r="K558" s="720" t="str">
        <x:f>IF(E558=H558,"Agreement between both AI passes.","AI-pass disagreement; retain for human discussion.")</x:f>
        <x:v>Agreement between both AI passes.</x:v>
      </x:c>
      <x:c r="L558" s="720" t="str">
        <x:v>MB Islam. MU Shmed $ Barua. S$ Bequm</x:v>
      </x:c>
      <x:c r="M558" s="728" t="n">
        <x:v>2022</x:v>
      </x:c>
      <x:c r="N558" s="717" t="str">
        <x:v>Google Scholar result</x:v>
      </x:c>
      <x:c r="O558" s="717" t="str">
        <x:v>No</x:v>
      </x:c>
      <x:c r="P558" s="717"/>
    </x:row>
    <x:row r="559" ht="38" customHeight="1">
      <x:c r="A559" s="717" t="str">
        <x:v>GS-08-039</x:v>
      </x:c>
      <x:c r="B559" s="717" t="str">
        <x:v>Google Scholar</x:v>
      </x:c>
      <x:c r="C559" s="717" t="str">
        <x:v>GS-08</x:v>
      </x:c>
      <x:c r="D559" s="720" t="str">
        <x:v>Artificial intelligence in MRI-Based gltama imaging’ from radiomics-based Machine leaming to deep learning approaches</x:v>
      </x:c>
      <x:c r="E559" s="717" t="str">
        <x:v>Exclude</x:v>
      </x:c>
      <x:c r="F559" s="720" t="str">
        <x:v>Medical/clinical topic, but no eligible concept-based explainability contribution is evident.</x:v>
      </x:c>
      <x:c r="G559" s="717" t="str">
        <x:v>Title only</x:v>
      </x:c>
      <x:c r="H559" s="717" t="str">
        <x:v>Exclude</x:v>
      </x:c>
      <x:c r="I559" s="720" t="str">
        <x:v>Medical/clinical topic, but no eligible concept-based explainability contribution is evident.</x:v>
      </x:c>
      <x:c r="J559" s="717" t="str">
        <x:f>IF(E559=H559,E559,"Unclear")</x:f>
        <x:v>Exclude</x:v>
      </x:c>
      <x:c r="K559" s="720" t="str">
        <x:f>IF(E559=H559,"Agreement between both AI passes.","AI-pass disagreement; retain for human discussion.")</x:f>
        <x:v>Agreement between both AI passes.</x:v>
      </x:c>
      <x:c r="L559" s="720" t="str">
        <x:v>ASalsur IZaher,C Slipho E Demir VNargvetla</x:v>
      </x:c>
      <x:c r="M559" s="728" t="n">
        <x:v>2026</x:v>
      </x:c>
      <x:c r="N559" s="717" t="str">
        <x:v>Google Scholar result</x:v>
      </x:c>
      <x:c r="O559" s="717" t="str">
        <x:v>No</x:v>
      </x:c>
      <x:c r="P559" s="717"/>
    </x:row>
    <x:row r="560" ht="38" customHeight="1">
      <x:c r="A560" s="717" t="str">
        <x:v>GS-08-040</x:v>
      </x:c>
      <x:c r="B560" s="717" t="str">
        <x:v>Google Scholar</x:v>
      </x:c>
      <x:c r="C560" s="717" t="str">
        <x:v>GS-08</x:v>
      </x:c>
      <x:c r="D560" s="720" t="str">
        <x:v>Multimodal large language models in health care’ applicatians, challenges, and future outlook</x:v>
      </x:c>
      <x:c r="E560" s="717" t="str">
        <x:v>Exclude</x:v>
      </x:c>
      <x:c r="F560" s="720" t="str">
        <x:v>Medical/clinical topic, but no eligible concept-based explainability contribution is evident.</x:v>
      </x:c>
      <x:c r="G560" s="717" t="str">
        <x:v>Title only</x:v>
      </x:c>
      <x:c r="H560" s="717" t="str">
        <x:v>Exclude</x:v>
      </x:c>
      <x:c r="I560" s="720" t="str">
        <x:v>Medical/clinical topic, but no eligible concept-based explainability contribution is evident.</x:v>
      </x:c>
      <x:c r="J560" s="717" t="str">
        <x:f>IF(E560=H560,E560,"Unclear")</x:f>
        <x:v>Exclude</x:v>
      </x:c>
      <x:c r="K560" s="720" t="str">
        <x:f>IF(E560=H560,"Agreement between both AI passes.","AI-pass disagreement; retain for human discussion.")</x:f>
        <x:v>Agreement between both AI passes.</x:v>
      </x:c>
      <x:c r="L560" s="720" t="str">
        <x:v>RASsad AAbd-Alrazag $Bo.gharbel -Joumslcfmedical 2024</x:v>
      </x:c>
      <x:c r="M560" s="728" t="n">
        <x:v>2024</x:v>
      </x:c>
      <x:c r="N560" s="717" t="str">
        <x:v>Google Scholar result</x:v>
      </x:c>
      <x:c r="O560" s="717" t="str">
        <x:v>No</x:v>
      </x:c>
      <x:c r="P560" s="717"/>
    </x:row>
    <x:row r="561" ht="38" customHeight="1">
      <x:c r="A561" s="717" t="str">
        <x:v>GS-08-041</x:v>
      </x:c>
      <x:c r="B561" s="717" t="str">
        <x:v>Google Scholar</x:v>
      </x:c>
      <x:c r="C561" s="717" t="str">
        <x:v>GS-08</x:v>
      </x:c>
      <x:c r="D561" s="720" t="str">
        <x:v>Deep learning for medical imaging</x:v>
      </x:c>
      <x:c r="E561" s="717" t="str">
        <x:v>Exclude</x:v>
      </x:c>
      <x:c r="F561" s="720" t="str">
        <x:v>Medical/clinical topic, but no eligible concept-based explainability contribution is evident.</x:v>
      </x:c>
      <x:c r="G561" s="717" t="str">
        <x:v>Title only</x:v>
      </x:c>
      <x:c r="H561" s="717" t="str">
        <x:v>Exclude</x:v>
      </x:c>
      <x:c r="I561" s="720" t="str">
        <x:v>Medical/clinical topic, but no eligible concept-based explainability contribution is evident.</x:v>
      </x:c>
      <x:c r="J561" s="717" t="str">
        <x:f>IF(E561=H561,E561,"Unclear")</x:f>
        <x:v>Exclude</x:v>
      </x:c>
      <x:c r="K561" s="720" t="str">
        <x:f>IF(E561=H561,"Agreement between both AI passes.","AI-pass disagreement; retain for human discussion.")</x:f>
        <x:v>Agreement between both AI passes.</x:v>
      </x:c>
      <x:c r="L561" s="720" t="str">
        <x:v>S Singla</x:v>
      </x:c>
      <x:c r="M561" s="728" t="n">
        <x:v>2022</x:v>
      </x:c>
      <x:c r="N561" s="717" t="str">
        <x:v>Google Scholar result</x:v>
      </x:c>
      <x:c r="O561" s="717" t="str">
        <x:v>No</x:v>
      </x:c>
      <x:c r="P561" s="717"/>
    </x:row>
    <x:row r="562" ht="38" customHeight="1">
      <x:c r="A562" s="717" t="str">
        <x:v>GS-08-042</x:v>
      </x:c>
      <x:c r="B562" s="717" t="str">
        <x:v>Google Scholar</x:v>
      </x:c>
      <x:c r="C562" s="717" t="str">
        <x:v>GS-08</x:v>
      </x:c>
      <x:c r="D562" s="720" t="str">
        <x:v>A comprehensive survey on segment anything model for vision and beyond</x:v>
      </x:c>
      <x:c r="E562" s="717" t="str">
        <x:v>Exclude</x:v>
      </x:c>
      <x:c r="F562" s="720" t="str">
        <x:v>Non-original evidence (review, editorial, response, protocol, or similar); retain only for background/citation chasing (E4).</x:v>
      </x:c>
      <x:c r="G562" s="717" t="str">
        <x:v>Title only</x:v>
      </x:c>
      <x:c r="H562" s="717" t="str">
        <x:v>Exclude</x:v>
      </x:c>
      <x:c r="I562" s="720" t="str">
        <x:v>Non-original evidence (review, editorial, response, protocol, or similar); retain only for background/citation chasing (E4).</x:v>
      </x:c>
      <x:c r="J562" s="717" t="str">
        <x:f>IF(E562=H562,E562,"Unclear")</x:f>
        <x:v>Exclude</x:v>
      </x:c>
      <x:c r="K562" s="720" t="str">
        <x:f>IF(E562=H562,"Agreement between both AI passes.","AI-pass disagreement; retain for human discussion.")</x:f>
        <x:v>Agreement between both AI passes.</x:v>
      </x:c>
      <x:c r="L562" s="720" t="str">
        <x:v>C Zhang Llu, ¥ Cu Guang. “Lin ¥ Yang arXiv preprictarXiv =. 2023</x:v>
      </x:c>
      <x:c r="M562" s="728" t="n">
        <x:v>2023</x:v>
      </x:c>
      <x:c r="N562" s="717" t="str">
        <x:v>Google Scholar result</x:v>
      </x:c>
      <x:c r="O562" s="717" t="str">
        <x:v>No</x:v>
      </x:c>
      <x:c r="P562" s="717"/>
    </x:row>
    <x:row r="563" ht="38" customHeight="1">
      <x:c r="A563" s="717" t="str">
        <x:v>GS-08-043</x:v>
      </x:c>
      <x:c r="B563" s="717" t="str">
        <x:v>Google Scholar</x:v>
      </x:c>
      <x:c r="C563" s="717" t="str">
        <x:v>GS-08</x:v>
      </x:c>
      <x:c r="D563" s="720" t="str">
        <x:v>A review of deep learning approaches based on segment anything model for medical imags segmentation</x:v>
      </x:c>
      <x:c r="E563" s="717" t="str">
        <x:v>Exclude</x:v>
      </x:c>
      <x:c r="F563" s="720" t="str">
        <x:v>Non-original evidence (review, editorial, response, protocol, or similar); retain only for background/citation chasing (E4).</x:v>
      </x:c>
      <x:c r="G563" s="717" t="str">
        <x:v>Title only</x:v>
      </x:c>
      <x:c r="H563" s="717" t="str">
        <x:v>Exclude</x:v>
      </x:c>
      <x:c r="I563" s="720" t="str">
        <x:v>Non-original evidence (review, editorial, response, protocol, or similar); retain only for background/citation chasing (E4).</x:v>
      </x:c>
      <x:c r="J563" s="717" t="str">
        <x:f>IF(E563=H563,E563,"Unclear")</x:f>
        <x:v>Exclude</x:v>
      </x:c>
      <x:c r="K563" s="720" t="str">
        <x:f>IF(E563=H563,"Agreement between both AI passes.","AI-pass disagreement; retain for human discussion.")</x:f>
        <x:v>Agreement between both AI passes.</x:v>
      </x:c>
      <x:c r="L563" s="720" t="str">
        <x:v>D Koishiyeva D Mukhammejanova JY Kang + = 2025. pre ncbi nlm nih gov</x:v>
      </x:c>
      <x:c r="M563" s="728" t="n">
        <x:v>2025</x:v>
      </x:c>
      <x:c r="N563" s="717" t="str">
        <x:v>Google Scholar result</x:v>
      </x:c>
      <x:c r="O563" s="717" t="str">
        <x:v>No</x:v>
      </x:c>
      <x:c r="P563" s="717"/>
    </x:row>
    <x:row r="564" ht="38" customHeight="1">
      <x:c r="A564" s="717" t="str">
        <x:v>GS-08-044</x:v>
      </x:c>
      <x:c r="B564" s="717" t="str">
        <x:v>Google Scholar</x:v>
      </x:c>
      <x:c r="C564" s="717" t="str">
        <x:v>GS-08</x:v>
      </x:c>
      <x:c r="D564" s="720" t="str">
        <x:v>interpretable machine tearning applied to fusion plasmas</x:v>
      </x:c>
      <x:c r="E564" s="717"/>
      <x:c r="F564" s="720" t="str">
        <x:v>Confirmed duplicate during enhanced OCR-variant deduplication.</x:v>
      </x:c>
      <x:c r="G564" s="717" t="str">
        <x:v>Duplicate control</x:v>
      </x:c>
      <x:c r="H564" s="717"/>
      <x:c r="I564" s="720" t="str">
        <x:v>Confirmed duplicate during enhanced OCR-variant deduplication.</x:v>
      </x:c>
      <x:c r="J564" s="717"/>
      <x:c r="K564" s="720" t="str">
        <x:v>Removed from the final title/abstract denominator before full-text retrieval.</x:v>
      </x:c>
      <x:c r="L564" s="720" t="str">
        <x:v>AGillgren</x:v>
      </x:c>
      <x:c r="M564" s="728" t="n">
        <x:v>2026</x:v>
      </x:c>
      <x:c r="N564" s="717" t="str">
        <x:v>Google Scholar result</x:v>
      </x:c>
      <x:c r="O564" s="717" t="str">
        <x:v>No</x:v>
      </x:c>
      <x:c r="P564" s="717"/>
    </x:row>
    <x:row r="565" ht="38" customHeight="1">
      <x:c r="A565" s="717" t="str">
        <x:v>GS-08-045</x:v>
      </x:c>
      <x:c r="B565" s="717" t="str">
        <x:v>Google Scholar</x:v>
      </x:c>
      <x:c r="C565" s="717" t="str">
        <x:v>GS-08</x:v>
      </x:c>
      <x:c r="D565" s="720" t="str">
        <x:v>TSGB: Target-selective gradient backprop for probing CNN visual saliency</x:v>
      </x:c>
      <x:c r="E565" s="717" t="str">
        <x:v>Exclude</x:v>
      </x:c>
      <x:c r="F565" s="720" t="str">
        <x:v>Generic explainability topic outside the retinal/medical concept-XAI scope.</x:v>
      </x:c>
      <x:c r="G565" s="717" t="str">
        <x:v>Title only</x:v>
      </x:c>
      <x:c r="H565" s="717" t="str">
        <x:v>Exclude</x:v>
      </x:c>
      <x:c r="I565" s="720" t="str">
        <x:v>Generic explainability topic outside the retinal/medical concept-XAI scope.</x:v>
      </x:c>
      <x:c r="J565" s="717" t="str">
        <x:f>IF(E565=H565,E565,"Unclear")</x:f>
        <x:v>Exclude</x:v>
      </x:c>
      <x:c r="K565" s="720" t="str">
        <x:f>IF(E565=H565,"Agreement between both AI passes.","AI-pass disagreement; retain for human discussion.")</x:f>
        <x:v>Agreement between both AI passes.</x:v>
      </x:c>
      <x:c r="L565" s="720" t="str">
        <x:v>L Cheng, P Fang YLiang L Zhang</x:v>
      </x:c>
      <x:c r="M565" s="728"/>
      <x:c r="N565" s="717" t="str">
        <x:v>Google Scholar result</x:v>
      </x:c>
      <x:c r="O565" s="717" t="str">
        <x:v>No</x:v>
      </x:c>
      <x:c r="P565" s="717"/>
    </x:row>
    <x:row r="566" ht="38" customHeight="1">
      <x:c r="A566" s="717" t="str">
        <x:v>GS-08-046</x:v>
      </x:c>
      <x:c r="B566" s="717" t="str">
        <x:v>Google Scholar</x:v>
      </x:c>
      <x:c r="C566" s="717" t="str">
        <x:v>GS-08</x:v>
      </x:c>
      <x:c r="D566" s="720" t="str">
        <x:v>(nterpretabilidade de redes neurais convolucionais com estudo de casc em diagnastico por imagem</x:v>
      </x:c>
      <x:c r="E566" s="717"/>
      <x:c r="F566" s="720" t="str">
        <x:v>Confirmed duplicate during enhanced OCR-variant deduplication.</x:v>
      </x:c>
      <x:c r="G566" s="717" t="str">
        <x:v>Duplicate control</x:v>
      </x:c>
      <x:c r="H566" s="717"/>
      <x:c r="I566" s="720" t="str">
        <x:v>Confirmed duplicate during enhanced OCR-variant deduplication.</x:v>
      </x:c>
      <x:c r="J566" s="717"/>
      <x:c r="K566" s="720" t="str">
        <x:v>Removed from the final title/abstract denominator before full-text retrieval.</x:v>
      </x:c>
      <x:c r="L566" s="720" t="str">
        <x:v>MG Maia</x:v>
      </x:c>
      <x:c r="M566" s="728" t="n">
        <x:v>2022</x:v>
      </x:c>
      <x:c r="N566" s="717" t="str">
        <x:v>Google Scholar result</x:v>
      </x:c>
      <x:c r="O566" s="717" t="str">
        <x:v>No</x:v>
      </x:c>
      <x:c r="P566" s="717"/>
    </x:row>
    <x:row r="567" ht="38" customHeight="1">
      <x:c r="A567" s="717" t="str">
        <x:v>GS-08-047</x:v>
      </x:c>
      <x:c r="B567" s="717" t="str">
        <x:v>Google Scholar</x:v>
      </x:c>
      <x:c r="C567" s="717" t="str">
        <x:v>GS-08</x:v>
      </x:c>
      <x:c r="D567" s="720" t="str">
        <x:v>Book] Sensona: Thinkers for the twentieth-first century</x:v>
      </x:c>
      <x:c r="E567" s="717" t="str">
        <x:v>Exclude</x:v>
      </x:c>
      <x:c r="F567" s="720" t="str">
        <x:v>Non-original evidence (review, editorial, response, protocol, or similar); retain only for background/citation chasing (E4).</x:v>
      </x:c>
      <x:c r="G567" s="717" t="str">
        <x:v>Title only</x:v>
      </x:c>
      <x:c r="H567" s="717" t="str">
        <x:v>Exclude</x:v>
      </x:c>
      <x:c r="I567" s="720" t="str">
        <x:v>Non-original evidence (review, editorial, response, protocol, or similar); retain only for background/citation chasing (E4).</x:v>
      </x:c>
      <x:c r="J567" s="717" t="str">
        <x:f>IF(E567=H567,E567,"Unclear")</x:f>
        <x:v>Exclude</x:v>
      </x:c>
      <x:c r="K567" s="720" t="str">
        <x:f>IF(E567=H567,"Agreement between both AI passes.","AI-pass disagreement; retain for human discussion.")</x:f>
        <x:v>Agreement between both AI passes.</x:v>
      </x:c>
      <x:c r="L567" s="720" t="str">
        <x:v>MK Wark</x:v>
      </x:c>
      <x:c r="M567" s="728" t="n">
        <x:v>2029</x:v>
      </x:c>
      <x:c r="N567" s="717" t="str">
        <x:v>Google Scholar result</x:v>
      </x:c>
      <x:c r="O567" s="717" t="str">
        <x:v>No</x:v>
      </x:c>
      <x:c r="P567" s="717"/>
    </x:row>
    <x:row r="568" ht="38" customHeight="1">
      <x:c r="A568" s="717" t="str">
        <x:v>ARXIV-01-001</x:v>
      </x:c>
      <x:c r="B568" s="717" t="str">
        <x:v>arXiv</x:v>
      </x:c>
      <x:c r="C568" s="717" t="str">
        <x:v>ARXIV-01</x:v>
      </x:c>
      <x:c r="D568" s="720" t="str">
        <x:v>Looking into Concept Explanation Methods for Diabetic Retinopathy Classification</x:v>
      </x:c>
      <x:c r="E568" s="717" t="str">
        <x:v>Include</x:v>
      </x:c>
      <x:c r="F568" s="720" t="str">
        <x:v>Potential direct retinal/ophthalmic concept-based XAI evidence (title only).</x:v>
      </x:c>
      <x:c r="G568" s="717" t="str">
        <x:v>Title only</x:v>
      </x:c>
      <x:c r="H568" s="717" t="str">
        <x:v>Include</x:v>
      </x:c>
      <x:c r="I568" s="720" t="str">
        <x:v>Potential direct retinal/ophthalmic concept-based XAI evidence (title only).</x:v>
      </x:c>
      <x:c r="J568" s="717" t="str">
        <x:f>IF(E568=H568,E568,"Unclear")</x:f>
        <x:v>Include</x:v>
      </x:c>
      <x:c r="K568" s="720" t="str">
        <x:f>IF(E568=H568,"Agreement between both AI passes.","AI-pass disagreement; retain for human discussion.")</x:f>
        <x:v>Agreement between both AI passes.</x:v>
      </x:c>
      <x:c r="L568" s="720"/>
      <x:c r="M568" s="728" t="n">
        <x:v>2024</x:v>
      </x:c>
      <x:c r="N568" s="717" t="str">
        <x:v>Preprint / arXiv search result</x:v>
      </x:c>
      <x:c r="O568" s="717" t="str">
        <x:v>No</x:v>
      </x:c>
      <x:c r="P568" s="717" t="str">
        <x:v>https://arxiv.org/abs/2410.03188</x:v>
      </x:c>
    </x:row>
    <x:row r="569" ht="38" customHeight="1">
      <x:c r="A569" s="717" t="str">
        <x:v>ARXIV-02-001</x:v>
      </x:c>
      <x:c r="B569" s="717" t="str">
        <x:v>arXiv</x:v>
      </x:c>
      <x:c r="C569" s="717" t="str">
        <x:v>ARXIV-02</x:v>
      </x:c>
      <x:c r="D569" s="720" t="str">
        <x:v>ESRVS: Extreme Semi-Supervised Retinal Vessel Segmentation with a Single Annotated Image</x:v>
      </x:c>
      <x:c r="E569" s="717" t="str">
        <x:v>Exclude</x:v>
      </x:c>
      <x:c r="F569" s="720" t="str">
        <x:v>Retinal/ophthalmic topic, but no concept-based or structured explainability method is evident.</x:v>
      </x:c>
      <x:c r="G569" s="717" t="str">
        <x:v>Title only</x:v>
      </x:c>
      <x:c r="H569" s="717" t="str">
        <x:v>Exclude</x:v>
      </x:c>
      <x:c r="I569" s="720" t="str">
        <x:v>Retinal/ophthalmic topic, but no concept-based or structured explainability method is evident.</x:v>
      </x:c>
      <x:c r="J569" s="717" t="str">
        <x:f>IF(E569=H569,E569,"Unclear")</x:f>
        <x:v>Exclude</x:v>
      </x:c>
      <x:c r="K569" s="720" t="str">
        <x:f>IF(E569=H569,"Agreement between both AI passes.","AI-pass disagreement; retain for human discussion.")</x:f>
        <x:v>Agreement between both AI passes.</x:v>
      </x:c>
      <x:c r="L569" s="720" t="str">
        <x:v>Mingzhi ns, Yishe Zhang</x:v>
      </x:c>
      <x:c r="M569" s="728"/>
      <x:c r="N569" s="717" t="str">
        <x:v>arXiv search result</x:v>
      </x:c>
      <x:c r="O569" s="717" t="str">
        <x:v>No</x:v>
      </x:c>
      <x:c r="P569" s="717"/>
    </x:row>
    <x:row r="570" ht="38" customHeight="1">
      <x:c r="A570" s="717" t="str">
        <x:v>ARXIV-02-002</x:v>
      </x:c>
      <x:c r="B570" s="717" t="str">
        <x:v>arXiv</x:v>
      </x:c>
      <x:c r="C570" s="717" t="str">
        <x:v>ARXIV-02</x:v>
      </x:c>
      <x:c r="D570" s="720" t="str">
        <x:v>A Machine-Learned Symbolic Committor for a Chemical Reaction: Retinal Isomerization</x:v>
      </x:c>
      <x:c r="E570" s="717" t="str">
        <x:v>Exclude</x:v>
      </x:c>
      <x:c r="F570" s="720" t="str">
        <x:v>Retinal/ophthalmic topic, but no concept-based or structured explainability method is evident.</x:v>
      </x:c>
      <x:c r="G570" s="717" t="str">
        <x:v>Title only</x:v>
      </x:c>
      <x:c r="H570" s="717" t="str">
        <x:v>Exclude</x:v>
      </x:c>
      <x:c r="I570" s="720" t="str">
        <x:v>Retinal/ophthalmic topic, but no concept-based or structured explainability method is evident.</x:v>
      </x:c>
      <x:c r="J570" s="717" t="str">
        <x:f>IF(E570=H570,E570,"Unclear")</x:f>
        <x:v>Exclude</x:v>
      </x:c>
      <x:c r="K570" s="720" t="str">
        <x:f>IF(E570=H570,"Agreement between both AI passes.","AI-pass disagreement; retain for human discussion.")</x:f>
        <x:v>Agreement between both AI passes.</x:v>
      </x:c>
      <x:c r="L570" s="720" t="str">
        <x:v>Kat Topfer, Glanmarco Lazzeri. Vittoris Ossanna. Florian Resner, Gianluca Lattanei, Roberto Covina, Betina G. Keller</x:v>
      </x:c>
      <x:c r="M570" s="728"/>
      <x:c r="N570" s="717" t="str">
        <x:v>arXiv search result</x:v>
      </x:c>
      <x:c r="O570" s="717" t="str">
        <x:v>No</x:v>
      </x:c>
      <x:c r="P570" s="717"/>
    </x:row>
    <x:row r="571" ht="38" customHeight="1">
      <x:c r="A571" s="717" t="str">
        <x:v>ARXIV-02-003</x:v>
      </x:c>
      <x:c r="B571" s="717" t="str">
        <x:v>arXiv</x:v>
      </x:c>
      <x:c r="C571" s="717" t="str">
        <x:v>ARXIV-02</x:v>
      </x:c>
      <x:c r="D571" s="720" t="str">
        <x:v>Prototype Learning-Based Few-Shot Segmentation for Low-Light Crack on Concrete Structures</x:v>
      </x:c>
      <x:c r="E571" s="717" t="str">
        <x:v>Exclude</x:v>
      </x:c>
      <x:c r="F571" s="720" t="str">
        <x:v>Clearly outside retinal/ophthalmic concept-based explainable AI.</x:v>
      </x:c>
      <x:c r="G571" s="717" t="str">
        <x:v>Title only</x:v>
      </x:c>
      <x:c r="H571" s="717" t="str">
        <x:v>Exclude</x:v>
      </x:c>
      <x:c r="I571" s="720" t="str">
        <x:v>Clearly outside retinal/ophthalmic concept-based explainable AI.</x:v>
      </x:c>
      <x:c r="J571" s="717" t="str">
        <x:f>IF(E571=H571,E571,"Unclear")</x:f>
        <x:v>Exclude</x:v>
      </x:c>
      <x:c r="K571" s="720" t="str">
        <x:f>IF(E571=H571,"Agreement between both AI passes.","AI-pass disagreement; retain for human discussion.")</x:f>
        <x:v>Agreement between both AI passes.</x:v>
      </x:c>
      <x:c r="L571" s="720" t="str">
        <x:v>Yelun Geo</x:v>
      </x:c>
      <x:c r="M571" s="728" t="n">
        <x:v>2026</x:v>
      </x:c>
      <x:c r="N571" s="717" t="str">
        <x:v>arXiv search result</x:v>
      </x:c>
      <x:c r="O571" s="717" t="str">
        <x:v>No</x:v>
      </x:c>
      <x:c r="P571" s="717" t="str">
        <x:v>https://arxiv.org/abs/2601.13089</x:v>
      </x:c>
    </x:row>
    <x:row r="572" ht="38" customHeight="1">
      <x:c r="A572" s="717" t="str">
        <x:v>ARXIV-02-004</x:v>
      </x:c>
      <x:c r="B572" s="717" t="str">
        <x:v>arXiv</x:v>
      </x:c>
      <x:c r="C572" s="717" t="str">
        <x:v>ARXIV-02</x:v>
      </x:c>
      <x:c r="D572" s="720" t="str">
        <x:v>Balanced Few-Shot Episodic Learning for Accurate Retinal Disease Diagnosis</x:v>
      </x:c>
      <x:c r="E572" s="717" t="str">
        <x:v>Exclude</x:v>
      </x:c>
      <x:c r="F572" s="720" t="str">
        <x:v>Retinal/ophthalmic topic, but no concept-based or structured explainability method is evident.</x:v>
      </x:c>
      <x:c r="G572" s="717" t="str">
        <x:v>Title only</x:v>
      </x:c>
      <x:c r="H572" s="717" t="str">
        <x:v>Exclude</x:v>
      </x:c>
      <x:c r="I572" s="720" t="str">
        <x:v>Retinal/ophthalmic topic, but no concept-based or structured explainability method is evident.</x:v>
      </x:c>
      <x:c r="J572" s="717" t="str">
        <x:f>IF(E572=H572,E572,"Unclear")</x:f>
        <x:v>Exclude</x:v>
      </x:c>
      <x:c r="K572" s="720" t="str">
        <x:f>IF(E572=H572,"Agreement between both AI passes.","AI-pass disagreement; retain for human discussion.")</x:f>
        <x:v>Agreement between both AI passes.</x:v>
      </x:c>
      <x:c r="L572" s="720" t="str">
        <x:v>jasmaine Khall. Ravi Prakash Srivastanes</x:v>
      </x:c>
      <x:c r="M572" s="728" t="n">
        <x:v>2025</x:v>
      </x:c>
      <x:c r="N572" s="717" t="str">
        <x:v>arXiv search result</x:v>
      </x:c>
      <x:c r="O572" s="717" t="str">
        <x:v>No</x:v>
      </x:c>
      <x:c r="P572" s="717" t="str">
        <x:v>https://arxiv.org/abs/2512.04967</x:v>
      </x:c>
    </x:row>
    <x:row r="573" ht="38" customHeight="1">
      <x:c r="A573" s="717" t="str">
        <x:v>ARXIV-02-005</x:v>
      </x:c>
      <x:c r="B573" s="717" t="str">
        <x:v>arXiv</x:v>
      </x:c>
      <x:c r="C573" s="717" t="str">
        <x:v>ARXIV-02</x:v>
      </x:c>
      <x:c r="D573" s="720" t="str">
        <x:v>UP2D: Uncertainty-aware Progressive Pseudo-label Denoising for Source-Free Domain Adaptive Medical Image Segmentation</x:v>
      </x:c>
      <x:c r="E573" s="717" t="str">
        <x:v>Exclude</x:v>
      </x:c>
      <x:c r="F573" s="720" t="str">
        <x:v>Medical/clinical topic, but no eligible concept-based explainability contribution is evident.</x:v>
      </x:c>
      <x:c r="G573" s="717" t="str">
        <x:v>Title only</x:v>
      </x:c>
      <x:c r="H573" s="717" t="str">
        <x:v>Exclude</x:v>
      </x:c>
      <x:c r="I573" s="720" t="str">
        <x:v>Medical/clinical topic, but no eligible concept-based explainability contribution is evident.</x:v>
      </x:c>
      <x:c r="J573" s="717" t="str">
        <x:f>IF(E573=H573,E573,"Unclear")</x:f>
        <x:v>Exclude</x:v>
      </x:c>
      <x:c r="K573" s="720" t="str">
        <x:f>IF(E573=H573,"Agreement between both AI passes.","AI-pass disagreement; retain for human discussion.")</x:f>
        <x:v>Agreement between both AI passes.</x:v>
      </x:c>
      <x:c r="L573" s="720" t="str">
        <x:v>Quire thal But Tran Thanh Muy Nauyen. Mash D. Mo. Thinh B. Lam. ¥iVu. Hoang: Thien Nguyen Phat Muy Ules Banc</x:v>
      </x:c>
      <x:c r="M573" s="728"/>
      <x:c r="N573" s="717" t="str">
        <x:v>arXiv search result</x:v>
      </x:c>
      <x:c r="O573" s="717" t="str">
        <x:v>No</x:v>
      </x:c>
      <x:c r="P573" s="717"/>
    </x:row>
    <x:row r="574" ht="38" customHeight="1">
      <x:c r="A574" s="717" t="str">
        <x:v>ARXIV-02-006</x:v>
      </x:c>
      <x:c r="B574" s="717" t="str">
        <x:v>arXiv</x:v>
      </x:c>
      <x:c r="C574" s="717" t="str">
        <x:v>ARXIV-02</x:v>
      </x:c>
      <x:c r="D574" s="720" t="str">
        <x:v>Prototype-Guided and Lightweight Adapters for Inherent Interpretation and Generalisation in Federated Learning</x:v>
      </x:c>
      <x:c r="E574" s="717" t="str">
        <x:v>Include</x:v>
      </x:c>
      <x:c r="F574" s="720" t="str">
        <x:v>Foundational concept-XAI method relevant to the review taxonomy or reliability analysis (title only).</x:v>
      </x:c>
      <x:c r="G574" s="717" t="str">
        <x:v>Title only</x:v>
      </x:c>
      <x:c r="H574" s="717" t="str">
        <x:v>Unclear</x:v>
      </x:c>
      <x:c r="I574" s="720" t="str">
        <x:v>Concept-XAI method may be useful as foundational/contextual evidence; retinal or medical applicability requires discussion (title only).</x:v>
      </x:c>
      <x:c r="J574" s="717" t="str">
        <x:f>IF(E574=H574,E574,"Unclear")</x:f>
        <x:v>Unclear</x:v>
      </x:c>
      <x:c r="K574" s="720" t="str">
        <x:f>IF(E574=H574,"Agreement between both AI passes.","AI-pass disagreement; retain for human discussion.")</x:f>
        <x:v>AI-pass disagreement; retain for human discussion.</x:v>
      </x:c>
      <x:c r="L574" s="720" t="str">
        <x:v>Samuel Ofosu mensah, Kerol Djoumessi Philgp Berens Abstract fextorsted learning 1) provides a promicing paradigm fhe colluber ately traning machine... © ave ‘astemseenl iy, 2 eeggety mercury 2S Caenomante: pages 4 Npseee, materoed'ne MKCAL ALP and ten ders nee 7. e0hte2906. 10609 (pel ps, other GB at PIPVIT: Patch-based Visual Interpretable Prototypes for Retinal Image Analysis</x:v>
      </x:c>
      <x:c r="M574" s="728"/>
      <x:c r="N574" s="717" t="str">
        <x:v>arXiv search result</x:v>
      </x:c>
      <x:c r="O574" s="717" t="str">
        <x:v>No</x:v>
      </x:c>
      <x:c r="P574" s="717"/>
    </x:row>
    <x:row r="575" ht="38" customHeight="1">
      <x:c r="A575" s="717" t="str">
        <x:v>ARXIV-02-007</x:v>
      </x:c>
      <x:c r="B575" s="717" t="str">
        <x:v>arXiv</x:v>
      </x:c>
      <x:c r="C575" s="717" t="str">
        <x:v>ARXIV-02</x:v>
      </x:c>
      <x:c r="D575" s="720" t="str">
        <x:v>PIPVIT: Patch-based Visual Interpretable Prototypes for Retinal Image Analysis</x:v>
      </x:c>
      <x:c r="E575" s="717" t="str">
        <x:v>Include</x:v>
      </x:c>
      <x:c r="F575" s="720" t="str">
        <x:v>Potential direct retinal/ophthalmic concept-based XAI evidence (title only).</x:v>
      </x:c>
      <x:c r="G575" s="717" t="str">
        <x:v>Title only</x:v>
      </x:c>
      <x:c r="H575" s="717" t="str">
        <x:v>Include</x:v>
      </x:c>
      <x:c r="I575" s="720" t="str">
        <x:v>Potential direct retinal/ophthalmic concept-based XAI evidence (title only).</x:v>
      </x:c>
      <x:c r="J575" s="717" t="str">
        <x:f>IF(E575=H575,E575,"Unclear")</x:f>
        <x:v>Include</x:v>
      </x:c>
      <x:c r="K575" s="720" t="str">
        <x:f>IF(E575=H575,"Agreement between both AI passes.","AI-pass disagreement; retain for human discussion.")</x:f>
        <x:v>Agreement between both AI passes.</x:v>
      </x:c>
      <x:c r="L575" s="720" t="str">
        <x:v>Marzich Oghbsie, Tesesa Araujo, Hrvoje Bagunowt Abstract Backgrcund and Otyective Protetype Saute methecs Imerave weerpeetabilty by ~ how Subested 13 June, U5, v1 subsised 12 June, 22S, ortimally announced jane 2025 8 arkie2AOE 5168 [pet other] CEEB This actually looks like that: Proto-BagNets for local and global interpretability-by-design</x:v>
      </x:c>
      <x:c r="M575" s="728"/>
      <x:c r="N575" s="717" t="str">
        <x:v>arXiv search result</x:v>
      </x:c>
      <x:c r="O575" s="717" t="str">
        <x:v>No</x:v>
      </x:c>
      <x:c r="P575" s="717"/>
    </x:row>
    <x:row r="576" ht="38" customHeight="1">
      <x:c r="A576" s="717" t="str">
        <x:v>ARXIV-02-008</x:v>
      </x:c>
      <x:c r="B576" s="717" t="str">
        <x:v>arXiv</x:v>
      </x:c>
      <x:c r="C576" s="717" t="str">
        <x:v>ARXIV-02</x:v>
      </x:c>
      <x:c r="D576" s="720" t="str">
        <x:v>This actually looks like that: Proto-BagNets for local and global interpretability-by-design</x:v>
      </x:c>
      <x:c r="E576" s="717" t="str">
        <x:v>Exclude</x:v>
      </x:c>
      <x:c r="F576" s="720" t="str">
        <x:v>Generic explainability topic outside the retinal/medical concept-XAI scope.</x:v>
      </x:c>
      <x:c r="G576" s="717" t="str">
        <x:v>Title only</x:v>
      </x:c>
      <x:c r="H576" s="717" t="str">
        <x:v>Exclude</x:v>
      </x:c>
      <x:c r="I576" s="720" t="str">
        <x:v>Generic explainability topic outside the retinal/medical concept-XAI scope.</x:v>
      </x:c>
      <x:c r="J576" s="717" t="str">
        <x:f>IF(E576=H576,E576,"Unclear")</x:f>
        <x:v>Exclude</x:v>
      </x:c>
      <x:c r="K576" s="720" t="str">
        <x:f>IF(E576=H576,"Agreement between both AI passes.","AI-pass disagreement; retain for human discussion.")</x:f>
        <x:v>Agreement between both AI passes.</x:v>
      </x:c>
      <x:c r="L576" s="720" t="str">
        <x:v>Kero! Djounests, Rutacarr Bah, Laura Kihlewein, Philip Berns Lisa Kaach</x:v>
      </x:c>
      <x:c r="M576" s="728"/>
      <x:c r="N576" s="717" t="str">
        <x:v>arXiv search result</x:v>
      </x:c>
      <x:c r="O576" s="717" t="str">
        <x:v>No</x:v>
      </x:c>
      <x:c r="P576" s="717"/>
    </x:row>
    <x:row r="577" ht="38" customHeight="1">
      <x:c r="A577" s="717" t="str">
        <x:v>ARXIV-02-009</x:v>
      </x:c>
      <x:c r="B577" s="717" t="str">
        <x:v>arXiv</x:v>
      </x:c>
      <x:c r="C577" s="717" t="str">
        <x:v>ARXIV-02</x:v>
      </x:c>
      <x:c r="D577" s="720" t="str">
        <x:v>Generalizing to Unseen Domains in Diabetic Retinopathy with Disentangled Representations</x:v>
      </x:c>
      <x:c r="E577" s="717" t="str">
        <x:v>Exclude</x:v>
      </x:c>
      <x:c r="F577" s="720" t="str">
        <x:v>Retinal/ophthalmic topic, but no concept-based or structured explainability method is evident.</x:v>
      </x:c>
      <x:c r="G577" s="717" t="str">
        <x:v>Title only</x:v>
      </x:c>
      <x:c r="H577" s="717" t="str">
        <x:v>Exclude</x:v>
      </x:c>
      <x:c r="I577" s="720" t="str">
        <x:v>Retinal/ophthalmic topic, but no concept-based or structured explainability method is evident.</x:v>
      </x:c>
      <x:c r="J577" s="717" t="str">
        <x:f>IF(E577=H577,E577,"Unclear")</x:f>
        <x:v>Exclude</x:v>
      </x:c>
      <x:c r="K577" s="720" t="str">
        <x:f>IF(E577=H577,"Agreement between both AI passes.","AI-pass disagreement; retain for human discussion.")</x:f>
        <x:v>Agreement between both AI passes.</x:v>
      </x:c>
      <x:c r="L577" s="720" t="str">
        <x:v>Peng Ma. Ming Hu, Fetong Tang, Wernue LL. Wenhas Zheng. Lie ha Pesbo Duan. Hua Yao, Zongyuan Ge</x:v>
      </x:c>
      <x:c r="M577" s="728" t="n">
        <x:v>2024</x:v>
      </x:c>
      <x:c r="N577" s="717" t="str">
        <x:v>arXiv search result</x:v>
      </x:c>
      <x:c r="O577" s="717" t="str">
        <x:v>No</x:v>
      </x:c>
      <x:c r="P577" s="717" t="str">
        <x:v>https://arxiv.org/abs/2406.06384</x:v>
      </x:c>
    </x:row>
    <x:row r="578" ht="38" customHeight="1">
      <x:c r="A578" s="717" t="str">
        <x:v>ARXIV-02-010</x:v>
      </x:c>
      <x:c r="B578" s="717" t="str">
        <x:v>arXiv</x:v>
      </x:c>
      <x:c r="C578" s="717" t="str">
        <x:v>ARXIV-02</x:v>
      </x:c>
      <x:c r="D578" s="720" t="str">
        <x:v>CrackNex: a Few-shot Low-light Crack Segmentation Model Based on Retinex Theory for UAV Inspections</x:v>
      </x:c>
      <x:c r="E578" s="717" t="str">
        <x:v>Exclude</x:v>
      </x:c>
      <x:c r="F578" s="720" t="str">
        <x:v>Clearly outside retinal/ophthalmic concept-based explainable AI.</x:v>
      </x:c>
      <x:c r="G578" s="717" t="str">
        <x:v>Title only</x:v>
      </x:c>
      <x:c r="H578" s="717" t="str">
        <x:v>Exclude</x:v>
      </x:c>
      <x:c r="I578" s="720" t="str">
        <x:v>Clearly outside retinal/ophthalmic concept-based explainable AI.</x:v>
      </x:c>
      <x:c r="J578" s="717" t="str">
        <x:f>IF(E578=H578,E578,"Unclear")</x:f>
        <x:v>Exclude</x:v>
      </x:c>
      <x:c r="K578" s="720" t="str">
        <x:f>IF(E578=H578,"Agreement between both AI passes.","AI-pass disagreement; retain for human discussion.")</x:f>
        <x:v>Agreement between both AI passes.</x:v>
      </x:c>
      <x:c r="L578" s="720" t="str">
        <x:v>Zen Vio, Jermes Xu. Shulaeng How Moor Choo Chua</x:v>
      </x:c>
      <x:c r="M578" s="728"/>
      <x:c r="N578" s="717" t="str">
        <x:v>arXiv search result</x:v>
      </x:c>
      <x:c r="O578" s="717" t="str">
        <x:v>No</x:v>
      </x:c>
      <x:c r="P578" s="717"/>
    </x:row>
    <x:row r="579" ht="38" customHeight="1">
      <x:c r="A579" s="717" t="str">
        <x:v>ARXIV-02-011</x:v>
      </x:c>
      <x:c r="B579" s="717" t="str">
        <x:v>arXiv</x:v>
      </x:c>
      <x:c r="C579" s="717" t="str">
        <x:v>ARXIV-02</x:v>
      </x:c>
      <x:c r="D579" s="720" t="str">
        <x:v>Fundus-Enhanced Disease-Aware Distillation Model for Retinal Disease Classification from OCT Images</x:v>
      </x:c>
      <x:c r="E579" s="717" t="str">
        <x:v>Exclude</x:v>
      </x:c>
      <x:c r="F579" s="720" t="str">
        <x:v>Retinal/ophthalmic topic, but no concept-based or structured explainability method is evident.</x:v>
      </x:c>
      <x:c r="G579" s="717" t="str">
        <x:v>Title only</x:v>
      </x:c>
      <x:c r="H579" s="717" t="str">
        <x:v>Exclude</x:v>
      </x:c>
      <x:c r="I579" s="720" t="str">
        <x:v>Retinal/ophthalmic topic, but no concept-based or structured explainability method is evident.</x:v>
      </x:c>
      <x:c r="J579" s="717" t="str">
        <x:f>IF(E579=H579,E579,"Unclear")</x:f>
        <x:v>Exclude</x:v>
      </x:c>
      <x:c r="K579" s="720" t="str">
        <x:f>IF(E579=H579,"Agreement between both AI passes.","AI-pass disagreement; retain for human discussion.")</x:f>
        <x:v>Agreement between both AI passes.</x:v>
      </x:c>
      <x:c r="L579" s="720" t="str">
        <x:v>Lehan Wang. Welhang Dal. Me! Jin. Crasbin Ou. Naomeng U</x:v>
      </x:c>
      <x:c r="M579" s="728"/>
      <x:c r="N579" s="717" t="str">
        <x:v>arXiv search result</x:v>
      </x:c>
      <x:c r="O579" s="717" t="str">
        <x:v>No</x:v>
      </x:c>
      <x:c r="P579" s="717"/>
    </x:row>
    <x:row r="580" ht="38" customHeight="1">
      <x:c r="A580" s="717" t="str">
        <x:v>ARXIV-02-012</x:v>
      </x:c>
      <x:c r="B580" s="717" t="str">
        <x:v>arXiv</x:v>
      </x:c>
      <x:c r="C580" s="717" t="str">
        <x:v>ARXIV-02</x:v>
      </x:c>
      <x:c r="D580" s="720" t="str">
        <x:v>LAVA: Granular Neuron-Level Explainable AI for Alzheimer's Disease Assessment from Fundus Images</x:v>
      </x:c>
      <x:c r="E580" s="717" t="str">
        <x:v>Unclear</x:v>
      </x:c>
      <x:c r="F580" s="720" t="str">
        <x:v>Retinal/ophthalmic AI is evident, but the concept-based mechanism is not confirmed from the available title only.</x:v>
      </x:c>
      <x:c r="G580" s="717" t="str">
        <x:v>Title only</x:v>
      </x:c>
      <x:c r="H580" s="717" t="str">
        <x:v>Unclear</x:v>
      </x:c>
      <x:c r="I580" s="720" t="str">
        <x:v>Retinal/ophthalmic AI is evident, but the concept-based mechanism is not confirmed from the available title only.</x:v>
      </x:c>
      <x:c r="J580" s="717" t="str">
        <x:f>IF(E580=H580,E580,"Unclear")</x:f>
        <x:v>Unclear</x:v>
      </x:c>
      <x:c r="K580" s="720" t="str">
        <x:f>IF(E580=H580,"Agreement between both AI passes.","AI-pass disagreement; retain for human discussion.")</x:f>
        <x:v>Agreement between both AI passes.</x:v>
      </x:c>
      <x:c r="L580" s="720" t="str">
        <x:v>Noostin Yuusetcadets Chetie Ine Adolfo Reeniree Cerriora. jingu ben, Rocgu berg. My 1. Uhr</x:v>
      </x:c>
      <x:c r="M580" s="728"/>
      <x:c r="N580" s="717" t="str">
        <x:v>arXiv search result</x:v>
      </x:c>
      <x:c r="O580" s="717" t="str">
        <x:v>No</x:v>
      </x:c>
      <x:c r="P580" s="717"/>
    </x:row>
    <x:row r="581" ht="38" customHeight="1">
      <x:c r="A581" s="717" t="str">
        <x:v>ARXIV-02-013</x:v>
      </x:c>
      <x:c r="B581" s="717" t="str">
        <x:v>arXiv</x:v>
      </x:c>
      <x:c r="C581" s="717" t="str">
        <x:v>ARXIV-02</x:v>
      </x:c>
      <x:c r="D581" s="720" t="str">
        <x:v>Distilling Object Detectors With Global Knowledge</x:v>
      </x:c>
      <x:c r="E581" s="717" t="str">
        <x:v>Exclude</x:v>
      </x:c>
      <x:c r="F581" s="720" t="str">
        <x:v>Clearly outside retinal/ophthalmic concept-based explainable AI.</x:v>
      </x:c>
      <x:c r="G581" s="717" t="str">
        <x:v>Title only</x:v>
      </x:c>
      <x:c r="H581" s="717" t="str">
        <x:v>Exclude</x:v>
      </x:c>
      <x:c r="I581" s="720" t="str">
        <x:v>Clearly outside retinal/ophthalmic concept-based explainable AI.</x:v>
      </x:c>
      <x:c r="J581" s="717" t="str">
        <x:f>IF(E581=H581,E581,"Unclear")</x:f>
        <x:v>Exclude</x:v>
      </x:c>
      <x:c r="K581" s="720" t="str">
        <x:f>IF(E581=H581,"Agreement between both AI passes.","AI-pass disagreement; retain for human discussion.")</x:f>
        <x:v>Agreement between both AI passes.</x:v>
      </x:c>
      <x:c r="L581" s="720" t="str">
        <x:v>Sani Tang. Zheegyu Zhang. Thanmhan Cheng, fing Lax Yunis Xu VINIU. Fan He</x:v>
      </x:c>
      <x:c r="M581" s="728"/>
      <x:c r="N581" s="717" t="str">
        <x:v>arXiv search result</x:v>
      </x:c>
      <x:c r="O581" s="717" t="str">
        <x:v>No</x:v>
      </x:c>
      <x:c r="P581" s="717"/>
    </x:row>
    <x:row r="582" ht="38" customHeight="1">
      <x:c r="A582" s="717" t="str">
        <x:v>ARXIV-02-014</x:v>
      </x:c>
      <x:c r="B582" s="717" t="str">
        <x:v>arXiv</x:v>
      </x:c>
      <x:c r="C582" s="717" t="str">
        <x:v>ARXIV-02</x:v>
      </x:c>
      <x:c r="D582" s="720" t="str">
        <x:v>Coarse Retinal Lesion Annotations Refinement via Prototypical Learning</x:v>
      </x:c>
      <x:c r="E582" s="717" t="str">
        <x:v>Include</x:v>
      </x:c>
      <x:c r="F582" s="720" t="str">
        <x:v>Potential direct retinal/ophthalmic concept-based XAI evidence (title only).</x:v>
      </x:c>
      <x:c r="G582" s="717" t="str">
        <x:v>Title only</x:v>
      </x:c>
      <x:c r="H582" s="717" t="str">
        <x:v>Include</x:v>
      </x:c>
      <x:c r="I582" s="720" t="str">
        <x:v>Potential direct retinal/ophthalmic concept-based XAI evidence (title only).</x:v>
      </x:c>
      <x:c r="J582" s="717" t="str">
        <x:f>IF(E582=H582,E582,"Unclear")</x:f>
        <x:v>Include</x:v>
      </x:c>
      <x:c r="K582" s="720" t="str">
        <x:f>IF(E582=H582,"Agreement between both AI passes.","AI-pass disagreement; retain for human discussion.")</x:f>
        <x:v>Agreement between both AI passes.</x:v>
      </x:c>
      <x:c r="L582" s="720" t="str">
        <x:v>Ory Yu. Kare Dang. Znyu Chou. Yorupwes Chen. Xiecwwes org Abstract Oeepiearning-basedt approactes for. © Mowe ‘Semiened 3 Apes. 2177: eriginly aneeunc Ad ve 7177 Ceemument es MiCTALY? wenetomay WA AM 7? 15 arkine2208.00457 (pel other] CEE Lo INSightR-Net: Interpretable Neural Network for Regression using Similarity-based Comparisons to Prototypical Examples</x:v>
      </x:c>
      <x:c r="M582" s="728" t="n">
        <x:v>2022</x:v>
      </x:c>
      <x:c r="N582" s="717" t="str">
        <x:v>arXiv search result</x:v>
      </x:c>
      <x:c r="O582" s="717" t="str">
        <x:v>No</x:v>
      </x:c>
      <x:c r="P582" s="717" t="str">
        <x:v>https://arxiv.org/abs/2208.14294</x:v>
      </x:c>
    </x:row>
    <x:row r="583" ht="38" customHeight="1">
      <x:c r="A583" s="717" t="str">
        <x:v>ARXIV-02-015</x:v>
      </x:c>
      <x:c r="B583" s="717" t="str">
        <x:v>arXiv</x:v>
      </x:c>
      <x:c r="C583" s="717" t="str">
        <x:v>ARXIV-02</x:v>
      </x:c>
      <x:c r="D583" s="720" t="str">
        <x:v>INSightR-Net: Interpretable Neural Network for Regression using Similarity-based Comparisons to Prototypical Examples</x:v>
      </x:c>
      <x:c r="E583" s="717" t="str">
        <x:v>Include</x:v>
      </x:c>
      <x:c r="F583" s="720" t="str">
        <x:v>Foundational concept-XAI method relevant to the review taxonomy or reliability analysis (title only).</x:v>
      </x:c>
      <x:c r="G583" s="717" t="str">
        <x:v>Title only</x:v>
      </x:c>
      <x:c r="H583" s="717" t="str">
        <x:v>Unclear</x:v>
      </x:c>
      <x:c r="I583" s="720" t="str">
        <x:v>Concept-XAI method may be useful as foundational/contextual evidence; retinal or medical applicability requires discussion (title only).</x:v>
      </x:c>
      <x:c r="J583" s="717" t="str">
        <x:f>IF(E583=H583,E583,"Unclear")</x:f>
        <x:v>Unclear</x:v>
      </x:c>
      <x:c r="K583" s="720" t="str">
        <x:f>IF(E583=H583,"Agreement between both AI passes.","AI-pass disagreement; retain for human discussion.")</x:f>
        <x:v>AI-pass disagreement; retain for human discussion.</x:v>
      </x:c>
      <x:c r="L583" s="720" t="str">
        <x:v>Lnds S. Hesse Ang LL Nemburete Abstract In thet work we propate an Innereny Interpretatie CAN for regreescn utang simmarey Dates comparitons (INDENIN.Net) and demonstrate cur methods on the tark of ciabes retinopathy grading. A. 7 Mere ‘Seemed 3% bly, 2822: erigrty arneumend Ages 2022 Comment: Scxepoes at NICH 2012, code anatase at Sasaslieub som nsehene Sienst Net 16 aXe 2203.02493 (pet, other] QED Greedy Optimization of Electrode Arrangement for Epiretinal Prostheses</x:v>
      </x:c>
      <x:c r="M583" s="728" t="n">
        <x:v>2022</x:v>
      </x:c>
      <x:c r="N583" s="717" t="str">
        <x:v>arXiv search result</x:v>
      </x:c>
      <x:c r="O583" s="717" t="str">
        <x:v>No</x:v>
      </x:c>
      <x:c r="P583" s="717" t="str">
        <x:v>https://arxiv.org/abs/2208.00457</x:v>
      </x:c>
    </x:row>
    <x:row r="584" ht="38" customHeight="1">
      <x:c r="A584" s="717" t="str">
        <x:v>ARXIV-02-016</x:v>
      </x:c>
      <x:c r="B584" s="717" t="str">
        <x:v>arXiv</x:v>
      </x:c>
      <x:c r="C584" s="717" t="str">
        <x:v>ARXIV-02</x:v>
      </x:c>
      <x:c r="D584" s="720" t="str">
        <x:v>Greedy Optimization of Electrode Arrangement for Epiretinal Prostheses</x:v>
      </x:c>
      <x:c r="E584" s="717" t="str">
        <x:v>Exclude</x:v>
      </x:c>
      <x:c r="F584" s="720" t="str">
        <x:v>Clearly outside retinal/ophthalmic concept-based explainable AI.</x:v>
      </x:c>
      <x:c r="G584" s="717" t="str">
        <x:v>Title only</x:v>
      </x:c>
      <x:c r="H584" s="717" t="str">
        <x:v>Exclude</x:v>
      </x:c>
      <x:c r="I584" s="720" t="str">
        <x:v>Clearly outside retinal/ophthalmic concept-based explainable AI.</x:v>
      </x:c>
      <x:c r="J584" s="717" t="str">
        <x:f>IF(E584=H584,E584,"Unclear")</x:f>
        <x:v>Exclude</x:v>
      </x:c>
      <x:c r="K584" s="720" t="str">
        <x:f>IF(E584=H584,"Agreement between both AI passes.","AI-pass disagreement; retain for human discussion.")</x:f>
        <x:v>Agreement between both AI passes.</x:v>
      </x:c>
      <x:c r="L584" s="720" t="str">
        <x:v>Ashley Bruce, Michael Beyeter</x:v>
      </x:c>
      <x:c r="M584" s="728"/>
      <x:c r="N584" s="717" t="str">
        <x:v>arXiv search result</x:v>
      </x:c>
      <x:c r="O584" s="717" t="str">
        <x:v>No</x:v>
      </x:c>
      <x:c r="P584" s="717"/>
    </x:row>
    <x:row r="585" ht="38" customHeight="1">
      <x:c r="A585" s="717" t="str">
        <x:v>ARXIV-02-017</x:v>
      </x:c>
      <x:c r="B585" s="717" t="str">
        <x:v>arXiv</x:v>
      </x:c>
      <x:c r="C585" s="717" t="str">
        <x:v>ARXIV-02</x:v>
      </x:c>
      <x:c r="D585" s="720" t="str">
        <x:v>Circumpapillary OCT-Focused Hybrid Learning for Glaucoma Grading Using Tailored Prototypical Neural Networks</x:v>
      </x:c>
      <x:c r="E585" s="717" t="str">
        <x:v>Include</x:v>
      </x:c>
      <x:c r="F585" s="720" t="str">
        <x:v>Potential direct retinal/ophthalmic concept-based XAI evidence (title only).</x:v>
      </x:c>
      <x:c r="G585" s="717" t="str">
        <x:v>Title only</x:v>
      </x:c>
      <x:c r="H585" s="717" t="str">
        <x:v>Include</x:v>
      </x:c>
      <x:c r="I585" s="720" t="str">
        <x:v>Potential direct retinal/ophthalmic concept-based XAI evidence (title only).</x:v>
      </x:c>
      <x:c r="J585" s="717" t="str">
        <x:f>IF(E585=H585,E585,"Unclear")</x:f>
        <x:v>Include</x:v>
      </x:c>
      <x:c r="K585" s="720" t="str">
        <x:f>IF(E585=H585,"Agreement between both AI passes.","AI-pass disagreement; retain for human discussion.")</x:f>
        <x:v>Agreement between both AI passes.</x:v>
      </x:c>
      <x:c r="L585" s="720" t="str">
        <x:v>Gabriel Garcia. Rocio del Amor, Adrign Colomer, Ratee! Verdi-Monedero. juan Morales. Ssnchez. Valery Naranjo</x:v>
      </x:c>
      <x:c r="M585" s="728"/>
      <x:c r="N585" s="717" t="str">
        <x:v>arXiv search result</x:v>
      </x:c>
      <x:c r="O585" s="717" t="str">
        <x:v>No</x:v>
      </x:c>
      <x:c r="P585" s="717"/>
    </x:row>
    <x:row r="586" ht="38" customHeight="1">
      <x:c r="A586" s="717" t="str">
        <x:v>ARXIV-02-018</x:v>
      </x:c>
      <x:c r="B586" s="717" t="str">
        <x:v>arXiv</x:v>
      </x:c>
      <x:c r="C586" s="717" t="str">
        <x:v>ARXIV-02</x:v>
      </x:c>
      <x:c r="D586" s="720" t="str">
        <x:v>Resolution enhancement and realistic speckle recovery with generative adversarial modeling of micro-optical coherence tomography</x:v>
      </x:c>
      <x:c r="E586" s="717" t="str">
        <x:v>Exclude</x:v>
      </x:c>
      <x:c r="F586" s="720" t="str">
        <x:v>Retinal/ophthalmic topic, but no concept-based or structured explainability method is evident.</x:v>
      </x:c>
      <x:c r="G586" s="717" t="str">
        <x:v>Title only</x:v>
      </x:c>
      <x:c r="H586" s="717" t="str">
        <x:v>Exclude</x:v>
      </x:c>
      <x:c r="I586" s="720" t="str">
        <x:v>Retinal/ophthalmic topic, but no concept-based or structured explainability method is evident.</x:v>
      </x:c>
      <x:c r="J586" s="717" t="str">
        <x:f>IF(E586=H586,E586,"Unclear")</x:f>
        <x:v>Exclude</x:v>
      </x:c>
      <x:c r="K586" s="720" t="str">
        <x:f>IF(E586=H586,"Agreement between both AI passes.","AI-pass disagreement; retain for human discussion.")</x:f>
        <x:v>Agreement between both AI passes.</x:v>
      </x:c>
      <x:c r="L586" s="720" t="str">
        <x:v>Kaichong Liang. Xiewe Lu, Si Chen jun ie, Wei Qing Lee, Unbo Uns. Hwee Kuan Lee</x:v>
      </x:c>
      <x:c r="M586" s="728"/>
      <x:c r="N586" s="717" t="str">
        <x:v>arXiv search result</x:v>
      </x:c>
      <x:c r="O586" s="717" t="str">
        <x:v>No</x:v>
      </x:c>
      <x:c r="P586" s="717"/>
    </x:row>
    <x:row r="587" ht="38" customHeight="1">
      <x:c r="A587" s="717" t="str">
        <x:v>ARXIV-02-019</x:v>
      </x:c>
      <x:c r="B587" s="717" t="str">
        <x:v>arXiv</x:v>
      </x:c>
      <x:c r="C587" s="717" t="str">
        <x:v>ARXIV-02</x:v>
      </x:c>
      <x:c r="D587" s="720" t="str">
        <x:v>Deep learning vessel segmentation and quantification of the foveal avascular zone using commercial and prototype OCT-A platforms</x:v>
      </x:c>
      <x:c r="E587" s="717" t="str">
        <x:v>Include</x:v>
      </x:c>
      <x:c r="F587" s="720" t="str">
        <x:v>Potential direct retinal/ophthalmic concept-based XAI evidence (title only).</x:v>
      </x:c>
      <x:c r="G587" s="717" t="str">
        <x:v>Title only</x:v>
      </x:c>
      <x:c r="H587" s="717" t="str">
        <x:v>Include</x:v>
      </x:c>
      <x:c r="I587" s="720" t="str">
        <x:v>Potential direct retinal/ophthalmic concept-based XAI evidence (title only).</x:v>
      </x:c>
      <x:c r="J587" s="717" t="str">
        <x:f>IF(E587=H587,E587,"Unclear")</x:f>
        <x:v>Include</x:v>
      </x:c>
      <x:c r="K587" s="720" t="str">
        <x:f>IF(E587=H587,"Agreement between both AI passes.","AI-pass disagreement; retain for human discussion.")</x:f>
        <x:v>Agreement between both AI passes.</x:v>
      </x:c>
      <x:c r="L587" s="720" t="str">
        <x:v>Moran Heber. Forion Chum, Zaid Mammo, Chandiskums Baler atiavrgain Pate Premiait, Gavin Docherty, Myecryjin ju, Sareevs Rajapakse Shean Lee, Andrew Merkur, Andrew Kirker. Oavid Aibiart Oaved Mabertey, K. Galley Freund, Mirza Fateal Beg. Sven Lorcark, Marinks V. Sarunkc, Eduardo V Neves</x:v>
      </x:c>
      <x:c r="M587" s="728" t="n">
        <x:v>2019</x:v>
      </x:c>
      <x:c r="N587" s="717" t="str">
        <x:v>arXiv search result</x:v>
      </x:c>
      <x:c r="O587" s="717" t="str">
        <x:v>No</x:v>
      </x:c>
      <x:c r="P587" s="717" t="str">
        <x:v>https://arxiv.org/abs/1908.11289</x:v>
      </x:c>
    </x:row>
    <x:row r="588" ht="38" customHeight="1">
      <x:c r="A588" s="717" t="str">
        <x:v>ARXIV-02-020</x:v>
      </x:c>
      <x:c r="B588" s="717" t="str">
        <x:v>arXiv</x:v>
      </x:c>
      <x:c r="C588" s="717" t="str">
        <x:v>ARXIV-02</x:v>
      </x:c>
      <x:c r="D588" s="720" t="str">
        <x:v>Segmentation of blood vessels in retinal fundus images</x:v>
      </x:c>
      <x:c r="E588" s="717" t="str">
        <x:v>Exclude</x:v>
      </x:c>
      <x:c r="F588" s="720" t="str">
        <x:v>Retinal/ophthalmic topic, but no concept-based or structured explainability method is evident.</x:v>
      </x:c>
      <x:c r="G588" s="717" t="str">
        <x:v>Title only</x:v>
      </x:c>
      <x:c r="H588" s="717" t="str">
        <x:v>Exclude</x:v>
      </x:c>
      <x:c r="I588" s="720" t="str">
        <x:v>Retinal/ophthalmic topic, but no concept-based or structured explainability method is evident.</x:v>
      </x:c>
      <x:c r="J588" s="717" t="str">
        <x:f>IF(E588=H588,E588,"Unclear")</x:f>
        <x:v>Exclude</x:v>
      </x:c>
      <x:c r="K588" s="720" t="str">
        <x:f>IF(E588=H588,"Agreement between both AI passes.","AI-pass disagreement; retain for human discussion.")</x:f>
        <x:v>Agreement between both AI passes.</x:v>
      </x:c>
      <x:c r="L588" s="720" t="str">
        <x:v>Michiel Straat jorrit Oostermot</x:v>
      </x:c>
      <x:c r="M588" s="728"/>
      <x:c r="N588" s="717" t="str">
        <x:v>arXiv search result</x:v>
      </x:c>
      <x:c r="O588" s="717" t="str">
        <x:v>No</x:v>
      </x:c>
      <x:c r="P588" s="717"/>
    </x:row>
    <x:row r="589" ht="38" customHeight="1">
      <x:c r="A589" s="717" t="str">
        <x:v>ARXIV-02-021</x:v>
      </x:c>
      <x:c r="B589" s="717" t="str">
        <x:v>arXiv</x:v>
      </x:c>
      <x:c r="C589" s="717" t="str">
        <x:v>ARXIV-02</x:v>
      </x:c>
      <x:c r="D589" s="720" t="str">
        <x:v>Dynamic Vision Sensor integration on FPGA-based CNN accelerators for high-speed visual classification</x:v>
      </x:c>
      <x:c r="E589" s="717" t="str">
        <x:v>Exclude</x:v>
      </x:c>
      <x:c r="F589" s="720" t="str">
        <x:v>Clearly outside retinal/ophthalmic concept-based explainable AI.</x:v>
      </x:c>
      <x:c r="G589" s="717" t="str">
        <x:v>Title only</x:v>
      </x:c>
      <x:c r="H589" s="717" t="str">
        <x:v>Exclude</x:v>
      </x:c>
      <x:c r="I589" s="720" t="str">
        <x:v>Clearly outside retinal/ophthalmic concept-based explainable AI.</x:v>
      </x:c>
      <x:c r="J589" s="717" t="str">
        <x:f>IF(E589=H589,E589,"Unclear")</x:f>
        <x:v>Exclude</x:v>
      </x:c>
      <x:c r="K589" s="720" t="str">
        <x:f>IF(E589=H589,"Agreement between both AI passes.","AI-pass disagreement; retain for human discussion.")</x:f>
        <x:v>Agreement between both AI passes.</x:v>
      </x:c>
      <x:c r="L589" s="720" t="str">
        <x:v>Alejandro Unares Sarranca, Antonio Ries- Navarro, Ricardo Taplador Morales. Tobt Delbruck</x:v>
      </x:c>
      <x:c r="M589" s="728"/>
      <x:c r="N589" s="717" t="str">
        <x:v>arXiv search result</x:v>
      </x:c>
      <x:c r="O589" s="717" t="str">
        <x:v>No</x:v>
      </x:c>
      <x:c r="P589" s="717"/>
    </x:row>
    <x:row r="590" ht="38" customHeight="1">
      <x:c r="A590" s="717" t="str">
        <x:v>ARXIV-02-022</x:v>
      </x:c>
      <x:c r="B590" s="717" t="str">
        <x:v>arXiv</x:v>
      </x:c>
      <x:c r="C590" s="717" t="str">
        <x:v>ARXIV-02</x:v>
      </x:c>
      <x:c r="D590" s="720" t="str">
        <x:v>Delineation of line patterns in images using B-COSFIRE filters</x:v>
      </x:c>
      <x:c r="E590" s="717" t="str">
        <x:v>Exclude</x:v>
      </x:c>
      <x:c r="F590" s="720" t="str">
        <x:v>Clearly outside retinal/ophthalmic concept-based explainable AI.</x:v>
      </x:c>
      <x:c r="G590" s="717" t="str">
        <x:v>Title only</x:v>
      </x:c>
      <x:c r="H590" s="717" t="str">
        <x:v>Exclude</x:v>
      </x:c>
      <x:c r="I590" s="720" t="str">
        <x:v>Clearly outside retinal/ophthalmic concept-based explainable AI.</x:v>
      </x:c>
      <x:c r="J590" s="717" t="str">
        <x:f>IF(E590=H590,E590,"Unclear")</x:f>
        <x:v>Exclude</x:v>
      </x:c>
      <x:c r="K590" s="720" t="str">
        <x:f>IF(E590=H590,"Agreement between both AI passes.","AI-pass disagreement; retain for human discussion.")</x:f>
        <x:v>Agreement between both AI passes.</x:v>
      </x:c>
      <x:c r="L590" s="720" t="str">
        <x:v>Nola Sttschagia, Neola Peekow</x:v>
      </x:c>
      <x:c r="M590" s="728" t="n">
        <x:v>2017</x:v>
      </x:c>
      <x:c r="N590" s="717" t="str">
        <x:v>arXiv search result</x:v>
      </x:c>
      <x:c r="O590" s="717" t="str">
        <x:v>No</x:v>
      </x:c>
      <x:c r="P590" s="717" t="str">
        <x:v>https://arxiv.org/abs/1707.07438</x:v>
      </x:c>
    </x:row>
    <x:row r="591" ht="38" customHeight="1">
      <x:c r="A591" s="717" t="str">
        <x:v>ARXIV-03-001</x:v>
      </x:c>
      <x:c r="B591" s="717" t="str">
        <x:v>arXiv</x:v>
      </x:c>
      <x:c r="C591" s="717" t="str">
        <x:v>ARXIV-03</x:v>
      </x:c>
      <x:c r="D591" s="720" t="str">
        <x:v>Time“2: A framework for the neural dynamics of visual perception</x:v>
      </x:c>
      <x:c r="E591" s="717" t="str">
        <x:v>Exclude</x:v>
      </x:c>
      <x:c r="F591" s="720" t="str">
        <x:v>Clearly outside retinal/ophthalmic concept-based explainable AI.</x:v>
      </x:c>
      <x:c r="G591" s="717" t="str">
        <x:v>Title only</x:v>
      </x:c>
      <x:c r="H591" s="717" t="str">
        <x:v>Exclude</x:v>
      </x:c>
      <x:c r="I591" s="720" t="str">
        <x:v>Clearly outside retinal/ophthalmic concept-based explainable AI.</x:v>
      </x:c>
      <x:c r="J591" s="717" t="str">
        <x:f>IF(E591=H591,E591,"Unclear")</x:f>
        <x:v>Exclude</x:v>
      </x:c>
      <x:c r="K591" s="720" t="str">
        <x:f>IF(E591=H591,"Agreement between both AI passes.","AI-pass disagreement; retain for human discussion.")</x:f>
        <x:v>Agreement between both AI passes.</x:v>
      </x:c>
      <x:c r="L591" s="720" t="str">
        <x:v>Laurent Caplette, Frédéric Gosselin</x:v>
      </x:c>
      <x:c r="M591" s="728" t="n">
        <x:v>2026</x:v>
      </x:c>
      <x:c r="N591" s="717" t="str">
        <x:v>arXiv search result</x:v>
      </x:c>
      <x:c r="O591" s="717" t="str">
        <x:v>No</x:v>
      </x:c>
      <x:c r="P591" s="717" t="str">
        <x:v>https://arxiv.org/abs/2608.04218</x:v>
      </x:c>
    </x:row>
    <x:row r="592" ht="38" customHeight="1">
      <x:c r="A592" s="717" t="str">
        <x:v>ARXIV-03-002</x:v>
      </x:c>
      <x:c r="B592" s="717" t="str">
        <x:v>arXiv</x:v>
      </x:c>
      <x:c r="C592" s="717" t="str">
        <x:v>ARXIV-03</x:v>
      </x:c>
      <x:c r="D592" s="720" t="str">
        <x:v>Evaluating Large Language Models for Multimodal Simulated Ophthalmic Decision-Making in Diabetic Retinopathy and Glaucoma Screening</x:v>
      </x:c>
      <x:c r="E592" s="717" t="str">
        <x:v>Exclude</x:v>
      </x:c>
      <x:c r="F592" s="720" t="str">
        <x:v>Retinal/ophthalmic topic, but no concept-based or structured explainability method is evident.</x:v>
      </x:c>
      <x:c r="G592" s="717" t="str">
        <x:v>Title only</x:v>
      </x:c>
      <x:c r="H592" s="717" t="str">
        <x:v>Exclude</x:v>
      </x:c>
      <x:c r="I592" s="720" t="str">
        <x:v>Retinal/ophthalmic topic, but no concept-based or structured explainability method is evident.</x:v>
      </x:c>
      <x:c r="J592" s="717" t="str">
        <x:f>IF(E592=H592,E592,"Unclear")</x:f>
        <x:v>Exclude</x:v>
      </x:c>
      <x:c r="K592" s="720" t="str">
        <x:f>IF(E592=H592,"Agreement between both AI passes.","AI-pass disagreement; retain for human discussion.")</x:f>
        <x:v>Agreement between both AI passes.</x:v>
      </x:c>
      <x:c r="L592" s="720" t="str">
        <x:v>Cindy Lie Tabuse, David Restepo, Carolina Gracitelli, Fernando Korn Malerbi, Caio Regatieri, Luis Filipe Nakayama</x:v>
      </x:c>
      <x:c r="M592" s="728" t="n">
        <x:v>2025</x:v>
      </x:c>
      <x:c r="N592" s="717" t="str">
        <x:v>arXiv search result</x:v>
      </x:c>
      <x:c r="O592" s="717" t="str">
        <x:v>No</x:v>
      </x:c>
      <x:c r="P592" s="717" t="str">
        <x:v>https://arxiv.org/abs/2507.01278</x:v>
      </x:c>
    </x:row>
    <x:row r="593" ht="38" customHeight="1">
      <x:c r="A593" s="717" t="str">
        <x:v>ARXIV-03-003</x:v>
      </x:c>
      <x:c r="B593" s="717" t="str">
        <x:v>arXiv</x:v>
      </x:c>
      <x:c r="C593" s="717" t="str">
        <x:v>ARXIV-03</x:v>
      </x:c>
      <x:c r="D593" s="720" t="str">
        <x:v>LEME: Open Large Language Models for Ophthalmology with Advanced Reasoning and Clinical Validation</x:v>
      </x:c>
      <x:c r="E593" s="717" t="str">
        <x:v>Exclude</x:v>
      </x:c>
      <x:c r="F593" s="720" t="str">
        <x:v>Retinal/ophthalmic topic, but no concept-based or structured explainability method is evident.</x:v>
      </x:c>
      <x:c r="G593" s="717" t="str">
        <x:v>Title only</x:v>
      </x:c>
      <x:c r="H593" s="717" t="str">
        <x:v>Exclude</x:v>
      </x:c>
      <x:c r="I593" s="720" t="str">
        <x:v>Retinal/ophthalmic topic, but no concept-based or structured explainability method is evident.</x:v>
      </x:c>
      <x:c r="J593" s="717" t="str">
        <x:f>IF(E593=H593,E593,"Unclear")</x:f>
        <x:v>Exclude</x:v>
      </x:c>
      <x:c r="K593" s="720" t="str">
        <x:f>IF(E593=H593,"Agreement between both AI passes.","AI-pass disagreement; retain for human discussion.")</x:f>
        <x:v>Agreement between both AI passes.</x:v>
      </x:c>
      <x:c r="L593" s="720" t="str">
        <x:v>Hyunjae Kim, Xuguang Ai, Sahana Srinivasan, Aidan Gilson, Maxwell B. Singer, Krithi Pushpanathan, Qianqian Xie, Jungwoo Park, Serina Applebaum, Gabriel Dawei Yang, Minjie Zou, David Ziyou Chen, Ke Zou, Soshian Sarrafpour, Ji Liu, Yu Yin, Jimin Huang, Quang Ngoc Nguyen, Erping Long, Peixing Wan, Dianbo Liu, Richard Hintz, W. Jim Zheng, Sophia Y, Wang, Lucila Ohno-Machado , et al. (5 additional authors not shown)</x:v>
      </x:c>
      <x:c r="M593" s="728" t="n">
        <x:v>2024</x:v>
      </x:c>
      <x:c r="N593" s="717" t="str">
        <x:v>arXiv search result</x:v>
      </x:c>
      <x:c r="O593" s="717" t="str">
        <x:v>No</x:v>
      </x:c>
      <x:c r="P593" s="717" t="str">
        <x:v>https://arxiv.org/abs/2410.03740</x:v>
      </x:c>
    </x:row>
    <x:row r="594" ht="38" customHeight="1">
      <x:c r="A594" s="717" t="str">
        <x:v>ARXIV-03-004</x:v>
      </x:c>
      <x:c r="B594" s="717" t="str">
        <x:v>arXiv</x:v>
      </x:c>
      <x:c r="C594" s="717" t="str">
        <x:v>ARXIV-03</x:v>
      </x:c>
      <x:c r="D594" s="720" t="str">
        <x:v>Unsupervised out-of-distribution detection for safer robotically guided retinal microsurgery</x:v>
      </x:c>
      <x:c r="E594" s="717" t="str">
        <x:v>Exclude</x:v>
      </x:c>
      <x:c r="F594" s="720" t="str">
        <x:v>Retinal/ophthalmic topic, but no concept-based or structured explainability method is evident.</x:v>
      </x:c>
      <x:c r="G594" s="717" t="str">
        <x:v>Title only</x:v>
      </x:c>
      <x:c r="H594" s="717" t="str">
        <x:v>Exclude</x:v>
      </x:c>
      <x:c r="I594" s="720" t="str">
        <x:v>Retinal/ophthalmic topic, but no concept-based or structured explainability method is evident.</x:v>
      </x:c>
      <x:c r="J594" s="717" t="str">
        <x:f>IF(E594=H594,E594,"Unclear")</x:f>
        <x:v>Exclude</x:v>
      </x:c>
      <x:c r="K594" s="720" t="str">
        <x:f>IF(E594=H594,"Agreement between both AI passes.","AI-pass disagreement; retain for human discussion.")</x:f>
        <x:v>Agreement between both AI passes.</x:v>
      </x:c>
      <x:c r="L594" s="720" t="str">
        <x:v>Alain Jungo, Lars Doorenbos, Tommaso Da Col, Maarten Beelen, Martin Zinkernagel, Pablo Marquez-Neila, Raphael Sznitman</x:v>
      </x:c>
      <x:c r="M594" s="728" t="n">
        <x:v>2023</x:v>
      </x:c>
      <x:c r="N594" s="717" t="str">
        <x:v>arXiv search result</x:v>
      </x:c>
      <x:c r="O594" s="717" t="str">
        <x:v>No</x:v>
      </x:c>
      <x:c r="P594" s="717" t="str">
        <x:v>https://arxiv.org/abs/2304.05040</x:v>
      </x:c>
    </x:row>
    <x:row r="595" ht="38" customHeight="1">
      <x:c r="A595" s="717" t="str">
        <x:v>ARXIV-03-005</x:v>
      </x:c>
      <x:c r="B595" s="717" t="str">
        <x:v>arXiv</x:v>
      </x:c>
      <x:c r="C595" s="717" t="str">
        <x:v>ARXIV-03</x:v>
      </x:c>
      <x:c r="D595" s="720" t="str">
        <x:v>SRPN: similarity-based region proposal networks for nuclei and cells detection in histology images</x:v>
      </x:c>
      <x:c r="E595" s="717" t="str">
        <x:v>Exclude</x:v>
      </x:c>
      <x:c r="F595" s="720" t="str">
        <x:v>Clearly outside retinal/ophthalmic concept-based explainable AI.</x:v>
      </x:c>
      <x:c r="G595" s="717" t="str">
        <x:v>Title only</x:v>
      </x:c>
      <x:c r="H595" s="717" t="str">
        <x:v>Exclude</x:v>
      </x:c>
      <x:c r="I595" s="720" t="str">
        <x:v>Clearly outside retinal/ophthalmic concept-based explainable AI.</x:v>
      </x:c>
      <x:c r="J595" s="717" t="str">
        <x:f>IF(E595=H595,E595,"Unclear")</x:f>
        <x:v>Exclude</x:v>
      </x:c>
      <x:c r="K595" s="720" t="str">
        <x:f>IF(E595=H595,"Agreement between both AI passes.","AI-pass disagreement; retain for human discussion.")</x:f>
        <x:v>Agreement between both AI passes.</x:v>
      </x:c>
      <x:c r="L595" s="720" t="str">
        <x:v>Yibao Sun, Xingru Huang, Hulyu Zhou, Qianni Zhang</x:v>
      </x:c>
      <x:c r="M595" s="728" t="n">
        <x:v>2021</x:v>
      </x:c>
      <x:c r="N595" s="717" t="str">
        <x:v>arXiv search result</x:v>
      </x:c>
      <x:c r="O595" s="717" t="str">
        <x:v>No</x:v>
      </x:c>
      <x:c r="P595" s="717" t="str">
        <x:v>https://arxiv.org/abs/2106.13556</x:v>
      </x:c>
    </x:row>
    <x:row r="596" ht="38" customHeight="1">
      <x:c r="A596" s="717" t="str">
        <x:v>ARXIV-03-006</x:v>
      </x:c>
      <x:c r="B596" s="717" t="str">
        <x:v>arXiv</x:v>
      </x:c>
      <x:c r="C596" s="717" t="str">
        <x:v>ARXIV-03</x:v>
      </x:c>
      <x:c r="D596" s="720" t="str">
        <x:v>A systematic review of transfer learning based approaches for diabetic retinopathy detection</x:v>
      </x:c>
      <x:c r="E596" s="717" t="str">
        <x:v>Exclude</x:v>
      </x:c>
      <x:c r="F596" s="720" t="str">
        <x:v>Non-original evidence (review, editorial, response, protocol, or similar); retain only for background/citation chasing (E4).</x:v>
      </x:c>
      <x:c r="G596" s="717" t="str">
        <x:v>Title only</x:v>
      </x:c>
      <x:c r="H596" s="717" t="str">
        <x:v>Exclude</x:v>
      </x:c>
      <x:c r="I596" s="720" t="str">
        <x:v>Non-original evidence (review, editorial, response, protocol, or similar); retain only for background/citation chasing (E4).</x:v>
      </x:c>
      <x:c r="J596" s="717" t="str">
        <x:f>IF(E596=H596,E596,"Unclear")</x:f>
        <x:v>Exclude</x:v>
      </x:c>
      <x:c r="K596" s="720" t="str">
        <x:f>IF(E596=H596,"Agreement between both AI passes.","AI-pass disagreement; retain for human discussion.")</x:f>
        <x:v>Agreement between both AI passes.</x:v>
      </x:c>
      <x:c r="L596" s="720" t="str">
        <x:v>Burcu Oltu, Biisra Kibra Karaca, Hamit Erdem, Atilla Ozgur</x:v>
      </x:c>
      <x:c r="M596" s="728" t="n">
        <x:v>2021</x:v>
      </x:c>
      <x:c r="N596" s="717" t="str">
        <x:v>arXiv search result</x:v>
      </x:c>
      <x:c r="O596" s="717" t="str">
        <x:v>No</x:v>
      </x:c>
      <x:c r="P596" s="717" t="str">
        <x:v>https://arxiv.org/abs/2105.13793</x:v>
      </x:c>
    </x:row>
    <x:row r="597" ht="38" customHeight="1">
      <x:c r="A597" s="717" t="str">
        <x:v>ARXIV-03-007</x:v>
      </x:c>
      <x:c r="B597" s="717" t="str">
        <x:v>arXiv</x:v>
      </x:c>
      <x:c r="C597" s="717" t="str">
        <x:v>ARXIV-03</x:v>
      </x:c>
      <x:c r="D597" s="720" t="str">
        <x:v>Efficient Screening of Diseased Eyes based on Fundus Autofluorescence Images using Support Vector Machine</x:v>
      </x:c>
      <x:c r="E597" s="717" t="str">
        <x:v>Exclude</x:v>
      </x:c>
      <x:c r="F597" s="720" t="str">
        <x:v>Retinal/ophthalmic topic, but no concept-based or structured explainability method is evident.</x:v>
      </x:c>
      <x:c r="G597" s="717" t="str">
        <x:v>Title only</x:v>
      </x:c>
      <x:c r="H597" s="717" t="str">
        <x:v>Exclude</x:v>
      </x:c>
      <x:c r="I597" s="720" t="str">
        <x:v>Retinal/ophthalmic topic, but no concept-based or structured explainability method is evident.</x:v>
      </x:c>
      <x:c r="J597" s="717" t="str">
        <x:f>IF(E597=H597,E597,"Unclear")</x:f>
        <x:v>Exclude</x:v>
      </x:c>
      <x:c r="K597" s="720" t="str">
        <x:f>IF(E597=H597,"Agreement between both AI passes.","AI-pass disagreement; retain for human discussion.")</x:f>
        <x:v>Agreement between both AI passes.</x:v>
      </x:c>
      <x:c r="L597" s="720" t="str">
        <x:v>Shanmukh Reddy Manne, Kiran Kumar Vupparaboina, Gowtham Chowdary Gudapati, Ram Anudeep Peddoju, Chandra Prakash Konkimalla, Abhilash Goud, Sarforaz Bin Bashar, Jay Chhablani, Soumya Jana</x:v>
      </x:c>
      <x:c r="M597" s="728" t="n">
        <x:v>2021</x:v>
      </x:c>
      <x:c r="N597" s="717" t="str">
        <x:v>arXiv search result</x:v>
      </x:c>
      <x:c r="O597" s="717" t="str">
        <x:v>No</x:v>
      </x:c>
      <x:c r="P597" s="717" t="str">
        <x:v>https://arxiv.org/abs/2104.08519</x:v>
      </x:c>
    </x:row>
    <x:row r="598" ht="38" customHeight="1">
      <x:c r="A598" s="717" t="str">
        <x:v>ARXIV-04-001</x:v>
      </x:c>
      <x:c r="B598" s="717" t="str">
        <x:v>arXiv</x:v>
      </x:c>
      <x:c r="C598" s="717" t="str">
        <x:v>ARXIV-04</x:v>
      </x:c>
      <x:c r="D598" s="720" t="str">
        <x:v>Single Domain Generalization in Diabetic Retinopathy: A Neuro-Symbolic Learning Approach</x:v>
      </x:c>
      <x:c r="E598" s="717" t="str">
        <x:v>Include</x:v>
      </x:c>
      <x:c r="F598" s="720" t="str">
        <x:v>Potential direct retinal/ophthalmic concept-based XAI evidence (title only).</x:v>
      </x:c>
      <x:c r="G598" s="717" t="str">
        <x:v>Title only</x:v>
      </x:c>
      <x:c r="H598" s="717" t="str">
        <x:v>Include</x:v>
      </x:c>
      <x:c r="I598" s="720" t="str">
        <x:v>Potential direct retinal/ophthalmic concept-based XAI evidence (title only).</x:v>
      </x:c>
      <x:c r="J598" s="717" t="str">
        <x:f>IF(E598=H598,E598,"Unclear")</x:f>
        <x:v>Include</x:v>
      </x:c>
      <x:c r="K598" s="720" t="str">
        <x:f>IF(E598=H598,"Agreement between both AI passes.","AI-pass disagreement; retain for human discussion.")</x:f>
        <x:v>Agreement between both AI passes.</x:v>
      </x:c>
      <x:c r="L598" s="720"/>
      <x:c r="M598" s="728" t="n">
        <x:v>2025</x:v>
      </x:c>
      <x:c r="N598" s="717" t="str">
        <x:v>Preprint / arXiv search result</x:v>
      </x:c>
      <x:c r="O598" s="717" t="str">
        <x:v>No</x:v>
      </x:c>
      <x:c r="P598" s="717" t="str">
        <x:v>https://arxiv.org/abs/2509.02918</x:v>
      </x:c>
    </x:row>
    <x:row r="599" ht="38" customHeight="1">
      <x:c r="A599" s="717" t="str">
        <x:v>ARXIV-05-001</x:v>
      </x:c>
      <x:c r="B599" s="717" t="str">
        <x:v>arXiv</x:v>
      </x:c>
      <x:c r="C599" s="717" t="str">
        <x:v>ARXIV-05</x:v>
      </x:c>
      <x:c r="D599" s="720" t="str">
        <x:v>XAI-MeD: Explainable Knowledge Guided Neuro-Symbolic Framework for Domain Generalization and Rare Class Detection in Medical Imaging</x:v>
      </x:c>
      <x:c r="E599" s="717" t="str">
        <x:v>Include</x:v>
      </x:c>
      <x:c r="F599" s="720" t="str">
        <x:v>Potential contextual medical-imaging concept-XAI evidence (title only).</x:v>
      </x:c>
      <x:c r="G599" s="717" t="str">
        <x:v>Title only</x:v>
      </x:c>
      <x:c r="H599" s="717" t="str">
        <x:v>Unclear</x:v>
      </x:c>
      <x:c r="I599" s="720" t="str">
        <x:v>Possible contextual explainability evidence, but concept-level relevance is not confirmed from the available title only.</x:v>
      </x:c>
      <x:c r="J599" s="717" t="str">
        <x:f>IF(E599=H599,E599,"Unclear")</x:f>
        <x:v>Unclear</x:v>
      </x:c>
      <x:c r="K599" s="720" t="str">
        <x:f>IF(E599=H599,"Agreement between both AI passes.","AI-pass disagreement; retain for human discussion.")</x:f>
        <x:v>AI-pass disagreement; retain for human discussion.</x:v>
      </x:c>
      <x:c r="L599" s="720"/>
      <x:c r="M599" s="728" t="n">
        <x:v>2026</x:v>
      </x:c>
      <x:c r="N599" s="717" t="str">
        <x:v>Preprint / arXiv search result</x:v>
      </x:c>
      <x:c r="O599" s="717" t="str">
        <x:v>No</x:v>
      </x:c>
      <x:c r="P599" s="717" t="str">
        <x:v>https://arxiv.org/abs/2601.02008</x:v>
      </x:c>
    </x:row>
    <x:row r="600" ht="38" customHeight="1">
      <x:c r="A600" s="717" t="str">
        <x:v>ARXIV-05-002</x:v>
      </x:c>
      <x:c r="B600" s="717" t="str">
        <x:v>arXiv</x:v>
      </x:c>
      <x:c r="C600" s="717" t="str">
        <x:v>ARXIV-05</x:v>
      </x:c>
      <x:c r="D600" s="720" t="str">
        <x:v>NEURO-GUARD: Neuro-Symbolic Generalization and Unbiased Adaptive Routing for Diagnostics -- Explainable Medical AI</x:v>
      </x:c>
      <x:c r="E600" s="717" t="str">
        <x:v>Include</x:v>
      </x:c>
      <x:c r="F600" s="720" t="str">
        <x:v>Foundational concept-XAI method relevant to the review taxonomy or reliability analysis (title only).</x:v>
      </x:c>
      <x:c r="G600" s="717" t="str">
        <x:v>Title only</x:v>
      </x:c>
      <x:c r="H600" s="717" t="str">
        <x:v>Unclear</x:v>
      </x:c>
      <x:c r="I600" s="720" t="str">
        <x:v>Concept-XAI method may be useful as foundational/contextual evidence; retinal or medical applicability requires discussion (title only).</x:v>
      </x:c>
      <x:c r="J600" s="717" t="str">
        <x:f>IF(E600=H600,E600,"Unclear")</x:f>
        <x:v>Unclear</x:v>
      </x:c>
      <x:c r="K600" s="720" t="str">
        <x:f>IF(E600=H600,"Agreement between both AI passes.","AI-pass disagreement; retain for human discussion.")</x:f>
        <x:v>AI-pass disagreement; retain for human discussion.</x:v>
      </x:c>
      <x:c r="L600" s="720"/>
      <x:c r="M600" s="728" t="n">
        <x:v>2025</x:v>
      </x:c>
      <x:c r="N600" s="717" t="str">
        <x:v>Preprint / arXiv search result</x:v>
      </x:c>
      <x:c r="O600" s="717" t="str">
        <x:v>No</x:v>
      </x:c>
      <x:c r="P600" s="717" t="str">
        <x:v>https://arxiv.org/abs/2512.18177</x:v>
      </x:c>
    </x:row>
    <x:row r="601" ht="38" customHeight="1">
      <x:c r="A601" s="717" t="str">
        <x:v>ARXIV-05-003</x:v>
      </x:c>
      <x:c r="B601" s="717" t="str">
        <x:v>arXiv</x:v>
      </x:c>
      <x:c r="C601" s="717" t="str">
        <x:v>ARXIV-05</x:v>
      </x:c>
      <x:c r="D601" s="720" t="str">
        <x:v>From Retinal Pixels to Patients: Evolution of Deep Learning Research in Diabetic Retinopathy Screening</x:v>
      </x:c>
      <x:c r="E601" s="717" t="str">
        <x:v>Exclude</x:v>
      </x:c>
      <x:c r="F601" s="720" t="str">
        <x:v>Retinal/ophthalmic topic, but no concept-based or structured explainability method is evident.</x:v>
      </x:c>
      <x:c r="G601" s="717" t="str">
        <x:v>Title only</x:v>
      </x:c>
      <x:c r="H601" s="717" t="str">
        <x:v>Exclude</x:v>
      </x:c>
      <x:c r="I601" s="720" t="str">
        <x:v>Retinal/ophthalmic topic, but no concept-based or structured explainability method is evident.</x:v>
      </x:c>
      <x:c r="J601" s="717" t="str">
        <x:f>IF(E601=H601,E601,"Unclear")</x:f>
        <x:v>Exclude</x:v>
      </x:c>
      <x:c r="K601" s="720" t="str">
        <x:f>IF(E601=H601,"Agreement between both AI passes.","AI-pass disagreement; retain for human discussion.")</x:f>
        <x:v>Agreement between both AI passes.</x:v>
      </x:c>
      <x:c r="L601" s="720"/>
      <x:c r="M601" s="728" t="n">
        <x:v>2025</x:v>
      </x:c>
      <x:c r="N601" s="717" t="str">
        <x:v>Preprint / arXiv search result</x:v>
      </x:c>
      <x:c r="O601" s="717" t="str">
        <x:v>No</x:v>
      </x:c>
      <x:c r="P601" s="717" t="str">
        <x:v>https://arxiv.org/abs/2511.11065</x:v>
      </x:c>
    </x:row>
    <x:row r="602" ht="38" customHeight="1">
      <x:c r="A602" s="717" t="str">
        <x:v>ARXIV-06-001</x:v>
      </x:c>
      <x:c r="B602" s="717" t="str">
        <x:v>arXiv</x:v>
      </x:c>
      <x:c r="C602" s="717" t="str">
        <x:v>ARXIV-06</x:v>
      </x:c>
      <x:c r="D602" s="720" t="str">
        <x:v>In-hoc Concept Representations to Regularise Deep Learning in Medical Imaging</x:v>
      </x:c>
      <x:c r="E602" s="717" t="str">
        <x:v>Exclude</x:v>
      </x:c>
      <x:c r="F602" s="720" t="str">
        <x:v>Medical/clinical topic, but no eligible concept-based explainability contribution is evident.</x:v>
      </x:c>
      <x:c r="G602" s="717" t="str">
        <x:v>Title only</x:v>
      </x:c>
      <x:c r="H602" s="717" t="str">
        <x:v>Exclude</x:v>
      </x:c>
      <x:c r="I602" s="720" t="str">
        <x:v>Medical/clinical topic, but no eligible concept-based explainability contribution is evident.</x:v>
      </x:c>
      <x:c r="J602" s="717" t="str">
        <x:f>IF(E602=H602,E602,"Unclear")</x:f>
        <x:v>Exclude</x:v>
      </x:c>
      <x:c r="K602" s="720" t="str">
        <x:f>IF(E602=H602,"Agreement between both AI passes.","AI-pass disagreement; retain for human discussion.")</x:f>
        <x:v>Agreement between both AI passes.</x:v>
      </x:c>
      <x:c r="L602" s="720"/>
      <x:c r="M602" s="728" t="n">
        <x:v>2025</x:v>
      </x:c>
      <x:c r="N602" s="717" t="str">
        <x:v>Preprint / arXiv search result</x:v>
      </x:c>
      <x:c r="O602" s="717" t="str">
        <x:v>No</x:v>
      </x:c>
      <x:c r="P602" s="717" t="str">
        <x:v>https://arxiv.org/abs/2508.13880</x:v>
      </x:c>
    </x:row>
    <x:row r="603" ht="38" customHeight="1">
      <x:c r="A603" s="717" t="str">
        <x:v>ARXIV-10-001</x:v>
      </x:c>
      <x:c r="B603" s="717" t="str">
        <x:v>arXiv</x:v>
      </x:c>
      <x:c r="C603" s="717" t="str">
        <x:v>ARXIV-10</x:v>
      </x:c>
      <x:c r="D603" s="720" t="str">
        <x:v>RetiSEM: Generalising Causal Models for Fragmented Biomedical Data</x:v>
      </x:c>
      <x:c r="E603" s="717" t="str">
        <x:v>Exclude</x:v>
      </x:c>
      <x:c r="F603" s="720" t="str">
        <x:v>Clearly outside retinal/ophthalmic concept-based explainable AI.</x:v>
      </x:c>
      <x:c r="G603" s="717" t="str">
        <x:v>Title only</x:v>
      </x:c>
      <x:c r="H603" s="717" t="str">
        <x:v>Exclude</x:v>
      </x:c>
      <x:c r="I603" s="720" t="str">
        <x:v>Clearly outside retinal/ophthalmic concept-based explainable AI.</x:v>
      </x:c>
      <x:c r="J603" s="717" t="str">
        <x:f>IF(E603=H603,E603,"Unclear")</x:f>
        <x:v>Exclude</x:v>
      </x:c>
      <x:c r="K603" s="720" t="str">
        <x:f>IF(E603=H603,"Agreement between both AI passes.","AI-pass disagreement; retain for human discussion.")</x:f>
        <x:v>Agreement between both AI passes.</x:v>
      </x:c>
      <x:c r="L603" s="720"/>
      <x:c r="M603" s="728"/>
      <x:c r="N603" s="717" t="str">
        <x:v>arXiv search result</x:v>
      </x:c>
      <x:c r="O603" s="717" t="str">
        <x:v>No</x:v>
      </x:c>
      <x:c r="P603" s="717"/>
    </x:row>
    <x:row r="604" ht="38" customHeight="1">
      <x:c r="A604" s="717" t="str">
        <x:v>ARXIV-10-002</x:v>
      </x:c>
      <x:c r="B604" s="717" t="str">
        <x:v>arXiv</x:v>
      </x:c>
      <x:c r="C604" s="717" t="str">
        <x:v>ARXIV-10</x:v>
      </x:c>
      <x:c r="D604" s="720" t="str">
        <x:v>A Dual Edge Spatial Laplacian Image Graph for Interpretable Diabetic Retinopathy Grading</x:v>
      </x:c>
      <x:c r="E604" s="717" t="str">
        <x:v>Unclear</x:v>
      </x:c>
      <x:c r="F604" s="720" t="str">
        <x:v>Retinal/ophthalmic AI is evident, but the concept-based mechanism is not confirmed from the available title only.</x:v>
      </x:c>
      <x:c r="G604" s="717" t="str">
        <x:v>Title only</x:v>
      </x:c>
      <x:c r="H604" s="717" t="str">
        <x:v>Unclear</x:v>
      </x:c>
      <x:c r="I604" s="720" t="str">
        <x:v>Retinal/ophthalmic AI is evident, but the concept-based mechanism is not confirmed from the available title only.</x:v>
      </x:c>
      <x:c r="J604" s="717" t="str">
        <x:f>IF(E604=H604,E604,"Unclear")</x:f>
        <x:v>Unclear</x:v>
      </x:c>
      <x:c r="K604" s="720" t="str">
        <x:f>IF(E604=H604,"Agreement between both AI passes.","AI-pass disagreement; retain for human discussion.")</x:f>
        <x:v>Agreement between both AI passes.</x:v>
      </x:c>
      <x:c r="L604" s="720"/>
      <x:c r="M604" s="728"/>
      <x:c r="N604" s="717" t="str">
        <x:v>arXiv search result</x:v>
      </x:c>
      <x:c r="O604" s="717" t="str">
        <x:v>No</x:v>
      </x:c>
      <x:c r="P604" s="717"/>
    </x:row>
    <x:row r="605" ht="38" customHeight="1">
      <x:c r="A605" s="717" t="str">
        <x:v>ARXIV-10-003</x:v>
      </x:c>
      <x:c r="B605" s="717" t="str">
        <x:v>arXiv</x:v>
      </x:c>
      <x:c r="C605" s="717" t="str">
        <x:v>ARXIV-10</x:v>
      </x:c>
      <x:c r="D605" s="720" t="str">
        <x:v>Discovering and Decoding Latent Manifold Structure with Variational Autoencoders</x:v>
      </x:c>
      <x:c r="E605" s="717" t="str">
        <x:v>Exclude</x:v>
      </x:c>
      <x:c r="F605" s="720" t="str">
        <x:v>Clearly outside retinal/ophthalmic concept-based explainable AI.</x:v>
      </x:c>
      <x:c r="G605" s="717" t="str">
        <x:v>Title only</x:v>
      </x:c>
      <x:c r="H605" s="717" t="str">
        <x:v>Exclude</x:v>
      </x:c>
      <x:c r="I605" s="720" t="str">
        <x:v>Clearly outside retinal/ophthalmic concept-based explainable AI.</x:v>
      </x:c>
      <x:c r="J605" s="717" t="str">
        <x:f>IF(E605=H605,E605,"Unclear")</x:f>
        <x:v>Exclude</x:v>
      </x:c>
      <x:c r="K605" s="720" t="str">
        <x:f>IF(E605=H605,"Agreement between both AI passes.","AI-pass disagreement; retain for human discussion.")</x:f>
        <x:v>Agreement between both AI passes.</x:v>
      </x:c>
      <x:c r="L605" s="720"/>
      <x:c r="M605" s="728"/>
      <x:c r="N605" s="717" t="str">
        <x:v>arXiv search result</x:v>
      </x:c>
      <x:c r="O605" s="717" t="str">
        <x:v>No</x:v>
      </x:c>
      <x:c r="P605" s="717"/>
    </x:row>
    <x:row r="606" ht="38" customHeight="1">
      <x:c r="A606" s="717" t="str">
        <x:v>ARXIV-10-004</x:v>
      </x:c>
      <x:c r="B606" s="717" t="str">
        <x:v>arXiv</x:v>
      </x:c>
      <x:c r="C606" s="717" t="str">
        <x:v>ARXIV-10</x:v>
      </x:c>
      <x:c r="D606" s="720" t="str">
        <x:v>Explainable Multi-Task Retinal Imaging Reveals Microvascular Signals for Systemic Risk Stratification in Type 2 Diabetes: A Pilot Study</x:v>
      </x:c>
      <x:c r="E606" s="717" t="str">
        <x:v>Unclear</x:v>
      </x:c>
      <x:c r="F606" s="720" t="str">
        <x:v>Retinal/ophthalmic AI is evident, but the concept-based mechanism is not confirmed from the available title only.</x:v>
      </x:c>
      <x:c r="G606" s="717" t="str">
        <x:v>Title only</x:v>
      </x:c>
      <x:c r="H606" s="717" t="str">
        <x:v>Unclear</x:v>
      </x:c>
      <x:c r="I606" s="720" t="str">
        <x:v>Retinal/ophthalmic AI is evident, but the concept-based mechanism is not confirmed from the available title only.</x:v>
      </x:c>
      <x:c r="J606" s="717" t="str">
        <x:f>IF(E606=H606,E606,"Unclear")</x:f>
        <x:v>Unclear</x:v>
      </x:c>
      <x:c r="K606" s="720" t="str">
        <x:f>IF(E606=H606,"Agreement between both AI passes.","AI-pass disagreement; retain for human discussion.")</x:f>
        <x:v>Agreement between both AI passes.</x:v>
      </x:c>
      <x:c r="L606" s="720"/>
      <x:c r="M606" s="728"/>
      <x:c r="N606" s="717" t="str">
        <x:v>arXiv search result</x:v>
      </x:c>
      <x:c r="O606" s="717" t="str">
        <x:v>No</x:v>
      </x:c>
      <x:c r="P606" s="717"/>
    </x:row>
    <x:row r="607" ht="38" customHeight="1">
      <x:c r="A607" s="717" t="str">
        <x:v>ARXIV-10-005</x:v>
      </x:c>
      <x:c r="B607" s="717" t="str">
        <x:v>arXiv</x:v>
      </x:c>
      <x:c r="C607" s="717" t="str">
        <x:v>ARXIV-10</x:v>
      </x:c>
      <x:c r="D607" s="720" t="str">
        <x:v>SAIL: Structure-Aware Interpretable Learning for Anatomy-Aligned Post-hoc Explanations in OCT</x:v>
      </x:c>
      <x:c r="E607" s="717" t="str">
        <x:v>Unclear</x:v>
      </x:c>
      <x:c r="F607" s="720" t="str">
        <x:v>Retinal/ophthalmic AI is evident, but the concept-based mechanism is not confirmed from the available title only.</x:v>
      </x:c>
      <x:c r="G607" s="717" t="str">
        <x:v>Title only</x:v>
      </x:c>
      <x:c r="H607" s="717" t="str">
        <x:v>Unclear</x:v>
      </x:c>
      <x:c r="I607" s="720" t="str">
        <x:v>Retinal/ophthalmic AI is evident, but the concept-based mechanism is not confirmed from the available title only.</x:v>
      </x:c>
      <x:c r="J607" s="717" t="str">
        <x:f>IF(E607=H607,E607,"Unclear")</x:f>
        <x:v>Unclear</x:v>
      </x:c>
      <x:c r="K607" s="720" t="str">
        <x:f>IF(E607=H607,"Agreement between both AI passes.","AI-pass disagreement; retain for human discussion.")</x:f>
        <x:v>Agreement between both AI passes.</x:v>
      </x:c>
      <x:c r="L607" s="720"/>
      <x:c r="M607" s="728"/>
      <x:c r="N607" s="717" t="str">
        <x:v>arXiv search result</x:v>
      </x:c>
      <x:c r="O607" s="717" t="str">
        <x:v>No</x:v>
      </x:c>
      <x:c r="P607" s="717"/>
    </x:row>
    <x:row r="608" ht="38" customHeight="1">
      <x:c r="A608" s="717" t="str">
        <x:v>ARXIV-10-006</x:v>
      </x:c>
      <x:c r="B608" s="717" t="str">
        <x:v>arXiv</x:v>
      </x:c>
      <x:c r="C608" s="717" t="str">
        <x:v>ARXIV-10</x:v>
      </x:c>
      <x:c r="D608" s="720" t="str">
        <x:v>Representation Learning from OCT Images</x:v>
      </x:c>
      <x:c r="E608" s="717" t="str">
        <x:v>Exclude</x:v>
      </x:c>
      <x:c r="F608" s="720" t="str">
        <x:v>Retinal/ophthalmic topic, but no concept-based or structured explainability method is evident.</x:v>
      </x:c>
      <x:c r="G608" s="717" t="str">
        <x:v>Title only</x:v>
      </x:c>
      <x:c r="H608" s="717" t="str">
        <x:v>Exclude</x:v>
      </x:c>
      <x:c r="I608" s="720" t="str">
        <x:v>Retinal/ophthalmic topic, but no concept-based or structured explainability method is evident.</x:v>
      </x:c>
      <x:c r="J608" s="717" t="str">
        <x:f>IF(E608=H608,E608,"Unclear")</x:f>
        <x:v>Exclude</x:v>
      </x:c>
      <x:c r="K608" s="720" t="str">
        <x:f>IF(E608=H608,"Agreement between both AI passes.","AI-pass disagreement; retain for human discussion.")</x:f>
        <x:v>Agreement between both AI passes.</x:v>
      </x:c>
      <x:c r="L608" s="720"/>
      <x:c r="M608" s="728"/>
      <x:c r="N608" s="717" t="str">
        <x:v>arXiv search result</x:v>
      </x:c>
      <x:c r="O608" s="717" t="str">
        <x:v>No</x:v>
      </x:c>
      <x:c r="P608" s="717"/>
    </x:row>
    <x:row r="609" ht="38" customHeight="1">
      <x:c r="A609" s="717" t="str">
        <x:v>ARXIV-10-007</x:v>
      </x:c>
      <x:c r="B609" s="717" t="str">
        <x:v>arXiv</x:v>
      </x:c>
      <x:c r="C609" s="717" t="str">
        <x:v>ARXIV-10</x:v>
      </x:c>
      <x:c r="D609" s="720" t="str">
        <x:v>REVEAL: Multimodal Vision-Language Alignment of Retinal Morphometry and Clinical Risk for Incident AD and Dementia Prediction</x:v>
      </x:c>
      <x:c r="E609" s="717" t="str">
        <x:v>Exclude</x:v>
      </x:c>
      <x:c r="F609" s="720" t="str">
        <x:v>Retinal/ophthalmic topic, but no concept-based or structured explainability method is evident.</x:v>
      </x:c>
      <x:c r="G609" s="717" t="str">
        <x:v>Title only</x:v>
      </x:c>
      <x:c r="H609" s="717" t="str">
        <x:v>Exclude</x:v>
      </x:c>
      <x:c r="I609" s="720" t="str">
        <x:v>Retinal/ophthalmic topic, but no concept-based or structured explainability method is evident.</x:v>
      </x:c>
      <x:c r="J609" s="717" t="str">
        <x:f>IF(E609=H609,E609,"Unclear")</x:f>
        <x:v>Exclude</x:v>
      </x:c>
      <x:c r="K609" s="720" t="str">
        <x:f>IF(E609=H609,"Agreement between both AI passes.","AI-pass disagreement; retain for human discussion.")</x:f>
        <x:v>Agreement between both AI passes.</x:v>
      </x:c>
      <x:c r="L609" s="720"/>
      <x:c r="M609" s="728"/>
      <x:c r="N609" s="717" t="str">
        <x:v>arXiv search result</x:v>
      </x:c>
      <x:c r="O609" s="717" t="str">
        <x:v>No</x:v>
      </x:c>
      <x:c r="P609" s="717"/>
    </x:row>
    <x:row r="610" ht="38" customHeight="1">
      <x:c r="A610" s="717" t="str">
        <x:v>ARXIV-10-008</x:v>
      </x:c>
      <x:c r="B610" s="717" t="str">
        <x:v>arXiv</x:v>
      </x:c>
      <x:c r="C610" s="717" t="str">
        <x:v>ARXIV-10</x:v>
      </x:c>
      <x:c r="D610" s="720" t="str">
        <x:v>From Retinal Evidence to Safe Decisions: RETINA-SAFE and ECRT for Hallucination Risk Triage in Medical LLMs</x:v>
      </x:c>
      <x:c r="E610" s="717" t="str">
        <x:v>Exclude</x:v>
      </x:c>
      <x:c r="F610" s="720" t="str">
        <x:v>Retinal/ophthalmic topic, but no concept-based or structured explainability method is evident.</x:v>
      </x:c>
      <x:c r="G610" s="717" t="str">
        <x:v>Title only</x:v>
      </x:c>
      <x:c r="H610" s="717" t="str">
        <x:v>Exclude</x:v>
      </x:c>
      <x:c r="I610" s="720" t="str">
        <x:v>Retinal/ophthalmic topic, but no concept-based or structured explainability method is evident.</x:v>
      </x:c>
      <x:c r="J610" s="717" t="str">
        <x:f>IF(E610=H610,E610,"Unclear")</x:f>
        <x:v>Exclude</x:v>
      </x:c>
      <x:c r="K610" s="720" t="str">
        <x:f>IF(E610=H610,"Agreement between both AI passes.","AI-pass disagreement; retain for human discussion.")</x:f>
        <x:v>Agreement between both AI passes.</x:v>
      </x:c>
      <x:c r="L610" s="720"/>
      <x:c r="M610" s="728"/>
      <x:c r="N610" s="717" t="str">
        <x:v>arXiv search result</x:v>
      </x:c>
      <x:c r="O610" s="717" t="str">
        <x:v>No</x:v>
      </x:c>
      <x:c r="P610" s="717"/>
    </x:row>
    <x:row r="611" ht="38" customHeight="1">
      <x:c r="A611" s="717" t="str">
        <x:v>ARXIV-10-009</x:v>
      </x:c>
      <x:c r="B611" s="717" t="str">
        <x:v>arXiv</x:v>
      </x:c>
      <x:c r="C611" s="717" t="str">
        <x:v>ARXIV-10</x:v>
      </x:c>
      <x:c r="D611" s="720" t="str">
        <x:v>Towards Interpretable Foundation Models for Retinal Fundus Images</x:v>
      </x:c>
      <x:c r="E611" s="717" t="str">
        <x:v>Unclear</x:v>
      </x:c>
      <x:c r="F611" s="720" t="str">
        <x:v>Retinal/ophthalmic AI is evident, but the concept-based mechanism is not confirmed from the available title only.</x:v>
      </x:c>
      <x:c r="G611" s="717" t="str">
        <x:v>Title only</x:v>
      </x:c>
      <x:c r="H611" s="717" t="str">
        <x:v>Unclear</x:v>
      </x:c>
      <x:c r="I611" s="720" t="str">
        <x:v>Retinal/ophthalmic AI is evident, but the concept-based mechanism is not confirmed from the available title only.</x:v>
      </x:c>
      <x:c r="J611" s="717" t="str">
        <x:f>IF(E611=H611,E611,"Unclear")</x:f>
        <x:v>Unclear</x:v>
      </x:c>
      <x:c r="K611" s="720" t="str">
        <x:f>IF(E611=H611,"Agreement between both AI passes.","AI-pass disagreement; retain for human discussion.")</x:f>
        <x:v>Agreement between both AI passes.</x:v>
      </x:c>
      <x:c r="L611" s="720"/>
      <x:c r="M611" s="728"/>
      <x:c r="N611" s="717" t="str">
        <x:v>arXiv search result</x:v>
      </x:c>
      <x:c r="O611" s="717" t="str">
        <x:v>No</x:v>
      </x:c>
      <x:c r="P611" s="717"/>
    </x:row>
    <x:row r="612" ht="38" customHeight="1">
      <x:c r="A612" s="717" t="str">
        <x:v>ARXIV-10-010</x:v>
      </x:c>
      <x:c r="B612" s="717" t="str">
        <x:v>arXiv</x:v>
      </x:c>
      <x:c r="C612" s="717" t="str">
        <x:v>ARXIV-10</x:v>
      </x:c>
      <x:c r="D612" s="720" t="str">
        <x:v>Quant-multimodal-based pathophysiological feature learning for retinal disease diagnosis</x:v>
      </x:c>
      <x:c r="E612" s="717" t="str">
        <x:v>Exclude</x:v>
      </x:c>
      <x:c r="F612" s="720" t="str">
        <x:v>Retinal/ophthalmic topic, but no concept-based or structured explainability method is evident.</x:v>
      </x:c>
      <x:c r="G612" s="717" t="str">
        <x:v>Title only</x:v>
      </x:c>
      <x:c r="H612" s="717" t="str">
        <x:v>Exclude</x:v>
      </x:c>
      <x:c r="I612" s="720" t="str">
        <x:v>Retinal/ophthalmic topic, but no concept-based or structured explainability method is evident.</x:v>
      </x:c>
      <x:c r="J612" s="717" t="str">
        <x:f>IF(E612=H612,E612,"Unclear")</x:f>
        <x:v>Exclude</x:v>
      </x:c>
      <x:c r="K612" s="720" t="str">
        <x:f>IF(E612=H612,"Agreement between both AI passes.","AI-pass disagreement; retain for human discussion.")</x:f>
        <x:v>Agreement between both AI passes.</x:v>
      </x:c>
      <x:c r="L612" s="720"/>
      <x:c r="M612" s="728"/>
      <x:c r="N612" s="717" t="str">
        <x:v>arXiv search result</x:v>
      </x:c>
      <x:c r="O612" s="717" t="str">
        <x:v>No</x:v>
      </x:c>
      <x:c r="P612" s="717"/>
    </x:row>
    <x:row r="613" ht="38" customHeight="1">
      <x:c r="A613" s="717" t="str">
        <x:v>ARXIV-10-011</x:v>
      </x:c>
      <x:c r="B613" s="717" t="str">
        <x:v>arXiv</x:v>
      </x:c>
      <x:c r="C613" s="717" t="str">
        <x:v>ARXIV-10</x:v>
      </x:c>
      <x:c r="D613" s="720" t="str">
        <x:v>Native Intelligence Emerges from Large-Scale Clinical Practice: A Retinal Foundation Model with Deployment Efficiency</x:v>
      </x:c>
      <x:c r="E613" s="717" t="str">
        <x:v>Exclude</x:v>
      </x:c>
      <x:c r="F613" s="720" t="str">
        <x:v>Retinal/ophthalmic topic, but no concept-based or structured explainability method is evident.</x:v>
      </x:c>
      <x:c r="G613" s="717" t="str">
        <x:v>Title only</x:v>
      </x:c>
      <x:c r="H613" s="717" t="str">
        <x:v>Exclude</x:v>
      </x:c>
      <x:c r="I613" s="720" t="str">
        <x:v>Retinal/ophthalmic topic, but no concept-based or structured explainability method is evident.</x:v>
      </x:c>
      <x:c r="J613" s="717" t="str">
        <x:f>IF(E613=H613,E613,"Unclear")</x:f>
        <x:v>Exclude</x:v>
      </x:c>
      <x:c r="K613" s="720" t="str">
        <x:f>IF(E613=H613,"Agreement between both AI passes.","AI-pass disagreement; retain for human discussion.")</x:f>
        <x:v>Agreement between both AI passes.</x:v>
      </x:c>
      <x:c r="L613" s="720"/>
      <x:c r="M613" s="728"/>
      <x:c r="N613" s="717" t="str">
        <x:v>arXiv search result</x:v>
      </x:c>
      <x:c r="O613" s="717" t="str">
        <x:v>No</x:v>
      </x:c>
      <x:c r="P613" s="717"/>
    </x:row>
    <x:row r="614" ht="38" customHeight="1">
      <x:c r="A614" s="717" t="str">
        <x:v>ARXIV-10-012</x:v>
      </x:c>
      <x:c r="B614" s="717" t="str">
        <x:v>arXiv</x:v>
      </x:c>
      <x:c r="C614" s="717" t="str">
        <x:v>ARXIV-10</x:v>
      </x:c>
      <x:c r="D614" s="720" t="str">
        <x:v>Improving Vision for Object Recognition</x:v>
      </x:c>
      <x:c r="E614" s="717" t="str">
        <x:v>Exclude</x:v>
      </x:c>
      <x:c r="F614" s="720" t="str">
        <x:v>Clearly outside retinal/ophthalmic concept-based explainable AI.</x:v>
      </x:c>
      <x:c r="G614" s="717" t="str">
        <x:v>Title only</x:v>
      </x:c>
      <x:c r="H614" s="717" t="str">
        <x:v>Exclude</x:v>
      </x:c>
      <x:c r="I614" s="720" t="str">
        <x:v>Clearly outside retinal/ophthalmic concept-based explainable AI.</x:v>
      </x:c>
      <x:c r="J614" s="717" t="str">
        <x:f>IF(E614=H614,E614,"Unclear")</x:f>
        <x:v>Exclude</x:v>
      </x:c>
      <x:c r="K614" s="720" t="str">
        <x:f>IF(E614=H614,"Agreement between both AI passes.","AI-pass disagreement; retain for human discussion.")</x:f>
        <x:v>Agreement between both AI passes.</x:v>
      </x:c>
      <x:c r="L614" s="720"/>
      <x:c r="M614" s="728"/>
      <x:c r="N614" s="717" t="str">
        <x:v>arXiv search result</x:v>
      </x:c>
      <x:c r="O614" s="717" t="str">
        <x:v>No</x:v>
      </x:c>
      <x:c r="P614" s="717"/>
    </x:row>
    <x:row r="615" ht="38" customHeight="1">
      <x:c r="A615" s="717" t="str">
        <x:v>ARXIV-10-013</x:v>
      </x:c>
      <x:c r="B615" s="717" t="str">
        <x:v>arXiv</x:v>
      </x:c>
      <x:c r="C615" s="717" t="str">
        <x:v>ARXIV-10</x:v>
      </x:c>
      <x:c r="D615" s="720" t="str">
        <x:v>AIC-Net: An Anatomically-Informed Cross-Attention Network with Multi-Task Consistency Fine-tuning for 3D Glaucoma Classification</x:v>
      </x:c>
      <x:c r="E615" s="717" t="str">
        <x:v>Exclude</x:v>
      </x:c>
      <x:c r="F615" s="720" t="str">
        <x:v>Retinal/ophthalmic topic, but no concept-based or structured explainability method is evident.</x:v>
      </x:c>
      <x:c r="G615" s="717" t="str">
        <x:v>Title only</x:v>
      </x:c>
      <x:c r="H615" s="717" t="str">
        <x:v>Exclude</x:v>
      </x:c>
      <x:c r="I615" s="720" t="str">
        <x:v>Retinal/ophthalmic topic, but no concept-based or structured explainability method is evident.</x:v>
      </x:c>
      <x:c r="J615" s="717" t="str">
        <x:f>IF(E615=H615,E615,"Unclear")</x:f>
        <x:v>Exclude</x:v>
      </x:c>
      <x:c r="K615" s="720" t="str">
        <x:f>IF(E615=H615,"Agreement between both AI passes.","AI-pass disagreement; retain for human discussion.")</x:f>
        <x:v>Agreement between both AI passes.</x:v>
      </x:c>
      <x:c r="L615" s="720"/>
      <x:c r="M615" s="728"/>
      <x:c r="N615" s="717" t="str">
        <x:v>arXiv search result</x:v>
      </x:c>
      <x:c r="O615" s="717" t="str">
        <x:v>No</x:v>
      </x:c>
      <x:c r="P615" s="717"/>
    </x:row>
    <x:row r="616" ht="38" customHeight="1">
      <x:c r="A616" s="717" t="str">
        <x:v>ARXIV-10-014</x:v>
      </x:c>
      <x:c r="B616" s="717" t="str">
        <x:v>arXiv</x:v>
      </x:c>
      <x:c r="C616" s="717" t="str">
        <x:v>ARXIV-10</x:v>
      </x:c>
      <x:c r="D616" s="720" t="str">
        <x:v>Meta-Learning Theory-Informed Inductive Biases Using Deep Kernel Gaussian Processes</x:v>
      </x:c>
      <x:c r="E616" s="717" t="str">
        <x:v>Exclude</x:v>
      </x:c>
      <x:c r="F616" s="720" t="str">
        <x:v>Clearly outside retinal/ophthalmic concept-based explainable AI.</x:v>
      </x:c>
      <x:c r="G616" s="717" t="str">
        <x:v>Title only</x:v>
      </x:c>
      <x:c r="H616" s="717" t="str">
        <x:v>Exclude</x:v>
      </x:c>
      <x:c r="I616" s="720" t="str">
        <x:v>Clearly outside retinal/ophthalmic concept-based explainable AI.</x:v>
      </x:c>
      <x:c r="J616" s="717" t="str">
        <x:f>IF(E616=H616,E616,"Unclear")</x:f>
        <x:v>Exclude</x:v>
      </x:c>
      <x:c r="K616" s="720" t="str">
        <x:f>IF(E616=H616,"Agreement between both AI passes.","AI-pass disagreement; retain for human discussion.")</x:f>
        <x:v>Agreement between both AI passes.</x:v>
      </x:c>
      <x:c r="L616" s="720"/>
      <x:c r="M616" s="728"/>
      <x:c r="N616" s="717" t="str">
        <x:v>arXiv search result</x:v>
      </x:c>
      <x:c r="O616" s="717" t="str">
        <x:v>No</x:v>
      </x:c>
      <x:c r="P616" s="717"/>
    </x:row>
    <x:row r="617" ht="38" customHeight="1">
      <x:c r="A617" s="717" t="str">
        <x:v>ARXIV-10-015</x:v>
      </x:c>
      <x:c r="B617" s="717" t="str">
        <x:v>arXiv</x:v>
      </x:c>
      <x:c r="C617" s="717" t="str">
        <x:v>ARXIV-10</x:v>
      </x:c>
      <x:c r="D617" s="720" t="str">
        <x:v>DeepEyeNet: Generating Medical Report for Retinal Images</x:v>
      </x:c>
      <x:c r="E617" s="717" t="str">
        <x:v>Exclude</x:v>
      </x:c>
      <x:c r="F617" s="720" t="str">
        <x:v>Retinal/ophthalmic topic, but no concept-based or structured explainability method is evident.</x:v>
      </x:c>
      <x:c r="G617" s="717" t="str">
        <x:v>Title only</x:v>
      </x:c>
      <x:c r="H617" s="717" t="str">
        <x:v>Exclude</x:v>
      </x:c>
      <x:c r="I617" s="720" t="str">
        <x:v>Retinal/ophthalmic topic, but no concept-based or structured explainability method is evident.</x:v>
      </x:c>
      <x:c r="J617" s="717" t="str">
        <x:f>IF(E617=H617,E617,"Unclear")</x:f>
        <x:v>Exclude</x:v>
      </x:c>
      <x:c r="K617" s="720" t="str">
        <x:f>IF(E617=H617,"Agreement between both AI passes.","AI-pass disagreement; retain for human discussion.")</x:f>
        <x:v>Agreement between both AI passes.</x:v>
      </x:c>
      <x:c r="L617" s="720"/>
      <x:c r="M617" s="728"/>
      <x:c r="N617" s="717" t="str">
        <x:v>arXiv search result</x:v>
      </x:c>
      <x:c r="O617" s="717" t="str">
        <x:v>No</x:v>
      </x:c>
      <x:c r="P617" s="717"/>
    </x:row>
    <x:row r="618" ht="38" customHeight="1">
      <x:c r="A618" s="717" t="str">
        <x:v>ARXIV-10-016</x:v>
      </x:c>
      <x:c r="B618" s="717" t="str">
        <x:v>arXiv</x:v>
      </x:c>
      <x:c r="C618" s="717" t="str">
        <x:v>ARXIV-10</x:v>
      </x:c>
      <x:c r="D618" s="720" t="str">
        <x:v>DRethNet: A Novel Deep Learning Framework for Diabetic Retinopathy Diagnosis</x:v>
      </x:c>
      <x:c r="E618" s="717" t="str">
        <x:v>Exclude</x:v>
      </x:c>
      <x:c r="F618" s="720" t="str">
        <x:v>Retinal/ophthalmic topic, but no concept-based or structured explainability method is evident.</x:v>
      </x:c>
      <x:c r="G618" s="717" t="str">
        <x:v>Title only</x:v>
      </x:c>
      <x:c r="H618" s="717" t="str">
        <x:v>Exclude</x:v>
      </x:c>
      <x:c r="I618" s="720" t="str">
        <x:v>Retinal/ophthalmic topic, but no concept-based or structured explainability method is evident.</x:v>
      </x:c>
      <x:c r="J618" s="717" t="str">
        <x:f>IF(E618=H618,E618,"Unclear")</x:f>
        <x:v>Exclude</x:v>
      </x:c>
      <x:c r="K618" s="720" t="str">
        <x:f>IF(E618=H618,"Agreement between both AI passes.","AI-pass disagreement; retain for human discussion.")</x:f>
        <x:v>Agreement between both AI passes.</x:v>
      </x:c>
      <x:c r="L618" s="720"/>
      <x:c r="M618" s="728"/>
      <x:c r="N618" s="717" t="str">
        <x:v>arXiv search result</x:v>
      </x:c>
      <x:c r="O618" s="717" t="str">
        <x:v>No</x:v>
      </x:c>
      <x:c r="P618" s="717"/>
    </x:row>
    <x:row r="619" ht="38" customHeight="1">
      <x:c r="A619" s="717" t="str">
        <x:v>ARXIV-10-018</x:v>
      </x:c>
      <x:c r="B619" s="717" t="str">
        <x:v>arXiv</x:v>
      </x:c>
      <x:c r="C619" s="717" t="str">
        <x:v>ARXIV-10</x:v>
      </x:c>
      <x:c r="D619" s="720" t="str">
        <x:v>Topological Signatures vs. Gradient Histograms: A Comparative Study for Medical Image Classification</x:v>
      </x:c>
      <x:c r="E619" s="717" t="str">
        <x:v>Exclude</x:v>
      </x:c>
      <x:c r="F619" s="720" t="str">
        <x:v>Medical/clinical topic, but no eligible concept-based explainability contribution is evident.</x:v>
      </x:c>
      <x:c r="G619" s="717" t="str">
        <x:v>Title only</x:v>
      </x:c>
      <x:c r="H619" s="717" t="str">
        <x:v>Exclude</x:v>
      </x:c>
      <x:c r="I619" s="720" t="str">
        <x:v>Medical/clinical topic, but no eligible concept-based explainability contribution is evident.</x:v>
      </x:c>
      <x:c r="J619" s="717" t="str">
        <x:f>IF(E619=H619,E619,"Unclear")</x:f>
        <x:v>Exclude</x:v>
      </x:c>
      <x:c r="K619" s="720" t="str">
        <x:f>IF(E619=H619,"Agreement between both AI passes.","AI-pass disagreement; retain for human discussion.")</x:f>
        <x:v>Agreement between both AI passes.</x:v>
      </x:c>
      <x:c r="L619" s="720"/>
      <x:c r="M619" s="728"/>
      <x:c r="N619" s="717" t="str">
        <x:v>arXiv search result</x:v>
      </x:c>
      <x:c r="O619" s="717" t="str">
        <x:v>No</x:v>
      </x:c>
      <x:c r="P619" s="717"/>
    </x:row>
    <x:row r="620" ht="38" customHeight="1">
      <x:c r="A620" s="717" t="str">
        <x:v>ARXIV-10-019</x:v>
      </x:c>
      <x:c r="B620" s="717" t="str">
        <x:v>arXiv</x:v>
      </x:c>
      <x:c r="C620" s="717" t="str">
        <x:v>ARXIV-10</x:v>
      </x:c>
      <x:c r="D620" s="720" t="str">
        <x:v>The Latent Space Hypothesis: Toward Universal Medical Representation Learning</x:v>
      </x:c>
      <x:c r="E620" s="717" t="str">
        <x:v>Exclude</x:v>
      </x:c>
      <x:c r="F620" s="720" t="str">
        <x:v>Medical/clinical topic, but no eligible concept-based explainability contribution is evident.</x:v>
      </x:c>
      <x:c r="G620" s="717" t="str">
        <x:v>Title only</x:v>
      </x:c>
      <x:c r="H620" s="717" t="str">
        <x:v>Exclude</x:v>
      </x:c>
      <x:c r="I620" s="720" t="str">
        <x:v>Medical/clinical topic, but no eligible concept-based explainability contribution is evident.</x:v>
      </x:c>
      <x:c r="J620" s="717" t="str">
        <x:f>IF(E620=H620,E620,"Unclear")</x:f>
        <x:v>Exclude</x:v>
      </x:c>
      <x:c r="K620" s="720" t="str">
        <x:f>IF(E620=H620,"Agreement between both AI passes.","AI-pass disagreement; retain for human discussion.")</x:f>
        <x:v>Agreement between both AI passes.</x:v>
      </x:c>
      <x:c r="L620" s="720"/>
      <x:c r="M620" s="728"/>
      <x:c r="N620" s="717" t="str">
        <x:v>arXiv search result</x:v>
      </x:c>
      <x:c r="O620" s="717" t="str">
        <x:v>No</x:v>
      </x:c>
      <x:c r="P620" s="717"/>
    </x:row>
    <x:row r="621" ht="38" customHeight="1">
      <x:c r="A621" s="717" t="str">
        <x:v>ARXIV-10-020</x:v>
      </x:c>
      <x:c r="B621" s="717" t="str">
        <x:v>arXiv</x:v>
      </x:c>
      <x:c r="C621" s="717" t="str">
        <x:v>ARXIV-10</x:v>
      </x:c>
      <x:c r="D621" s="720" t="str">
        <x:v>Decentralized LoRA-Augmented Transformer with Multi-Scale Feature Learning for Secured Eye Diagnosis</x:v>
      </x:c>
      <x:c r="E621" s="717" t="str">
        <x:v>Exclude</x:v>
      </x:c>
      <x:c r="F621" s="720" t="str">
        <x:v>Medical/clinical topic, but no eligible concept-based explainability contribution is evident.</x:v>
      </x:c>
      <x:c r="G621" s="717" t="str">
        <x:v>Title only</x:v>
      </x:c>
      <x:c r="H621" s="717" t="str">
        <x:v>Exclude</x:v>
      </x:c>
      <x:c r="I621" s="720" t="str">
        <x:v>Medical/clinical topic, but no eligible concept-based explainability contribution is evident.</x:v>
      </x:c>
      <x:c r="J621" s="717" t="str">
        <x:f>IF(E621=H621,E621,"Unclear")</x:f>
        <x:v>Exclude</x:v>
      </x:c>
      <x:c r="K621" s="720" t="str">
        <x:f>IF(E621=H621,"Agreement between both AI passes.","AI-pass disagreement; retain for human discussion.")</x:f>
        <x:v>Agreement between both AI passes.</x:v>
      </x:c>
      <x:c r="L621" s="720"/>
      <x:c r="M621" s="728"/>
      <x:c r="N621" s="717" t="str">
        <x:v>arXiv search result</x:v>
      </x:c>
      <x:c r="O621" s="717" t="str">
        <x:v>No</x:v>
      </x:c>
      <x:c r="P621" s="717"/>
    </x:row>
    <x:row r="622" ht="38" customHeight="1">
      <x:c r="A622" s="717" t="str">
        <x:v>ARXIV-10-021</x:v>
      </x:c>
      <x:c r="B622" s="717" t="str">
        <x:v>arXiv</x:v>
      </x:c>
      <x:c r="C622" s="717" t="str">
        <x:v>ARXIV-10</x:v>
      </x:c>
      <x:c r="D622" s="720" t="str">
        <x:v>LoRA-Multi Adaptive Structural Priors for Generalizable Diabetic Retinopathy Grading</x:v>
      </x:c>
      <x:c r="E622" s="717" t="str">
        <x:v>Exclude</x:v>
      </x:c>
      <x:c r="F622" s="720" t="str">
        <x:v>Retinal/ophthalmic topic, but no concept-based or structured explainability method is evident.</x:v>
      </x:c>
      <x:c r="G622" s="717" t="str">
        <x:v>Title only</x:v>
      </x:c>
      <x:c r="H622" s="717" t="str">
        <x:v>Exclude</x:v>
      </x:c>
      <x:c r="I622" s="720" t="str">
        <x:v>Retinal/ophthalmic topic, but no concept-based or structured explainability method is evident.</x:v>
      </x:c>
      <x:c r="J622" s="717" t="str">
        <x:f>IF(E622=H622,E622,"Unclear")</x:f>
        <x:v>Exclude</x:v>
      </x:c>
      <x:c r="K622" s="720" t="str">
        <x:f>IF(E622=H622,"Agreement between both AI passes.","AI-pass disagreement; retain for human discussion.")</x:f>
        <x:v>Agreement between both AI passes.</x:v>
      </x:c>
      <x:c r="L622" s="720"/>
      <x:c r="M622" s="728"/>
      <x:c r="N622" s="717" t="str">
        <x:v>arXiv search result</x:v>
      </x:c>
      <x:c r="O622" s="717" t="str">
        <x:v>No</x:v>
      </x:c>
      <x:c r="P622" s="717"/>
    </x:row>
    <x:row r="623" ht="38" customHeight="1">
      <x:c r="A623" s="717" t="str">
        <x:v>ARXIV-10-022</x:v>
      </x:c>
      <x:c r="B623" s="717" t="str">
        <x:v>arXiv</x:v>
      </x:c>
      <x:c r="C623" s="717" t="str">
        <x:v>ARXIV-10</x:v>
      </x:c>
      <x:c r="D623" s="720" t="str">
        <x:v>CLOC: Contrastive Learning for Ordinal Classification with Multi-Margin N-pair Loss</x:v>
      </x:c>
      <x:c r="E623" s="717" t="str">
        <x:v>Exclude</x:v>
      </x:c>
      <x:c r="F623" s="720" t="str">
        <x:v>Clearly outside retinal/ophthalmic concept-based explainable AI.</x:v>
      </x:c>
      <x:c r="G623" s="717" t="str">
        <x:v>Title only</x:v>
      </x:c>
      <x:c r="H623" s="717" t="str">
        <x:v>Exclude</x:v>
      </x:c>
      <x:c r="I623" s="720" t="str">
        <x:v>Clearly outside retinal/ophthalmic concept-based explainable AI.</x:v>
      </x:c>
      <x:c r="J623" s="717" t="str">
        <x:f>IF(E623=H623,E623,"Unclear")</x:f>
        <x:v>Exclude</x:v>
      </x:c>
      <x:c r="K623" s="720" t="str">
        <x:f>IF(E623=H623,"Agreement between both AI passes.","AI-pass disagreement; retain for human discussion.")</x:f>
        <x:v>Agreement between both AI passes.</x:v>
      </x:c>
      <x:c r="L623" s="720"/>
      <x:c r="M623" s="728"/>
      <x:c r="N623" s="717" t="str">
        <x:v>arXiv search result</x:v>
      </x:c>
      <x:c r="O623" s="717" t="str">
        <x:v>No</x:v>
      </x:c>
      <x:c r="P623" s="717"/>
    </x:row>
    <x:row r="624" ht="38" customHeight="1">
      <x:c r="A624" s="717" t="str">
        <x:v>ARXIV-10-023</x:v>
      </x:c>
      <x:c r="B624" s="717" t="str">
        <x:v>arXiv</x:v>
      </x:c>
      <x:c r="C624" s="717" t="str">
        <x:v>ARXIV-10</x:v>
      </x:c>
      <x:c r="D624" s="720" t="str">
        <x:v>Embedding Radiomics into Vision Transformers for Multimodal Medical Image Classification</x:v>
      </x:c>
      <x:c r="E624" s="717" t="str">
        <x:v>Exclude</x:v>
      </x:c>
      <x:c r="F624" s="720" t="str">
        <x:v>Medical/clinical topic, but no eligible concept-based explainability contribution is evident.</x:v>
      </x:c>
      <x:c r="G624" s="717" t="str">
        <x:v>Title only</x:v>
      </x:c>
      <x:c r="H624" s="717" t="str">
        <x:v>Exclude</x:v>
      </x:c>
      <x:c r="I624" s="720" t="str">
        <x:v>Medical/clinical topic, but no eligible concept-based explainability contribution is evident.</x:v>
      </x:c>
      <x:c r="J624" s="717" t="str">
        <x:f>IF(E624=H624,E624,"Unclear")</x:f>
        <x:v>Exclude</x:v>
      </x:c>
      <x:c r="K624" s="720" t="str">
        <x:f>IF(E624=H624,"Agreement between both AI passes.","AI-pass disagreement; retain for human discussion.")</x:f>
        <x:v>Agreement between both AI passes.</x:v>
      </x:c>
      <x:c r="L624" s="720"/>
      <x:c r="M624" s="728"/>
      <x:c r="N624" s="717" t="str">
        <x:v>arXiv search result</x:v>
      </x:c>
      <x:c r="O624" s="717" t="str">
        <x:v>No</x:v>
      </x:c>
      <x:c r="P624" s="717"/>
    </x:row>
    <x:row r="625" ht="38" customHeight="1">
      <x:c r="A625" s="717" t="str">
        <x:v>ARXIV-10-024</x:v>
      </x:c>
      <x:c r="B625" s="717" t="str">
        <x:v>arXiv</x:v>
      </x:c>
      <x:c r="C625" s="717" t="str">
        <x:v>ARXIV-10</x:v>
      </x:c>
      <x:c r="D625" s="720" t="str">
        <x:v>Interpretable Deep Learning Framework for Improved Disease Classification in Medical Imaging</x:v>
      </x:c>
      <x:c r="E625" s="717" t="str">
        <x:v>Unclear</x:v>
      </x:c>
      <x:c r="F625" s="720" t="str">
        <x:v>Possible contextual explainability evidence, but concept-level relevance is not confirmed from the available title only.</x:v>
      </x:c>
      <x:c r="G625" s="717" t="str">
        <x:v>Title only</x:v>
      </x:c>
      <x:c r="H625" s="717" t="str">
        <x:v>Unclear</x:v>
      </x:c>
      <x:c r="I625" s="720" t="str">
        <x:v>Possible contextual explainability evidence, but concept-level relevance is not confirmed from the available title only.</x:v>
      </x:c>
      <x:c r="J625" s="717" t="str">
        <x:f>IF(E625=H625,E625,"Unclear")</x:f>
        <x:v>Unclear</x:v>
      </x:c>
      <x:c r="K625" s="720" t="str">
        <x:f>IF(E625=H625,"Agreement between both AI passes.","AI-pass disagreement; retain for human discussion.")</x:f>
        <x:v>Agreement between both AI passes.</x:v>
      </x:c>
      <x:c r="L625" s="720"/>
      <x:c r="M625" s="728"/>
      <x:c r="N625" s="717" t="str">
        <x:v>arXiv search result</x:v>
      </x:c>
      <x:c r="O625" s="717" t="str">
        <x:v>No</x:v>
      </x:c>
      <x:c r="P625" s="717"/>
    </x:row>
    <x:row r="626" ht="38" customHeight="1">
      <x:c r="A626" s="717" t="str">
        <x:v>ARXIV-10-025</x:v>
      </x:c>
      <x:c r="B626" s="717" t="str">
        <x:v>arXiv</x:v>
      </x:c>
      <x:c r="C626" s="717" t="str">
        <x:v>ARXIV-10</x:v>
      </x:c>
      <x:c r="D626" s="720" t="str">
        <x:v>Fine-Tuning Vision Language Models with Graph-based Knowledge for Explainable Medical Image Analysis</x:v>
      </x:c>
      <x:c r="E626" s="717" t="str">
        <x:v>Unclear</x:v>
      </x:c>
      <x:c r="F626" s="720" t="str">
        <x:v>Possible contextual explainability evidence, but concept-level relevance is not confirmed from the available title only.</x:v>
      </x:c>
      <x:c r="G626" s="717" t="str">
        <x:v>Title only</x:v>
      </x:c>
      <x:c r="H626" s="717" t="str">
        <x:v>Unclear</x:v>
      </x:c>
      <x:c r="I626" s="720" t="str">
        <x:v>Possible contextual explainability evidence, but concept-level relevance is not confirmed from the available title only.</x:v>
      </x:c>
      <x:c r="J626" s="717" t="str">
        <x:f>IF(E626=H626,E626,"Unclear")</x:f>
        <x:v>Unclear</x:v>
      </x:c>
      <x:c r="K626" s="720" t="str">
        <x:f>IF(E626=H626,"Agreement between both AI passes.","AI-pass disagreement; retain for human discussion.")</x:f>
        <x:v>Agreement between both AI passes.</x:v>
      </x:c>
      <x:c r="L626" s="720"/>
      <x:c r="M626" s="728"/>
      <x:c r="N626" s="717" t="str">
        <x:v>arXiv search result</x:v>
      </x:c>
      <x:c r="O626" s="717" t="str">
        <x:v>No</x:v>
      </x:c>
      <x:c r="P626" s="717"/>
    </x:row>
    <x:row r="627" ht="38" customHeight="1">
      <x:c r="A627" s="717" t="str">
        <x:v>ARXIV-10-026</x:v>
      </x:c>
      <x:c r="B627" s="717" t="str">
        <x:v>arXiv</x:v>
      </x:c>
      <x:c r="C627" s="717" t="str">
        <x:v>ARXIV-10</x:v>
      </x:c>
      <x:c r="D627" s="720" t="str">
        <x:v>Interpretable Retinal Disease Prediction Using Biology-Informed Heterogeneous Graph Representations</x:v>
      </x:c>
      <x:c r="E627" s="717" t="str">
        <x:v>Unclear</x:v>
      </x:c>
      <x:c r="F627" s="720" t="str">
        <x:v>Retinal/ophthalmic AI is evident, but the concept-based mechanism is not confirmed from the available title only.</x:v>
      </x:c>
      <x:c r="G627" s="717" t="str">
        <x:v>Title only</x:v>
      </x:c>
      <x:c r="H627" s="717" t="str">
        <x:v>Unclear</x:v>
      </x:c>
      <x:c r="I627" s="720" t="str">
        <x:v>Retinal/ophthalmic AI is evident, but the concept-based mechanism is not confirmed from the available title only.</x:v>
      </x:c>
      <x:c r="J627" s="717" t="str">
        <x:f>IF(E627=H627,E627,"Unclear")</x:f>
        <x:v>Unclear</x:v>
      </x:c>
      <x:c r="K627" s="720" t="str">
        <x:f>IF(E627=H627,"Agreement between both AI passes.","AI-pass disagreement; retain for human discussion.")</x:f>
        <x:v>Agreement between both AI passes.</x:v>
      </x:c>
      <x:c r="L627" s="720"/>
      <x:c r="M627" s="728"/>
      <x:c r="N627" s="717" t="str">
        <x:v>arXiv search result</x:v>
      </x:c>
      <x:c r="O627" s="717" t="str">
        <x:v>No</x:v>
      </x:c>
      <x:c r="P627" s="717"/>
    </x:row>
    <x:row r="628" ht="38" customHeight="1">
      <x:c r="A628" s="717" t="str">
        <x:v>ARXIV-10-027</x:v>
      </x:c>
      <x:c r="B628" s="717" t="str">
        <x:v>arXiv</x:v>
      </x:c>
      <x:c r="C628" s="717" t="str">
        <x:v>ARXIV-10</x:v>
      </x:c>
      <x:c r="D628" s="720" t="str">
        <x:v>Automated Retinal Image Analysis and Medical Report Generation through Deep Learning</x:v>
      </x:c>
      <x:c r="E628" s="717" t="str">
        <x:v>Exclude</x:v>
      </x:c>
      <x:c r="F628" s="720" t="str">
        <x:v>Retinal/ophthalmic topic, but no concept-based or structured explainability method is evident.</x:v>
      </x:c>
      <x:c r="G628" s="717" t="str">
        <x:v>Title only</x:v>
      </x:c>
      <x:c r="H628" s="717" t="str">
        <x:v>Exclude</x:v>
      </x:c>
      <x:c r="I628" s="720" t="str">
        <x:v>Retinal/ophthalmic topic, but no concept-based or structured explainability method is evident.</x:v>
      </x:c>
      <x:c r="J628" s="717" t="str">
        <x:f>IF(E628=H628,E628,"Unclear")</x:f>
        <x:v>Exclude</x:v>
      </x:c>
      <x:c r="K628" s="720" t="str">
        <x:f>IF(E628=H628,"Agreement between both AI passes.","AI-pass disagreement; retain for human discussion.")</x:f>
        <x:v>Agreement between both AI passes.</x:v>
      </x:c>
      <x:c r="L628" s="720"/>
      <x:c r="M628" s="728"/>
      <x:c r="N628" s="717" t="str">
        <x:v>arXiv search result</x:v>
      </x:c>
      <x:c r="O628" s="717" t="str">
        <x:v>No</x:v>
      </x:c>
      <x:c r="P628" s="717"/>
    </x:row>
    <x:row r="629" ht="38" customHeight="1">
      <x:c r="A629" s="717" t="str">
        <x:v>ARXIV-10-028</x:v>
      </x:c>
      <x:c r="B629" s="717" t="str">
        <x:v>arXiv</x:v>
      </x:c>
      <x:c r="C629" s="717" t="str">
        <x:v>ARXIV-10</x:v>
      </x:c>
      <x:c r="D629" s="720" t="str">
        <x:v>Counterfactual Explanations for Medical Image Classification and Regression using Diffusion Autoencoder</x:v>
      </x:c>
      <x:c r="E629" s="717" t="str">
        <x:v>Unclear</x:v>
      </x:c>
      <x:c r="F629" s="720" t="str">
        <x:v>Possible contextual explainability evidence, but concept-level relevance is not confirmed from the available title only.</x:v>
      </x:c>
      <x:c r="G629" s="717" t="str">
        <x:v>Title only</x:v>
      </x:c>
      <x:c r="H629" s="717" t="str">
        <x:v>Unclear</x:v>
      </x:c>
      <x:c r="I629" s="720" t="str">
        <x:v>Possible contextual explainability evidence, but concept-level relevance is not confirmed from the available title only.</x:v>
      </x:c>
      <x:c r="J629" s="717" t="str">
        <x:f>IF(E629=H629,E629,"Unclear")</x:f>
        <x:v>Unclear</x:v>
      </x:c>
      <x:c r="K629" s="720" t="str">
        <x:f>IF(E629=H629,"Agreement between both AI passes.","AI-pass disagreement; retain for human discussion.")</x:f>
        <x:v>Agreement between both AI passes.</x:v>
      </x:c>
      <x:c r="L629" s="720"/>
      <x:c r="M629" s="728"/>
      <x:c r="N629" s="717" t="str">
        <x:v>arXiv search result</x:v>
      </x:c>
      <x:c r="O629" s="717" t="str">
        <x:v>No</x:v>
      </x:c>
      <x:c r="P629" s="717"/>
    </x:row>
    <x:row r="630" ht="38" customHeight="1">
      <x:c r="A630" s="717" t="str">
        <x:v>ARXIV-10-029</x:v>
      </x:c>
      <x:c r="B630" s="717" t="str">
        <x:v>arXiv</x:v>
      </x:c>
      <x:c r="C630" s="717" t="str">
        <x:v>ARXIV-10</x:v>
      </x:c>
      <x:c r="D630" s="720" t="str">
        <x:v>Feature Representation Learning for Robust Retinal Disease Detection from Optical Coherence Tomography Images</x:v>
      </x:c>
      <x:c r="E630" s="717" t="str">
        <x:v>Exclude</x:v>
      </x:c>
      <x:c r="F630" s="720" t="str">
        <x:v>Retinal/ophthalmic topic, but no concept-based or structured explainability method is evident.</x:v>
      </x:c>
      <x:c r="G630" s="717" t="str">
        <x:v>Title only</x:v>
      </x:c>
      <x:c r="H630" s="717" t="str">
        <x:v>Exclude</x:v>
      </x:c>
      <x:c r="I630" s="720" t="str">
        <x:v>Retinal/ophthalmic topic, but no concept-based or structured explainability method is evident.</x:v>
      </x:c>
      <x:c r="J630" s="717" t="str">
        <x:f>IF(E630=H630,E630,"Unclear")</x:f>
        <x:v>Exclude</x:v>
      </x:c>
      <x:c r="K630" s="720" t="str">
        <x:f>IF(E630=H630,"Agreement between both AI passes.","AI-pass disagreement; retain for human discussion.")</x:f>
        <x:v>Agreement between both AI passes.</x:v>
      </x:c>
      <x:c r="L630" s="720"/>
      <x:c r="M630" s="728"/>
      <x:c r="N630" s="717" t="str">
        <x:v>arXiv search result</x:v>
      </x:c>
      <x:c r="O630" s="717" t="str">
        <x:v>No</x:v>
      </x:c>
      <x:c r="P630" s="717"/>
    </x:row>
    <x:row r="631" ht="38" customHeight="1">
      <x:c r="A631" s="717" t="str">
        <x:v>ARXIV-10-030</x:v>
      </x:c>
      <x:c r="B631" s="717" t="str">
        <x:v>arXiv</x:v>
      </x:c>
      <x:c r="C631" s="717" t="str">
        <x:v>ARXIV-10</x:v>
      </x:c>
      <x:c r="D631" s="720" t="str">
        <x:v>Explainable and Interpretable Diabetic Retinopathy Classification Based on Neural-Symbolic Learning</x:v>
      </x:c>
      <x:c r="E631" s="717" t="str">
        <x:v>Unclear</x:v>
      </x:c>
      <x:c r="F631" s="720" t="str">
        <x:v>Retinal/ophthalmic AI is evident, but the concept-based mechanism is not confirmed from the available title only.</x:v>
      </x:c>
      <x:c r="G631" s="717" t="str">
        <x:v>Title only</x:v>
      </x:c>
      <x:c r="H631" s="717" t="str">
        <x:v>Unclear</x:v>
      </x:c>
      <x:c r="I631" s="720" t="str">
        <x:v>Retinal/ophthalmic AI is evident, but the concept-based mechanism is not confirmed from the available title only.</x:v>
      </x:c>
      <x:c r="J631" s="717" t="str">
        <x:f>IF(E631=H631,E631,"Unclear")</x:f>
        <x:v>Unclear</x:v>
      </x:c>
      <x:c r="K631" s="720" t="str">
        <x:f>IF(E631=H631,"Agreement between both AI passes.","AI-pass disagreement; retain for human discussion.")</x:f>
        <x:v>Agreement between both AI passes.</x:v>
      </x:c>
      <x:c r="L631" s="720"/>
      <x:c r="M631" s="728"/>
      <x:c r="N631" s="717" t="str">
        <x:v>arXiv search result</x:v>
      </x:c>
      <x:c r="O631" s="717" t="str">
        <x:v>No</x:v>
      </x:c>
      <x:c r="P631" s="717"/>
    </x:row>
    <x:row r="632" ht="38" customHeight="1">
      <x:c r="A632" s="717" t="str">
        <x:v>ARXIV-10-031</x:v>
      </x:c>
      <x:c r="B632" s="717" t="str">
        <x:v>arXiv</x:v>
      </x:c>
      <x:c r="C632" s="717" t="str">
        <x:v>ARXIV-10</x:v>
      </x:c>
      <x:c r="D632" s="720" t="str">
        <x:v>On the Robustness of Pretraining and Self-Supervision for a Deep Learning-Based Analysis of Diabetic Retinopathy</x:v>
      </x:c>
      <x:c r="E632" s="717" t="str">
        <x:v>Exclude</x:v>
      </x:c>
      <x:c r="F632" s="720" t="str">
        <x:v>Retinal/ophthalmic topic, but no concept-based or structured explainability method is evident.</x:v>
      </x:c>
      <x:c r="G632" s="717" t="str">
        <x:v>Title only</x:v>
      </x:c>
      <x:c r="H632" s="717" t="str">
        <x:v>Exclude</x:v>
      </x:c>
      <x:c r="I632" s="720" t="str">
        <x:v>Retinal/ophthalmic topic, but no concept-based or structured explainability method is evident.</x:v>
      </x:c>
      <x:c r="J632" s="717" t="str">
        <x:f>IF(E632=H632,E632,"Unclear")</x:f>
        <x:v>Exclude</x:v>
      </x:c>
      <x:c r="K632" s="720" t="str">
        <x:f>IF(E632=H632,"Agreement between both AI passes.","AI-pass disagreement; retain for human discussion.")</x:f>
        <x:v>Agreement between both AI passes.</x:v>
      </x:c>
      <x:c r="L632" s="720"/>
      <x:c r="M632" s="728"/>
      <x:c r="N632" s="717" t="str">
        <x:v>arXiv search result</x:v>
      </x:c>
      <x:c r="O632" s="717" t="str">
        <x:v>No</x:v>
      </x:c>
      <x:c r="P632" s="717"/>
    </x:row>
    <x:row r="633" ht="38" customHeight="1">
      <x:c r="A633" s="717" t="str">
        <x:v>ARXIV-10-032</x:v>
      </x:c>
      <x:c r="B633" s="717" t="str">
        <x:v>arXiv</x:v>
      </x:c>
      <x:c r="C633" s="717" t="str">
        <x:v>ARXIV-10</x:v>
      </x:c>
      <x:c r="D633" s="720" t="str">
        <x:v>About Epistemic Variance Minimization: Training Neural Networks for Medical Imaging With Limited Data Annotations</x:v>
      </x:c>
      <x:c r="E633" s="717" t="str">
        <x:v>Exclude</x:v>
      </x:c>
      <x:c r="F633" s="720" t="str">
        <x:v>Medical/clinical topic, but no eligible concept-based explainability contribution is evident.</x:v>
      </x:c>
      <x:c r="G633" s="717" t="str">
        <x:v>Title only</x:v>
      </x:c>
      <x:c r="H633" s="717" t="str">
        <x:v>Exclude</x:v>
      </x:c>
      <x:c r="I633" s="720" t="str">
        <x:v>Medical/clinical topic, but no eligible concept-based explainability contribution is evident.</x:v>
      </x:c>
      <x:c r="J633" s="717" t="str">
        <x:f>IF(E633=H633,E633,"Unclear")</x:f>
        <x:v>Exclude</x:v>
      </x:c>
      <x:c r="K633" s="720" t="str">
        <x:f>IF(E633=H633,"Agreement between both AI passes.","AI-pass disagreement; retain for human discussion.")</x:f>
        <x:v>Agreement between both AI passes.</x:v>
      </x:c>
      <x:c r="L633" s="720"/>
      <x:c r="M633" s="728"/>
      <x:c r="N633" s="717" t="str">
        <x:v>arXiv search result</x:v>
      </x:c>
      <x:c r="O633" s="717" t="str">
        <x:v>No</x:v>
      </x:c>
      <x:c r="P633" s="717"/>
    </x:row>
    <x:row r="634" ht="38" customHeight="1">
      <x:c r="A634" s="717" t="str">
        <x:v>ARXIV-10-033</x:v>
      </x:c>
      <x:c r="B634" s="717" t="str">
        <x:v>arXiv</x:v>
      </x:c>
      <x:c r="C634" s="717" t="str">
        <x:v>ARXIV-10</x:v>
      </x:c>
      <x:c r="D634" s="720" t="str">
        <x:v>Dual-Awareness Attention for Few-Shot Object Detection</x:v>
      </x:c>
      <x:c r="E634" s="717" t="str">
        <x:v>Exclude</x:v>
      </x:c>
      <x:c r="F634" s="720" t="str">
        <x:v>Clearly outside retinal/ophthalmic concept-based explainable AI.</x:v>
      </x:c>
      <x:c r="G634" s="717" t="str">
        <x:v>Title only</x:v>
      </x:c>
      <x:c r="H634" s="717" t="str">
        <x:v>Exclude</x:v>
      </x:c>
      <x:c r="I634" s="720" t="str">
        <x:v>Clearly outside retinal/ophthalmic concept-based explainable AI.</x:v>
      </x:c>
      <x:c r="J634" s="717" t="str">
        <x:f>IF(E634=H634,E634,"Unclear")</x:f>
        <x:v>Exclude</x:v>
      </x:c>
      <x:c r="K634" s="720" t="str">
        <x:f>IF(E634=H634,"Agreement between both AI passes.","AI-pass disagreement; retain for human discussion.")</x:f>
        <x:v>Agreement between both AI passes.</x:v>
      </x:c>
      <x:c r="L634" s="720"/>
      <x:c r="M634" s="728"/>
      <x:c r="N634" s="717" t="str">
        <x:v>arXiv search result</x:v>
      </x:c>
      <x:c r="O634" s="717" t="str">
        <x:v>No</x:v>
      </x:c>
      <x:c r="P634" s="717"/>
    </x:row>
    <x:row r="635" ht="38" customHeight="1">
      <x:c r="A635" s="717" t="str">
        <x:v>ARXIV-10-034</x:v>
      </x:c>
      <x:c r="B635" s="717" t="str">
        <x:v>arXiv</x:v>
      </x:c>
      <x:c r="C635" s="717" t="str">
        <x:v>ARXIV-10</x:v>
      </x:c>
      <x:c r="D635" s="720" t="str">
        <x:v>Multiresolution Knowledge Distillation for Anomaly Detection</x:v>
      </x:c>
      <x:c r="E635" s="717" t="str">
        <x:v>Exclude</x:v>
      </x:c>
      <x:c r="F635" s="720" t="str">
        <x:v>Clearly outside retinal/ophthalmic concept-based explainable AI.</x:v>
      </x:c>
      <x:c r="G635" s="717" t="str">
        <x:v>Title only</x:v>
      </x:c>
      <x:c r="H635" s="717" t="str">
        <x:v>Exclude</x:v>
      </x:c>
      <x:c r="I635" s="720" t="str">
        <x:v>Clearly outside retinal/ophthalmic concept-based explainable AI.</x:v>
      </x:c>
      <x:c r="J635" s="717" t="str">
        <x:f>IF(E635=H635,E635,"Unclear")</x:f>
        <x:v>Exclude</x:v>
      </x:c>
      <x:c r="K635" s="720" t="str">
        <x:f>IF(E635=H635,"Agreement between both AI passes.","AI-pass disagreement; retain for human discussion.")</x:f>
        <x:v>Agreement between both AI passes.</x:v>
      </x:c>
      <x:c r="L635" s="720"/>
      <x:c r="M635" s="728"/>
      <x:c r="N635" s="717" t="str">
        <x:v>arXiv search result</x:v>
      </x:c>
      <x:c r="O635" s="717" t="str">
        <x:v>No</x:v>
      </x:c>
      <x:c r="P635" s="717"/>
    </x:row>
    <x:row r="636" ht="38" customHeight="1">
      <x:c r="A636" s="717" t="str">
        <x:v>ARXIV-10-035</x:v>
      </x:c>
      <x:c r="B636" s="717" t="str">
        <x:v>arXiv</x:v>
      </x:c>
      <x:c r="C636" s="717" t="str">
        <x:v>ARXIV-10</x:v>
      </x:c>
      <x:c r="D636" s="720" t="str">
        <x:v>Hybrid Deep Learning Guides in Process for Diabetic Retinopathy Diagnosis and Uncertainty Quantification</x:v>
      </x:c>
      <x:c r="E636" s="717" t="str">
        <x:v>Exclude</x:v>
      </x:c>
      <x:c r="F636" s="720" t="str">
        <x:v>Retinal/ophthalmic topic, but no concept-based or structured explainability method is evident.</x:v>
      </x:c>
      <x:c r="G636" s="717" t="str">
        <x:v>Title only</x:v>
      </x:c>
      <x:c r="H636" s="717" t="str">
        <x:v>Exclude</x:v>
      </x:c>
      <x:c r="I636" s="720" t="str">
        <x:v>Retinal/ophthalmic topic, but no concept-based or structured explainability method is evident.</x:v>
      </x:c>
      <x:c r="J636" s="717" t="str">
        <x:f>IF(E636=H636,E636,"Unclear")</x:f>
        <x:v>Exclude</x:v>
      </x:c>
      <x:c r="K636" s="720" t="str">
        <x:f>IF(E636=H636,"Agreement between both AI passes.","AI-pass disagreement; retain for human discussion.")</x:f>
        <x:v>Agreement between both AI passes.</x:v>
      </x:c>
      <x:c r="L636" s="720"/>
      <x:c r="M636" s="728"/>
      <x:c r="N636" s="717" t="str">
        <x:v>arXiv search result</x:v>
      </x:c>
      <x:c r="O636" s="717" t="str">
        <x:v>No</x:v>
      </x:c>
      <x:c r="P636" s="717"/>
    </x:row>
    <x:row r="637" ht="38" customHeight="1">
      <x:c r="A637" s="717" t="str">
        <x:v>ARXIV-11-001</x:v>
      </x:c>
      <x:c r="B637" s="717" t="str">
        <x:v>arXiv</x:v>
      </x:c>
      <x:c r="C637" s="717" t="str">
        <x:v>ARXIV-11</x:v>
      </x:c>
      <x:c r="D637" s="720" t="str">
        <x:v>Neuromorphic cameras for Atmospheric Cherenkov Telescopes and fast optical astronomy: new paradigm, challenges and opportunities</x:v>
      </x:c>
      <x:c r="E637" s="717" t="str">
        <x:v>Exclude</x:v>
      </x:c>
      <x:c r="F637" s="720" t="str">
        <x:v>Clearly outside retinal/ophthalmic concept-based explainable AI.</x:v>
      </x:c>
      <x:c r="G637" s="717" t="str">
        <x:v>Title only</x:v>
      </x:c>
      <x:c r="H637" s="717" t="str">
        <x:v>Exclude</x:v>
      </x:c>
      <x:c r="I637" s="720" t="str">
        <x:v>Clearly outside retinal/ophthalmic concept-based explainable AI.</x:v>
      </x:c>
      <x:c r="J637" s="717" t="str">
        <x:f>IF(E637=H637,E637,"Unclear")</x:f>
        <x:v>Exclude</x:v>
      </x:c>
      <x:c r="K637" s="720" t="str">
        <x:f>IF(E637=H637,"Agreement between both AI passes.","AI-pass disagreement; retain for human discussion.")</x:f>
        <x:v>Agreement between both AI passes.</x:v>
      </x:c>
      <x:c r="L637" s="720"/>
      <x:c r="M637" s="728" t="n">
        <x:v>2023</x:v>
      </x:c>
      <x:c r="N637" s="717" t="str">
        <x:v>Preprint / arXiv search result</x:v>
      </x:c>
      <x:c r="O637" s="717" t="str">
        <x:v>No</x:v>
      </x:c>
      <x:c r="P637" s="717" t="str">
        <x:v>https://arxiv.org/abs/2310.16321</x:v>
      </x:c>
    </x:row>
    <x:row r="638" ht="38" customHeight="1">
      <x:c r="A638" s="717" t="str">
        <x:v>ARXIV-11-002</x:v>
      </x:c>
      <x:c r="B638" s="717" t="str">
        <x:v>arXiv</x:v>
      </x:c>
      <x:c r="C638" s="717" t="str">
        <x:v>ARXIV-11</x:v>
      </x:c>
      <x:c r="D638" s="720" t="str">
        <x:v>Discovery Radiomics with CLEAR-DR: Interpretable Computer Aided Diagnosis of Diabetic Retinopathy</x:v>
      </x:c>
      <x:c r="E638" s="717" t="str">
        <x:v>Unclear</x:v>
      </x:c>
      <x:c r="F638" s="720" t="str">
        <x:v>Retinal/ophthalmic AI is evident, but the concept-based mechanism is not confirmed from the available title only.</x:v>
      </x:c>
      <x:c r="G638" s="717" t="str">
        <x:v>Title only</x:v>
      </x:c>
      <x:c r="H638" s="717" t="str">
        <x:v>Unclear</x:v>
      </x:c>
      <x:c r="I638" s="720" t="str">
        <x:v>Retinal/ophthalmic AI is evident, but the concept-based mechanism is not confirmed from the available title only.</x:v>
      </x:c>
      <x:c r="J638" s="717" t="str">
        <x:f>IF(E638=H638,E638,"Unclear")</x:f>
        <x:v>Unclear</x:v>
      </x:c>
      <x:c r="K638" s="720" t="str">
        <x:f>IF(E638=H638,"Agreement between both AI passes.","AI-pass disagreement; retain for human discussion.")</x:f>
        <x:v>Agreement between both AI passes.</x:v>
      </x:c>
      <x:c r="L638" s="720"/>
      <x:c r="M638" s="728" t="n">
        <x:v>2017</x:v>
      </x:c>
      <x:c r="N638" s="717" t="str">
        <x:v>Preprint / arXiv search result</x:v>
      </x:c>
      <x:c r="O638" s="717" t="str">
        <x:v>No</x:v>
      </x:c>
      <x:c r="P638" s="717" t="str">
        <x:v>https://arxiv.org/abs/1710.10675</x:v>
      </x:c>
    </x:row>
    <x:row r="639" ht="38" customHeight="1">
      <x:c r="A639" s="717" t="str">
        <x:v>ARXIV-12-001</x:v>
      </x:c>
      <x:c r="B639" s="717" t="str">
        <x:v>arXiv</x:v>
      </x:c>
      <x:c r="C639" s="717" t="str">
        <x:v>ARXIV-12</x:v>
      </x:c>
      <x:c r="D639" s="720" t="str">
        <x:v>Reframing Pattern: A Comprehensive Approach to a Composite Visual Variable</x:v>
      </x:c>
      <x:c r="E639" s="717" t="str">
        <x:v>Exclude</x:v>
      </x:c>
      <x:c r="F639" s="720" t="str">
        <x:v>Clearly outside retinal/ophthalmic concept-based explainable AI.</x:v>
      </x:c>
      <x:c r="G639" s="717" t="str">
        <x:v>Title only</x:v>
      </x:c>
      <x:c r="H639" s="717" t="str">
        <x:v>Exclude</x:v>
      </x:c>
      <x:c r="I639" s="720" t="str">
        <x:v>Clearly outside retinal/ophthalmic concept-based explainable AI.</x:v>
      </x:c>
      <x:c r="J639" s="717" t="str">
        <x:f>IF(E639=H639,E639,"Unclear")</x:f>
        <x:v>Exclude</x:v>
      </x:c>
      <x:c r="K639" s="720" t="str">
        <x:f>IF(E639=H639,"Agreement between both AI passes.","AI-pass disagreement; retain for human discussion.")</x:f>
        <x:v>Agreement between both AI passes.</x:v>
      </x:c>
      <x:c r="L639" s="720"/>
      <x:c r="M639" s="728" t="n">
        <x:v>2025</x:v>
      </x:c>
      <x:c r="N639" s="717" t="str">
        <x:v>Preprint / arXiv search result</x:v>
      </x:c>
      <x:c r="O639" s="717" t="str">
        <x:v>No</x:v>
      </x:c>
      <x:c r="P639" s="717" t="str">
        <x:v>https://arxiv.org/abs/2508.02639</x:v>
      </x:c>
    </x:row>
    <x:row r="640" ht="38" customHeight="1">
      <x:c r="A640" s="717" t="str">
        <x:v>ARXIV-12-002</x:v>
      </x:c>
      <x:c r="B640" s="717" t="str">
        <x:v>arXiv</x:v>
      </x:c>
      <x:c r="C640" s="717" t="str">
        <x:v>ARXIV-12</x:v>
      </x:c>
      <x:c r="D640" s="720" t="str">
        <x:v>Statistical models of neural activity, criticality, and Zipf's law</x:v>
      </x:c>
      <x:c r="E640" s="717" t="str">
        <x:v>Exclude</x:v>
      </x:c>
      <x:c r="F640" s="720" t="str">
        <x:v>Clearly outside retinal/ophthalmic concept-based explainable AI.</x:v>
      </x:c>
      <x:c r="G640" s="717" t="str">
        <x:v>Title only</x:v>
      </x:c>
      <x:c r="H640" s="717" t="str">
        <x:v>Exclude</x:v>
      </x:c>
      <x:c r="I640" s="720" t="str">
        <x:v>Clearly outside retinal/ophthalmic concept-based explainable AI.</x:v>
      </x:c>
      <x:c r="J640" s="717" t="str">
        <x:f>IF(E640=H640,E640,"Unclear")</x:f>
        <x:v>Exclude</x:v>
      </x:c>
      <x:c r="K640" s="720" t="str">
        <x:f>IF(E640=H640,"Agreement between both AI passes.","AI-pass disagreement; retain for human discussion.")</x:f>
        <x:v>Agreement between both AI passes.</x:v>
      </x:c>
      <x:c r="L640" s="720"/>
      <x:c r="M640" s="728" t="n">
        <x:v>2018</x:v>
      </x:c>
      <x:c r="N640" s="717" t="str">
        <x:v>Preprint / arXiv search result</x:v>
      </x:c>
      <x:c r="O640" s="717" t="str">
        <x:v>No</x:v>
      </x:c>
      <x:c r="P640" s="717" t="str">
        <x:v>https://arxiv.org/abs/1812.09123</x:v>
      </x:c>
    </x:row>
    <x:row r="641" ht="38" customHeight="1">
      <x:c r="A641" s="717" t="str">
        <x:v>ARXIV-12-003</x:v>
      </x:c>
      <x:c r="B641" s="717" t="str">
        <x:v>arXiv</x:v>
      </x:c>
      <x:c r="C641" s="717" t="str">
        <x:v>ARXIV-12</x:v>
      </x:c>
      <x:c r="D641" s="720" t="str">
        <x:v>A Consolidated Approach to Convolutional Neural Networks and the Kolmogorov Complexity</x:v>
      </x:c>
      <x:c r="E641" s="717" t="str">
        <x:v>Exclude</x:v>
      </x:c>
      <x:c r="F641" s="720" t="str">
        <x:v>Clearly outside retinal/ophthalmic concept-based explainable AI.</x:v>
      </x:c>
      <x:c r="G641" s="717" t="str">
        <x:v>Title only</x:v>
      </x:c>
      <x:c r="H641" s="717" t="str">
        <x:v>Exclude</x:v>
      </x:c>
      <x:c r="I641" s="720" t="str">
        <x:v>Clearly outside retinal/ophthalmic concept-based explainable AI.</x:v>
      </x:c>
      <x:c r="J641" s="717" t="str">
        <x:f>IF(E641=H641,E641,"Unclear")</x:f>
        <x:v>Exclude</x:v>
      </x:c>
      <x:c r="K641" s="720" t="str">
        <x:f>IF(E641=H641,"Agreement between both AI passes.","AI-pass disagreement; retain for human discussion.")</x:f>
        <x:v>Agreement between both AI passes.</x:v>
      </x:c>
      <x:c r="L641" s="720"/>
      <x:c r="M641" s="728" t="n">
        <x:v>2018</x:v>
      </x:c>
      <x:c r="N641" s="717" t="str">
        <x:v>Preprint / arXiv search result</x:v>
      </x:c>
      <x:c r="O641" s="717" t="str">
        <x:v>No</x:v>
      </x:c>
      <x:c r="P641" s="717" t="str">
        <x:v>https://arxiv.org/abs/1812.00888</x:v>
      </x:c>
    </x:row>
    <x:row r="642" ht="38" customHeight="1">
      <x:c r="A642" s="717" t="str">
        <x:v>ARXIV-12-004</x:v>
      </x:c>
      <x:c r="B642" s="717" t="str">
        <x:v>arXiv</x:v>
      </x:c>
      <x:c r="C642" s="717" t="str">
        <x:v>ARXIV-12</x:v>
      </x:c>
      <x:c r="D642" s="720" t="str">
        <x:v>Unsupervised Identification of Disease Marker Candidates in Retinal OCT Imaging Data</x:v>
      </x:c>
      <x:c r="E642" s="717" t="str">
        <x:v>Exclude</x:v>
      </x:c>
      <x:c r="F642" s="720" t="str">
        <x:v>Retinal/ophthalmic topic, but no concept-based or structured explainability method is evident.</x:v>
      </x:c>
      <x:c r="G642" s="717" t="str">
        <x:v>Title only</x:v>
      </x:c>
      <x:c r="H642" s="717" t="str">
        <x:v>Exclude</x:v>
      </x:c>
      <x:c r="I642" s="720" t="str">
        <x:v>Retinal/ophthalmic topic, but no concept-based or structured explainability method is evident.</x:v>
      </x:c>
      <x:c r="J642" s="717" t="str">
        <x:f>IF(E642=H642,E642,"Unclear")</x:f>
        <x:v>Exclude</x:v>
      </x:c>
      <x:c r="K642" s="720" t="str">
        <x:f>IF(E642=H642,"Agreement between both AI passes.","AI-pass disagreement; retain for human discussion.")</x:f>
        <x:v>Agreement between both AI passes.</x:v>
      </x:c>
      <x:c r="L642" s="720"/>
      <x:c r="M642" s="728" t="n">
        <x:v>2018</x:v>
      </x:c>
      <x:c r="N642" s="717" t="str">
        <x:v>Preprint / arXiv search result</x:v>
      </x:c>
      <x:c r="O642" s="717" t="str">
        <x:v>No</x:v>
      </x:c>
      <x:c r="P642" s="717" t="str">
        <x:v>https://arxiv.org/abs/1810.13404</x:v>
      </x:c>
    </x:row>
    <x:row r="643" ht="38" customHeight="1">
      <x:c r="A643" s="718" t="str">
        <x:v>ARXIV-14-001</x:v>
      </x:c>
      <x:c r="B643" s="718" t="str">
        <x:v>arXiv</x:v>
      </x:c>
      <x:c r="C643" s="718" t="str">
        <x:v>ARXIV-14</x:v>
      </x:c>
      <x:c r="D643" s="721" t="str">
        <x:v>Interpretable Few-Shot Retinal Disease Diagnosis with Concept-Guided Prompting of Vision-Language Models</x:v>
      </x:c>
      <x:c r="E643" s="718" t="str">
        <x:v>Include</x:v>
      </x:c>
      <x:c r="F643" s="721" t="str">
        <x:v>Potential direct retinal/ophthalmic concept-based XAI evidence (title only).</x:v>
      </x:c>
      <x:c r="G643" s="718" t="str">
        <x:v>Title only</x:v>
      </x:c>
      <x:c r="H643" s="718" t="str">
        <x:v>Include</x:v>
      </x:c>
      <x:c r="I643" s="721" t="str">
        <x:v>Potential direct retinal/ophthalmic concept-based XAI evidence (title only).</x:v>
      </x:c>
      <x:c r="J643" s="718" t="str">
        <x:f>IF(E643=H643,E643,"Unclear")</x:f>
        <x:v>Include</x:v>
      </x:c>
      <x:c r="K643" s="721" t="str">
        <x:f>IF(E643=H643,"Agreement between both AI passes.","AI-pass disagreement; retain for human discussion.")</x:f>
        <x:v>Agreement between both AI passes.</x:v>
      </x:c>
      <x:c r="L643" s="721"/>
      <x:c r="M643" s="729" t="n">
        <x:v>2025</x:v>
      </x:c>
      <x:c r="N643" s="718" t="str">
        <x:v>Preprint / arXiv search result</x:v>
      </x:c>
      <x:c r="O643" s="718" t="str">
        <x:v>No</x:v>
      </x:c>
      <x:c r="P643" s="718" t="str">
        <x:v>https://arxiv.org/abs/2503.02917</x:v>
      </x:c>
    </x:row>
    <x:row r="644">
      <x:c r="A644" t="str">
        <x:v>CIT-071</x:v>
      </x:c>
      <x:c r="B644" t="str">
        <x:v>Citation chasing</x:v>
      </x:c>
      <x:c r="C644" t="str">
        <x:v>CITATION-01</x:v>
      </x:c>
      <x:c r="D644" t="str">
        <x:v>Hybrid vision–language models for improved transparency in healthcare processes: The retinal diagnosis use case</x:v>
      </x:c>
      <x:c r="E644" t="str">
        <x:v>Unclear</x:v>
      </x:c>
      <x:c r="F644" t="str">
        <x:v>Direct retinal diagnostic explainability is evident, but the available abstract does not confirm a concept-based mechanism; retain for human assessment.</x:v>
      </x:c>
      <x:c r="G644" t="str">
        <x:v>Title + structured abstract summary</x:v>
      </x:c>
      <x:c r="H644" t="str">
        <x:v>Unclear</x:v>
      </x:c>
      <x:c r="I644" t="str">
        <x:v>Retinal and explainability relevance are clear, but eligibility under the review's strict concept-based definition is not confirmed.</x:v>
      </x:c>
      <x:c r="J644" t="str">
        <x:f>IF(E644=H644,E644,"Unclear")</x:f>
        <x:v>Unclear</x:v>
      </x:c>
      <x:c r="K644" t="str">
        <x:f>IF(E644=H644,"Agreement between both AI passes.","AI-pass disagreement; retain for human discussion.")</x:f>
        <x:v>Agreement between both AI passes.</x:v>
      </x:c>
      <x:c r="L644" t="str">
        <x:v>La Rosa F; Dell'Acqua P; Fazio M; Villari M</x:v>
      </x:c>
      <x:c r="M644" t="n">
        <x:v>2026</x:v>
      </x:c>
      <x:c r="N644" t="str">
        <x:v>Journal Article</x:v>
      </x:c>
      <x:c r="O644" t="str">
        <x:v>Yes</x:v>
      </x:c>
      <x:c r="P644" t="str">
        <x:v>https://doi.org/10.1016/j.knosys.2026.115456</x:v>
      </x:c>
    </x:row>
    <x:row r="645">
      <x:c r="A645" t="str">
        <x:v>CIT-100</x:v>
      </x:c>
      <x:c r="B645" t="str">
        <x:v>Citation chasing</x:v>
      </x:c>
      <x:c r="C645" t="str">
        <x:v>CITATION-01</x:v>
      </x:c>
      <x:c r="D645" t="str">
        <x:v>Enhancing ophthalmology medical record management with multi-modal knowledge graphs</x:v>
      </x:c>
      <x:c r="E645" t="str">
        <x:v>Include</x:v>
      </x:c>
      <x:c r="F645" t="str">
        <x:v>Original ophthalmology study using a multimodal knowledge graph and structured feature relationships; potentially relevant as contextual structured-explainability evidence.</x:v>
      </x:c>
      <x:c r="G645" t="str">
        <x:v>Title + structured abstract summary</x:v>
      </x:c>
      <x:c r="H645" t="str">
        <x:v>Unclear</x:v>
      </x:c>
      <x:c r="I645" t="str">
        <x:v>The ophthalmic knowledge graph is relevant, but the paper focuses on record management and case retrieval rather than explicitly evaluating concept-based explanations.</x:v>
      </x:c>
      <x:c r="J645" t="str">
        <x:f>IF(E645=H645,E645,"Unclear")</x:f>
        <x:v>Unclear</x:v>
      </x:c>
      <x:c r="K645" t="str">
        <x:f>IF(E645=H645,"Agreement between both AI passes.","AI-pass disagreement; retain for human discussion.")</x:f>
        <x:v>AI-pass disagreement; retain for human discussion.</x:v>
      </x:c>
      <x:c r="L645" t="str">
        <x:v>Gao W; Rong F; Shao L; Deng Z; Xiao D; Zhang R; Chen C; Gong Z; Niu Z; Li F; Wei W; Ma L</x:v>
      </x:c>
      <x:c r="M645" t="n">
        <x:v>2024</x:v>
      </x:c>
      <x:c r="N645" t="str">
        <x:v>Journal Article</x:v>
      </x:c>
      <x:c r="O645" t="str">
        <x:v>Yes</x:v>
      </x:c>
      <x:c r="P645" t="str">
        <x:v>https://doi.org/10.1038/s41598-024-73316-9</x:v>
      </x:c>
    </x:row>
    <x:row r="646">
      <x:c r="A646" t="str">
        <x:v>CIT-101</x:v>
      </x:c>
      <x:c r="B646" t="str">
        <x:v>Citation chasing</x:v>
      </x:c>
      <x:c r="C646" t="str">
        <x:v>CITATION-01</x:v>
      </x:c>
      <x:c r="D646" t="str">
        <x:v>Semantic web ontology for structured knowledge representation and clinical decision support in eye diseases</x:v>
      </x:c>
      <x:c r="E646" t="str">
        <x:v>Include</x:v>
      </x:c>
      <x:c r="F646" t="str">
        <x:v>Eye-disease ontology with explicit classes and relations is potentially relevant contextual evidence for structured concept representation and decision support.</x:v>
      </x:c>
      <x:c r="G646" t="str">
        <x:v>Title + structured abstract summary</x:v>
      </x:c>
      <x:c r="H646" t="str">
        <x:v>Unclear</x:v>
      </x:c>
      <x:c r="I646" t="str">
        <x:v>Strong ontology relevance is evident, but no retinal imaging model or explanation evaluation is confirmed from the abstract; retain for scope discussion.</x:v>
      </x:c>
      <x:c r="J646" t="str">
        <x:f>IF(E646=H646,E646,"Unclear")</x:f>
        <x:v>Unclear</x:v>
      </x:c>
      <x:c r="K646" t="str">
        <x:f>IF(E646=H646,"Agreement between both AI passes.","AI-pass disagreement; retain for human discussion.")</x:f>
        <x:v>AI-pass disagreement; retain for human discussion.</x:v>
      </x:c>
      <x:c r="L646" t="str">
        <x:v>Anjum F; Maqbool F; Razzaq MS; Shehzad HMF; Ali S; Shah D; Tahir M; Ilyas M</x:v>
      </x:c>
      <x:c r="M646" t="n">
        <x:v>2025</x:v>
      </x:c>
      <x:c r="N646" t="str">
        <x:v>Journal Article</x:v>
      </x:c>
      <x:c r="O646" t="str">
        <x:v>Yes</x:v>
      </x:c>
      <x:c r="P646" t="str">
        <x:v>https://doi.org/10.1038/s41598-025-15885-x</x:v>
      </x:c>
    </x:row>
  </x:sheetData>
  <x:mergeCells>
    <x:mergeCell ref="A1:P1"/>
    <x:mergeCell ref="A3:P4"/>
    <x:mergeCell ref="A6:P6"/>
  </x:mergeCells>
  <x:conditionalFormatting sqref="E17:E643">
    <x:cfRule type="containsText" dxfId="13" priority="1" operator="containsText" text="Include"/>
    <x:cfRule type="containsText" dxfId="14" priority="2" operator="containsText" text="Unclear"/>
    <x:cfRule type="containsText" dxfId="15" priority="3" operator="containsText" text="Exclude"/>
  </x:conditionalFormatting>
  <x:conditionalFormatting sqref="H17:H643">
    <x:cfRule type="containsText" dxfId="16" priority="4" operator="containsText" text="Include"/>
    <x:cfRule type="containsText" dxfId="17" priority="5" operator="containsText" text="Unclear"/>
    <x:cfRule type="containsText" dxfId="18" priority="6" operator="containsText" text="Exclude"/>
  </x:conditionalFormatting>
  <x:conditionalFormatting sqref="J17:J643">
    <x:cfRule type="containsText" dxfId="19" priority="7" operator="containsText" text="Include"/>
    <x:cfRule type="containsText" dxfId="20" priority="8" operator="containsText" text="Unclear"/>
    <x:cfRule type="containsText" dxfId="21" priority="9" operator="containsText" text="Exclude"/>
  </x:conditionalFormatting>
  <x:dataValidations count="2">
    <x:dataValidation type="list" sqref="E17:E643">
      <x:formula1>"Include,Exclude,Unclear"</x:formula1>
    </x:dataValidation>
    <x:dataValidation type="list" sqref="H17:H643">
      <x:formula1>"Include,Exclude,Unclear"</x:formula1>
    </x:dataValidation>
  </x:dataValidations>
  <x:pageMargins left="0.7" right="0.7" top="0.75" bottom="0.75" header="0.3" footer="0.3"/>
  <x:tableParts count="1">
    <x:tablePart xmlns:r="http://schemas.openxmlformats.org/officeDocument/2006/relationships" r:id="Rb15a385d318442db"/>
  </x:tableParts>
</x:worksheet>
</file>

<file path=xl/worksheets/sheet28.xml><?xml version="1.0" encoding="utf-8"?>
<x:worksheet xmlns:x="http://schemas.openxmlformats.org/spreadsheetml/2006/main">
  <x:sheetFormatPr defaultRowHeight="15"/>
  <x:cols>
    <x:col min="1" max="1" width="14" hidden="0" customWidth="1"/>
    <x:col min="2" max="2" width="16" hidden="0" customWidth="1"/>
    <x:col min="3" max="3" width="54" hidden="0" customWidth="1"/>
    <x:col min="4" max="4" width="13" hidden="0" customWidth="1"/>
    <x:col min="5" max="5" width="14" hidden="0" customWidth="1"/>
    <x:col min="6" max="6" width="42" hidden="0" customWidth="1"/>
    <x:col min="7" max="7" width="42" hidden="0" customWidth="1"/>
    <x:col min="8" max="8" width="16" hidden="0" customWidth="1"/>
    <x:col min="9" max="9" width="30" hidden="0" customWidth="1"/>
    <x:col min="10" max="10" width="14" hidden="0" customWidth="1"/>
    <x:col min="11" max="11" width="42" hidden="0" customWidth="1"/>
    <x:col min="12" max="12" width="30" hidden="0" customWidth="1"/>
    <x:col min="14" max="14" width="36" hidden="0" customWidth="1"/>
    <x:col min="15" max="15" width="12" hidden="0" customWidth="1"/>
    <x:col min="16" max="16" width="18" hidden="0" customWidth="1"/>
    <x:col min="17" max="17" width="54" hidden="0" customWidth="1"/>
    <x:col min="13" max="13" width="27" hidden="0" customWidth="1"/>
  </x:cols>
  <x:sheetData>
    <x:row r="1" ht="25" customHeight="1">
      <x:c r="A1" s="741" t="str">
        <x:v>Full-Text Retrieval and Eligibility Log — 110 Valid Reports</x:v>
      </x:c>
      <x:c r="B1" s="741"/>
      <x:c r="C1" s="741"/>
      <x:c r="D1" s="741"/>
      <x:c r="E1" s="741"/>
      <x:c r="F1" s="741"/>
      <x:c r="G1" s="741"/>
      <x:c r="H1" s="741"/>
      <x:c r="I1" s="741"/>
      <x:c r="J1" s="741"/>
      <x:c r="K1" s="741"/>
      <x:c r="L1" s="741"/>
      <x:c r="M1"/>
      <x:c r="N1" s="797" t="str">
        <x:v>Final Retrieval and Eligibility Summary</x:v>
      </x:c>
      <x:c r="O1" s="797"/>
      <x:c r="P1" s="797"/>
      <x:c r="Q1" s="797"/>
    </x:row>
    <x:row r="2" ht="34" customHeight="1">
      <x:c r="A2" s="745" t="str">
        <x:v>Bibliographic verification removed four unverifiable screenshot/OCR artifacts from the active set. the corresponding author confirmed that all 110 valid reports sought were retrieved and assessed. The final eligibility result is 109 Include and 1 Exclude (GS-04-008); no reports remain not retrieved.</x:v>
      </x:c>
      <x:c r="B2" s="745"/>
      <x:c r="C2" s="745"/>
      <x:c r="D2" s="745"/>
      <x:c r="E2" s="745"/>
      <x:c r="F2" s="745"/>
      <x:c r="G2" s="745"/>
      <x:c r="H2" s="745"/>
      <x:c r="I2" s="745"/>
      <x:c r="J2" s="745"/>
      <x:c r="K2" s="745"/>
      <x:c r="L2" s="745"/>
      <x:c r="M2"/>
      <x:c r="N2"/>
      <x:c r="O2"/>
      <x:c r="P2"/>
      <x:c r="Q2"/>
    </x:row>
    <x:row r="3" ht="28" customHeight="1">
      <x:c r="A3"/>
      <x:c r="B3"/>
      <x:c r="C3"/>
      <x:c r="D3"/>
      <x:c r="E3"/>
      <x:c r="F3"/>
      <x:c r="G3"/>
      <x:c r="H3"/>
      <x:c r="I3"/>
      <x:c r="J3"/>
      <x:c r="K3"/>
      <x:c r="L3"/>
      <x:c r="M3"/>
      <x:c r="N3" s="798" t="str">
        <x:v>Metric</x:v>
      </x:c>
      <x:c r="O3" s="798" t="str">
        <x:v>Count</x:v>
      </x:c>
      <x:c r="P3" s="798" t="str">
        <x:v>Status</x:v>
      </x:c>
      <x:c r="Q3" s="798" t="str">
        <x:v>Interpretation</x:v>
      </x:c>
    </x:row>
    <x:row r="4" ht="40" customHeight="1">
      <x:c r="A4" s="750" t="str">
        <x:v>Record ID</x:v>
      </x:c>
      <x:c r="B4" s="750" t="str">
        <x:v>Database</x:v>
      </x:c>
      <x:c r="C4" s="750" t="str">
        <x:v>Title</x:v>
      </x:c>
      <x:c r="D4" s="750" t="str">
        <x:v>TA Decision</x:v>
      </x:c>
      <x:c r="E4" s="750" t="str">
        <x:v>Full Text Sought?</x:v>
      </x:c>
      <x:c r="F4" s="750" t="str">
        <x:v>Existing Primary Route</x:v>
      </x:c>
      <x:c r="G4" s="750" t="str">
        <x:v>Verified Full-Text Route</x:v>
      </x:c>
      <x:c r="H4" s="750" t="str">
        <x:v>Access Type</x:v>
      </x:c>
      <x:c r="I4" s="750" t="str">
        <x:v>Retrieval Status</x:v>
      </x:c>
      <x:c r="J4" s="750" t="str">
        <x:v>Attempt Date</x:v>
      </x:c>
      <x:c r="K4" s="750" t="str">
        <x:v>Retrieval Notes</x:v>
      </x:c>
      <x:c r="L4" s="750" t="str">
        <x:v>Duplicate-Control Note</x:v>
      </x:c>
      <x:c r="M4" t="str">
        <x:v>Human FT Decision</x:v>
      </x:c>
      <x:c r="N4" s="22" t="str">
        <x:v>Valid reports sought</x:v>
      </x:c>
      <x:c r="O4" s="22" t="n">
        <x:v>110</x:v>
      </x:c>
      <x:c r="P4" s="22" t="str">
        <x:v>Complete</x:v>
      </x:c>
      <x:c r="Q4" s="22" t="str">
        <x:v>109 title/abstract Include + 1 Unclear after bibliographic verification</x:v>
      </x:c>
    </x:row>
    <x:row r="5" ht="40" customHeight="1">
      <x:c r="A5" s="751" t="str">
        <x:v>PM-001</x:v>
      </x:c>
      <x:c r="B5" s="752" t="str">
        <x:v>PubMed</x:v>
      </x:c>
      <x:c r="C5" s="752" t="str">
        <x:v>Vision language models in ophthalmology</x:v>
      </x:c>
      <x:c r="D5" s="752" t="str">
        <x:v>Include</x:v>
      </x:c>
      <x:c r="E5" s="752" t="str">
        <x:v>Yes</x:v>
      </x:c>
      <x:c r="F5" s="752" t="str">
        <x:v>https://pubmed.ncbi.nlm.nih.gov/39259649/</x:v>
      </x:c>
      <x:c r="G5" s="752" t="str">
        <x:v>https://journals.lww.com/co-ophthalmology/fulltext/2024/11000/vision_language_models_in_ophthalmology.9.aspx</x:v>
      </x:c>
      <x:c r="H5" s="752" t="str">
        <x:v>Open publisher full text</x:v>
      </x:c>
      <x:c r="I5" s="752" t="str">
        <x:v>Retrieved — full text verified</x:v>
      </x:c>
      <x:c r="J5" s="752" t="str">
        <x:v>2026-08-17</x:v>
      </x:c>
      <x:c r="K5" s="752" t="str">
        <x:v>Complete publisher HTML verified.</x:v>
      </x:c>
      <x:c r="L5" s="753" t="str">
        <x:v>Preferred unique record after enhanced duplicate control</x:v>
      </x:c>
      <x:c r="M5" t="str">
        <x:v>Include</x:v>
      </x:c>
      <x:c r="N5" s="22" t="str">
        <x:v>Full texts retrieved</x:v>
      </x:c>
      <x:c r="O5" s="22" t="n">
        <x:v>110</x:v>
      </x:c>
      <x:c r="P5" s="22" t="str">
        <x:v>Complete</x:v>
      </x:c>
      <x:c r="Q5" s="22" t="str">
        <x:v>All sought reports were accessed and assessed by the corresponding author</x:v>
      </x:c>
    </x:row>
    <x:row r="6" ht="40" customHeight="1">
      <x:c r="A6" s="754" t="str">
        <x:v>PM-003</x:v>
      </x:c>
      <x:c r="B6" s="755" t="str">
        <x:v>PubMed</x:v>
      </x:c>
      <x:c r="C6" s="755" t="str">
        <x:v>A multimodal vision-language model for generalizable annotation-free pathology localization</x:v>
      </x:c>
      <x:c r="D6" s="755" t="str">
        <x:v>Include</x:v>
      </x:c>
      <x:c r="E6" s="755" t="str">
        <x:v>Yes</x:v>
      </x:c>
      <x:c r="F6" s="755" t="str">
        <x:v>https://pubmed.ncbi.nlm.nih.gov/41495192/</x:v>
      </x:c>
      <x:c r="G6" s="755" t="str">
        <x:v>https://www.nature.com/articles/s41551-025-01574-7</x:v>
      </x:c>
      <x:c r="H6" s="755" t="str">
        <x:v>Human-confirmed full-text access</x:v>
      </x:c>
      <x:c r="I6" s="755" t="str">
        <x:v>Retrieved — the corresponding author confirmed full-text assessment</x:v>
      </x:c>
      <x:c r="J6" s="755" t="str">
        <x:v>2026-08-17</x:v>
      </x:c>
      <x:c r="K6" s="755" t="str">
        <x:v>The corresponding author confirmed access to and assessment of the complete report. The eligibility rationale was checked against the abstract/official record; see Master Records and Abstract Rationale Audit.</x:v>
      </x:c>
      <x:c r="L6" s="756" t="str">
        <x:v>Preferred unique record after enhanced duplicate control</x:v>
      </x:c>
      <x:c r="M6" t="str">
        <x:v>Include</x:v>
      </x:c>
      <x:c r="N6" s="22" t="str">
        <x:v>Human full-text Include decisions</x:v>
      </x:c>
      <x:c r="O6" s="22" t="n">
        <x:v>109</x:v>
      </x:c>
      <x:c r="P6" s="22" t="str">
        <x:v>Complete</x:v>
      </x:c>
      <x:c r="Q6" s="22" t="str">
        <x:v>109 reports included after human assessment</x:v>
      </x:c>
    </x:row>
    <x:row r="7" ht="40" customHeight="1">
      <x:c r="A7" s="754" t="str">
        <x:v>PM-004</x:v>
      </x:c>
      <x:c r="B7" s="755" t="str">
        <x:v>PubMed</x:v>
      </x:c>
      <x:c r="C7" s="755" t="str">
        <x:v>An Interpretable and Accurate Deep-Learning Diagnosis Framework Modeled With Fully and Semi-Supervised Reciprocal Learning</x:v>
      </x:c>
      <x:c r="D7" s="755" t="str">
        <x:v>Include</x:v>
      </x:c>
      <x:c r="E7" s="755" t="str">
        <x:v>Yes</x:v>
      </x:c>
      <x:c r="F7" s="755" t="str">
        <x:v>https://pubmed.ncbi.nlm.nih.gov/37603481/</x:v>
      </x:c>
      <x:c r="G7" s="755" t="str">
        <x:v>https://ieeexplore.ieee.org/document/10225391/</x:v>
      </x:c>
      <x:c r="H7" s="755" t="str">
        <x:v>Human-confirmed full-text access</x:v>
      </x:c>
      <x:c r="I7" s="755" t="str">
        <x:v>Retrieved — the corresponding author confirmed full-text assessment</x:v>
      </x:c>
      <x:c r="J7" s="755" t="str">
        <x:v>2026-08-17</x:v>
      </x:c>
      <x:c r="K7" s="755" t="str">
        <x:v>The corresponding author confirmed access to and assessment of the complete report. The eligibility rationale was checked against the abstract/official record; see Master Records and Abstract Rationale Audit.</x:v>
      </x:c>
      <x:c r="L7" s="756" t="str">
        <x:v>Preferred unique record after enhanced duplicate control</x:v>
      </x:c>
      <x:c r="M7" t="str">
        <x:v>Include</x:v>
      </x:c>
      <x:c r="N7" s="22" t="str">
        <x:v>Human full-text Exclude decisions</x:v>
      </x:c>
      <x:c r="O7" s="22" t="n">
        <x:v>1</x:v>
      </x:c>
      <x:c r="P7" s="22" t="str">
        <x:v>Complete</x:v>
      </x:c>
      <x:c r="Q7" s="22" t="str">
        <x:v>One exclusion: GS-04-008; primary reason documented</x:v>
      </x:c>
    </x:row>
    <x:row r="8" ht="40" customHeight="1">
      <x:c r="A8" s="754" t="str">
        <x:v>PM-005</x:v>
      </x:c>
      <x:c r="B8" s="755" t="str">
        <x:v>PubMed</x:v>
      </x:c>
      <x:c r="C8" s="755" t="str">
        <x:v>Concept-based AI interpretability in physiological time-series data: Example of abnormality detection in electroencephalography</x:v>
      </x:c>
      <x:c r="D8" s="755" t="str">
        <x:v>Include</x:v>
      </x:c>
      <x:c r="E8" s="755" t="str">
        <x:v>Yes</x:v>
      </x:c>
      <x:c r="F8" s="755" t="str">
        <x:v>https://pubmed.ncbi.nlm.nih.gov/39395304/</x:v>
      </x:c>
      <x:c r="G8" s="755" t="str">
        <x:v>https://www.sciencedirect.com/science/article/pii/S0169260724004413</x:v>
      </x:c>
      <x:c r="H8" s="755" t="str">
        <x:v>Human-confirmed full-text access</x:v>
      </x:c>
      <x:c r="I8" s="755" t="str">
        <x:v>Retrieved — the corresponding author confirmed full-text assessment</x:v>
      </x:c>
      <x:c r="J8" s="755" t="str">
        <x:v>2026-08-17</x:v>
      </x:c>
      <x:c r="K8" s="755" t="str">
        <x:v>The corresponding author confirmed access to and assessment of the complete report. The eligibility rationale was checked against the abstract/official record; see Master Records and Abstract Rationale Audit.</x:v>
      </x:c>
      <x:c r="L8" s="756" t="str">
        <x:v>Preferred unique record after enhanced duplicate control</x:v>
      </x:c>
      <x:c r="M8" t="str">
        <x:v>Include</x:v>
      </x:c>
      <x:c r="N8" s="22" t="str">
        <x:v>Reports not retrieved</x:v>
      </x:c>
      <x:c r="O8" s="22" t="n">
        <x:v>0</x:v>
      </x:c>
      <x:c r="P8" s="22" t="str">
        <x:v>Complete</x:v>
      </x:c>
      <x:c r="Q8" s="22" t="str">
        <x:v>No retrieval shortfall remains</x:v>
      </x:c>
    </x:row>
    <x:row r="9" ht="40" customHeight="1">
      <x:c r="A9" s="754" t="str">
        <x:v>PM-007</x:v>
      </x:c>
      <x:c r="B9" s="755" t="str">
        <x:v>PubMed</x:v>
      </x:c>
      <x:c r="C9" s="755" t="str">
        <x:v>Robust and Interpretable Convolutional Neural Networks to Detect Glaucoma in Optical Coherence Tomography Images</x:v>
      </x:c>
      <x:c r="D9" s="755" t="str">
        <x:v>Include</x:v>
      </x:c>
      <x:c r="E9" s="755" t="str">
        <x:v>Yes</x:v>
      </x:c>
      <x:c r="F9" s="755" t="str">
        <x:v>https://pubmed.ncbi.nlm.nih.gov/33290209/</x:v>
      </x:c>
      <x:c r="G9" s="755" t="str">
        <x:v>https://doi.org/10.1109/TBME.2020.3043215</x:v>
      </x:c>
      <x:c r="H9" s="755" t="str">
        <x:v>Human-confirmed full-text access</x:v>
      </x:c>
      <x:c r="I9" s="755" t="str">
        <x:v>Retrieved — the corresponding author confirmed full-text assessment</x:v>
      </x:c>
      <x:c r="J9" s="755" t="str">
        <x:v>2026-08-17</x:v>
      </x:c>
      <x:c r="K9" s="755" t="str">
        <x:v>The corresponding author confirmed access to and assessment of the complete report. The eligibility rationale was checked against the abstract/official record; see Master Records and Abstract Rationale Audit.</x:v>
      </x:c>
      <x:c r="L9" s="756" t="str">
        <x:v>Preferred unique record after enhanced duplicate control</x:v>
      </x:c>
      <x:c r="M9" t="str">
        <x:v>Include</x:v>
      </x:c>
      <x:c r="N9" s="22" t="str">
        <x:v>Unverifiable artifacts removed</x:v>
      </x:c>
      <x:c r="O9" s="22" t="n">
        <x:v>4</x:v>
      </x:c>
      <x:c r="P9" s="22" t="str">
        <x:v>Audit only</x:v>
      </x:c>
      <x:c r="Q9" s="22" t="str">
        <x:v>Four records remain in the audit trail but outside active counts</x:v>
      </x:c>
    </x:row>
    <x:row r="10" ht="42" customHeight="1">
      <x:c r="A10" s="754" t="str">
        <x:v>PM-008</x:v>
      </x:c>
      <x:c r="B10" s="755" t="str">
        <x:v>PubMed</x:v>
      </x:c>
      <x:c r="C10" s="755" t="str">
        <x:v>Neurosymbolic AI Framework for Explainable Retinal Disease Classification From OCT Images</x:v>
      </x:c>
      <x:c r="D10" s="755" t="str">
        <x:v>Include</x:v>
      </x:c>
      <x:c r="E10" s="755" t="str">
        <x:v>Yes</x:v>
      </x:c>
      <x:c r="F10" s="755" t="str">
        <x:v>https://pubmed.ncbi.nlm.nih.gov/41533847/</x:v>
      </x:c>
      <x:c r="G10" s="755" t="str">
        <x:v>https://tvst.arvojournals.org/article.aspx?articleid=2811318</x:v>
      </x:c>
      <x:c r="H10" s="755" t="str">
        <x:v>Open publisher full text</x:v>
      </x:c>
      <x:c r="I10" s="755" t="str">
        <x:v>Retrieved — full text verified</x:v>
      </x:c>
      <x:c r="J10" s="755" t="str">
        <x:v>2026-08-17</x:v>
      </x:c>
      <x:c r="K10" s="755" t="str">
        <x:v>Complete publisher article verified.</x:v>
      </x:c>
      <x:c r="L10" s="756" t="str">
        <x:v>Preferred unique record after enhanced duplicate control</x:v>
      </x:c>
      <x:c r="M10" t="str">
        <x:v>Include</x:v>
      </x:c>
      <x:c r="N10"/>
      <x:c r="O10"/>
      <x:c r="P10"/>
      <x:c r="Q10"/>
    </x:row>
    <x:row r="11" ht="42" customHeight="1">
      <x:c r="A11" s="754" t="str">
        <x:v>PM-009</x:v>
      </x:c>
      <x:c r="B11" s="755" t="str">
        <x:v>PubMed</x:v>
      </x:c>
      <x:c r="C11" s="755" t="str">
        <x:v>Grounded report generation for enhancing ophthalmic ultrasound interpretation using Vision-Language Segmentation models</x:v>
      </x:c>
      <x:c r="D11" s="755" t="str">
        <x:v>Include</x:v>
      </x:c>
      <x:c r="E11" s="755" t="str">
        <x:v>Yes</x:v>
      </x:c>
      <x:c r="F11" s="755" t="str">
        <x:v>https://pubmed.ncbi.nlm.nih.gov/41484436/</x:v>
      </x:c>
      <x:c r="G11" s="755" t="str">
        <x:v>https://www.nature.com/articles/s41746-025-02300-y</x:v>
      </x:c>
      <x:c r="H11" s="755" t="str">
        <x:v>Open publisher full text</x:v>
      </x:c>
      <x:c r="I11" s="755" t="str">
        <x:v>Retrieved — full text verified</x:v>
      </x:c>
      <x:c r="J11" s="755" t="str">
        <x:v>2026-08-17</x:v>
      </x:c>
      <x:c r="K11" s="755" t="str">
        <x:v>Open-access publisher article and PDF route verified.</x:v>
      </x:c>
      <x:c r="L11" s="756" t="str">
        <x:v>Preferred unique record after enhanced duplicate control</x:v>
      </x:c>
      <x:c r="M11" t="str">
        <x:v>Include</x:v>
      </x:c>
      <x:c r="N11"/>
      <x:c r="O11"/>
      <x:c r="P11"/>
      <x:c r="Q11"/>
    </x:row>
    <x:row r="12" ht="42" customHeight="1">
      <x:c r="A12" s="754" t="str">
        <x:v>PM-012</x:v>
      </x:c>
      <x:c r="B12" s="755" t="str">
        <x:v>PubMed</x:v>
      </x:c>
      <x:c r="C12" s="755" t="str">
        <x:v>Cross- and Intra-Image Prototypical Learning for Multi-Label Disease Diagnosis and Interpretation</x:v>
      </x:c>
      <x:c r="D12" s="755" t="str">
        <x:v>Include</x:v>
      </x:c>
      <x:c r="E12" s="755" t="str">
        <x:v>Yes</x:v>
      </x:c>
      <x:c r="F12" s="755" t="str">
        <x:v>https://pubmed.ncbi.nlm.nih.gov/40036430/</x:v>
      </x:c>
      <x:c r="G12" s="755" t="str">
        <x:v>https://ieeexplore.ieee.org/iel8/42/4359023/10887396.pdf</x:v>
      </x:c>
      <x:c r="H12" s="755" t="str">
        <x:v>Open publisher PDF</x:v>
      </x:c>
      <x:c r="I12" s="755" t="str">
        <x:v>Retrieved — full text verified</x:v>
      </x:c>
      <x:c r="J12" s="755" t="str">
        <x:v>2026-08-17</x:v>
      </x:c>
      <x:c r="K12" s="755" t="str">
        <x:v>Official IEEE complete PDF verified.</x:v>
      </x:c>
      <x:c r="L12" s="756" t="str">
        <x:v>Preferred unique record after enhanced duplicate control</x:v>
      </x:c>
      <x:c r="M12" t="str">
        <x:v>Include</x:v>
      </x:c>
      <x:c r="N12"/>
      <x:c r="O12"/>
      <x:c r="P12"/>
      <x:c r="Q12"/>
    </x:row>
    <x:row r="13" ht="42" customHeight="1">
      <x:c r="A13" s="754" t="str">
        <x:v>PM-016</x:v>
      </x:c>
      <x:c r="B13" s="755" t="str">
        <x:v>PubMed</x:v>
      </x:c>
      <x:c r="C13" s="755" t="str">
        <x:v>An Explainable AI Framework for Corneal Imaging Interpretation and Refractive Surgery Decision Support</x:v>
      </x:c>
      <x:c r="D13" s="755" t="str">
        <x:v>Include</x:v>
      </x:c>
      <x:c r="E13" s="755" t="str">
        <x:v>Yes</x:v>
      </x:c>
      <x:c r="F13" s="755" t="str">
        <x:v>https://pubmed.ncbi.nlm.nih.gov/41301129/</x:v>
      </x:c>
      <x:c r="G13" s="755" t="str">
        <x:v>https://www.mdpi.com/2306-5354/12/11/1174</x:v>
      </x:c>
      <x:c r="H13" s="755" t="str">
        <x:v>Open publisher full text</x:v>
      </x:c>
      <x:c r="I13" s="755" t="str">
        <x:v>Retrieved — full text verified</x:v>
      </x:c>
      <x:c r="J13" s="755" t="str">
        <x:v>2026-08-17</x:v>
      </x:c>
      <x:c r="K13" s="755" t="str">
        <x:v>Open-access MDPI article verified.</x:v>
      </x:c>
      <x:c r="L13" s="756" t="str">
        <x:v>Preferred unique record after enhanced duplicate control</x:v>
      </x:c>
      <x:c r="M13" t="str">
        <x:v>Include</x:v>
      </x:c>
      <x:c r="N13"/>
      <x:c r="O13"/>
      <x:c r="P13"/>
      <x:c r="Q13"/>
    </x:row>
    <x:row r="14" ht="42" customHeight="1">
      <x:c r="A14" s="754" t="str">
        <x:v>PM-017</x:v>
      </x:c>
      <x:c r="B14" s="755" t="str">
        <x:v>PubMed</x:v>
      </x:c>
      <x:c r="C14" s="755" t="str">
        <x:v>Explainable Artificial Intelligence Framework for Predicting Treatment Outcomes in Age-Related Macular Degeneration</x:v>
      </x:c>
      <x:c r="D14" s="755" t="str">
        <x:v>Include</x:v>
      </x:c>
      <x:c r="E14" s="755" t="str">
        <x:v>Yes</x:v>
      </x:c>
      <x:c r="F14" s="755" t="str">
        <x:v>https://pubmed.ncbi.nlm.nih.gov/41305085/</x:v>
      </x:c>
      <x:c r="G14" s="755" t="str">
        <x:v>https://www.mdpi.com/1424-8220/25/22/6879</x:v>
      </x:c>
      <x:c r="H14" s="755" t="str">
        <x:v>Open publisher full text</x:v>
      </x:c>
      <x:c r="I14" s="755" t="str">
        <x:v>Retrieved — full text verified</x:v>
      </x:c>
      <x:c r="J14" s="755" t="str">
        <x:v>2026-08-17</x:v>
      </x:c>
      <x:c r="K14" s="755" t="str">
        <x:v>Open-access MDPI article verified.</x:v>
      </x:c>
      <x:c r="L14" s="756" t="str">
        <x:v>Preferred unique record after enhanced duplicate control</x:v>
      </x:c>
      <x:c r="M14" t="str">
        <x:v>Include</x:v>
      </x:c>
      <x:c r="N14"/>
      <x:c r="O14"/>
      <x:c r="P14"/>
      <x:c r="Q14"/>
    </x:row>
    <x:row r="15" ht="42" customHeight="1">
      <x:c r="A15" s="754" t="str">
        <x:v>PM-018</x:v>
      </x:c>
      <x:c r="B15" s="755" t="str">
        <x:v>PubMed</x:v>
      </x:c>
      <x:c r="C15" s="755" t="str">
        <x:v>Explainable neuro-symbolic artificial intelligence for automated interpretation of corneal topography and early keratoconus detection</x:v>
      </x:c>
      <x:c r="D15" s="755" t="str">
        <x:v>Include</x:v>
      </x:c>
      <x:c r="E15" s="755" t="str">
        <x:v>Yes</x:v>
      </x:c>
      <x:c r="F15" s="755" t="str">
        <x:v>https://pubmed.ncbi.nlm.nih.gov/42052214/</x:v>
      </x:c>
      <x:c r="G15" s="755" t="str">
        <x:v>https://www.frontiersin.org/journals/artificial-intelligence/articles/10.3389/frai.2026.1713747/pdf</x:v>
      </x:c>
      <x:c r="H15" s="755" t="str">
        <x:v>Open publisher PDF</x:v>
      </x:c>
      <x:c r="I15" s="755" t="str">
        <x:v>Retrieved — full text verified</x:v>
      </x:c>
      <x:c r="J15" s="755" t="str">
        <x:v>2026-08-17</x:v>
      </x:c>
      <x:c r="K15" s="755" t="str">
        <x:v>Open-access Frontiers PDF verified.</x:v>
      </x:c>
      <x:c r="L15" s="756" t="str">
        <x:v>Preferred unique record after enhanced duplicate control</x:v>
      </x:c>
      <x:c r="M15" t="str">
        <x:v>Include</x:v>
      </x:c>
      <x:c r="N15"/>
      <x:c r="O15"/>
      <x:c r="P15"/>
      <x:c r="Q15"/>
    </x:row>
    <x:row r="16" ht="42" customHeight="1">
      <x:c r="A16" s="754" t="str">
        <x:v>PM-020</x:v>
      </x:c>
      <x:c r="B16" s="755" t="str">
        <x:v>PubMed</x:v>
      </x:c>
      <x:c r="C16" s="755" t="str">
        <x:v>Compact vision language models enable efficient and interpretable optical coherence tomography through layer-specific multimodal learning</x:v>
      </x:c>
      <x:c r="D16" s="755" t="str">
        <x:v>Include</x:v>
      </x:c>
      <x:c r="E16" s="755" t="str">
        <x:v>Yes</x:v>
      </x:c>
      <x:c r="F16" s="755" t="str">
        <x:v>https://pubmed.ncbi.nlm.nih.gov/41455821/</x:v>
      </x:c>
      <x:c r="G16" s="755" t="str">
        <x:v>https://www.nature.com/articles/s43856-025-01293-9</x:v>
      </x:c>
      <x:c r="H16" s="755" t="str">
        <x:v>Open publisher full text</x:v>
      </x:c>
      <x:c r="I16" s="755" t="str">
        <x:v>Retrieved — full text verified</x:v>
      </x:c>
      <x:c r="J16" s="755" t="str">
        <x:v>2026-08-17</x:v>
      </x:c>
      <x:c r="K16" s="755" t="str">
        <x:v>Open-access publisher article verified.</x:v>
      </x:c>
      <x:c r="L16" s="756" t="str">
        <x:v>Preferred unique record after enhanced duplicate control</x:v>
      </x:c>
      <x:c r="M16" t="str">
        <x:v>Include</x:v>
      </x:c>
      <x:c r="N16"/>
      <x:c r="O16"/>
      <x:c r="P16"/>
      <x:c r="Q16"/>
    </x:row>
    <x:row r="17" ht="42" customHeight="1">
      <x:c r="A17" s="754" t="str">
        <x:v>PM-021</x:v>
      </x:c>
      <x:c r="B17" s="755" t="str">
        <x:v>PubMed</x:v>
      </x:c>
      <x:c r="C17" s="755" t="str">
        <x:v>ORBIT-AMD: Ordinal Risk, Bilateral Imaging, and Trajectory Learning for Age-Related Macular Degeneration in Multi-Cohorts</x:v>
      </x:c>
      <x:c r="D17" s="755" t="str">
        <x:v>Include</x:v>
      </x:c>
      <x:c r="E17" s="755" t="str">
        <x:v>Yes</x:v>
      </x:c>
      <x:c r="F17" s="755" t="str">
        <x:v>https://pubmed.ncbi.nlm.nih.gov/42363829/</x:v>
      </x:c>
      <x:c r="G17" s="755" t="str">
        <x:v>https://advanced.onlinelibrary.wiley.com/doi/10.1002/advs.76361</x:v>
      </x:c>
      <x:c r="H17" s="755" t="str">
        <x:v>Open publisher full text</x:v>
      </x:c>
      <x:c r="I17" s="755" t="str">
        <x:v>Retrieved — full text verified</x:v>
      </x:c>
      <x:c r="J17" s="755" t="str">
        <x:v>2026-08-17</x:v>
      </x:c>
      <x:c r="K17" s="755" t="str">
        <x:v>Open-access Advanced Science article route verified.</x:v>
      </x:c>
      <x:c r="L17" s="756" t="str">
        <x:v>Preferred unique record after enhanced duplicate control</x:v>
      </x:c>
      <x:c r="M17" t="str">
        <x:v>Include</x:v>
      </x:c>
      <x:c r="N17"/>
      <x:c r="O17"/>
      <x:c r="P17"/>
      <x:c r="Q17"/>
    </x:row>
    <x:row r="18" ht="42" customHeight="1">
      <x:c r="A18" s="754" t="str">
        <x:v>PM-024</x:v>
      </x:c>
      <x:c r="B18" s="755" t="str">
        <x:v>PubMed</x:v>
      </x:c>
      <x:c r="C18" s="755" t="str">
        <x:v>Explainable multimodal AI and neuro-symbolic clinical decision support system for chronic eye disease management: a digital health implementation study</x:v>
      </x:c>
      <x:c r="D18" s="755" t="str">
        <x:v>Include</x:v>
      </x:c>
      <x:c r="E18" s="755" t="str">
        <x:v>Yes</x:v>
      </x:c>
      <x:c r="F18" s="755" t="str">
        <x:v>https://pubmed.ncbi.nlm.nih.gov/42495049/</x:v>
      </x:c>
      <x:c r="G18" s="755" t="str">
        <x:v>https://www.frontiersin.org/journals/digital-health/articles/10.3389/fdgth.2026.1836890/full</x:v>
      </x:c>
      <x:c r="H18" s="755" t="str">
        <x:v>Open publisher full text</x:v>
      </x:c>
      <x:c r="I18" s="755" t="str">
        <x:v>Retrieved — full text verified</x:v>
      </x:c>
      <x:c r="J18" s="755" t="str">
        <x:v>2026-08-17</x:v>
      </x:c>
      <x:c r="K18" s="755" t="str">
        <x:v>Open-access Frontiers full text verified.</x:v>
      </x:c>
      <x:c r="L18" s="756" t="str">
        <x:v>Preferred unique record after enhanced duplicate control</x:v>
      </x:c>
      <x:c r="M18" t="str">
        <x:v>Include</x:v>
      </x:c>
      <x:c r="N18"/>
      <x:c r="O18"/>
      <x:c r="P18"/>
      <x:c r="Q18"/>
    </x:row>
    <x:row r="19" ht="42" customHeight="1">
      <x:c r="A19" s="754" t="str">
        <x:v>IEEE-001</x:v>
      </x:c>
      <x:c r="B19" s="755" t="str">
        <x:v>IEEE Xplore</x:v>
      </x:c>
      <x:c r="C19" s="755" t="str">
        <x:v>Case Based Reasoning in Retina Abnormalities Detection</x:v>
      </x:c>
      <x:c r="D19" s="755" t="str">
        <x:v>Include</x:v>
      </x:c>
      <x:c r="E19" s="755" t="str">
        <x:v>Yes</x:v>
      </x:c>
      <x:c r="F19" s="755" t="str">
        <x:v>https://ieeexplore.ieee.org/stamp/stamp.jsp?arnumber=9036318</x:v>
      </x:c>
      <x:c r="G19" s="755" t="str">
        <x:v>https://ieeexplore.ieee.org/iel7/9018167/9036148/09036318.pdf</x:v>
      </x:c>
      <x:c r="H19" s="755" t="str">
        <x:v>Open publisher PDF</x:v>
      </x:c>
      <x:c r="I19" s="755" t="str">
        <x:v>Retrieved — full text verified</x:v>
      </x:c>
      <x:c r="J19" s="755" t="str">
        <x:v>2026-08-17</x:v>
      </x:c>
      <x:c r="K19" s="755" t="str">
        <x:v>Official IEEE complete PDF verified.</x:v>
      </x:c>
      <x:c r="L19" s="756" t="str">
        <x:v>Preferred unique record after enhanced duplicate control</x:v>
      </x:c>
      <x:c r="M19" t="str">
        <x:v>Include</x:v>
      </x:c>
      <x:c r="N19"/>
      <x:c r="O19"/>
      <x:c r="P19"/>
      <x:c r="Q19"/>
    </x:row>
    <x:row r="20" ht="42" customHeight="1">
      <x:c r="A20" s="754" t="str">
        <x:v>IEEE-002</x:v>
      </x:c>
      <x:c r="B20" s="755" t="str">
        <x:v>IEEE Xplore</x:v>
      </x:c>
      <x:c r="C20" s="755" t="str">
        <x:v>Protostage-NET: A Clinically Guided Foundation Model With Prototypical Learni...</x:v>
      </x:c>
      <x:c r="D20" s="755" t="str">
        <x:v>Include</x:v>
      </x:c>
      <x:c r="E20" s="755" t="str">
        <x:v>Yes</x:v>
      </x:c>
      <x:c r="F20" s="755" t="str">
        <x:v>https://ieeexplore.ieee.org/stamp/stamp.jsp?arnumber=11515452</x:v>
      </x:c>
      <x:c r="G20" s="755" t="str">
        <x:v>https://ieeexplore.ieee.org/iel8/11515282/11515297/11515452.pdf</x:v>
      </x:c>
      <x:c r="H20" s="755" t="str">
        <x:v>Open publisher PDF</x:v>
      </x:c>
      <x:c r="I20" s="755" t="str">
        <x:v>Retrieved — full text verified</x:v>
      </x:c>
      <x:c r="J20" s="755" t="str">
        <x:v>2026-08-17</x:v>
      </x:c>
      <x:c r="K20" s="755" t="str">
        <x:v>Official IEEE complete PDF verified.</x:v>
      </x:c>
      <x:c r="L20" s="756" t="str">
        <x:v>Preferred unique record after enhanced duplicate control</x:v>
      </x:c>
      <x:c r="M20" t="str">
        <x:v>Include</x:v>
      </x:c>
      <x:c r="N20"/>
      <x:c r="O20"/>
      <x:c r="P20"/>
      <x:c r="Q20"/>
    </x:row>
    <x:row r="21" ht="42" customHeight="1">
      <x:c r="A21" s="754" t="str">
        <x:v>IEEE-004</x:v>
      </x:c>
      <x:c r="B21" s="755" t="str">
        <x:v>IEEE Xplore</x:v>
      </x:c>
      <x:c r="C21" s="755" t="str">
        <x:v>A Neuro-Symbolic Framework for Automated Glaucoma Detection using Optic Disc-...</x:v>
      </x:c>
      <x:c r="D21" s="755" t="str">
        <x:v>Include</x:v>
      </x:c>
      <x:c r="E21" s="755" t="str">
        <x:v>Yes</x:v>
      </x:c>
      <x:c r="F21" s="755" t="str">
        <x:v>https://ieeexplore.ieee.org/stamp/stamp.jsp?arnumber=11485500</x:v>
      </x:c>
      <x:c r="G21" s="755" t="str">
        <x:v>https://ieeexplore.ieee.org/abstract/document/11485500/</x:v>
      </x:c>
      <x:c r="H21" s="755" t="str">
        <x:v>Human-confirmed full-text access</x:v>
      </x:c>
      <x:c r="I21" s="755" t="str">
        <x:v>Retrieved — the corresponding author confirmed full-text assessment</x:v>
      </x:c>
      <x:c r="J21" s="755" t="str">
        <x:v>2026-08-17</x:v>
      </x:c>
      <x:c r="K21" s="755" t="str">
        <x:v>The corresponding author confirmed access to and assessment of the complete report. The eligibility rationale was checked against the abstract/official record; see Master Records and Abstract Rationale Audit.</x:v>
      </x:c>
      <x:c r="L21" s="756" t="str">
        <x:v>Preferred unique record after enhanced duplicate control</x:v>
      </x:c>
      <x:c r="M21" t="str">
        <x:v>Include</x:v>
      </x:c>
      <x:c r="N21"/>
      <x:c r="O21"/>
      <x:c r="P21"/>
      <x:c r="Q21"/>
    </x:row>
    <x:row r="22" ht="42" customHeight="1">
      <x:c r="A22" s="754" t="str">
        <x:v>IEEE-007</x:v>
      </x:c>
      <x:c r="B22" s="755" t="str">
        <x:v>IEEE Xplore</x:v>
      </x:c>
      <x:c r="C22" s="755" t="str">
        <x:v>Fairness-Aware Multimodal Glaucoma Detection via Neurosymbolic Learning with ...</x:v>
      </x:c>
      <x:c r="D22" s="755" t="str">
        <x:v>Include</x:v>
      </x:c>
      <x:c r="E22" s="755" t="str">
        <x:v>Yes</x:v>
      </x:c>
      <x:c r="F22" s="755" t="str">
        <x:v>https://ieeexplore.ieee.org/stamp/stamp.jsp?arnumber=11607573</x:v>
      </x:c>
      <x:c r="G22" s="755" t="str">
        <x:v>https://doi.org/10.1109/MLISE70044.2026.11607573</x:v>
      </x:c>
      <x:c r="H22" s="755" t="str">
        <x:v>Human-confirmed full-text access</x:v>
      </x:c>
      <x:c r="I22" s="755" t="str">
        <x:v>Retrieved — the corresponding author confirmed full-text assessment</x:v>
      </x:c>
      <x:c r="J22" s="755" t="str">
        <x:v>2026-08-17</x:v>
      </x:c>
      <x:c r="K22" s="755" t="str">
        <x:v>The corresponding author confirmed access to and assessment of the complete report. The eligibility rationale was checked against the abstract/official record; see Master Records and Abstract Rationale Audit.</x:v>
      </x:c>
      <x:c r="L22" s="756" t="str">
        <x:v>Preferred unique record after enhanced duplicate control</x:v>
      </x:c>
      <x:c r="M22" t="str">
        <x:v>Include</x:v>
      </x:c>
      <x:c r="N22"/>
      <x:c r="O22"/>
      <x:c r="P22"/>
      <x:c r="Q22"/>
    </x:row>
    <x:row r="23" ht="42" customHeight="1">
      <x:c r="A23" s="754" t="str">
        <x:v>IEEE-013</x:v>
      </x:c>
      <x:c r="B23" s="755" t="str">
        <x:v>IEEE Xplore</x:v>
      </x:c>
      <x:c r="C23" s="755" t="str">
        <x:v>ProtoD2C2: Prototype-Based Dual-Supervision, Dual-Consistency, and Dual-Contr...</x:v>
      </x:c>
      <x:c r="D23" s="755" t="str">
        <x:v>Include</x:v>
      </x:c>
      <x:c r="E23" s="755" t="str">
        <x:v>Yes</x:v>
      </x:c>
      <x:c r="F23" s="755" t="str">
        <x:v>https://ieeexplore.ieee.org/stamp/stamp.jsp?arnumber=11356061</x:v>
      </x:c>
      <x:c r="G23" s="755" t="str">
        <x:v>https://doi.org/10.1109/BIBM66473.2025.11356061</x:v>
      </x:c>
      <x:c r="H23" s="755" t="str">
        <x:v>Human-confirmed full-text access</x:v>
      </x:c>
      <x:c r="I23" s="755" t="str">
        <x:v>Retrieved — the corresponding author confirmed full-text assessment</x:v>
      </x:c>
      <x:c r="J23" s="755" t="str">
        <x:v>2026-08-17</x:v>
      </x:c>
      <x:c r="K23" s="755" t="str">
        <x:v>The corresponding author confirmed access to and assessment of the complete report. The eligibility rationale was checked against the abstract/official record; see Master Records and Abstract Rationale Audit.</x:v>
      </x:c>
      <x:c r="L23" s="756" t="str">
        <x:v>Preferred unique record after enhanced duplicate control</x:v>
      </x:c>
      <x:c r="M23" t="str">
        <x:v>Include</x:v>
      </x:c>
      <x:c r="N23"/>
      <x:c r="O23"/>
      <x:c r="P23"/>
      <x:c r="Q23"/>
    </x:row>
    <x:row r="24" ht="42" customHeight="1">
      <x:c r="A24" s="754" t="str">
        <x:v>IEEE-019</x:v>
      </x:c>
      <x:c r="B24" s="755" t="str">
        <x:v>IEEE Xplore</x:v>
      </x:c>
      <x:c r="C24" s="755" t="str">
        <x:v>On Interpretability of Deep Learning based Skin Lesion Classifiers using Conc...</x:v>
      </x:c>
      <x:c r="D24" s="755" t="str">
        <x:v>Include</x:v>
      </x:c>
      <x:c r="E24" s="755" t="str">
        <x:v>Yes</x:v>
      </x:c>
      <x:c r="F24" s="755" t="str">
        <x:v>https://ieeexplore.ieee.org/stamp/stamp.jsp?arnumber=9206946</x:v>
      </x:c>
      <x:c r="G24" s="755" t="str">
        <x:v>https://ieeexplore.ieee.org/document/9206946/</x:v>
      </x:c>
      <x:c r="H24" s="755" t="str">
        <x:v>Human-confirmed full-text access</x:v>
      </x:c>
      <x:c r="I24" s="755" t="str">
        <x:v>Retrieved — the corresponding author confirmed full-text assessment</x:v>
      </x:c>
      <x:c r="J24" s="755" t="str">
        <x:v>2026-08-17</x:v>
      </x:c>
      <x:c r="K24" s="755" t="str">
        <x:v>The corresponding author confirmed access to and assessment of the complete report. The eligibility rationale was checked against the abstract/official record; see Master Records and Abstract Rationale Audit.</x:v>
      </x:c>
      <x:c r="L24" s="756" t="str">
        <x:v>Preferred unique record after enhanced duplicate control</x:v>
      </x:c>
      <x:c r="M24" t="str">
        <x:v>Include</x:v>
      </x:c>
      <x:c r="N24"/>
      <x:c r="O24"/>
      <x:c r="P24"/>
      <x:c r="Q24"/>
    </x:row>
    <x:row r="25" ht="42" customHeight="1">
      <x:c r="A25" s="754" t="str">
        <x:v>GS-01-002</x:v>
      </x:c>
      <x:c r="B25" s="755" t="str">
        <x:v>Google Scholar</x:v>
      </x:c>
      <x:c r="C25" s="755" t="str">
        <x:v>Vision-language models guided graph concept reasoning for interpretable diabetic retinopathy diagnosis</x:v>
      </x:c>
      <x:c r="D25" s="755" t="str">
        <x:v>Include</x:v>
      </x:c>
      <x:c r="E25" s="755" t="str">
        <x:v>Yes</x:v>
      </x:c>
      <x:c r="F25" s="755"/>
      <x:c r="G25" s="755" t="str">
        <x:v>https://ojs.aaai.org/index.php/AAAI/article/view/39948/43909</x:v>
      </x:c>
      <x:c r="H25" s="755" t="str">
        <x:v>Open conference PDF</x:v>
      </x:c>
      <x:c r="I25" s="755" t="str">
        <x:v>Retrieved — full text verified</x:v>
      </x:c>
      <x:c r="J25" s="755" t="str">
        <x:v>2026-08-17</x:v>
      </x:c>
      <x:c r="K25" s="755" t="str">
        <x:v>Official AAAI PDF verified.</x:v>
      </x:c>
      <x:c r="L25" s="756" t="str">
        <x:v>Preferred unique record after enhanced duplicate control</x:v>
      </x:c>
      <x:c r="M25" t="str">
        <x:v>Include</x:v>
      </x:c>
      <x:c r="N25"/>
      <x:c r="O25"/>
      <x:c r="P25"/>
      <x:c r="Q25"/>
    </x:row>
    <x:row r="26" ht="42" customHeight="1">
      <x:c r="A26" s="754" t="str">
        <x:v>GS-01-005</x:v>
      </x:c>
      <x:c r="B26" s="755" t="str">
        <x:v>Google Scholar</x:v>
      </x:c>
      <x:c r="C26" s="755" t="str">
        <x:v>Mitigating domain shift in concept bottleneck models for diadatic retinopathy grading via learnable concept projection</x:v>
      </x:c>
      <x:c r="D26" s="755" t="str">
        <x:v>Include</x:v>
      </x:c>
      <x:c r="E26" s="755" t="str">
        <x:v>Yes</x:v>
      </x:c>
      <x:c r="F26" s="755"/>
      <x:c r="G26" s="755" t="str">
        <x:v>https://www.spiedigitallibrary.org/conference-proceedings-of-spie/13928/139280X/Mitigating-domain-shift-in-concept-bottleneck-models-for-diabetic-retinopathy/10.1117/12.3088213.full</x:v>
      </x:c>
      <x:c r="H26" s="755" t="str">
        <x:v>Human-confirmed full-text access</x:v>
      </x:c>
      <x:c r="I26" s="755" t="str">
        <x:v>Retrieved — the corresponding author confirmed full-text assessment</x:v>
      </x:c>
      <x:c r="J26" s="755" t="str">
        <x:v>2026-08-17</x:v>
      </x:c>
      <x:c r="K26" s="755" t="str">
        <x:v>The corresponding author confirmed access to and assessment of the complete report. The eligibility rationale was checked against the abstract/official record; see Master Records and Abstract Rationale Audit.</x:v>
      </x:c>
      <x:c r="L26" s="756" t="str">
        <x:v>Preferred unique record after enhanced duplicate control</x:v>
      </x:c>
      <x:c r="M26" t="str">
        <x:v>Include</x:v>
      </x:c>
      <x:c r="N26"/>
      <x:c r="O26"/>
      <x:c r="P26"/>
      <x:c r="Q26"/>
    </x:row>
    <x:row r="27" ht="42" customHeight="1">
      <x:c r="A27" s="754" t="str">
        <x:v>GS-01-006</x:v>
      </x:c>
      <x:c r="B27" s="755" t="str">
        <x:v>Google Scholar</x:v>
      </x:c>
      <x:c r="C27" s="755" t="str">
        <x:v>Concept-based lesion aware transformer for interpretable retinal disease diagnosis</x:v>
      </x:c>
      <x:c r="D27" s="755" t="str">
        <x:v>Include</x:v>
      </x:c>
      <x:c r="E27" s="755" t="str">
        <x:v>Yes</x:v>
      </x:c>
      <x:c r="F27" s="755"/>
      <x:c r="G27" s="755" t="str">
        <x:v>https://pubmed.ncbi.nlm.nih.gov/39012729/</x:v>
      </x:c>
      <x:c r="H27" s="755" t="str">
        <x:v>Human-confirmed full-text access</x:v>
      </x:c>
      <x:c r="I27" s="755" t="str">
        <x:v>Retrieved — the corresponding author confirmed full-text assessment</x:v>
      </x:c>
      <x:c r="J27" s="755" t="str">
        <x:v>2026-08-17</x:v>
      </x:c>
      <x:c r="K27" s="755" t="str">
        <x:v>The corresponding author confirmed access to and assessment of the complete report. The eligibility rationale was checked against the abstract/official record; see Master Records and Abstract Rationale Audit.</x:v>
      </x:c>
      <x:c r="L27" s="756" t="str">
        <x:v>Preferred unique record after enhanced duplicate control</x:v>
      </x:c>
      <x:c r="M27" t="str">
        <x:v>Include</x:v>
      </x:c>
      <x:c r="N27"/>
      <x:c r="O27"/>
      <x:c r="P27"/>
      <x:c r="Q27"/>
    </x:row>
    <x:row r="28" ht="42" customHeight="1">
      <x:c r="A28" s="754" t="str">
        <x:v>GS-01-007</x:v>
      </x:c>
      <x:c r="B28" s="755" t="str">
        <x:v>Google Scholar</x:v>
      </x:c>
      <x:c r="C28" s="755" t="str">
        <x:v>Adacbm An adaplive concept bottleneck model for explainable and accurate diagnasis</x:v>
      </x:c>
      <x:c r="D28" s="755" t="str">
        <x:v>Include</x:v>
      </x:c>
      <x:c r="E28" s="755" t="str">
        <x:v>Yes</x:v>
      </x:c>
      <x:c r="F28" s="755"/>
      <x:c r="G28" s="755" t="str">
        <x:v>https://arxiv.org/pdf/2408.02001</x:v>
      </x:c>
      <x:c r="H28" s="755" t="str">
        <x:v>Open preprint</x:v>
      </x:c>
      <x:c r="I28" s="755" t="str">
        <x:v>Retrieved — full text verified</x:v>
      </x:c>
      <x:c r="J28" s="755" t="str">
        <x:v>2026-08-17</x:v>
      </x:c>
      <x:c r="K28" s="755" t="str">
        <x:v>Official arXiv complete PDF verified.</x:v>
      </x:c>
      <x:c r="L28" s="756" t="str">
        <x:v>Preferred unique record after enhanced duplicate control</x:v>
      </x:c>
      <x:c r="M28" t="str">
        <x:v>Include</x:v>
      </x:c>
      <x:c r="N28"/>
      <x:c r="O28"/>
      <x:c r="P28"/>
      <x:c r="Q28"/>
    </x:row>
    <x:row r="29" ht="42" customHeight="1">
      <x:c r="A29" s="754" t="str">
        <x:v>GS-01-008</x:v>
      </x:c>
      <x:c r="B29" s="755" t="str">
        <x:v>Google Scholar</x:v>
      </x:c>
      <x:c r="C29" s="755" t="str">
        <x:v>Mvp-cbm: Mult-layer visual preference-enhanced concept bottleneck model for explainable medical image classificatian</x:v>
      </x:c>
      <x:c r="D29" s="755" t="str">
        <x:v>Include</x:v>
      </x:c>
      <x:c r="E29" s="755" t="str">
        <x:v>Yes</x:v>
      </x:c>
      <x:c r="F29" s="755"/>
      <x:c r="G29" s="755" t="str">
        <x:v>https://arxiv.org/pdf/2506.12568</x:v>
      </x:c>
      <x:c r="H29" s="755" t="str">
        <x:v>Open preprint</x:v>
      </x:c>
      <x:c r="I29" s="755" t="str">
        <x:v>Retrieved — full text verified</x:v>
      </x:c>
      <x:c r="J29" s="755" t="str">
        <x:v>2026-08-17</x:v>
      </x:c>
      <x:c r="K29" s="755" t="str">
        <x:v>Official arXiv complete PDF verified.</x:v>
      </x:c>
      <x:c r="L29" s="756" t="str">
        <x:v>Preferred unique record after enhanced duplicate control</x:v>
      </x:c>
      <x:c r="M29" t="str">
        <x:v>Include</x:v>
      </x:c>
      <x:c r="N29"/>
      <x:c r="O29"/>
      <x:c r="P29"/>
      <x:c r="Q29"/>
    </x:row>
    <x:row r="30" ht="42" customHeight="1">
      <x:c r="A30" s="754" t="str">
        <x:v>GS-01-009</x:v>
      </x:c>
      <x:c r="B30" s="755" t="str">
        <x:v>Google Scholar</x:v>
      </x:c>
      <x:c r="C30" s="755" t="str">
        <x:v>Robust and interpretable medical image classifiers via concept bottleneck models</x:v>
      </x:c>
      <x:c r="D30" s="755" t="str">
        <x:v>Include</x:v>
      </x:c>
      <x:c r="E30" s="755" t="str">
        <x:v>Yes</x:v>
      </x:c>
      <x:c r="F30" s="755"/>
      <x:c r="G30" s="755" t="str">
        <x:v>https://arxiv.org/pdf/2310.03182</x:v>
      </x:c>
      <x:c r="H30" s="755" t="str">
        <x:v>Open preprint</x:v>
      </x:c>
      <x:c r="I30" s="755" t="str">
        <x:v>Retrieved — full text verified</x:v>
      </x:c>
      <x:c r="J30" s="755" t="str">
        <x:v>2026-08-17</x:v>
      </x:c>
      <x:c r="K30" s="755" t="str">
        <x:v>Official arXiv complete PDF verified.</x:v>
      </x:c>
      <x:c r="L30" s="756" t="str">
        <x:v>Preferred unique record after enhanced duplicate control</x:v>
      </x:c>
      <x:c r="M30" t="str">
        <x:v>Include</x:v>
      </x:c>
      <x:c r="N30"/>
      <x:c r="O30"/>
      <x:c r="P30"/>
      <x:c r="Q30"/>
    </x:row>
    <x:row r="31" ht="42" customHeight="1">
      <x:c r="A31" s="754" t="str">
        <x:v>GS-01-011</x:v>
      </x:c>
      <x:c r="B31" s="755" t="str">
        <x:v>Google Scholar</x:v>
      </x:c>
      <x:c r="C31" s="755" t="str">
        <x:v>Learning optimal summanies of clinical tme-series with concept bottleneck models</x:v>
      </x:c>
      <x:c r="D31" s="755" t="str">
        <x:v>Include</x:v>
      </x:c>
      <x:c r="E31" s="755" t="str">
        <x:v>Yes</x:v>
      </x:c>
      <x:c r="F31" s="755"/>
      <x:c r="G31" s="755" t="str">
        <x:v>https://proceedings.mlr.press/v182/wu22a/wu22a.pdf</x:v>
      </x:c>
      <x:c r="H31" s="755" t="str">
        <x:v>Open conference PDF</x:v>
      </x:c>
      <x:c r="I31" s="755" t="str">
        <x:v>Retrieved — full text verified</x:v>
      </x:c>
      <x:c r="J31" s="755" t="str">
        <x:v>2026-08-17</x:v>
      </x:c>
      <x:c r="K31" s="755" t="str">
        <x:v>Official PMLR complete PDF verified.</x:v>
      </x:c>
      <x:c r="L31" s="756" t="str">
        <x:v>Preferred unique record after enhanced duplicate control</x:v>
      </x:c>
      <x:c r="M31" t="str">
        <x:v>Include</x:v>
      </x:c>
      <x:c r="N31"/>
      <x:c r="O31"/>
      <x:c r="P31"/>
      <x:c r="Q31"/>
    </x:row>
    <x:row r="32" ht="42" customHeight="1">
      <x:c r="A32" s="754" t="str">
        <x:v>GS-01-017</x:v>
      </x:c>
      <x:c r="B32" s="755" t="str">
        <x:v>Google Scholar</x:v>
      </x:c>
      <x:c r="C32" s="755" t="str">
        <x:v>Spatally Graunded Concept Bottleneck Models for Trustworthy Breast Ultrasound Diagnasis</x:v>
      </x:c>
      <x:c r="D32" s="755" t="str">
        <x:v>Include</x:v>
      </x:c>
      <x:c r="E32" s="755" t="str">
        <x:v>Yes</x:v>
      </x:c>
      <x:c r="F32" s="755"/>
      <x:c r="G32" s="755" t="str">
        <x:v>https://arxiv.org/pdf/2607.20691</x:v>
      </x:c>
      <x:c r="H32" s="755" t="str">
        <x:v>Open preprint</x:v>
      </x:c>
      <x:c r="I32" s="755" t="str">
        <x:v>Retrieved — full text verified</x:v>
      </x:c>
      <x:c r="J32" s="755" t="str">
        <x:v>2026-08-17</x:v>
      </x:c>
      <x:c r="K32" s="755" t="str">
        <x:v>Official arXiv complete PDF verified.</x:v>
      </x:c>
      <x:c r="L32" s="756" t="str">
        <x:v>Preferred unique record after enhanced duplicate control</x:v>
      </x:c>
      <x:c r="M32" t="str">
        <x:v>Include</x:v>
      </x:c>
      <x:c r="N32"/>
      <x:c r="O32"/>
      <x:c r="P32"/>
      <x:c r="Q32"/>
    </x:row>
    <x:row r="33" ht="42" customHeight="1">
      <x:c r="A33" s="754" t="str">
        <x:v>GS-01-021</x:v>
      </x:c>
      <x:c r="B33" s="755" t="str">
        <x:v>Google Scholar</x:v>
      </x:c>
      <x:c r="C33" s="755" t="str">
        <x:v>A concept-based interpretable model for tha diagnosis of choraid necplasias using multimodal data</x:v>
      </x:c>
      <x:c r="D33" s="755" t="str">
        <x:v>Include</x:v>
      </x:c>
      <x:c r="E33" s="755" t="str">
        <x:v>Yes</x:v>
      </x:c>
      <x:c r="F33" s="755"/>
      <x:c r="G33" s="755" t="str">
        <x:v>https://europepmc.org/articles/pmc11994757?pdf=render</x:v>
      </x:c>
      <x:c r="H33" s="755" t="str">
        <x:v>Open repository PDF</x:v>
      </x:c>
      <x:c r="I33" s="755" t="str">
        <x:v>Retrieved — full text verified</x:v>
      </x:c>
      <x:c r="J33" s="755" t="str">
        <x:v>2026-08-17</x:v>
      </x:c>
      <x:c r="K33" s="755" t="str">
        <x:v>Published open-access report verified in Europe PMC/PMC.</x:v>
      </x:c>
      <x:c r="L33" s="756" t="str">
        <x:v>Preferred unique record after enhanced duplicate control</x:v>
      </x:c>
      <x:c r="M33" t="str">
        <x:v>Include</x:v>
      </x:c>
      <x:c r="N33"/>
      <x:c r="O33"/>
      <x:c r="P33"/>
      <x:c r="Q33"/>
    </x:row>
    <x:row r="34" ht="42" customHeight="1">
      <x:c r="A34" s="754" t="str">
        <x:v>GS-01-022</x:v>
      </x:c>
      <x:c r="B34" s="755" t="str">
        <x:v>Google Scholar</x:v>
      </x:c>
      <x:c r="C34" s="755" t="str">
        <x:v>Cancepts from neurons’ Building interpretable medica! image diagnostic models by dissecting opaque neural networks</x:v>
      </x:c>
      <x:c r="D34" s="755" t="str">
        <x:v>Include</x:v>
      </x:c>
      <x:c r="E34" s="755" t="str">
        <x:v>Yes</x:v>
      </x:c>
      <x:c r="F34" s="755"/>
      <x:c r="G34" s="755" t="str">
        <x:v>https://link.springer.com/chapter/10.1007/978-3-031-96625-5_1</x:v>
      </x:c>
      <x:c r="H34" s="755" t="str">
        <x:v>Human-confirmed full-text access</x:v>
      </x:c>
      <x:c r="I34" s="755" t="str">
        <x:v>Retrieved — the corresponding author confirmed full-text assessment</x:v>
      </x:c>
      <x:c r="J34" s="755" t="str">
        <x:v>2026-08-17</x:v>
      </x:c>
      <x:c r="K34" s="755" t="str">
        <x:v>The corresponding author confirmed access to and assessment of the complete report. The eligibility rationale was checked against the abstract/official record; see Master Records and Abstract Rationale Audit.</x:v>
      </x:c>
      <x:c r="L34" s="756" t="str">
        <x:v>Preferred unique record after enhanced duplicate control</x:v>
      </x:c>
      <x:c r="M34" t="str">
        <x:v>Include</x:v>
      </x:c>
      <x:c r="N34"/>
      <x:c r="O34"/>
      <x:c r="P34"/>
      <x:c r="Q34"/>
    </x:row>
    <x:row r="35" ht="42" customHeight="1">
      <x:c r="A35" s="754" t="str">
        <x:v>GS-01-028</x:v>
      </x:c>
      <x:c r="B35" s="755" t="str">
        <x:v>Google Scholar</x:v>
      </x:c>
      <x:c r="C35" s="755" t="str">
        <x:v>Stable visian concept transformers for medical diagnosis</x:v>
      </x:c>
      <x:c r="D35" s="755" t="str">
        <x:v>Include</x:v>
      </x:c>
      <x:c r="E35" s="755" t="str">
        <x:v>Yes</x:v>
      </x:c>
      <x:c r="F35" s="755"/>
      <x:c r="G35" s="755" t="str">
        <x:v>https://arxiv.org/pdf/2506.05286</x:v>
      </x:c>
      <x:c r="H35" s="755" t="str">
        <x:v>Open preprint</x:v>
      </x:c>
      <x:c r="I35" s="755" t="str">
        <x:v>Retrieved — full text verified</x:v>
      </x:c>
      <x:c r="J35" s="755" t="str">
        <x:v>2026-08-17</x:v>
      </x:c>
      <x:c r="K35" s="755" t="str">
        <x:v>Official arXiv complete PDF verified.</x:v>
      </x:c>
      <x:c r="L35" s="756" t="str">
        <x:v>Preferred unique record after enhanced duplicate control</x:v>
      </x:c>
      <x:c r="M35" t="str">
        <x:v>Include</x:v>
      </x:c>
      <x:c r="N35"/>
      <x:c r="O35"/>
      <x:c r="P35"/>
      <x:c r="Q35"/>
    </x:row>
    <x:row r="36" ht="42" customHeight="1">
      <x:c r="A36" s="754" t="str">
        <x:v>GS-01-029</x:v>
      </x:c>
      <x:c r="B36" s="755" t="str">
        <x:v>Google Scholar</x:v>
      </x:c>
      <x:c r="C36" s="755" t="str">
        <x:v>tkTML] CBYLKI Training-free explainable cancept- based large vision lanquage models for medical image classification</x:v>
      </x:c>
      <x:c r="D36" s="755" t="str">
        <x:v>Include</x:v>
      </x:c>
      <x:c r="E36" s="755" t="str">
        <x:v>Yes</x:v>
      </x:c>
      <x:c r="F36" s="755"/>
      <x:c r="G36" s="755" t="str">
        <x:v>https://arxiv.org/pdf/2501.12266</x:v>
      </x:c>
      <x:c r="H36" s="755" t="str">
        <x:v>Open preprint</x:v>
      </x:c>
      <x:c r="I36" s="755" t="str">
        <x:v>Retrieved — full text verified</x:v>
      </x:c>
      <x:c r="J36" s="755" t="str">
        <x:v>2026-08-17</x:v>
      </x:c>
      <x:c r="K36" s="755" t="str">
        <x:v>Official arXiv complete PDF verified.</x:v>
      </x:c>
      <x:c r="L36" s="756" t="str">
        <x:v>Preferred unique record after enhanced duplicate control</x:v>
      </x:c>
      <x:c r="M36" t="str">
        <x:v>Include</x:v>
      </x:c>
      <x:c r="N36"/>
      <x:c r="O36"/>
      <x:c r="P36"/>
      <x:c r="Q36"/>
    </x:row>
    <x:row r="37" ht="42" customHeight="1">
      <x:c r="A37" s="754" t="str">
        <x:v>GS-01-035</x:v>
      </x:c>
      <x:c r="B37" s="755" t="str">
        <x:v>Google Scholar</x:v>
      </x:c>
      <x:c r="C37" s="755" t="str">
        <x:v>Cancept-Aware Adaptive Multimodal Fusion With Knowledge Distillation for Medical Image Diagnosis</x:v>
      </x:c>
      <x:c r="D37" s="755" t="str">
        <x:v>Include</x:v>
      </x:c>
      <x:c r="E37" s="755" t="str">
        <x:v>Yes</x:v>
      </x:c>
      <x:c r="F37" s="755"/>
      <x:c r="G37" s="755" t="str">
        <x:v>https://ieeexplore.ieee.org/iel8/6221020/6363502/11526792.pdf</x:v>
      </x:c>
      <x:c r="H37" s="755" t="str">
        <x:v>Open publisher PDF</x:v>
      </x:c>
      <x:c r="I37" s="755" t="str">
        <x:v>Retrieved — full text verified</x:v>
      </x:c>
      <x:c r="J37" s="755" t="str">
        <x:v>2026-08-17</x:v>
      </x:c>
      <x:c r="K37" s="755" t="str">
        <x:v>Official IEEE complete PDF verified.</x:v>
      </x:c>
      <x:c r="L37" s="756" t="str">
        <x:v>Preferred unique record after enhanced duplicate control</x:v>
      </x:c>
      <x:c r="M37" t="str">
        <x:v>Include</x:v>
      </x:c>
      <x:c r="N37"/>
      <x:c r="O37"/>
      <x:c r="P37"/>
      <x:c r="Q37"/>
    </x:row>
    <x:row r="38" ht="42" customHeight="1">
      <x:c r="A38" s="754" t="str">
        <x:v>GS-01-036</x:v>
      </x:c>
      <x:c r="B38" s="755" t="str">
        <x:v>Google Scholar</x:v>
      </x:c>
      <x:c r="C38" s="755" t="str">
        <x:v>(POF) Can Viston-Language Models Enable More Efficient Concept-Based Learning with Less Supervision for Interpretable Lung Nadule Diagnosis?</x:v>
      </x:c>
      <x:c r="D38" s="755" t="str">
        <x:v>Include</x:v>
      </x:c>
      <x:c r="E38" s="755" t="str">
        <x:v>Yes</x:v>
      </x:c>
      <x:c r="F38" s="755"/>
      <x:c r="G38" s="755" t="str">
        <x:v>https://openreview.net/pdf?id=OyOHg986R5</x:v>
      </x:c>
      <x:c r="H38" s="755" t="str">
        <x:v>Open conference PDF</x:v>
      </x:c>
      <x:c r="I38" s="755" t="str">
        <x:v>Retrieved — full text verified</x:v>
      </x:c>
      <x:c r="J38" s="755" t="str">
        <x:v>2026-08-17</x:v>
      </x:c>
      <x:c r="K38" s="755" t="str">
        <x:v>OpenReview complete PDF verified.</x:v>
      </x:c>
      <x:c r="L38" s="756" t="str">
        <x:v>Preferred unique record after enhanced duplicate control</x:v>
      </x:c>
      <x:c r="M38" t="str">
        <x:v>Include</x:v>
      </x:c>
      <x:c r="N38"/>
      <x:c r="O38"/>
      <x:c r="P38"/>
      <x:c r="Q38"/>
    </x:row>
    <x:row r="39" ht="42" customHeight="1">
      <x:c r="A39" s="754" t="str">
        <x:v>GS-01-037</x:v>
      </x:c>
      <x:c r="B39" s="755" t="str">
        <x:v>Google Scholar</x:v>
      </x:c>
      <x:c r="C39" s="755" t="str">
        <x:v>Training -free test-time improvement for explainable medical image classification</x:v>
      </x:c>
      <x:c r="D39" s="755" t="str">
        <x:v>Include</x:v>
      </x:c>
      <x:c r="E39" s="755" t="str">
        <x:v>Yes</x:v>
      </x:c>
      <x:c r="F39" s="755"/>
      <x:c r="G39" s="755" t="str">
        <x:v>https://arxiv.org/pdf/2506.18070</x:v>
      </x:c>
      <x:c r="H39" s="755" t="str">
        <x:v>Open preprint</x:v>
      </x:c>
      <x:c r="I39" s="755" t="str">
        <x:v>Retrieved — full text verified</x:v>
      </x:c>
      <x:c r="J39" s="755" t="str">
        <x:v>2026-08-17</x:v>
      </x:c>
      <x:c r="K39" s="755" t="str">
        <x:v>Official arXiv complete PDF verified.</x:v>
      </x:c>
      <x:c r="L39" s="756" t="str">
        <x:v>Preferred unique record after enhanced duplicate control</x:v>
      </x:c>
      <x:c r="M39" t="str">
        <x:v>Include</x:v>
      </x:c>
      <x:c r="N39"/>
      <x:c r="O39"/>
      <x:c r="P39"/>
      <x:c r="Q39"/>
    </x:row>
    <x:row r="40" ht="42" customHeight="1">
      <x:c r="A40" s="754" t="str">
        <x:v>GS-01-040</x:v>
      </x:c>
      <x:c r="B40" s="755" t="str">
        <x:v>Google Scholar</x:v>
      </x:c>
      <x:c r="C40" s="755" t="str">
        <x:v>ConceptSMILE’ Auditing the Trustworthiness of Concept-Based Explainable Al</x:v>
      </x:c>
      <x:c r="D40" s="755" t="str">
        <x:v>Include</x:v>
      </x:c>
      <x:c r="E40" s="755" t="str">
        <x:v>Yes</x:v>
      </x:c>
      <x:c r="F40" s="755"/>
      <x:c r="G40" s="755" t="str">
        <x:v>https://arxiv.org/pdf/2607.09649</x:v>
      </x:c>
      <x:c r="H40" s="755" t="str">
        <x:v>Open preprint</x:v>
      </x:c>
      <x:c r="I40" s="755" t="str">
        <x:v>Retrieved — full text verified</x:v>
      </x:c>
      <x:c r="J40" s="755" t="str">
        <x:v>2026-08-17</x:v>
      </x:c>
      <x:c r="K40" s="755" t="str">
        <x:v>Official arXiv complete PDF verified.</x:v>
      </x:c>
      <x:c r="L40" s="756" t="str">
        <x:v>Preferred unique record after enhanced duplicate control</x:v>
      </x:c>
      <x:c r="M40" t="str">
        <x:v>Include</x:v>
      </x:c>
      <x:c r="N40"/>
      <x:c r="O40"/>
      <x:c r="P40"/>
      <x:c r="Q40"/>
    </x:row>
    <x:row r="41" ht="42" customHeight="1">
      <x:c r="A41" s="754" t="str">
        <x:v>GS-01-046</x:v>
      </x:c>
      <x:c r="B41" s="755" t="str">
        <x:v>Google Scholar</x:v>
      </x:c>
      <x:c r="C41" s="755" t="str">
        <x:v>A Concept-based approach to Voice Disorder Detectian</x:v>
      </x:c>
      <x:c r="D41" s="755" t="str">
        <x:v>Include</x:v>
      </x:c>
      <x:c r="E41" s="755" t="str">
        <x:v>Yes</x:v>
      </x:c>
      <x:c r="F41" s="755"/>
      <x:c r="G41" s="755" t="str">
        <x:v>https://arxiv.org/pdf/2507.17799</x:v>
      </x:c>
      <x:c r="H41" s="755" t="str">
        <x:v>Open preprint</x:v>
      </x:c>
      <x:c r="I41" s="755" t="str">
        <x:v>Retrieved — full text verified</x:v>
      </x:c>
      <x:c r="J41" s="755" t="str">
        <x:v>2026-08-17</x:v>
      </x:c>
      <x:c r="K41" s="755" t="str">
        <x:v>Official arXiv complete PDF verified.</x:v>
      </x:c>
      <x:c r="L41" s="756" t="str">
        <x:v>Preferred unique record after enhanced duplicate control</x:v>
      </x:c>
      <x:c r="M41" t="str">
        <x:v>Include</x:v>
      </x:c>
      <x:c r="N41"/>
      <x:c r="O41"/>
      <x:c r="P41"/>
      <x:c r="Q41"/>
    </x:row>
    <x:row r="42" ht="42" customHeight="1">
      <x:c r="A42" s="754" t="str">
        <x:v>GS-01-048</x:v>
      </x:c>
      <x:c r="B42" s="755" t="str">
        <x:v>Google Scholar</x:v>
      </x:c>
      <x:c r="C42" s="755" t="str">
        <x:v>CONAN CONcept-Onented ANomaly Detector far Interpretable Zero-Shot Detection</x:v>
      </x:c>
      <x:c r="D42" s="755" t="str">
        <x:v>Include</x:v>
      </x:c>
      <x:c r="E42" s="755" t="str">
        <x:v>Yes</x:v>
      </x:c>
      <x:c r="F42" s="755"/>
      <x:c r="G42" s="755" t="str">
        <x:v>https://link.springer.com/10.1007/978-981-92-1947-6_44</x:v>
      </x:c>
      <x:c r="H42" s="755" t="str">
        <x:v>Human-confirmed full-text access</x:v>
      </x:c>
      <x:c r="I42" s="755" t="str">
        <x:v>Retrieved — the corresponding author confirmed full-text assessment</x:v>
      </x:c>
      <x:c r="J42" s="755" t="str">
        <x:v>2026-08-17</x:v>
      </x:c>
      <x:c r="K42" s="755" t="str">
        <x:v>The corresponding author confirmed access to and assessment of the complete report. The eligibility rationale was checked against the abstract/official record; see Master Records and Abstract Rationale Audit.</x:v>
      </x:c>
      <x:c r="L42" s="756" t="str">
        <x:v>Preferred unique record after enhanced duplicate control</x:v>
      </x:c>
      <x:c r="M42" t="str">
        <x:v>Include</x:v>
      </x:c>
      <x:c r="N42"/>
      <x:c r="O42"/>
      <x:c r="P42"/>
      <x:c r="Q42"/>
    </x:row>
    <x:row r="43" ht="42" customHeight="1">
      <x:c r="A43" s="754" t="str">
        <x:v>GS-01-050</x:v>
      </x:c>
      <x:c r="B43" s="755" t="str">
        <x:v>Google Scholar</x:v>
      </x:c>
      <x:c r="C43" s="755" t="str">
        <x:v>NeRD Neuro-Sympbalic Rute Distillation for Efficient Ontology-Grounded Chain- of-Thougnht in Medical image Diagnosis</x:v>
      </x:c>
      <x:c r="D43" s="755" t="str">
        <x:v>Include</x:v>
      </x:c>
      <x:c r="E43" s="755" t="str">
        <x:v>Yes</x:v>
      </x:c>
      <x:c r="F43" s="755"/>
      <x:c r="G43" s="755" t="str">
        <x:v>https://arxiv.org/pdf/2606.15617</x:v>
      </x:c>
      <x:c r="H43" s="755" t="str">
        <x:v>Open preprint</x:v>
      </x:c>
      <x:c r="I43" s="755" t="str">
        <x:v>Retrieved — full text verified</x:v>
      </x:c>
      <x:c r="J43" s="755" t="str">
        <x:v>2026-08-17</x:v>
      </x:c>
      <x:c r="K43" s="755" t="str">
        <x:v>Official arXiv complete PDF verified.</x:v>
      </x:c>
      <x:c r="L43" s="756" t="str">
        <x:v>Preferred unique record after enhanced duplicate control</x:v>
      </x:c>
      <x:c r="M43" t="str">
        <x:v>Include</x:v>
      </x:c>
      <x:c r="N43"/>
      <x:c r="O43"/>
      <x:c r="P43"/>
      <x:c r="Q43"/>
    </x:row>
    <x:row r="44" ht="42" customHeight="1">
      <x:c r="A44" s="754" t="str">
        <x:v>GS-01-052</x:v>
      </x:c>
      <x:c r="B44" s="755" t="str">
        <x:v>Google Scholar</x:v>
      </x:c>
      <x:c r="C44" s="755" t="str">
        <x:v>ViConEx-Med: Visual Concept Explainability via Multi-Concept Token Transformer for Medical Image Analysis</x:v>
      </x:c>
      <x:c r="D44" s="755" t="str">
        <x:v>Include</x:v>
      </x:c>
      <x:c r="E44" s="755" t="str">
        <x:v>Yes</x:v>
      </x:c>
      <x:c r="F44" s="755"/>
      <x:c r="G44" s="755" t="str">
        <x:v>https://arxiv.org/pdf/2510.10174</x:v>
      </x:c>
      <x:c r="H44" s="755" t="str">
        <x:v>Open preprint</x:v>
      </x:c>
      <x:c r="I44" s="755" t="str">
        <x:v>Retrieved — full text verified</x:v>
      </x:c>
      <x:c r="J44" s="755" t="str">
        <x:v>2026-08-17</x:v>
      </x:c>
      <x:c r="K44" s="755" t="str">
        <x:v>Official arXiv complete PDF verified.</x:v>
      </x:c>
      <x:c r="L44" s="756" t="str">
        <x:v>Preferred unique record after enhanced duplicate control</x:v>
      </x:c>
      <x:c r="M44" t="str">
        <x:v>Include</x:v>
      </x:c>
      <x:c r="N44"/>
      <x:c r="O44"/>
      <x:c r="P44"/>
      <x:c r="Q44"/>
    </x:row>
    <x:row r="45" ht="42" customHeight="1">
      <x:c r="A45" s="754" t="str">
        <x:v>GS-01-054</x:v>
      </x:c>
      <x:c r="B45" s="755" t="str">
        <x:v>Google Scholar</x:v>
      </x:c>
      <x:c r="C45" s="755" t="str">
        <x:v>XDR-LVLM: An explainable vision-language large model for diabstic retinopathy diagnosis</x:v>
      </x:c>
      <x:c r="D45" s="755" t="str">
        <x:v>Include</x:v>
      </x:c>
      <x:c r="E45" s="755" t="str">
        <x:v>Yes</x:v>
      </x:c>
      <x:c r="F45" s="755"/>
      <x:c r="G45" s="755" t="str">
        <x:v>https://arxiv.org/pdf/2508.15168</x:v>
      </x:c>
      <x:c r="H45" s="755" t="str">
        <x:v>Open preprint</x:v>
      </x:c>
      <x:c r="I45" s="755" t="str">
        <x:v>Retrieved — full text verified</x:v>
      </x:c>
      <x:c r="J45" s="755" t="str">
        <x:v>2026-08-17</x:v>
      </x:c>
      <x:c r="K45" s="755" t="str">
        <x:v>Official arXiv complete PDF verified.</x:v>
      </x:c>
      <x:c r="L45" s="756" t="str">
        <x:v>Preferred unique record after enhanced duplicate control</x:v>
      </x:c>
      <x:c r="M45" t="str">
        <x:v>Include</x:v>
      </x:c>
      <x:c r="N45"/>
      <x:c r="O45"/>
      <x:c r="P45"/>
      <x:c r="Q45"/>
    </x:row>
    <x:row r="46" ht="42" customHeight="1">
      <x:c r="A46" s="754" t="str">
        <x:v>GS-01-055</x:v>
      </x:c>
      <x:c r="B46" s="755" t="str">
        <x:v>Google Scholar</x:v>
      </x:c>
      <x:c r="C46" s="755" t="str">
        <x:v>Explainability through human-centric design for XAl in lung cancer detection</x:v>
      </x:c>
      <x:c r="D46" s="755" t="str">
        <x:v>Include</x:v>
      </x:c>
      <x:c r="E46" s="755" t="str">
        <x:v>Yes</x:v>
      </x:c>
      <x:c r="F46" s="755"/>
      <x:c r="G46" s="755" t="str">
        <x:v>https://arxiv.org/pdf/2505.09755</x:v>
      </x:c>
      <x:c r="H46" s="755" t="str">
        <x:v>Open preprint</x:v>
      </x:c>
      <x:c r="I46" s="755" t="str">
        <x:v>Retrieved — full text verified</x:v>
      </x:c>
      <x:c r="J46" s="755" t="str">
        <x:v>2026-08-17</x:v>
      </x:c>
      <x:c r="K46" s="755" t="str">
        <x:v>Official arXiv complete PDF verified.</x:v>
      </x:c>
      <x:c r="L46" s="756" t="str">
        <x:v>Preferred unique record after enhanced duplicate control</x:v>
      </x:c>
      <x:c r="M46" t="str">
        <x:v>Include</x:v>
      </x:c>
      <x:c r="N46"/>
      <x:c r="O46"/>
      <x:c r="P46"/>
      <x:c r="Q46"/>
    </x:row>
    <x:row r="47" ht="42" customHeight="1">
      <x:c r="A47" s="754" t="str">
        <x:v>GS-01-056</x:v>
      </x:c>
      <x:c r="B47" s="755" t="str">
        <x:v>Google Scholar</x:v>
      </x:c>
      <x:c r="C47" s="755" t="str">
        <x:v>Sem)-Supervised Concept Infused Pseudo-Label Refining For Interpretable Olabetic Retinopathy Grading</x:v>
      </x:c>
      <x:c r="D47" s="755" t="str">
        <x:v>Include</x:v>
      </x:c>
      <x:c r="E47" s="755" t="str">
        <x:v>Yes</x:v>
      </x:c>
      <x:c r="F47" s="755"/>
      <x:c r="G47" s="755" t="str">
        <x:v>https://ieeexplore.ieee.org/iel8/11460365/11460314/11462792.pdf</x:v>
      </x:c>
      <x:c r="H47" s="755" t="str">
        <x:v>Open publisher PDF</x:v>
      </x:c>
      <x:c r="I47" s="755" t="str">
        <x:v>Retrieved — full text verified</x:v>
      </x:c>
      <x:c r="J47" s="755" t="str">
        <x:v>2026-08-17</x:v>
      </x:c>
      <x:c r="K47" s="755" t="str">
        <x:v>Official IEEE complete PDF verified.</x:v>
      </x:c>
      <x:c r="L47" s="756" t="str">
        <x:v>Preferred unique record after enhanced duplicate control</x:v>
      </x:c>
      <x:c r="M47" t="str">
        <x:v>Include</x:v>
      </x:c>
      <x:c r="N47"/>
      <x:c r="O47"/>
      <x:c r="P47"/>
      <x:c r="Q47"/>
    </x:row>
    <x:row r="48" ht="42" customHeight="1">
      <x:c r="A48" s="754" t="str">
        <x:v>GS-01-058</x:v>
      </x:c>
      <x:c r="B48" s="755" t="str">
        <x:v>Google Scholar</x:v>
      </x:c>
      <x:c r="C48" s="755" t="str">
        <x:v>Open-Linguistic Concept Unified Learning for Cross-Site Interpretable Dermatolagy Image Diagnosis</x:v>
      </x:c>
      <x:c r="D48" s="755" t="str">
        <x:v>Include</x:v>
      </x:c>
      <x:c r="E48" s="755" t="str">
        <x:v>Yes</x:v>
      </x:c>
      <x:c r="F48" s="755"/>
      <x:c r="G48" s="755" t="str">
        <x:v>https://arxiv.org/pdf/2608.03225</x:v>
      </x:c>
      <x:c r="H48" s="755" t="str">
        <x:v>Open preprint</x:v>
      </x:c>
      <x:c r="I48" s="755" t="str">
        <x:v>Retrieved — full text verified</x:v>
      </x:c>
      <x:c r="J48" s="755" t="str">
        <x:v>2026-08-17</x:v>
      </x:c>
      <x:c r="K48" s="755" t="str">
        <x:v>Official arXiv complete PDF verified.</x:v>
      </x:c>
      <x:c r="L48" s="756" t="str">
        <x:v>Preferred unique record after enhanced duplicate control</x:v>
      </x:c>
      <x:c r="M48" t="str">
        <x:v>Include</x:v>
      </x:c>
      <x:c r="N48"/>
      <x:c r="O48"/>
      <x:c r="P48"/>
      <x:c r="Q48"/>
    </x:row>
    <x:row r="49" ht="42" customHeight="1">
      <x:c r="A49" s="754" t="str">
        <x:v>GS-01-062</x:v>
      </x:c>
      <x:c r="B49" s="755" t="str">
        <x:v>Google Scholar</x:v>
      </x:c>
      <x:c r="C49" s="755" t="str">
        <x:v>Aligning human knowledge with visual concepts towards explainable medical Image classification</x:v>
      </x:c>
      <x:c r="D49" s="755" t="str">
        <x:v>Include</x:v>
      </x:c>
      <x:c r="E49" s="755" t="str">
        <x:v>Yes</x:v>
      </x:c>
      <x:c r="F49" s="755"/>
      <x:c r="G49" s="755" t="str">
        <x:v>https://arxiv.org/pdf/2406.05596</x:v>
      </x:c>
      <x:c r="H49" s="755" t="str">
        <x:v>Open preprint</x:v>
      </x:c>
      <x:c r="I49" s="755" t="str">
        <x:v>Retrieved — full text verified</x:v>
      </x:c>
      <x:c r="J49" s="755" t="str">
        <x:v>2026-08-17</x:v>
      </x:c>
      <x:c r="K49" s="755" t="str">
        <x:v>Official arXiv complete PDF verified.</x:v>
      </x:c>
      <x:c r="L49" s="756" t="str">
        <x:v>Preferred unique record after enhanced duplicate control</x:v>
      </x:c>
      <x:c r="M49" t="str">
        <x:v>Include</x:v>
      </x:c>
      <x:c r="N49"/>
      <x:c r="O49"/>
      <x:c r="P49"/>
      <x:c r="Q49"/>
    </x:row>
    <x:row r="50" ht="42" customHeight="1">
      <x:c r="A50" s="754" t="str">
        <x:v>GS-01-063</x:v>
      </x:c>
      <x:c r="B50" s="755" t="str">
        <x:v>Google Scholar</x:v>
      </x:c>
      <x:c r="C50" s="755" t="str">
        <x:v>interpretable Neuropsychiatric Diagnosis via Concept-Guided Graph Neural Networks</x:v>
      </x:c>
      <x:c r="D50" s="755" t="str">
        <x:v>Include</x:v>
      </x:c>
      <x:c r="E50" s="755" t="str">
        <x:v>Yes</x:v>
      </x:c>
      <x:c r="F50" s="755"/>
      <x:c r="G50" s="755" t="str">
        <x:v>https://arxiv.org/pdf/2510.03351</x:v>
      </x:c>
      <x:c r="H50" s="755" t="str">
        <x:v>Open preprint</x:v>
      </x:c>
      <x:c r="I50" s="755" t="str">
        <x:v>Retrieved — full text verified</x:v>
      </x:c>
      <x:c r="J50" s="755" t="str">
        <x:v>2026-08-17</x:v>
      </x:c>
      <x:c r="K50" s="755" t="str">
        <x:v>Official arXiv complete PDF verified.</x:v>
      </x:c>
      <x:c r="L50" s="756" t="str">
        <x:v>Preferred unique record after enhanced duplicate control</x:v>
      </x:c>
      <x:c r="M50" t="str">
        <x:v>Include</x:v>
      </x:c>
      <x:c r="N50"/>
      <x:c r="O50"/>
      <x:c r="P50"/>
      <x:c r="Q50"/>
    </x:row>
    <x:row r="51" ht="42" customHeight="1">
      <x:c r="A51" s="754" t="str">
        <x:v>GS-01-064</x:v>
      </x:c>
      <x:c r="B51" s="755" t="str">
        <x:v>Google Scholar</x:v>
      </x:c>
      <x:c r="C51" s="755" t="str">
        <x:v>AMD-AgentDx Transparent Agentic Al Framework on Consumer Electronics for Specialist-Comparable Multimodal Diagnosis</x:v>
      </x:c>
      <x:c r="D51" s="755" t="str">
        <x:v>Removed during verification</x:v>
      </x:c>
      <x:c r="E51" s="755" t="str">
        <x:v>No</x:v>
      </x:c>
      <x:c r="F51" s="755"/>
      <x:c r="G51" s="755"/>
      <x:c r="H51" s="755" t="str">
        <x:v>Removed from active review set</x:v>
      </x:c>
      <x:c r="I51" s="755" t="str">
        <x:v>Removed — unverifiable bibliographic artifact</x:v>
      </x:c>
      <x:c r="J51" s="755" t="str">
        <x:v>2026-08-17</x:v>
      </x:c>
      <x:c r="K51" s="755" t="str">
        <x:v>Removed during bibliographic verification: the screenshot/OCR-derived title could not be matched to an authoritative scholarly record. Retained only in the audit trail and excluded from all active denominators.</x:v>
      </x:c>
      <x:c r="L51" s="756" t="str">
        <x:v>Excluded from active counts; retained only for reproducible audit.</x:v>
      </x:c>
      <x:c r="M51" t="str">
        <x:v>Removed — invalid record</x:v>
      </x:c>
      <x:c r="N51"/>
      <x:c r="O51"/>
      <x:c r="P51"/>
      <x:c r="Q51"/>
    </x:row>
    <x:row r="52" ht="42" customHeight="1">
      <x:c r="A52" s="754" t="str">
        <x:v>GS-01-071</x:v>
      </x:c>
      <x:c r="B52" s="755" t="str">
        <x:v>Google Scholar</x:v>
      </x:c>
      <x:c r="C52" s="755" t="str">
        <x:v>Aligning Characteristic Descriptors with Images for Human-Expert-like Explainability</x:v>
      </x:c>
      <x:c r="D52" s="755" t="str">
        <x:v>Include</x:v>
      </x:c>
      <x:c r="E52" s="755" t="str">
        <x:v>Yes</x:v>
      </x:c>
      <x:c r="F52" s="755"/>
      <x:c r="G52" s="755" t="str">
        <x:v>https://arxiv.org/pdf/2411.04008</x:v>
      </x:c>
      <x:c r="H52" s="755" t="str">
        <x:v>Open preprint</x:v>
      </x:c>
      <x:c r="I52" s="755" t="str">
        <x:v>Retrieved — full text verified</x:v>
      </x:c>
      <x:c r="J52" s="755" t="str">
        <x:v>2026-08-17</x:v>
      </x:c>
      <x:c r="K52" s="755" t="str">
        <x:v>Official arXiv complete PDF verified.</x:v>
      </x:c>
      <x:c r="L52" s="756" t="str">
        <x:v>Preferred unique record after enhanced duplicate control</x:v>
      </x:c>
      <x:c r="M52" t="str">
        <x:v>Include</x:v>
      </x:c>
      <x:c r="N52"/>
      <x:c r="O52"/>
      <x:c r="P52"/>
      <x:c r="Q52"/>
    </x:row>
    <x:row r="53" ht="42" customHeight="1">
      <x:c r="A53" s="754" t="str">
        <x:v>GS-01-072</x:v>
      </x:c>
      <x:c r="B53" s="755" t="str">
        <x:v>Google Scholar</x:v>
      </x:c>
      <x:c r="C53" s="755" t="str">
        <x:v>SketchXplain Intuitive Visual Explanations of Image Classifiers with Sketches</x:v>
      </x:c>
      <x:c r="D53" s="755" t="str">
        <x:v>Removed during verification</x:v>
      </x:c>
      <x:c r="E53" s="755" t="str">
        <x:v>No</x:v>
      </x:c>
      <x:c r="F53" s="755"/>
      <x:c r="G53" s="755"/>
      <x:c r="H53" s="755" t="str">
        <x:v>Removed from active review set</x:v>
      </x:c>
      <x:c r="I53" s="755" t="str">
        <x:v>Removed — unverifiable bibliographic artifact</x:v>
      </x:c>
      <x:c r="J53" s="755" t="str">
        <x:v>2026-08-17</x:v>
      </x:c>
      <x:c r="K53" s="755" t="str">
        <x:v>Removed during bibliographic verification: the screenshot/OCR-derived title could not be matched to an authoritative scholarly record. Retained only in the audit trail and excluded from all active denominators.</x:v>
      </x:c>
      <x:c r="L53" s="756" t="str">
        <x:v>Excluded from active counts; retained only for reproducible audit.</x:v>
      </x:c>
      <x:c r="M53" t="str">
        <x:v>Removed — invalid record</x:v>
      </x:c>
      <x:c r="N53"/>
      <x:c r="O53"/>
      <x:c r="P53"/>
      <x:c r="Q53"/>
    </x:row>
    <x:row r="54" ht="42" customHeight="1">
      <x:c r="A54" s="754" t="str">
        <x:v>GS-01-076</x:v>
      </x:c>
      <x:c r="B54" s="755" t="str">
        <x:v>Google Scholar</x:v>
      </x:c>
      <x:c r="C54" s="755" t="str">
        <x:v>Naming the Concepts Classifiers Rely On Lanquage-Anchared Decomposition for Faithful Explanation</x:v>
      </x:c>
      <x:c r="D54" s="755" t="str">
        <x:v>Include</x:v>
      </x:c>
      <x:c r="E54" s="755" t="str">
        <x:v>Yes</x:v>
      </x:c>
      <x:c r="F54" s="755"/>
      <x:c r="G54" s="755" t="str">
        <x:v>https://arxiv.org/pdf/2607.07264</x:v>
      </x:c>
      <x:c r="H54" s="755" t="str">
        <x:v>Open preprint</x:v>
      </x:c>
      <x:c r="I54" s="755" t="str">
        <x:v>Retrieved — full text verified</x:v>
      </x:c>
      <x:c r="J54" s="755" t="str">
        <x:v>2026-08-17</x:v>
      </x:c>
      <x:c r="K54" s="755" t="str">
        <x:v>Official arXiv complete PDF verified.</x:v>
      </x:c>
      <x:c r="L54" s="756" t="str">
        <x:v>Preferred unique record after enhanced duplicate control</x:v>
      </x:c>
      <x:c r="M54" t="str">
        <x:v>Include</x:v>
      </x:c>
      <x:c r="N54"/>
      <x:c r="O54"/>
      <x:c r="P54"/>
      <x:c r="Q54"/>
    </x:row>
    <x:row r="55" ht="42" customHeight="1">
      <x:c r="A55" s="754" t="str">
        <x:v>GS-01-078</x:v>
      </x:c>
      <x:c r="B55" s="755" t="str">
        <x:v>Google Scholar</x:v>
      </x:c>
      <x:c r="C55" s="755" t="str">
        <x:v>A Tool Bottleneck Framework for Clinically-Informed and Interpretable Medical (mage Understanding</x:v>
      </x:c>
      <x:c r="D55" s="755" t="str">
        <x:v>Include</x:v>
      </x:c>
      <x:c r="E55" s="755" t="str">
        <x:v>Yes</x:v>
      </x:c>
      <x:c r="F55" s="755"/>
      <x:c r="G55" s="755" t="str">
        <x:v>https://arxiv.org/pdf/2512.21414</x:v>
      </x:c>
      <x:c r="H55" s="755" t="str">
        <x:v>Open preprint</x:v>
      </x:c>
      <x:c r="I55" s="755" t="str">
        <x:v>Retrieved — full text verified</x:v>
      </x:c>
      <x:c r="J55" s="755" t="str">
        <x:v>2026-08-17</x:v>
      </x:c>
      <x:c r="K55" s="755" t="str">
        <x:v>Official arXiv complete PDF verified.</x:v>
      </x:c>
      <x:c r="L55" s="756" t="str">
        <x:v>Preferred unique record after enhanced duplicate control</x:v>
      </x:c>
      <x:c r="M55" t="str">
        <x:v>Include</x:v>
      </x:c>
      <x:c r="N55"/>
      <x:c r="O55"/>
      <x:c r="P55"/>
      <x:c r="Q55"/>
    </x:row>
    <x:row r="56" ht="42" customHeight="1">
      <x:c r="A56" s="754" t="str">
        <x:v>GS-01-088</x:v>
      </x:c>
      <x:c r="B56" s="755" t="str">
        <x:v>Google Scholar</x:v>
      </x:c>
      <x:c r="C56" s="755" t="str">
        <x:v>An explainable biamedical foundation model via large-scale concept-enhanced vision-language pre-training</x:v>
      </x:c>
      <x:c r="D56" s="755" t="str">
        <x:v>Include</x:v>
      </x:c>
      <x:c r="E56" s="755" t="str">
        <x:v>Yes</x:v>
      </x:c>
      <x:c r="F56" s="755"/>
      <x:c r="G56" s="755" t="str">
        <x:v>https://arxiv.org/pdf/2501.15579</x:v>
      </x:c>
      <x:c r="H56" s="755" t="str">
        <x:v>Open preprint</x:v>
      </x:c>
      <x:c r="I56" s="755" t="str">
        <x:v>Retrieved — full text verified</x:v>
      </x:c>
      <x:c r="J56" s="755" t="str">
        <x:v>2026-08-17</x:v>
      </x:c>
      <x:c r="K56" s="755" t="str">
        <x:v>Official arXiv complete PDF verified.</x:v>
      </x:c>
      <x:c r="L56" s="756" t="str">
        <x:v>Preferred unique record after enhanced duplicate control</x:v>
      </x:c>
      <x:c r="M56" t="str">
        <x:v>Include</x:v>
      </x:c>
      <x:c r="N56"/>
      <x:c r="O56"/>
      <x:c r="P56"/>
      <x:c r="Q56"/>
    </x:row>
    <x:row r="57" ht="42" customHeight="1">
      <x:c r="A57" s="754" t="str">
        <x:v>GS-01-089</x:v>
      </x:c>
      <x:c r="B57" s="755" t="str">
        <x:v>Google Scholar</x:v>
      </x:c>
      <x:c r="C57" s="755" t="str">
        <x:v>ConVLM: Concept-Guided Vision-Language Models for Exptainable Dermatological Diagnosis</x:v>
      </x:c>
      <x:c r="D57" s="755" t="str">
        <x:v>Include</x:v>
      </x:c>
      <x:c r="E57" s="755" t="str">
        <x:v>Yes</x:v>
      </x:c>
      <x:c r="F57" s="755"/>
      <x:c r="G57" s="755" t="str">
        <x:v>https://engrxiv.org/preprint/download/5064/8610/7159</x:v>
      </x:c>
      <x:c r="H57" s="755" t="str">
        <x:v>Open preprint PDF</x:v>
      </x:c>
      <x:c r="I57" s="755" t="str">
        <x:v>Retrieved — full text verified</x:v>
      </x:c>
      <x:c r="J57" s="755" t="str">
        <x:v>2026-08-17</x:v>
      </x:c>
      <x:c r="K57" s="755" t="str">
        <x:v>Complete EngrXiv preprint PDF verified.</x:v>
      </x:c>
      <x:c r="L57" s="756" t="str">
        <x:v>Preferred unique record after enhanced duplicate control</x:v>
      </x:c>
      <x:c r="M57" t="str">
        <x:v>Include</x:v>
      </x:c>
      <x:c r="N57"/>
      <x:c r="O57"/>
      <x:c r="P57"/>
      <x:c r="Q57"/>
    </x:row>
    <x:row r="58" ht="42" customHeight="1">
      <x:c r="A58" s="754" t="str">
        <x:v>GS-01-096</x:v>
      </x:c>
      <x:c r="B58" s="755" t="str">
        <x:v>Google Scholar</x:v>
      </x:c>
      <x:c r="C58" s="755" t="str">
        <x:v>AC-MIL Weakly Supervised Atrial LGE-MRI Quality Assessment via Adversarial Concept Disentanglement</x:v>
      </x:c>
      <x:c r="D58" s="755" t="str">
        <x:v>Include</x:v>
      </x:c>
      <x:c r="E58" s="755" t="str">
        <x:v>Yes</x:v>
      </x:c>
      <x:c r="F58" s="755"/>
      <x:c r="G58" s="755" t="str">
        <x:v>https://arxiv.org/pdf/2604.10303</x:v>
      </x:c>
      <x:c r="H58" s="755" t="str">
        <x:v>Open preprint</x:v>
      </x:c>
      <x:c r="I58" s="755" t="str">
        <x:v>Retrieved — full text verified</x:v>
      </x:c>
      <x:c r="J58" s="755" t="str">
        <x:v>2026-08-17</x:v>
      </x:c>
      <x:c r="K58" s="755" t="str">
        <x:v>Official arXiv complete PDF verified.</x:v>
      </x:c>
      <x:c r="L58" s="756" t="str">
        <x:v>Preferred unique record after enhanced duplicate control</x:v>
      </x:c>
      <x:c r="M58" t="str">
        <x:v>Include</x:v>
      </x:c>
      <x:c r="N58"/>
      <x:c r="O58"/>
      <x:c r="P58"/>
      <x:c r="Q58"/>
    </x:row>
    <x:row r="59" ht="42" customHeight="1">
      <x:c r="A59" s="754" t="str">
        <x:v>GS-02-001</x:v>
      </x:c>
      <x:c r="B59" s="755" t="str">
        <x:v>Google Scholar</x:v>
      </x:c>
      <x:c r="C59" s="755" t="str">
        <x:v>(xTML] Protctype-guided promptable retinal lesion segmentation from coarse annotations</x:v>
      </x:c>
      <x:c r="D59" s="755" t="str">
        <x:v>Include</x:v>
      </x:c>
      <x:c r="E59" s="755" t="str">
        <x:v>Yes</x:v>
      </x:c>
      <x:c r="F59" s="755"/>
      <x:c r="G59" s="755" t="str">
        <x:v>https://www.mdpi.com/2079-9292/14/16/3252</x:v>
      </x:c>
      <x:c r="H59" s="755" t="str">
        <x:v>Open publisher full text</x:v>
      </x:c>
      <x:c r="I59" s="755" t="str">
        <x:v>Retrieved — full text verified</x:v>
      </x:c>
      <x:c r="J59" s="755" t="str">
        <x:v>2026-08-17</x:v>
      </x:c>
      <x:c r="K59" s="755" t="str">
        <x:v>Open-access MDPI article verified.</x:v>
      </x:c>
      <x:c r="L59" s="756" t="str">
        <x:v>Preferred unique record after enhanced duplicate control</x:v>
      </x:c>
      <x:c r="M59" t="str">
        <x:v>Include</x:v>
      </x:c>
      <x:c r="N59"/>
      <x:c r="O59"/>
      <x:c r="P59"/>
      <x:c r="Q59"/>
    </x:row>
    <x:row r="60" ht="42" customHeight="1">
      <x:c r="A60" s="754" t="str">
        <x:v>GS-02-002</x:v>
      </x:c>
      <x:c r="B60" s="755" t="str">
        <x:v>Google Scholar</x:v>
      </x:c>
      <x:c r="C60" s="755" t="str">
        <x:v>Prototype-based interpretable model for glaucoma detection</x:v>
      </x:c>
      <x:c r="D60" s="755" t="str">
        <x:v>Removed during verification</x:v>
      </x:c>
      <x:c r="E60" s="755" t="str">
        <x:v>No</x:v>
      </x:c>
      <x:c r="F60" s="755"/>
      <x:c r="G60" s="755"/>
      <x:c r="H60" s="755" t="str">
        <x:v>Removed from active review set</x:v>
      </x:c>
      <x:c r="I60" s="755" t="str">
        <x:v>Removed — unverifiable bibliographic artifact</x:v>
      </x:c>
      <x:c r="J60" s="755" t="str">
        <x:v>2026-08-17</x:v>
      </x:c>
      <x:c r="K60" s="755" t="str">
        <x:v>Removed during bibliographic verification: the screenshot/OCR-derived title could not be matched to an authoritative scholarly record. Retained only in the audit trail and excluded from all active denominators.</x:v>
      </x:c>
      <x:c r="L60" s="756" t="str">
        <x:v>Excluded from active counts; retained only for reproducible audit.</x:v>
      </x:c>
      <x:c r="M60" t="str">
        <x:v>Removed — invalid record</x:v>
      </x:c>
      <x:c r="N60"/>
      <x:c r="O60"/>
      <x:c r="P60"/>
      <x:c r="Q60"/>
    </x:row>
    <x:row r="61" ht="42" customHeight="1">
      <x:c r="A61" s="754" t="str">
        <x:v>GS-02-007</x:v>
      </x:c>
      <x:c r="B61" s="755" t="str">
        <x:v>Google Scholar</x:v>
      </x:c>
      <x:c r="C61" s="755" t="str">
        <x:v>A novel few-shot classification framework for diahetic retinopathy detection and grading</x:v>
      </x:c>
      <x:c r="D61" s="755" t="str">
        <x:v>Include</x:v>
      </x:c>
      <x:c r="E61" s="755" t="str">
        <x:v>Yes</x:v>
      </x:c>
      <x:c r="F61" s="755"/>
      <x:c r="G61" s="755" t="str">
        <x:v>https://irep.ntu.ac.uk/id/eprint/47016/1/1596874_Mahmud.pdf</x:v>
      </x:c>
      <x:c r="H61" s="755" t="str">
        <x:v>Open author manuscript</x:v>
      </x:c>
      <x:c r="I61" s="755" t="str">
        <x:v>Retrieved — full text verified</x:v>
      </x:c>
      <x:c r="J61" s="755" t="str">
        <x:v>2026-08-17</x:v>
      </x:c>
      <x:c r="K61" s="755" t="str">
        <x:v>Complete manuscript verified in the Nottingham Trent University repository.</x:v>
      </x:c>
      <x:c r="L61" s="756" t="str">
        <x:v>Preferred unique record after enhanced duplicate control</x:v>
      </x:c>
      <x:c r="M61" t="str">
        <x:v>Include</x:v>
      </x:c>
      <x:c r="N61"/>
      <x:c r="O61"/>
      <x:c r="P61"/>
      <x:c r="Q61"/>
    </x:row>
    <x:row r="62" ht="42" customHeight="1">
      <x:c r="A62" s="754" t="str">
        <x:v>GS-02-009</x:v>
      </x:c>
      <x:c r="B62" s="755" t="str">
        <x:v>Google Scholar</x:v>
      </x:c>
      <x:c r="C62" s="755" t="str">
        <x:v>HybridFusionNet: 4 Distnbuted Prototype-Guided Multi-Scale Transfonner-CNN Framework for Robust and Interpretable Diabetic Retinopathy Detection</x:v>
      </x:c>
      <x:c r="D62" s="755" t="str">
        <x:v>Include</x:v>
      </x:c>
      <x:c r="E62" s="755" t="str">
        <x:v>Yes</x:v>
      </x:c>
      <x:c r="F62" s="755"/>
      <x:c r="G62" s="755" t="str">
        <x:v>https://www.sciencedirect.com/journal/procedia-computer-science/vol/283/suppl/C?page=2</x:v>
      </x:c>
      <x:c r="H62" s="755" t="str">
        <x:v>Open publisher full text</x:v>
      </x:c>
      <x:c r="I62" s="755" t="str">
        <x:v>Retrieved — full text verified</x:v>
      </x:c>
      <x:c r="J62" s="755" t="str">
        <x:v>2026-08-17</x:v>
      </x:c>
      <x:c r="K62" s="755" t="str">
        <x:v>Official Procedia Computer Science record identifies the article as open access.</x:v>
      </x:c>
      <x:c r="L62" s="756" t="str">
        <x:v>Preferred unique record after enhanced duplicate control</x:v>
      </x:c>
      <x:c r="M62" t="str">
        <x:v>Include</x:v>
      </x:c>
      <x:c r="N62"/>
      <x:c r="O62"/>
      <x:c r="P62"/>
      <x:c r="Q62"/>
    </x:row>
    <x:row r="63" ht="42" customHeight="1">
      <x:c r="A63" s="754" t="str">
        <x:v>GS-02-012</x:v>
      </x:c>
      <x:c r="B63" s="755" t="str">
        <x:v>Google Scholar</x:v>
      </x:c>
      <x:c r="C63" s="755" t="str">
        <x:v>Transformer-based multi-prototype approach for chadetic macular edema analysis in o¢t images</x:v>
      </x:c>
      <x:c r="D63" s="755" t="str">
        <x:v>Include</x:v>
      </x:c>
      <x:c r="E63" s="755" t="str">
        <x:v>Yes</x:v>
      </x:c>
      <x:c r="F63" s="755"/>
      <x:c r="G63" s="755" t="str">
        <x:v>https://ieeexplore.ieee.org/iel7/10094559/10094560/10095039.pdf</x:v>
      </x:c>
      <x:c r="H63" s="755" t="str">
        <x:v>Open publisher PDF</x:v>
      </x:c>
      <x:c r="I63" s="755" t="str">
        <x:v>Retrieved — full text verified</x:v>
      </x:c>
      <x:c r="J63" s="755" t="str">
        <x:v>2026-08-17</x:v>
      </x:c>
      <x:c r="K63" s="755" t="str">
        <x:v>Official IEEE complete PDF verified.</x:v>
      </x:c>
      <x:c r="L63" s="756" t="str">
        <x:v>Preferred unique record after enhanced duplicate control</x:v>
      </x:c>
      <x:c r="M63" t="str">
        <x:v>Include</x:v>
      </x:c>
      <x:c r="N63"/>
      <x:c r="O63"/>
      <x:c r="P63"/>
      <x:c r="Q63"/>
    </x:row>
    <x:row r="64" ht="42" customHeight="1">
      <x:c r="A64" s="754" t="str">
        <x:v>GS-02-014</x:v>
      </x:c>
      <x:c r="B64" s="755" t="str">
        <x:v>Google Scholar</x:v>
      </x:c>
      <x:c r="C64" s="755" t="str">
        <x:v>por] A Prototype Network for Few-Shot Retinal Vessel Segmentation Based on Nested Structures</x:v>
      </x:c>
      <x:c r="D64" s="755" t="str">
        <x:v>Removed during verification</x:v>
      </x:c>
      <x:c r="E64" s="755" t="str">
        <x:v>No</x:v>
      </x:c>
      <x:c r="F64" s="755"/>
      <x:c r="G64" s="755"/>
      <x:c r="H64" s="755" t="str">
        <x:v>Removed from active review set</x:v>
      </x:c>
      <x:c r="I64" s="755" t="str">
        <x:v>Removed — unverifiable bibliographic artifact</x:v>
      </x:c>
      <x:c r="J64" s="755" t="str">
        <x:v>2026-08-17</x:v>
      </x:c>
      <x:c r="K64" s="755" t="str">
        <x:v>Removed during bibliographic verification: the screenshot/OCR-derived title could not be matched to an authoritative scholarly record. Retained only in the audit trail and excluded from all active denominators.</x:v>
      </x:c>
      <x:c r="L64" s="756" t="str">
        <x:v>Excluded from active counts; retained only for reproducible audit.</x:v>
      </x:c>
      <x:c r="M64" t="str">
        <x:v>Removed — invalid record</x:v>
      </x:c>
      <x:c r="N64"/>
      <x:c r="O64"/>
      <x:c r="P64"/>
      <x:c r="Q64"/>
    </x:row>
    <x:row r="65" ht="42" customHeight="1">
      <x:c r="A65" s="754" t="str">
        <x:v>GS-02-017</x:v>
      </x:c>
      <x:c r="B65" s="755" t="str">
        <x:v>Google Scholar</x:v>
      </x:c>
      <x:c r="C65" s="755" t="str">
        <x:v>Automatic Grading of Age-Related Cataract via Progressive Ordinal Attention and Topology-Constrained Prototype Learning</x:v>
      </x:c>
      <x:c r="D65" s="755" t="str">
        <x:v>Include</x:v>
      </x:c>
      <x:c r="E65" s="755" t="str">
        <x:v>Yes</x:v>
      </x:c>
      <x:c r="F65" s="755"/>
      <x:c r="G65" s="755" t="str">
        <x:v>https://link.springer.com/content/pdf/10.1007/s10278-026-02144-2.pdf</x:v>
      </x:c>
      <x:c r="H65" s="755" t="str">
        <x:v>Publisher PDF</x:v>
      </x:c>
      <x:c r="I65" s="755" t="str">
        <x:v>Retrieved — full text verified</x:v>
      </x:c>
      <x:c r="J65" s="755" t="str">
        <x:v>2026-08-17</x:v>
      </x:c>
      <x:c r="K65" s="755" t="str">
        <x:v>Complete Springer PDF route verified.</x:v>
      </x:c>
      <x:c r="L65" s="756" t="str">
        <x:v>Preferred unique record after enhanced duplicate control</x:v>
      </x:c>
      <x:c r="M65" t="str">
        <x:v>Include</x:v>
      </x:c>
      <x:c r="N65"/>
      <x:c r="O65"/>
      <x:c r="P65"/>
      <x:c r="Q65"/>
    </x:row>
    <x:row r="66" ht="42" customHeight="1">
      <x:c r="A66" s="754" t="str">
        <x:v>GS-02-046</x:v>
      </x:c>
      <x:c r="B66" s="755" t="str">
        <x:v>Google Scholar</x:v>
      </x:c>
      <x:c r="C66" s="755" t="str">
        <x:v>Retinofusionnet’ A scalable and interpretable vision transformer framework for diabetic retinopathy detection</x:v>
      </x:c>
      <x:c r="D66" s="755" t="str">
        <x:v>Include</x:v>
      </x:c>
      <x:c r="E66" s="755" t="str">
        <x:v>Yes</x:v>
      </x:c>
      <x:c r="F66" s="755"/>
      <x:c r="G66" s="755" t="str">
        <x:v>https://www.etasr.com/index.php/ETASR/article/download/15311/6142</x:v>
      </x:c>
      <x:c r="H66" s="755" t="str">
        <x:v>Open publisher PDF</x:v>
      </x:c>
      <x:c r="I66" s="755" t="str">
        <x:v>Retrieved — full text verified</x:v>
      </x:c>
      <x:c r="J66" s="755" t="str">
        <x:v>2026-08-17</x:v>
      </x:c>
      <x:c r="K66" s="755" t="str">
        <x:v>Complete open-access ETASR PDF verified.</x:v>
      </x:c>
      <x:c r="L66" s="756" t="str">
        <x:v>Preferred unique record after enhanced duplicate control</x:v>
      </x:c>
      <x:c r="M66" t="str">
        <x:v>Include</x:v>
      </x:c>
      <x:c r="N66"/>
      <x:c r="O66"/>
      <x:c r="P66"/>
      <x:c r="Q66"/>
    </x:row>
    <x:row r="67" ht="42" customHeight="1">
      <x:c r="A67" s="754" t="str">
        <x:v>GS-02-054</x:v>
      </x:c>
      <x:c r="B67" s="755" t="str">
        <x:v>Google Scholar</x:v>
      </x:c>
      <x:c r="C67" s="755" t="str">
        <x:v>Hope Hybrid-granulanty ordinal prototype learning for progression prediction of mild cognitive impairment</x:v>
      </x:c>
      <x:c r="D67" s="755" t="str">
        <x:v>Include</x:v>
      </x:c>
      <x:c r="E67" s="755" t="str">
        <x:v>Yes</x:v>
      </x:c>
      <x:c r="F67" s="755"/>
      <x:c r="G67" s="755" t="str">
        <x:v>https://ieeexplore.ieee.org/iel7/6221020/6363502/10412338.pdf</x:v>
      </x:c>
      <x:c r="H67" s="755" t="str">
        <x:v>Open publisher PDF</x:v>
      </x:c>
      <x:c r="I67" s="755" t="str">
        <x:v>Retrieved — full text verified</x:v>
      </x:c>
      <x:c r="J67" s="755" t="str">
        <x:v>2026-08-17</x:v>
      </x:c>
      <x:c r="K67" s="755" t="str">
        <x:v>Official IEEE complete PDF verified.</x:v>
      </x:c>
      <x:c r="L67" s="756" t="str">
        <x:v>Preferred unique record after enhanced duplicate control</x:v>
      </x:c>
      <x:c r="M67" t="str">
        <x:v>Include</x:v>
      </x:c>
      <x:c r="N67"/>
      <x:c r="O67"/>
      <x:c r="P67"/>
      <x:c r="Q67"/>
    </x:row>
    <x:row r="68" ht="42" customHeight="1">
      <x:c r="A68" s="754" t="str">
        <x:v>GS-02-087</x:v>
      </x:c>
      <x:c r="B68" s="755" t="str">
        <x:v>Google Scholar</x:v>
      </x:c>
      <x:c r="C68" s="755" t="str">
        <x:v>Pathology-aware prototype evolution via llm-driven semantic disambiguation for multicenter diabetic retinopathy diagnosis</x:v>
      </x:c>
      <x:c r="D68" s="755" t="str">
        <x:v>Include</x:v>
      </x:c>
      <x:c r="E68" s="755" t="str">
        <x:v>Yes</x:v>
      </x:c>
      <x:c r="F68" s="755"/>
      <x:c r="G68" s="755" t="str">
        <x:v>https://arxiv.org/pdf/2511.22033</x:v>
      </x:c>
      <x:c r="H68" s="755" t="str">
        <x:v>Open preprint</x:v>
      </x:c>
      <x:c r="I68" s="755" t="str">
        <x:v>Retrieved — full text verified</x:v>
      </x:c>
      <x:c r="J68" s="755" t="str">
        <x:v>2026-08-17</x:v>
      </x:c>
      <x:c r="K68" s="755" t="str">
        <x:v>Official arXiv complete PDF verified.</x:v>
      </x:c>
      <x:c r="L68" s="756" t="str">
        <x:v>Preferred unique record after enhanced duplicate control</x:v>
      </x:c>
      <x:c r="M68" t="str">
        <x:v>Include</x:v>
      </x:c>
      <x:c r="N68"/>
      <x:c r="O68"/>
      <x:c r="P68"/>
      <x:c r="Q68"/>
    </x:row>
    <x:row r="69" ht="42" customHeight="1">
      <x:c r="A69" s="754" t="str">
        <x:v>GS-03-001</x:v>
      </x:c>
      <x:c r="B69" s="755" t="str">
        <x:v>Google Scholar</x:v>
      </x:c>
      <x:c r="C69" s="755" t="str">
        <x:v>Case-based expert system for early detectian of diabetic retinopathy</x:v>
      </x:c>
      <x:c r="D69" s="755" t="str">
        <x:v>Include</x:v>
      </x:c>
      <x:c r="E69" s="755" t="str">
        <x:v>Yes</x:v>
      </x:c>
      <x:c r="F69" s="755"/>
      <x:c r="G69" s="755" t="str">
        <x:v>https://link.springer.com/chapter/10.1007/978-981-16-1295-4_27</x:v>
      </x:c>
      <x:c r="H69" s="755" t="str">
        <x:v>Human-confirmed full-text access</x:v>
      </x:c>
      <x:c r="I69" s="755" t="str">
        <x:v>Retrieved — the corresponding author confirmed full-text assessment</x:v>
      </x:c>
      <x:c r="J69" s="755" t="str">
        <x:v>2026-08-17</x:v>
      </x:c>
      <x:c r="K69" s="755" t="str">
        <x:v>The corresponding author confirmed access to and assessment of the complete report. The eligibility rationale was checked against the abstract/official record; see Master Records and Abstract Rationale Audit.</x:v>
      </x:c>
      <x:c r="L69" s="756" t="str">
        <x:v>Preferred unique record after enhanced duplicate control</x:v>
      </x:c>
      <x:c r="M69" t="str">
        <x:v>Include</x:v>
      </x:c>
      <x:c r="N69"/>
      <x:c r="O69"/>
      <x:c r="P69"/>
      <x:c r="Q69"/>
    </x:row>
    <x:row r="70" ht="42" customHeight="1">
      <x:c r="A70" s="754" t="str">
        <x:v>GS-03-003</x:v>
      </x:c>
      <x:c r="B70" s="755" t="str">
        <x:v>Google Scholar</x:v>
      </x:c>
      <x:c r="C70" s="755" t="str">
        <x:v>A cybernetic systems approach to abnormality detection in retina images using case based reasoning AR Chowdhury et al</x:v>
      </x:c>
      <x:c r="D70" s="755" t="str">
        <x:v>Include</x:v>
      </x:c>
      <x:c r="E70" s="755" t="str">
        <x:v>Yes</x:v>
      </x:c>
      <x:c r="F70" s="755"/>
      <x:c r="G70" s="755" t="str">
        <x:v>https://link.springer.com/article/10.1007/s42452-020-3187-0</x:v>
      </x:c>
      <x:c r="H70" s="755" t="str">
        <x:v>Human-confirmed full-text access</x:v>
      </x:c>
      <x:c r="I70" s="755" t="str">
        <x:v>Retrieved — the corresponding author confirmed full-text assessment</x:v>
      </x:c>
      <x:c r="J70" s="755" t="str">
        <x:v>2026-08-17</x:v>
      </x:c>
      <x:c r="K70" s="755" t="str">
        <x:v>The corresponding author confirmed access to and assessment of the complete report. The eligibility rationale was checked against the abstract/official record; see Master Records and Abstract Rationale Audit.</x:v>
      </x:c>
      <x:c r="L70" s="756" t="str">
        <x:v>Preferred unique record after enhanced duplicate control</x:v>
      </x:c>
      <x:c r="M70" t="str">
        <x:v>Include</x:v>
      </x:c>
      <x:c r="N70"/>
      <x:c r="O70"/>
      <x:c r="P70"/>
      <x:c r="Q70"/>
    </x:row>
    <x:row r="71" ht="42" customHeight="1">
      <x:c r="A71" s="754" t="str">
        <x:v>GS-03-004</x:v>
      </x:c>
      <x:c r="B71" s="755" t="str">
        <x:v>Google Scholar</x:v>
      </x:c>
      <x:c r="C71" s="755" t="str">
        <x:v>Retneval of similar cases to improve the diagnosis of diabetic retinopathy</x:v>
      </x:c>
      <x:c r="D71" s="755" t="str">
        <x:v>Include</x:v>
      </x:c>
      <x:c r="E71" s="755" t="str">
        <x:v>Yes</x:v>
      </x:c>
      <x:c r="F71" s="755"/>
      <x:c r="G71" s="755" t="str">
        <x:v>https://link.springer.com/chapter/10.1007/978-3-031-40177-0_26</x:v>
      </x:c>
      <x:c r="H71" s="755" t="str">
        <x:v>Human-confirmed full-text access</x:v>
      </x:c>
      <x:c r="I71" s="755" t="str">
        <x:v>Retrieved — the corresponding author confirmed full-text assessment</x:v>
      </x:c>
      <x:c r="J71" s="755" t="str">
        <x:v>2026-08-17</x:v>
      </x:c>
      <x:c r="K71" s="755" t="str">
        <x:v>The corresponding author confirmed access to and assessment of the complete report. The eligibility rationale was checked against the abstract/official record; see Master Records and Abstract Rationale Audit.</x:v>
      </x:c>
      <x:c r="L71" s="756" t="str">
        <x:v>Preferred unique record after enhanced duplicate control</x:v>
      </x:c>
      <x:c r="M71" t="str">
        <x:v>Include</x:v>
      </x:c>
      <x:c r="N71"/>
      <x:c r="O71"/>
      <x:c r="P71"/>
      <x:c r="Q71"/>
    </x:row>
    <x:row r="72" ht="42" customHeight="1">
      <x:c r="A72" s="754" t="str">
        <x:v>GS-03-005</x:v>
      </x:c>
      <x:c r="B72" s="755" t="str">
        <x:v>Google Scholar</x:v>
      </x:c>
      <x:c r="C72" s="755" t="str">
        <x:v>Case-Based Reasoning for Elderly Eye Disease Diagnosis Using Manhattan Distance and Dempster-Shafer</x:v>
      </x:c>
      <x:c r="D72" s="755" t="str">
        <x:v>Unclear</x:v>
      </x:c>
      <x:c r="E72" s="755" t="str">
        <x:v>Yes</x:v>
      </x:c>
      <x:c r="F72" s="755"/>
      <x:c r="G72" s="755" t="str">
        <x:v>https://cogito.unklab.ac.id/index.php/cogito/article/download/1050/428/4268</x:v>
      </x:c>
      <x:c r="H72" s="755" t="str">
        <x:v>Open publisher PDF</x:v>
      </x:c>
      <x:c r="I72" s="755" t="str">
        <x:v>Retrieved — full text verified</x:v>
      </x:c>
      <x:c r="J72" s="755" t="str">
        <x:v>2026-08-17</x:v>
      </x:c>
      <x:c r="K72" s="755" t="str">
        <x:v>Complete journal PDF verified.</x:v>
      </x:c>
      <x:c r="L72" s="756" t="str">
        <x:v>Preferred unique record after enhanced duplicate control</x:v>
      </x:c>
      <x:c r="M72" t="str">
        <x:v>Include</x:v>
      </x:c>
      <x:c r="N72"/>
      <x:c r="O72"/>
      <x:c r="P72"/>
      <x:c r="Q72"/>
    </x:row>
    <x:row r="73" ht="42" customHeight="1">
      <x:c r="A73" s="754" t="str">
        <x:v>GS-03-010</x:v>
      </x:c>
      <x:c r="B73" s="755" t="str">
        <x:v>Google Scholar</x:v>
      </x:c>
      <x:c r="C73" s="755" t="str">
        <x:v>(nterpretable mammographic image classification using case-based reasoning and deep learning</x:v>
      </x:c>
      <x:c r="D73" s="755" t="str">
        <x:v>Include</x:v>
      </x:c>
      <x:c r="E73" s="755" t="str">
        <x:v>Yes</x:v>
      </x:c>
      <x:c r="F73" s="755"/>
      <x:c r="G73" s="755" t="str">
        <x:v>https://arxiv.org/pdf/2107.05605</x:v>
      </x:c>
      <x:c r="H73" s="755" t="str">
        <x:v>Open preprint</x:v>
      </x:c>
      <x:c r="I73" s="755" t="str">
        <x:v>Retrieved — full text verified</x:v>
      </x:c>
      <x:c r="J73" s="755" t="str">
        <x:v>2026-08-17</x:v>
      </x:c>
      <x:c r="K73" s="755" t="str">
        <x:v>Official arXiv complete PDF verified.</x:v>
      </x:c>
      <x:c r="L73" s="756" t="str">
        <x:v>Preferred unique record after enhanced duplicate control</x:v>
      </x:c>
      <x:c r="M73" t="str">
        <x:v>Include</x:v>
      </x:c>
      <x:c r="N73"/>
      <x:c r="O73"/>
      <x:c r="P73"/>
      <x:c r="Q73"/>
    </x:row>
    <x:row r="74" ht="42" customHeight="1">
      <x:c r="A74" s="754" t="str">
        <x:v>GS-03-013</x:v>
      </x:c>
      <x:c r="B74" s="755" t="str">
        <x:v>Google Scholar</x:v>
      </x:c>
      <x:c r="C74" s="755" t="str">
        <x:v>Explainable prediction of chronic renal disease in the colombian population using neural networks and case-based reasoning</x:v>
      </x:c>
      <x:c r="D74" s="755" t="str">
        <x:v>Include</x:v>
      </x:c>
      <x:c r="E74" s="755" t="str">
        <x:v>Yes</x:v>
      </x:c>
      <x:c r="F74" s="755"/>
      <x:c r="G74" s="755" t="str">
        <x:v>https://doi.org/10.1109/ACCESS.2019.2948430</x:v>
      </x:c>
      <x:c r="H74" s="755" t="str">
        <x:v>Open publisher article</x:v>
      </x:c>
      <x:c r="I74" s="755" t="str">
        <x:v>Retrieved — full text verified</x:v>
      </x:c>
      <x:c r="J74" s="755" t="str">
        <x:v>2026-08-17</x:v>
      </x:c>
      <x:c r="K74" s="755" t="str">
        <x:v>IEEE Access report and author-shared complete text verified.</x:v>
      </x:c>
      <x:c r="L74" s="756" t="str">
        <x:v>Preferred unique record after enhanced duplicate control</x:v>
      </x:c>
      <x:c r="M74" t="str">
        <x:v>Include</x:v>
      </x:c>
      <x:c r="N74"/>
      <x:c r="O74"/>
      <x:c r="P74"/>
      <x:c r="Q74"/>
    </x:row>
    <x:row r="75" ht="42" customHeight="1">
      <x:c r="A75" s="754" t="str">
        <x:v>GS-03-038</x:v>
      </x:c>
      <x:c r="B75" s="755" t="str">
        <x:v>Google Scholar</x:v>
      </x:c>
      <x:c r="C75" s="755" t="str">
        <x:v>A Case-Based Reasoning Model Powered by Deep Learning for Radiology Report Recommendation</x:v>
      </x:c>
      <x:c r="D75" s="755" t="str">
        <x:v>Include</x:v>
      </x:c>
      <x:c r="E75" s="755" t="str">
        <x:v>Yes</x:v>
      </x:c>
      <x:c r="F75" s="755"/>
      <x:c r="G75" s="755" t="str">
        <x:v>https://www.ijimai.org/index.php/ijimai/article/download/622/737/1115</x:v>
      </x:c>
      <x:c r="H75" s="755" t="str">
        <x:v>Open publisher PDF</x:v>
      </x:c>
      <x:c r="I75" s="755" t="str">
        <x:v>Retrieved — full text verified</x:v>
      </x:c>
      <x:c r="J75" s="755" t="str">
        <x:v>2026-08-17</x:v>
      </x:c>
      <x:c r="K75" s="755" t="str">
        <x:v>Complete IJIMAI publisher PDF verified.</x:v>
      </x:c>
      <x:c r="L75" s="756" t="str">
        <x:v>Preferred unique record after enhanced duplicate control</x:v>
      </x:c>
      <x:c r="M75" t="str">
        <x:v>Include</x:v>
      </x:c>
      <x:c r="N75"/>
      <x:c r="O75"/>
      <x:c r="P75"/>
      <x:c r="Q75"/>
    </x:row>
    <x:row r="76" ht="42" customHeight="1">
      <x:c r="A76" s="754" t="str">
        <x:v>GS-03-078</x:v>
      </x:c>
      <x:c r="B76" s="755" t="str">
        <x:v>Google Scholar</x:v>
      </x:c>
      <x:c r="C76" s="755" t="str">
        <x:v>Optimized Hybrid Quantum-Classical GAN with Case-based Reasoning Feature Fusion for Multiclass Brain Tumor Classification</x:v>
      </x:c>
      <x:c r="D76" s="755" t="str">
        <x:v>Include</x:v>
      </x:c>
      <x:c r="E76" s="755" t="str">
        <x:v>Yes</x:v>
      </x:c>
      <x:c r="F76" s="755"/>
      <x:c r="G76" s="755" t="str">
        <x:v>https://www.tandfonline.com/doi/full/10.1080/03772063.2026.2660810</x:v>
      </x:c>
      <x:c r="H76" s="755" t="str">
        <x:v>Human-confirmed full-text access</x:v>
      </x:c>
      <x:c r="I76" s="755" t="str">
        <x:v>Retrieved — the corresponding author confirmed full-text assessment</x:v>
      </x:c>
      <x:c r="J76" s="755" t="str">
        <x:v>2026-08-17</x:v>
      </x:c>
      <x:c r="K76" s="755" t="str">
        <x:v>The corresponding author confirmed access to and assessment of the complete report. The eligibility rationale was checked against the abstract/official record; see Master Records and Abstract Rationale Audit.</x:v>
      </x:c>
      <x:c r="L76" s="756" t="str">
        <x:v>Preferred unique record after enhanced duplicate control</x:v>
      </x:c>
      <x:c r="M76" t="str">
        <x:v>Include</x:v>
      </x:c>
      <x:c r="N76"/>
      <x:c r="O76"/>
      <x:c r="P76"/>
      <x:c r="Q76"/>
    </x:row>
    <x:row r="77" ht="42" customHeight="1">
      <x:c r="A77" s="754" t="str">
        <x:v>GS-03-094</x:v>
      </x:c>
      <x:c r="B77" s="755" t="str">
        <x:v>Google Scholar</x:v>
      </x:c>
      <x:c r="C77" s="755" t="str">
        <x:v>(PoF] Case-based reasoning of a deep learning network for prediction of early stage of oesophageal cancer</x:v>
      </x:c>
      <x:c r="D77" s="755" t="str">
        <x:v>Include</x:v>
      </x:c>
      <x:c r="E77" s="755" t="str">
        <x:v>Yes</x:v>
      </x:c>
      <x:c r="F77" s="755"/>
      <x:c r="G77" s="755" t="str">
        <x:v>https://www.bcs-sgai.org/expertupdate/papers/20-1/2019_paper_1.pdf</x:v>
      </x:c>
      <x:c r="H77" s="755" t="str">
        <x:v>Open conference PDF</x:v>
      </x:c>
      <x:c r="I77" s="755" t="str">
        <x:v>Retrieved — full text verified</x:v>
      </x:c>
      <x:c r="J77" s="755" t="str">
        <x:v>2026-08-17</x:v>
      </x:c>
      <x:c r="K77" s="755" t="str">
        <x:v>Complete BCS/SGAI PDF verified.</x:v>
      </x:c>
      <x:c r="L77" s="756" t="str">
        <x:v>Preferred unique record after enhanced duplicate control</x:v>
      </x:c>
      <x:c r="M77" t="str">
        <x:v>Include</x:v>
      </x:c>
      <x:c r="N77"/>
      <x:c r="O77"/>
      <x:c r="P77"/>
      <x:c r="Q77"/>
    </x:row>
    <x:row r="78" ht="42" customHeight="1">
      <x:c r="A78" s="754" t="str">
        <x:v>GS-03-099</x:v>
      </x:c>
      <x:c r="B78" s="755" t="str">
        <x:v>Google Scholar</x:v>
      </x:c>
      <x:c r="C78" s="755" t="str">
        <x:v>Knowledge Amplificatian Using Randomization in Case-Based Reasoning-- Case Study: Severity of Mammography Mass</x:v>
      </x:c>
      <x:c r="D78" s="755" t="str">
        <x:v>Include</x:v>
      </x:c>
      <x:c r="E78" s="755" t="str">
        <x:v>Yes</x:v>
      </x:c>
      <x:c r="F78" s="755"/>
      <x:c r="G78" s="755" t="str">
        <x:v>https://ieeexplore.ieee.org/document/8424702/</x:v>
      </x:c>
      <x:c r="H78" s="755" t="str">
        <x:v>Human-confirmed full-text access</x:v>
      </x:c>
      <x:c r="I78" s="755" t="str">
        <x:v>Retrieved — the corresponding author confirmed full-text assessment</x:v>
      </x:c>
      <x:c r="J78" s="755" t="str">
        <x:v>2026-08-17</x:v>
      </x:c>
      <x:c r="K78" s="755" t="str">
        <x:v>The corresponding author confirmed access to and assessment of the complete report. The eligibility rationale was checked against the abstract/official record; see Master Records and Abstract Rationale Audit.</x:v>
      </x:c>
      <x:c r="L78" s="756" t="str">
        <x:v>Preferred unique record after enhanced duplicate control</x:v>
      </x:c>
      <x:c r="M78" t="str">
        <x:v>Include</x:v>
      </x:c>
      <x:c r="N78"/>
      <x:c r="O78"/>
      <x:c r="P78"/>
      <x:c r="Q78"/>
    </x:row>
    <x:row r="79" ht="42" customHeight="1">
      <x:c r="A79" s="754" t="str">
        <x:v>GS-04-003</x:v>
      </x:c>
      <x:c r="B79" s="755" t="str">
        <x:v>Google Scholar</x:v>
      </x:c>
      <x:c r="C79" s="755" t="str">
        <x:v>Neurosymbolic Al approach for dry and wet AMD classification using OCT Images</x:v>
      </x:c>
      <x:c r="D79" s="755" t="str">
        <x:v>Include</x:v>
      </x:c>
      <x:c r="E79" s="755" t="str">
        <x:v>Yes</x:v>
      </x:c>
      <x:c r="F79" s="755"/>
      <x:c r="G79" s="755" t="str">
        <x:v>https://link.springer.com/chapter/10.1007/978-3-031-96538-8_10</x:v>
      </x:c>
      <x:c r="H79" s="755" t="str">
        <x:v>Human-confirmed full-text access</x:v>
      </x:c>
      <x:c r="I79" s="755" t="str">
        <x:v>Retrieved — the corresponding author confirmed full-text assessment</x:v>
      </x:c>
      <x:c r="J79" s="755" t="str">
        <x:v>2026-08-17</x:v>
      </x:c>
      <x:c r="K79" s="755" t="str">
        <x:v>The corresponding author confirmed access to and assessment of the complete report. The eligibility rationale was checked against the abstract/official record; see Master Records and Abstract Rationale Audit.</x:v>
      </x:c>
      <x:c r="L79" s="756" t="str">
        <x:v>Preferred unique record after enhanced duplicate control</x:v>
      </x:c>
      <x:c r="M79" t="str">
        <x:v>Include</x:v>
      </x:c>
      <x:c r="N79"/>
      <x:c r="O79"/>
      <x:c r="P79"/>
      <x:c r="Q79"/>
    </x:row>
    <x:row r="80" ht="42" customHeight="1">
      <x:c r="A80" s="754" t="str">
        <x:v>GS-04-006</x:v>
      </x:c>
      <x:c r="B80" s="755" t="str">
        <x:v>Google Scholar</x:v>
      </x:c>
      <x:c r="C80" s="755" t="str">
        <x:v>KG-BG: Knowledgs-Guided Domain Generalization via Neuro-Symbolic Fusion</x:v>
      </x:c>
      <x:c r="D80" s="755" t="str">
        <x:v>Include</x:v>
      </x:c>
      <x:c r="E80" s="755" t="str">
        <x:v>Yes</x:v>
      </x:c>
      <x:c r="F80" s="755"/>
      <x:c r="G80" s="755" t="str">
        <x:v>https://openreview.net/pdf?id=xAtYHNe0Ey</x:v>
      </x:c>
      <x:c r="H80" s="755" t="str">
        <x:v>Open conference PDF</x:v>
      </x:c>
      <x:c r="I80" s="755" t="str">
        <x:v>Retrieved — full text verified</x:v>
      </x:c>
      <x:c r="J80" s="755" t="str">
        <x:v>2026-08-17</x:v>
      </x:c>
      <x:c r="K80" s="755" t="str">
        <x:v>OpenReview complete PDF route verified.</x:v>
      </x:c>
      <x:c r="L80" s="756" t="str">
        <x:v>Preferred unique record after enhanced duplicate control</x:v>
      </x:c>
      <x:c r="M80" t="str">
        <x:v>Include</x:v>
      </x:c>
      <x:c r="N80"/>
      <x:c r="O80"/>
      <x:c r="P80"/>
      <x:c r="Q80"/>
    </x:row>
    <x:row r="81" ht="42" customHeight="1">
      <x:c r="A81" s="754" t="str">
        <x:v>GS-04-008</x:v>
      </x:c>
      <x:c r="B81" s="755" t="str">
        <x:v>Google Scholar</x:v>
      </x:c>
      <x:c r="C81" s="755" t="str">
        <x:v>Towards trustworthy and explainable Al for ocular disease diagnosis using an ontalogy-guided neuro-symbolic framework</x:v>
      </x:c>
      <x:c r="D81" s="755" t="str">
        <x:v>Include</x:v>
      </x:c>
      <x:c r="E81" s="755" t="str">
        <x:v>Yes</x:v>
      </x:c>
      <x:c r="F81" s="755"/>
      <x:c r="G81" s="755" t="str">
        <x:v>https://www.sciencedirect.com/science/article/pii/S1746809426017520</x:v>
      </x:c>
      <x:c r="H81" s="755" t="str">
        <x:v>Human-confirmed full-text access</x:v>
      </x:c>
      <x:c r="I81" s="755" t="str">
        <x:v>Retrieved — the corresponding author confirmed full-text assessment</x:v>
      </x:c>
      <x:c r="J81" s="755" t="str">
        <x:v>2026-08-17</x:v>
      </x:c>
      <x:c r="K81" s="755" t="str">
        <x:v>The corresponding author confirmed access to and assessment of the complete report. The eligibility rationale was checked against the abstract/official record; see Master Records and Abstract Rationale Audit.</x:v>
      </x:c>
      <x:c r="L81" s="756" t="str">
        <x:v>Preferred unique record after enhanced duplicate control</x:v>
      </x:c>
      <x:c r="M81" t="str">
        <x:v>Exclude</x:v>
      </x:c>
      <x:c r="N81"/>
      <x:c r="O81"/>
      <x:c r="P81"/>
      <x:c r="Q81"/>
    </x:row>
    <x:row r="82" ht="42" customHeight="1">
      <x:c r="A82" s="754" t="str">
        <x:v>GS-04-023</x:v>
      </x:c>
      <x:c r="B82" s="755" t="str">
        <x:v>Google Scholar</x:v>
      </x:c>
      <x:c r="C82" s="755" t="str">
        <x:v>DeepInfusion A dynamic infusion based-neuro-symbolic Al madel for segmentation of intracranial aneurysms</x:v>
      </x:c>
      <x:c r="D82" s="755" t="str">
        <x:v>Include</x:v>
      </x:c>
      <x:c r="E82" s="755" t="str">
        <x:v>Yes</x:v>
      </x:c>
      <x:c r="F82" s="755"/>
      <x:c r="G82" s="755" t="str">
        <x:v>https://www.sciencedirect.com/science/article/pii/S0925231223006331</x:v>
      </x:c>
      <x:c r="H82" s="755" t="str">
        <x:v>Human-confirmed full-text access</x:v>
      </x:c>
      <x:c r="I82" s="755" t="str">
        <x:v>Retrieved — the corresponding author confirmed full-text assessment</x:v>
      </x:c>
      <x:c r="J82" s="755" t="str">
        <x:v>2026-08-17</x:v>
      </x:c>
      <x:c r="K82" s="755" t="str">
        <x:v>The corresponding author confirmed access to and assessment of the complete report. The eligibility rationale was checked against the abstract/official record; see Master Records and Abstract Rationale Audit.</x:v>
      </x:c>
      <x:c r="L82" s="756" t="str">
        <x:v>Preferred unique record after enhanced duplicate control</x:v>
      </x:c>
      <x:c r="M82" t="str">
        <x:v>Include</x:v>
      </x:c>
      <x:c r="N82"/>
      <x:c r="O82"/>
      <x:c r="P82"/>
      <x:c r="Q82"/>
    </x:row>
    <x:row r="83" ht="42" customHeight="1">
      <x:c r="A83" s="754" t="str">
        <x:v>GS-04-033</x:v>
      </x:c>
      <x:c r="B83" s="755" t="str">
        <x:v>Google Scholar</x:v>
      </x:c>
      <x:c r="C83" s="755" t="str">
        <x:v>interpretable hybrid CNN-ViT framework with neuro-symbolic clinical decision support for early cervical cancer diagnosis</x:v>
      </x:c>
      <x:c r="D83" s="755" t="str">
        <x:v>Include</x:v>
      </x:c>
      <x:c r="E83" s="755" t="str">
        <x:v>Yes</x:v>
      </x:c>
      <x:c r="F83" s="755"/>
      <x:c r="G83" s="755" t="str">
        <x:v>https://www.nature.com/articles/s41598-026-58334-z.pdf</x:v>
      </x:c>
      <x:c r="H83" s="755" t="str">
        <x:v>Open publisher PDF</x:v>
      </x:c>
      <x:c r="I83" s="755" t="str">
        <x:v>Retrieved — full text verified</x:v>
      </x:c>
      <x:c r="J83" s="755" t="str">
        <x:v>2026-08-17</x:v>
      </x:c>
      <x:c r="K83" s="755" t="str">
        <x:v>Open-access Scientific Reports PDF verified.</x:v>
      </x:c>
      <x:c r="L83" s="756" t="str">
        <x:v>Preferred unique record after enhanced duplicate control</x:v>
      </x:c>
      <x:c r="M83" t="str">
        <x:v>Include</x:v>
      </x:c>
      <x:c r="N83"/>
      <x:c r="O83"/>
      <x:c r="P83"/>
      <x:c r="Q83"/>
    </x:row>
    <x:row r="84" ht="42" customHeight="1">
      <x:c r="A84" s="754" t="str">
        <x:v>GS-04-034</x:v>
      </x:c>
      <x:c r="B84" s="755" t="str">
        <x:v>Google Scholar</x:v>
      </x:c>
      <x:c r="C84" s="755" t="str">
        <x:v>Trustworthy Retinopathy Of Prematurity Diagnosis Using Explainable Vision- Language Model</x:v>
      </x:c>
      <x:c r="D84" s="755" t="str">
        <x:v>Include</x:v>
      </x:c>
      <x:c r="E84" s="755" t="str">
        <x:v>Yes</x:v>
      </x:c>
      <x:c r="F84" s="755"/>
      <x:c r="G84" s="755" t="str">
        <x:v>https://classic.jase.tku.edu.tw/articles/jase-202607-30-006</x:v>
      </x:c>
      <x:c r="H84" s="755" t="str">
        <x:v>Open publisher full text</x:v>
      </x:c>
      <x:c r="I84" s="755" t="str">
        <x:v>Retrieved — full text verified</x:v>
      </x:c>
      <x:c r="J84" s="755" t="str">
        <x:v>2026-08-17</x:v>
      </x:c>
      <x:c r="K84" s="755" t="str">
        <x:v>Open journal article and complete-text route verified.</x:v>
      </x:c>
      <x:c r="L84" s="756" t="str">
        <x:v>Preferred unique record after enhanced duplicate control</x:v>
      </x:c>
      <x:c r="M84" t="str">
        <x:v>Include</x:v>
      </x:c>
      <x:c r="N84"/>
      <x:c r="O84"/>
      <x:c r="P84"/>
      <x:c r="Q84"/>
    </x:row>
    <x:row r="85" ht="42" customHeight="1">
      <x:c r="A85" s="754" t="str">
        <x:v>GS-04-099</x:v>
      </x:c>
      <x:c r="B85" s="755" t="str">
        <x:v>Google Scholar</x:v>
      </x:c>
      <x:c r="C85" s="755" t="str">
        <x:v>MedXAl: A Retrieval-Augmented and Self-Verifying Framework for Knowledge- Guided Medical Image Analysis</x:v>
      </x:c>
      <x:c r="D85" s="755" t="str">
        <x:v>Include</x:v>
      </x:c>
      <x:c r="E85" s="755" t="str">
        <x:v>Yes</x:v>
      </x:c>
      <x:c r="F85" s="755"/>
      <x:c r="G85" s="755" t="str">
        <x:v>https://arxiv.org/pdf/2512.10098</x:v>
      </x:c>
      <x:c r="H85" s="755" t="str">
        <x:v>Open preprint</x:v>
      </x:c>
      <x:c r="I85" s="755" t="str">
        <x:v>Retrieved — full text verified</x:v>
      </x:c>
      <x:c r="J85" s="755" t="str">
        <x:v>2026-08-17</x:v>
      </x:c>
      <x:c r="K85" s="755" t="str">
        <x:v>Official arXiv complete PDF verified.</x:v>
      </x:c>
      <x:c r="L85" s="756" t="str">
        <x:v>Preferred unique record after enhanced duplicate control</x:v>
      </x:c>
      <x:c r="M85" t="str">
        <x:v>Include</x:v>
      </x:c>
      <x:c r="N85"/>
      <x:c r="O85"/>
      <x:c r="P85"/>
      <x:c r="Q85"/>
    </x:row>
    <x:row r="86" ht="42" customHeight="1">
      <x:c r="A86" s="754" t="str">
        <x:v>GS-05-093</x:v>
      </x:c>
      <x:c r="B86" s="755" t="str">
        <x:v>Google Scholar</x:v>
      </x:c>
      <x:c r="C86" s="755" t="str">
        <x:v>Diagnose like a radiologist: Hybrid neuro-probabilistic reasoning for attribute- based medical image diagnosis</x:v>
      </x:c>
      <x:c r="D86" s="755" t="str">
        <x:v>Include</x:v>
      </x:c>
      <x:c r="E86" s="755" t="str">
        <x:v>Yes</x:v>
      </x:c>
      <x:c r="F86" s="755"/>
      <x:c r="G86" s="755" t="str">
        <x:v>https://arxiv.org/pdf/2208.09282</x:v>
      </x:c>
      <x:c r="H86" s="755" t="str">
        <x:v>Open preprint</x:v>
      </x:c>
      <x:c r="I86" s="755" t="str">
        <x:v>Retrieved — full text verified</x:v>
      </x:c>
      <x:c r="J86" s="755" t="str">
        <x:v>2026-08-17</x:v>
      </x:c>
      <x:c r="K86" s="755" t="str">
        <x:v>Official arXiv complete PDF verified.</x:v>
      </x:c>
      <x:c r="L86" s="756" t="str">
        <x:v>Preferred unique record after enhanced duplicate control</x:v>
      </x:c>
      <x:c r="M86" t="str">
        <x:v>Include</x:v>
      </x:c>
      <x:c r="N86"/>
      <x:c r="O86"/>
      <x:c r="P86"/>
      <x:c r="Q86"/>
    </x:row>
    <x:row r="87" ht="42" customHeight="1">
      <x:c r="A87" s="754" t="str">
        <x:v>GS-06-002</x:v>
      </x:c>
      <x:c r="B87" s="755" t="str">
        <x:v>Google Scholar</x:v>
      </x:c>
      <x:c r="C87" s="755" t="str">
        <x:v>interpretability beyond feature attribution’ Quantitative testing with concept activation vectors (tcay)</x:v>
      </x:c>
      <x:c r="D87" s="755" t="str">
        <x:v>Include</x:v>
      </x:c>
      <x:c r="E87" s="755" t="str">
        <x:v>Yes</x:v>
      </x:c>
      <x:c r="F87" s="755"/>
      <x:c r="G87" s="755" t="str">
        <x:v>https://arxiv.org/pdf/1711.11279</x:v>
      </x:c>
      <x:c r="H87" s="755" t="str">
        <x:v>Open preprint</x:v>
      </x:c>
      <x:c r="I87" s="755" t="str">
        <x:v>Retrieved — full text verified</x:v>
      </x:c>
      <x:c r="J87" s="755" t="str">
        <x:v>2026-08-17</x:v>
      </x:c>
      <x:c r="K87" s="755" t="str">
        <x:v>Official arXiv complete PDF verified.</x:v>
      </x:c>
      <x:c r="L87" s="756" t="str">
        <x:v>Preferred unique record after enhanced duplicate control</x:v>
      </x:c>
      <x:c r="M87" t="str">
        <x:v>Include</x:v>
      </x:c>
      <x:c r="N87"/>
      <x:c r="O87"/>
      <x:c r="P87"/>
      <x:c r="Q87"/>
    </x:row>
    <x:row r="88" ht="42" customHeight="1">
      <x:c r="A88" s="754" t="str">
        <x:v>GS-06-003</x:v>
      </x:c>
      <x:c r="B88" s="755" t="str">
        <x:v>Google Scholar</x:v>
      </x:c>
      <x:c r="C88" s="755" t="str">
        <x:v>Al based Deep Radiomics for Quantification of Macular Edema’ A Continuous, Non-categoricat Numerical Score for Personalized Medicine</x:v>
      </x:c>
      <x:c r="D88" s="755" t="str">
        <x:v>Include</x:v>
      </x:c>
      <x:c r="E88" s="755" t="str">
        <x:v>Yes</x:v>
      </x:c>
      <x:c r="F88" s="755"/>
      <x:c r="G88" s="755" t="str">
        <x:v>https://doi.org/10.21203/rs.3.rs-4854925/v1</x:v>
      </x:c>
      <x:c r="H88" s="755" t="str">
        <x:v>Open preprint</x:v>
      </x:c>
      <x:c r="I88" s="755" t="str">
        <x:v>Retrieved — full text verified</x:v>
      </x:c>
      <x:c r="J88" s="755" t="str">
        <x:v>2026-08-17</x:v>
      </x:c>
      <x:c r="K88" s="755" t="str">
        <x:v>Open Research Square preprint and CC BY full text verified.</x:v>
      </x:c>
      <x:c r="L88" s="756" t="str">
        <x:v>Preferred unique record after enhanced duplicate control</x:v>
      </x:c>
      <x:c r="M88" t="str">
        <x:v>Include</x:v>
      </x:c>
      <x:c r="N88"/>
      <x:c r="O88"/>
      <x:c r="P88"/>
      <x:c r="Q88"/>
    </x:row>
    <x:row r="89" ht="42" customHeight="1">
      <x:c r="A89" s="754" t="str">
        <x:v>GS-06-014</x:v>
      </x:c>
      <x:c r="B89" s="755" t="str">
        <x:v>Google Scholar</x:v>
      </x:c>
      <x:c r="C89" s="755" t="str">
        <x:v>Developing explainable machine learning model using augmented concept activation vector</x:v>
      </x:c>
      <x:c r="D89" s="755" t="str">
        <x:v>Include</x:v>
      </x:c>
      <x:c r="E89" s="755" t="str">
        <x:v>Yes</x:v>
      </x:c>
      <x:c r="F89" s="755"/>
      <x:c r="G89" s="755" t="str">
        <x:v>https://arxiv.org/pdf/2412.19208</x:v>
      </x:c>
      <x:c r="H89" s="755" t="str">
        <x:v>Open preprint</x:v>
      </x:c>
      <x:c r="I89" s="755" t="str">
        <x:v>Retrieved — full text verified</x:v>
      </x:c>
      <x:c r="J89" s="755" t="str">
        <x:v>2026-08-17</x:v>
      </x:c>
      <x:c r="K89" s="755" t="str">
        <x:v>Official arXiv complete PDF verified.</x:v>
      </x:c>
      <x:c r="L89" s="756" t="str">
        <x:v>Preferred unique record after enhanced duplicate control</x:v>
      </x:c>
      <x:c r="M89" t="str">
        <x:v>Include</x:v>
      </x:c>
      <x:c r="N89"/>
      <x:c r="O89"/>
      <x:c r="P89"/>
      <x:c r="Q89"/>
    </x:row>
    <x:row r="90" ht="42" customHeight="1">
      <x:c r="A90" s="754" t="str">
        <x:v>GS-06-015</x:v>
      </x:c>
      <x:c r="B90" s="755" t="str">
        <x:v>Google Scholar</x:v>
      </x:c>
      <x:c r="C90" s="755" t="str">
        <x:v>ExAID A multimodal explanation framework for computer-aided diagnosis of skin lesions</x:v>
      </x:c>
      <x:c r="D90" s="755" t="str">
        <x:v>Include</x:v>
      </x:c>
      <x:c r="E90" s="755" t="str">
        <x:v>Yes</x:v>
      </x:c>
      <x:c r="F90" s="755"/>
      <x:c r="G90" s="755" t="str">
        <x:v>https://arxiv.org/pdf/2201.01249</x:v>
      </x:c>
      <x:c r="H90" s="755" t="str">
        <x:v>Open preprint</x:v>
      </x:c>
      <x:c r="I90" s="755" t="str">
        <x:v>Retrieved — full text verified</x:v>
      </x:c>
      <x:c r="J90" s="755" t="str">
        <x:v>2026-08-17</x:v>
      </x:c>
      <x:c r="K90" s="755" t="str">
        <x:v>Official arXiv complete PDF verified.</x:v>
      </x:c>
      <x:c r="L90" s="756" t="str">
        <x:v>Preferred unique record after enhanced duplicate control</x:v>
      </x:c>
      <x:c r="M90" t="str">
        <x:v>Include</x:v>
      </x:c>
      <x:c r="N90"/>
      <x:c r="O90"/>
      <x:c r="P90"/>
      <x:c r="Q90"/>
    </x:row>
    <x:row r="91" ht="42" customHeight="1">
      <x:c r="A91" s="754" t="str">
        <x:v>GS-06-017</x:v>
      </x:c>
      <x:c r="B91" s="755" t="str">
        <x:v>Google Scholar</x:v>
      </x:c>
      <x:c r="C91" s="755" t="str">
        <x:v>Robust and Interpretable Chest X-ray Classification via Diffusion Purificatian and Concept-Based Adversanai Detection</x:v>
      </x:c>
      <x:c r="D91" s="755" t="str">
        <x:v>Include</x:v>
      </x:c>
      <x:c r="E91" s="755" t="str">
        <x:v>Yes</x:v>
      </x:c>
      <x:c r="F91" s="755"/>
      <x:c r="G91" s="755" t="str">
        <x:v>https://jou.jobrs.edu.iq/index.php/home/article/view/375/147</x:v>
      </x:c>
      <x:c r="H91" s="755" t="str">
        <x:v>Open publisher PDF</x:v>
      </x:c>
      <x:c r="I91" s="755" t="str">
        <x:v>Retrieved — full text verified</x:v>
      </x:c>
      <x:c r="J91" s="755" t="str">
        <x:v>2026-08-17</x:v>
      </x:c>
      <x:c r="K91" s="755" t="str">
        <x:v>Open-access journal PDF verified.</x:v>
      </x:c>
      <x:c r="L91" s="756" t="str">
        <x:v>Preferred unique record after enhanced duplicate control</x:v>
      </x:c>
      <x:c r="M91" t="str">
        <x:v>Include</x:v>
      </x:c>
      <x:c r="N91"/>
      <x:c r="O91"/>
      <x:c r="P91"/>
      <x:c r="Q91"/>
    </x:row>
    <x:row r="92" ht="42" customHeight="1">
      <x:c r="A92" s="754" t="str">
        <x:v>GS-06-026</x:v>
      </x:c>
      <x:c r="B92" s="755" t="str">
        <x:v>Google Scholar</x:v>
      </x:c>
      <x:c r="C92" s="755" t="str">
        <x:v>{s00x) Rabust Interpretable, and Portable Deep Learning Systems for Detection of Ophthalmic Diseases</x:v>
      </x:c>
      <x:c r="D92" s="755" t="str">
        <x:v>Include</x:v>
      </x:c>
      <x:c r="E92" s="755" t="str">
        <x:v>Yes</x:v>
      </x:c>
      <x:c r="F92" s="755"/>
      <x:c r="G92" s="755" t="str">
        <x:v>https://academiccommons.columbia.edu/doi/10.7916/7gz3-xy09/download</x:v>
      </x:c>
      <x:c r="H92" s="755" t="str">
        <x:v>Open thesis PDF</x:v>
      </x:c>
      <x:c r="I92" s="755" t="str">
        <x:v>Retrieved — full text verified</x:v>
      </x:c>
      <x:c r="J92" s="755" t="str">
        <x:v>2026-08-17</x:v>
      </x:c>
      <x:c r="K92" s="755" t="str">
        <x:v>Complete Columbia University dissertation PDF verified.</x:v>
      </x:c>
      <x:c r="L92" s="756" t="str">
        <x:v>Preferred unique record after enhanced duplicate control</x:v>
      </x:c>
      <x:c r="M92" t="str">
        <x:v>Include</x:v>
      </x:c>
      <x:c r="N92"/>
      <x:c r="O92"/>
      <x:c r="P92"/>
      <x:c r="Q92"/>
    </x:row>
    <x:row r="93" ht="42" customHeight="1">
      <x:c r="A93" s="754" t="str">
        <x:v>GS-08-005</x:v>
      </x:c>
      <x:c r="B93" s="755" t="str">
        <x:v>Google Scholar</x:v>
      </x:c>
      <x:c r="C93" s="755" t="str">
        <x:v>Translating theory into practice’ assessing the pnyacy implications of concept- based explanations for biomedical A)</x:v>
      </x:c>
      <x:c r="D93" s="755" t="str">
        <x:v>Include</x:v>
      </x:c>
      <x:c r="E93" s="755" t="str">
        <x:v>Yes</x:v>
      </x:c>
      <x:c r="F93" s="755"/>
      <x:c r="G93" s="755" t="str">
        <x:v>https://www.frontiersin.org/journals/bioinformatics/articles/10.3389/fbinf.2023.1194993/full</x:v>
      </x:c>
      <x:c r="H93" s="755" t="str">
        <x:v>Open publisher full text</x:v>
      </x:c>
      <x:c r="I93" s="755" t="str">
        <x:v>Retrieved — full text verified</x:v>
      </x:c>
      <x:c r="J93" s="755" t="str">
        <x:v>2026-08-17</x:v>
      </x:c>
      <x:c r="K93" s="755" t="str">
        <x:v>Open-access Frontiers full text verified.</x:v>
      </x:c>
      <x:c r="L93" s="756" t="str">
        <x:v>Preferred unique record after enhanced duplicate control</x:v>
      </x:c>
      <x:c r="M93" t="str">
        <x:v>Include</x:v>
      </x:c>
      <x:c r="N93"/>
      <x:c r="O93"/>
      <x:c r="P93"/>
      <x:c r="Q93"/>
    </x:row>
    <x:row r="94" ht="42" customHeight="1">
      <x:c r="A94" s="754" t="str">
        <x:v>GS-08-010</x:v>
      </x:c>
      <x:c r="B94" s="755" t="str">
        <x:v>Google Scholar</x:v>
      </x:c>
      <x:c r="C94" s="755" t="str">
        <x:v>Towards automatic concept-based explanations</x:v>
      </x:c>
      <x:c r="D94" s="755" t="str">
        <x:v>Include</x:v>
      </x:c>
      <x:c r="E94" s="755" t="str">
        <x:v>Yes</x:v>
      </x:c>
      <x:c r="F94" s="755"/>
      <x:c r="G94" s="755" t="str">
        <x:v>https://proceedings.neurips.cc/paper_files/paper/9126-towards-automatic-concept-based-explanations.pdf</x:v>
      </x:c>
      <x:c r="H94" s="755" t="str">
        <x:v>Open conference PDF</x:v>
      </x:c>
      <x:c r="I94" s="755" t="str">
        <x:v>Retrieved — full text verified</x:v>
      </x:c>
      <x:c r="J94" s="755" t="str">
        <x:v>2026-08-17</x:v>
      </x:c>
      <x:c r="K94" s="755" t="str">
        <x:v>Official NeurIPS complete PDF verified.</x:v>
      </x:c>
      <x:c r="L94" s="756" t="str">
        <x:v>Preferred unique record after enhanced duplicate control</x:v>
      </x:c>
      <x:c r="M94" t="str">
        <x:v>Include</x:v>
      </x:c>
      <x:c r="N94"/>
      <x:c r="O94"/>
      <x:c r="P94"/>
      <x:c r="Q94"/>
    </x:row>
    <x:row r="95" ht="42" customHeight="1">
      <x:c r="A95" s="754" t="str">
        <x:v>GS-08-016</x:v>
      </x:c>
      <x:c r="B95" s="755" t="str">
        <x:v>Google Scholar</x:v>
      </x:c>
      <x:c r="C95" s="755" t="str">
        <x:v>Concept based explanation for fine-grained images and its application in infectious keratitis classification</x:v>
      </x:c>
      <x:c r="D95" s="755" t="str">
        <x:v>Include</x:v>
      </x:c>
      <x:c r="E95" s="755" t="str">
        <x:v>Yes</x:v>
      </x:c>
      <x:c r="F95" s="755"/>
      <x:c r="G95" s="755" t="str">
        <x:v>https://kunkuang.github.io/papers/MM20-concept.pdf</x:v>
      </x:c>
      <x:c r="H95" s="755" t="str">
        <x:v>Open author PDF</x:v>
      </x:c>
      <x:c r="I95" s="755" t="str">
        <x:v>Retrieved — full text verified</x:v>
      </x:c>
      <x:c r="J95" s="755" t="str">
        <x:v>2026-08-17</x:v>
      </x:c>
      <x:c r="K95" s="755" t="str">
        <x:v>Complete author-hosted conference PDF verified.</x:v>
      </x:c>
      <x:c r="L95" s="756" t="str">
        <x:v>Preferred unique record after enhanced duplicate control</x:v>
      </x:c>
      <x:c r="M95" t="str">
        <x:v>Include</x:v>
      </x:c>
      <x:c r="N95"/>
      <x:c r="O95"/>
      <x:c r="P95"/>
      <x:c r="Q95"/>
    </x:row>
    <x:row r="96" ht="42" customHeight="1">
      <x:c r="A96" s="754" t="str">
        <x:v>ARXIV-01-001</x:v>
      </x:c>
      <x:c r="B96" s="755" t="str">
        <x:v>arXiv</x:v>
      </x:c>
      <x:c r="C96" s="755" t="str">
        <x:v>Looking into Concept Explanation Methods for Diabetic Retinopathy Classification</x:v>
      </x:c>
      <x:c r="D96" s="755" t="str">
        <x:v>Include</x:v>
      </x:c>
      <x:c r="E96" s="755" t="str">
        <x:v>Yes</x:v>
      </x:c>
      <x:c r="F96" s="755" t="str">
        <x:v>https://arxiv.org/abs/2410.03188</x:v>
      </x:c>
      <x:c r="G96" s="755" t="str">
        <x:v>https://arxiv.org/pdf/2410.03188</x:v>
      </x:c>
      <x:c r="H96" s="755" t="str">
        <x:v>Open preprint</x:v>
      </x:c>
      <x:c r="I96" s="755" t="str">
        <x:v>Retrieved — full text verified</x:v>
      </x:c>
      <x:c r="J96" s="755" t="str">
        <x:v>2026-08-17</x:v>
      </x:c>
      <x:c r="K96" s="755" t="str">
        <x:v>Official arXiv complete PDF verified.</x:v>
      </x:c>
      <x:c r="L96" s="756" t="str">
        <x:v>Preferred unique record after enhanced duplicate control</x:v>
      </x:c>
      <x:c r="M96" t="str">
        <x:v>Include</x:v>
      </x:c>
      <x:c r="N96"/>
      <x:c r="O96"/>
      <x:c r="P96"/>
      <x:c r="Q96"/>
    </x:row>
    <x:row r="97" ht="42" customHeight="1">
      <x:c r="A97" s="754" t="str">
        <x:v>ARXIV-02-006</x:v>
      </x:c>
      <x:c r="B97" s="755" t="str">
        <x:v>arXiv</x:v>
      </x:c>
      <x:c r="C97" s="755" t="str">
        <x:v>Prototype-Guided and Lightweight Adapters for Inherent Interpretation and Generalisation in Federated Learning</x:v>
      </x:c>
      <x:c r="D97" s="755" t="str">
        <x:v>Include</x:v>
      </x:c>
      <x:c r="E97" s="755" t="str">
        <x:v>Yes</x:v>
      </x:c>
      <x:c r="F97" s="755"/>
      <x:c r="G97" s="755" t="str">
        <x:v>https://arxiv.org/pdf/2507.05852</x:v>
      </x:c>
      <x:c r="H97" s="755" t="str">
        <x:v>Open preprint</x:v>
      </x:c>
      <x:c r="I97" s="755" t="str">
        <x:v>Retrieved — full text verified</x:v>
      </x:c>
      <x:c r="J97" s="755" t="str">
        <x:v>2026-08-17</x:v>
      </x:c>
      <x:c r="K97" s="755" t="str">
        <x:v>Official arXiv complete PDF verified.</x:v>
      </x:c>
      <x:c r="L97" s="756" t="str">
        <x:v>Preferred unique record after enhanced duplicate control</x:v>
      </x:c>
      <x:c r="M97" t="str">
        <x:v>Include</x:v>
      </x:c>
      <x:c r="N97"/>
      <x:c r="O97"/>
      <x:c r="P97"/>
      <x:c r="Q97"/>
    </x:row>
    <x:row r="98" ht="42" customHeight="1">
      <x:c r="A98" s="754" t="str">
        <x:v>ARXIV-02-007</x:v>
      </x:c>
      <x:c r="B98" s="755" t="str">
        <x:v>arXiv</x:v>
      </x:c>
      <x:c r="C98" s="755" t="str">
        <x:v>PIPVIT: Patch-based Visual Interpretable Prototypes for Retinal Image Analysis</x:v>
      </x:c>
      <x:c r="D98" s="755" t="str">
        <x:v>Include</x:v>
      </x:c>
      <x:c r="E98" s="755" t="str">
        <x:v>Yes</x:v>
      </x:c>
      <x:c r="F98" s="755"/>
      <x:c r="G98" s="755" t="str">
        <x:v>https://arxiv.org/pdf/2506.10669</x:v>
      </x:c>
      <x:c r="H98" s="755" t="str">
        <x:v>Open preprint</x:v>
      </x:c>
      <x:c r="I98" s="755" t="str">
        <x:v>Retrieved — full text verified</x:v>
      </x:c>
      <x:c r="J98" s="755" t="str">
        <x:v>2026-08-17</x:v>
      </x:c>
      <x:c r="K98" s="755" t="str">
        <x:v>Official arXiv complete PDF verified.</x:v>
      </x:c>
      <x:c r="L98" s="756" t="str">
        <x:v>Preferred unique record after enhanced duplicate control</x:v>
      </x:c>
      <x:c r="M98" t="str">
        <x:v>Include</x:v>
      </x:c>
      <x:c r="N98"/>
      <x:c r="O98"/>
      <x:c r="P98"/>
      <x:c r="Q98"/>
    </x:row>
    <x:row r="99" ht="42" customHeight="1">
      <x:c r="A99" s="754" t="str">
        <x:v>ARXIV-02-012</x:v>
      </x:c>
      <x:c r="B99" s="755" t="str">
        <x:v>arXiv</x:v>
      </x:c>
      <x:c r="C99" s="755" t="str">
        <x:v>LAVA: Granular Neuron-Level Explainable AI for Alzheimer's Disease Assessment from Fundus Images</x:v>
      </x:c>
      <x:c r="D99" s="755" t="str">
        <x:v>Include</x:v>
      </x:c>
      <x:c r="E99" s="755" t="str">
        <x:v>Yes</x:v>
      </x:c>
      <x:c r="F99" s="755"/>
      <x:c r="G99" s="755" t="str">
        <x:v>https://arxiv.org/pdf/2302.03008</x:v>
      </x:c>
      <x:c r="H99" s="755" t="str">
        <x:v>Open preprint</x:v>
      </x:c>
      <x:c r="I99" s="755" t="str">
        <x:v>Retrieved — full text verified</x:v>
      </x:c>
      <x:c r="J99" s="755" t="str">
        <x:v>2026-08-17</x:v>
      </x:c>
      <x:c r="K99" s="755" t="str">
        <x:v>Official arXiv complete PDF route verified.</x:v>
      </x:c>
      <x:c r="L99" s="756" t="str">
        <x:v>Preferred unique record after enhanced duplicate control</x:v>
      </x:c>
      <x:c r="M99" t="str">
        <x:v>Include</x:v>
      </x:c>
      <x:c r="N99"/>
      <x:c r="O99"/>
      <x:c r="P99"/>
      <x:c r="Q99"/>
    </x:row>
    <x:row r="100" ht="42" customHeight="1">
      <x:c r="A100" s="754" t="str">
        <x:v>ARXIV-02-014</x:v>
      </x:c>
      <x:c r="B100" s="755" t="str">
        <x:v>arXiv</x:v>
      </x:c>
      <x:c r="C100" s="755" t="str">
        <x:v>Coarse Retinal Lesion Annotations Refinement via Prototypical Learning</x:v>
      </x:c>
      <x:c r="D100" s="755" t="str">
        <x:v>Include</x:v>
      </x:c>
      <x:c r="E100" s="755" t="str">
        <x:v>Yes</x:v>
      </x:c>
      <x:c r="F100" s="755" t="str">
        <x:v>https://arxiv.org/abs/2208.14294</x:v>
      </x:c>
      <x:c r="G100" s="755" t="str">
        <x:v>https://arxiv.org/pdf/2208.14294</x:v>
      </x:c>
      <x:c r="H100" s="755" t="str">
        <x:v>Open preprint</x:v>
      </x:c>
      <x:c r="I100" s="755" t="str">
        <x:v>Retrieved — full text verified</x:v>
      </x:c>
      <x:c r="J100" s="755" t="str">
        <x:v>2026-08-17</x:v>
      </x:c>
      <x:c r="K100" s="755" t="str">
        <x:v>Official arXiv complete PDF verified.</x:v>
      </x:c>
      <x:c r="L100" s="756" t="str">
        <x:v>Preferred unique record after enhanced duplicate control</x:v>
      </x:c>
      <x:c r="M100" t="str">
        <x:v>Include</x:v>
      </x:c>
      <x:c r="N100"/>
      <x:c r="O100"/>
      <x:c r="P100"/>
      <x:c r="Q100"/>
    </x:row>
    <x:row r="101" ht="42" customHeight="1">
      <x:c r="A101" s="754" t="str">
        <x:v>ARXIV-02-015</x:v>
      </x:c>
      <x:c r="B101" s="755" t="str">
        <x:v>arXiv</x:v>
      </x:c>
      <x:c r="C101" s="755" t="str">
        <x:v>INSightR-Net: Interpretable Neural Network for Regression using Similarity-based Comparisons to Prototypical Examples</x:v>
      </x:c>
      <x:c r="D101" s="755" t="str">
        <x:v>Include</x:v>
      </x:c>
      <x:c r="E101" s="755" t="str">
        <x:v>Yes</x:v>
      </x:c>
      <x:c r="F101" s="755" t="str">
        <x:v>https://arxiv.org/abs/2208.00457</x:v>
      </x:c>
      <x:c r="G101" s="755" t="str">
        <x:v>https://arxiv.org/pdf/2208.00457</x:v>
      </x:c>
      <x:c r="H101" s="755" t="str">
        <x:v>Open preprint</x:v>
      </x:c>
      <x:c r="I101" s="755" t="str">
        <x:v>Retrieved — full text verified</x:v>
      </x:c>
      <x:c r="J101" s="755" t="str">
        <x:v>2026-08-17</x:v>
      </x:c>
      <x:c r="K101" s="755" t="str">
        <x:v>Official arXiv complete PDF verified.</x:v>
      </x:c>
      <x:c r="L101" s="756" t="str">
        <x:v>Preferred unique record after enhanced duplicate control</x:v>
      </x:c>
      <x:c r="M101" t="str">
        <x:v>Include</x:v>
      </x:c>
      <x:c r="N101"/>
      <x:c r="O101"/>
      <x:c r="P101"/>
      <x:c r="Q101"/>
    </x:row>
    <x:row r="102" ht="42" customHeight="1">
      <x:c r="A102" s="754" t="str">
        <x:v>ARXIV-04-001</x:v>
      </x:c>
      <x:c r="B102" s="755" t="str">
        <x:v>arXiv</x:v>
      </x:c>
      <x:c r="C102" s="755" t="str">
        <x:v>Single Domain Generalization in Diabetic Retinopathy: A Neuro-Symbolic Learning Approach</x:v>
      </x:c>
      <x:c r="D102" s="755" t="str">
        <x:v>Include</x:v>
      </x:c>
      <x:c r="E102" s="755" t="str">
        <x:v>Yes</x:v>
      </x:c>
      <x:c r="F102" s="755" t="str">
        <x:v>https://arxiv.org/abs/2509.02918</x:v>
      </x:c>
      <x:c r="G102" s="755" t="str">
        <x:v>https://arxiv.org/pdf/2509.02918</x:v>
      </x:c>
      <x:c r="H102" s="755" t="str">
        <x:v>Open preprint</x:v>
      </x:c>
      <x:c r="I102" s="755" t="str">
        <x:v>Retrieved — full text verified</x:v>
      </x:c>
      <x:c r="J102" s="755" t="str">
        <x:v>2026-08-17</x:v>
      </x:c>
      <x:c r="K102" s="755" t="str">
        <x:v>Official arXiv complete PDF verified.</x:v>
      </x:c>
      <x:c r="L102" s="756" t="str">
        <x:v>Preferred unique record after enhanced duplicate control</x:v>
      </x:c>
      <x:c r="M102" t="str">
        <x:v>Include</x:v>
      </x:c>
      <x:c r="N102"/>
      <x:c r="O102"/>
      <x:c r="P102"/>
      <x:c r="Q102"/>
    </x:row>
    <x:row r="103" ht="42" customHeight="1">
      <x:c r="A103" s="754" t="str">
        <x:v>ARXIV-05-001</x:v>
      </x:c>
      <x:c r="B103" s="755" t="str">
        <x:v>arXiv</x:v>
      </x:c>
      <x:c r="C103" s="755" t="str">
        <x:v>XAI-MeD: Explainable Knowledge Guided Neuro-Symbolic Framework for Domain Generalization and Rare Class Detection in Medical Imaging</x:v>
      </x:c>
      <x:c r="D103" s="755" t="str">
        <x:v>Include</x:v>
      </x:c>
      <x:c r="E103" s="755" t="str">
        <x:v>Yes</x:v>
      </x:c>
      <x:c r="F103" s="755" t="str">
        <x:v>https://arxiv.org/abs/2601.02008</x:v>
      </x:c>
      <x:c r="G103" s="755" t="str">
        <x:v>https://arxiv.org/pdf/2601.02008</x:v>
      </x:c>
      <x:c r="H103" s="755" t="str">
        <x:v>Open preprint</x:v>
      </x:c>
      <x:c r="I103" s="755" t="str">
        <x:v>Retrieved — full text verified</x:v>
      </x:c>
      <x:c r="J103" s="755" t="str">
        <x:v>2026-08-17</x:v>
      </x:c>
      <x:c r="K103" s="755" t="str">
        <x:v>Official arXiv complete PDF verified.</x:v>
      </x:c>
      <x:c r="L103" s="756" t="str">
        <x:v>Preferred unique record after enhanced duplicate control</x:v>
      </x:c>
      <x:c r="M103" t="str">
        <x:v>Include</x:v>
      </x:c>
      <x:c r="N103"/>
      <x:c r="O103"/>
      <x:c r="P103"/>
      <x:c r="Q103"/>
    </x:row>
    <x:row r="104" ht="42" customHeight="1">
      <x:c r="A104" s="754" t="str">
        <x:v>ARXIV-05-002</x:v>
      </x:c>
      <x:c r="B104" s="755" t="str">
        <x:v>arXiv</x:v>
      </x:c>
      <x:c r="C104" s="755" t="str">
        <x:v>NEURO-GUARD: Neuro-Symbolic Generalization and Unbiased Adaptive Routing for Diagnostics -- Explainable Medical AI</x:v>
      </x:c>
      <x:c r="D104" s="755" t="str">
        <x:v>Include</x:v>
      </x:c>
      <x:c r="E104" s="755" t="str">
        <x:v>Yes</x:v>
      </x:c>
      <x:c r="F104" s="755" t="str">
        <x:v>https://arxiv.org/abs/2512.18177</x:v>
      </x:c>
      <x:c r="G104" s="755" t="str">
        <x:v>https://arxiv.org/pdf/2512.18177</x:v>
      </x:c>
      <x:c r="H104" s="755" t="str">
        <x:v>Open preprint</x:v>
      </x:c>
      <x:c r="I104" s="755" t="str">
        <x:v>Retrieved — full text verified</x:v>
      </x:c>
      <x:c r="J104" s="755" t="str">
        <x:v>2026-08-17</x:v>
      </x:c>
      <x:c r="K104" s="755" t="str">
        <x:v>Official arXiv complete PDF verified.</x:v>
      </x:c>
      <x:c r="L104" s="756" t="str">
        <x:v>Preferred unique record after enhanced duplicate control</x:v>
      </x:c>
      <x:c r="M104" t="str">
        <x:v>Include</x:v>
      </x:c>
      <x:c r="N104"/>
      <x:c r="O104"/>
      <x:c r="P104"/>
      <x:c r="Q104"/>
    </x:row>
    <x:row r="105" ht="42" customHeight="1">
      <x:c r="A105" s="754" t="str">
        <x:v>ARXIV-06-001</x:v>
      </x:c>
      <x:c r="B105" s="755" t="str">
        <x:v>arXiv</x:v>
      </x:c>
      <x:c r="C105" s="755" t="str">
        <x:v>In-hoc Concept Representations to Regularise Deep Learning in Medical Imaging</x:v>
      </x:c>
      <x:c r="D105" s="755" t="str">
        <x:v>Include</x:v>
      </x:c>
      <x:c r="E105" s="755" t="str">
        <x:v>Yes</x:v>
      </x:c>
      <x:c r="F105" s="755" t="str">
        <x:v>https://arxiv.org/abs/2508.13880</x:v>
      </x:c>
      <x:c r="G105" s="755" t="str">
        <x:v>https://arxiv.org/pdf/2508.13880</x:v>
      </x:c>
      <x:c r="H105" s="755" t="str">
        <x:v>Open preprint</x:v>
      </x:c>
      <x:c r="I105" s="755" t="str">
        <x:v>Retrieved — full text verified</x:v>
      </x:c>
      <x:c r="J105" s="755" t="str">
        <x:v>2026-08-17</x:v>
      </x:c>
      <x:c r="K105" s="755" t="str">
        <x:v>Official arXiv complete PDF verified.</x:v>
      </x:c>
      <x:c r="L105" s="756" t="str">
        <x:v>Preferred unique record after enhanced duplicate control</x:v>
      </x:c>
      <x:c r="M105" t="str">
        <x:v>Include</x:v>
      </x:c>
      <x:c r="N105"/>
      <x:c r="O105"/>
      <x:c r="P105"/>
      <x:c r="Q105"/>
    </x:row>
    <x:row r="106" ht="42" customHeight="1">
      <x:c r="A106" s="754" t="str">
        <x:v>ARXIV-10-001</x:v>
      </x:c>
      <x:c r="B106" s="755" t="str">
        <x:v>arXiv</x:v>
      </x:c>
      <x:c r="C106" s="755" t="str">
        <x:v>RetiSEM: Generalising Causal Models for Fragmented Biomedical Data</x:v>
      </x:c>
      <x:c r="D106" s="755" t="str">
        <x:v>Include</x:v>
      </x:c>
      <x:c r="E106" s="755" t="str">
        <x:v>Yes</x:v>
      </x:c>
      <x:c r="F106" s="755"/>
      <x:c r="G106" s="755" t="str">
        <x:v>https://arxiv.org/pdf/2606.24488</x:v>
      </x:c>
      <x:c r="H106" s="755" t="str">
        <x:v>Open preprint</x:v>
      </x:c>
      <x:c r="I106" s="755" t="str">
        <x:v>Retrieved — full text verified</x:v>
      </x:c>
      <x:c r="J106" s="755" t="str">
        <x:v>2026-08-17</x:v>
      </x:c>
      <x:c r="K106" s="755" t="str">
        <x:v>Official arXiv complete PDF verified.</x:v>
      </x:c>
      <x:c r="L106" s="756" t="str">
        <x:v>Preferred unique record after enhanced duplicate control</x:v>
      </x:c>
      <x:c r="M106" t="str">
        <x:v>Include</x:v>
      </x:c>
      <x:c r="N106"/>
      <x:c r="O106"/>
      <x:c r="P106"/>
      <x:c r="Q106"/>
    </x:row>
    <x:row r="107" ht="42" customHeight="1">
      <x:c r="A107" s="754" t="str">
        <x:v>ARXIV-10-002</x:v>
      </x:c>
      <x:c r="B107" s="755" t="str">
        <x:v>arXiv</x:v>
      </x:c>
      <x:c r="C107" s="755" t="str">
        <x:v>A Dual Edge Spatial Laplacian Image Graph for Interpretable Diabetic Retinopathy Grading</x:v>
      </x:c>
      <x:c r="D107" s="755" t="str">
        <x:v>Include</x:v>
      </x:c>
      <x:c r="E107" s="755" t="str">
        <x:v>Yes</x:v>
      </x:c>
      <x:c r="F107" s="755"/>
      <x:c r="G107" s="755" t="str">
        <x:v>https://arxiv.org/pdf/2606.24168</x:v>
      </x:c>
      <x:c r="H107" s="755" t="str">
        <x:v>Open preprint</x:v>
      </x:c>
      <x:c r="I107" s="755" t="str">
        <x:v>Retrieved — full text verified</x:v>
      </x:c>
      <x:c r="J107" s="755" t="str">
        <x:v>2026-08-17</x:v>
      </x:c>
      <x:c r="K107" s="755" t="str">
        <x:v>Official arXiv complete PDF verified.</x:v>
      </x:c>
      <x:c r="L107" s="756" t="str">
        <x:v>Preferred unique record after enhanced duplicate control</x:v>
      </x:c>
      <x:c r="M107" t="str">
        <x:v>Include</x:v>
      </x:c>
      <x:c r="N107"/>
      <x:c r="O107"/>
      <x:c r="P107"/>
      <x:c r="Q107"/>
    </x:row>
    <x:row r="108" ht="42" customHeight="1">
      <x:c r="A108" s="754" t="str">
        <x:v>ARXIV-10-004</x:v>
      </x:c>
      <x:c r="B108" s="755" t="str">
        <x:v>arXiv</x:v>
      </x:c>
      <x:c r="C108" s="755" t="str">
        <x:v>Explainable Multi-Task Retinal Imaging Reveals Microvascular Signals for Systemic Risk Stratification in Type 2 Diabetes: A Pilot Study</x:v>
      </x:c>
      <x:c r="D108" s="755" t="str">
        <x:v>Include</x:v>
      </x:c>
      <x:c r="E108" s="755" t="str">
        <x:v>Yes</x:v>
      </x:c>
      <x:c r="F108" s="755"/>
      <x:c r="G108" s="755" t="str">
        <x:v>https://arxiv.org/pdf/2605.24913</x:v>
      </x:c>
      <x:c r="H108" s="755" t="str">
        <x:v>Open preprint</x:v>
      </x:c>
      <x:c r="I108" s="755" t="str">
        <x:v>Retrieved — full text verified</x:v>
      </x:c>
      <x:c r="J108" s="755" t="str">
        <x:v>2026-08-17</x:v>
      </x:c>
      <x:c r="K108" s="755" t="str">
        <x:v>Official arXiv complete PDF verified.</x:v>
      </x:c>
      <x:c r="L108" s="756" t="str">
        <x:v>Preferred unique record after enhanced duplicate control</x:v>
      </x:c>
      <x:c r="M108" t="str">
        <x:v>Include</x:v>
      </x:c>
      <x:c r="N108"/>
      <x:c r="O108"/>
      <x:c r="P108"/>
      <x:c r="Q108"/>
    </x:row>
    <x:row r="109" ht="42" customHeight="1">
      <x:c r="A109" s="754" t="str">
        <x:v>ARXIV-10-005</x:v>
      </x:c>
      <x:c r="B109" s="755" t="str">
        <x:v>arXiv</x:v>
      </x:c>
      <x:c r="C109" s="755" t="str">
        <x:v>SAIL: Structure-Aware Interpretable Learning for Anatomy-Aligned Post-hoc Explanations in OCT</x:v>
      </x:c>
      <x:c r="D109" s="755" t="str">
        <x:v>Include</x:v>
      </x:c>
      <x:c r="E109" s="755" t="str">
        <x:v>Yes</x:v>
      </x:c>
      <x:c r="F109" s="755"/>
      <x:c r="G109" s="755" t="str">
        <x:v>https://arxiv.org/pdf/2605.02707</x:v>
      </x:c>
      <x:c r="H109" s="755" t="str">
        <x:v>Open preprint</x:v>
      </x:c>
      <x:c r="I109" s="755" t="str">
        <x:v>Retrieved — full text verified</x:v>
      </x:c>
      <x:c r="J109" s="755" t="str">
        <x:v>2026-08-17</x:v>
      </x:c>
      <x:c r="K109" s="755" t="str">
        <x:v>Official arXiv complete PDF verified.</x:v>
      </x:c>
      <x:c r="L109" s="756" t="str">
        <x:v>Preferred unique record after enhanced duplicate control</x:v>
      </x:c>
      <x:c r="M109" t="str">
        <x:v>Include</x:v>
      </x:c>
      <x:c r="N109"/>
      <x:c r="O109"/>
      <x:c r="P109"/>
      <x:c r="Q109"/>
    </x:row>
    <x:row r="110" ht="42" customHeight="1">
      <x:c r="A110" s="754" t="str">
        <x:v>ARXIV-10-025</x:v>
      </x:c>
      <x:c r="B110" s="755" t="str">
        <x:v>arXiv</x:v>
      </x:c>
      <x:c r="C110" s="755" t="str">
        <x:v>Fine-Tuning Vision Language Models with Graph-based Knowledge for Explainable Medical Image Analysis</x:v>
      </x:c>
      <x:c r="D110" s="755" t="str">
        <x:v>Include</x:v>
      </x:c>
      <x:c r="E110" s="755" t="str">
        <x:v>Yes</x:v>
      </x:c>
      <x:c r="F110" s="755"/>
      <x:c r="G110" s="755" t="str">
        <x:v>https://arxiv.org/pdf/2503.09808</x:v>
      </x:c>
      <x:c r="H110" s="755" t="str">
        <x:v>Open preprint</x:v>
      </x:c>
      <x:c r="I110" s="755" t="str">
        <x:v>Retrieved — full text verified</x:v>
      </x:c>
      <x:c r="J110" s="755" t="str">
        <x:v>2026-08-17</x:v>
      </x:c>
      <x:c r="K110" s="755" t="str">
        <x:v>Official arXiv complete PDF verified.</x:v>
      </x:c>
      <x:c r="L110" s="756" t="str">
        <x:v>Preferred unique record after enhanced duplicate control</x:v>
      </x:c>
      <x:c r="M110" t="str">
        <x:v>Include</x:v>
      </x:c>
      <x:c r="N110"/>
      <x:c r="O110"/>
      <x:c r="P110"/>
      <x:c r="Q110"/>
    </x:row>
    <x:row r="111" ht="42" customHeight="1">
      <x:c r="A111" s="754" t="str">
        <x:v>ARXIV-10-026</x:v>
      </x:c>
      <x:c r="B111" s="755" t="str">
        <x:v>arXiv</x:v>
      </x:c>
      <x:c r="C111" s="755" t="str">
        <x:v>Interpretable Retinal Disease Prediction Using Biology-Informed Heterogeneous Graph Representations</x:v>
      </x:c>
      <x:c r="D111" s="755" t="str">
        <x:v>Include</x:v>
      </x:c>
      <x:c r="E111" s="755" t="str">
        <x:v>Yes</x:v>
      </x:c>
      <x:c r="F111" s="755"/>
      <x:c r="G111" s="755" t="str">
        <x:v>https://arxiv.org/pdf/2502.16697</x:v>
      </x:c>
      <x:c r="H111" s="755" t="str">
        <x:v>Open preprint</x:v>
      </x:c>
      <x:c r="I111" s="755" t="str">
        <x:v>Retrieved — full text verified</x:v>
      </x:c>
      <x:c r="J111" s="755" t="str">
        <x:v>2026-08-17</x:v>
      </x:c>
      <x:c r="K111" s="755" t="str">
        <x:v>Official arXiv complete PDF verified.</x:v>
      </x:c>
      <x:c r="L111" s="756" t="str">
        <x:v>Preferred unique record after enhanced duplicate control</x:v>
      </x:c>
      <x:c r="M111" t="str">
        <x:v>Include</x:v>
      </x:c>
      <x:c r="N111"/>
      <x:c r="O111"/>
      <x:c r="P111"/>
      <x:c r="Q111"/>
    </x:row>
    <x:row r="112" ht="42" customHeight="1">
      <x:c r="A112" s="754" t="str">
        <x:v>ARXIV-10-030</x:v>
      </x:c>
      <x:c r="B112" s="755" t="str">
        <x:v>arXiv</x:v>
      </x:c>
      <x:c r="C112" s="755" t="str">
        <x:v>Explainable and Interpretable Diabetic Retinopathy Classification Based on Neural-Symbolic Learning</x:v>
      </x:c>
      <x:c r="D112" s="755" t="str">
        <x:v>Include</x:v>
      </x:c>
      <x:c r="E112" s="755" t="str">
        <x:v>Yes</x:v>
      </x:c>
      <x:c r="F112" s="755"/>
      <x:c r="G112" s="755" t="str">
        <x:v>https://arxiv.org/pdf/2204.00624</x:v>
      </x:c>
      <x:c r="H112" s="755" t="str">
        <x:v>Open preprint</x:v>
      </x:c>
      <x:c r="I112" s="755" t="str">
        <x:v>Retrieved — full text verified</x:v>
      </x:c>
      <x:c r="J112" s="755" t="str">
        <x:v>2026-08-17</x:v>
      </x:c>
      <x:c r="K112" s="755" t="str">
        <x:v>Official arXiv complete PDF verified.</x:v>
      </x:c>
      <x:c r="L112" s="756" t="str">
        <x:v>Preferred unique record after enhanced duplicate control</x:v>
      </x:c>
      <x:c r="M112" t="str">
        <x:v>Include</x:v>
      </x:c>
      <x:c r="N112"/>
      <x:c r="O112"/>
      <x:c r="P112"/>
      <x:c r="Q112"/>
    </x:row>
    <x:row r="113" ht="42" customHeight="1">
      <x:c r="A113" s="754" t="str">
        <x:v>ARXIV-11-002</x:v>
      </x:c>
      <x:c r="B113" s="755" t="str">
        <x:v>arXiv</x:v>
      </x:c>
      <x:c r="C113" s="755" t="str">
        <x:v>Discovery Radiomics with CLEAR-DR: Interpretable Computer Aided Diagnosis of Diabetic Retinopathy</x:v>
      </x:c>
      <x:c r="D113" s="755" t="str">
        <x:v>Include</x:v>
      </x:c>
      <x:c r="E113" s="755" t="str">
        <x:v>Yes</x:v>
      </x:c>
      <x:c r="F113" s="755" t="str">
        <x:v>https://arxiv.org/abs/1710.10675</x:v>
      </x:c>
      <x:c r="G113" s="755" t="str">
        <x:v>https://arxiv.org/pdf/1710.10675</x:v>
      </x:c>
      <x:c r="H113" s="755" t="str">
        <x:v>Open preprint</x:v>
      </x:c>
      <x:c r="I113" s="755" t="str">
        <x:v>Retrieved — full text verified</x:v>
      </x:c>
      <x:c r="J113" s="755" t="str">
        <x:v>2026-08-17</x:v>
      </x:c>
      <x:c r="K113" s="755" t="str">
        <x:v>Official arXiv complete PDF verified.</x:v>
      </x:c>
      <x:c r="L113" s="756" t="str">
        <x:v>Preferred unique record after enhanced duplicate control</x:v>
      </x:c>
      <x:c r="M113" t="str">
        <x:v>Include</x:v>
      </x:c>
      <x:c r="N113"/>
      <x:c r="O113"/>
      <x:c r="P113"/>
      <x:c r="Q113"/>
    </x:row>
    <x:row r="114" ht="42" customHeight="1">
      <x:c r="A114" s="754" t="str">
        <x:v>ARXIV-12-004</x:v>
      </x:c>
      <x:c r="B114" s="755" t="str">
        <x:v>arXiv</x:v>
      </x:c>
      <x:c r="C114" s="755" t="str">
        <x:v>Unsupervised Identification of Disease Marker Candidates in Retinal OCT Imaging Data</x:v>
      </x:c>
      <x:c r="D114" s="755" t="str">
        <x:v>Include</x:v>
      </x:c>
      <x:c r="E114" s="755" t="str">
        <x:v>Yes</x:v>
      </x:c>
      <x:c r="F114" s="755" t="str">
        <x:v>https://arxiv.org/abs/1810.13404</x:v>
      </x:c>
      <x:c r="G114" s="755" t="str">
        <x:v>https://arxiv.org/pdf/1810.13404</x:v>
      </x:c>
      <x:c r="H114" s="755" t="str">
        <x:v>Open preprint</x:v>
      </x:c>
      <x:c r="I114" s="755" t="str">
        <x:v>Retrieved — full text verified</x:v>
      </x:c>
      <x:c r="J114" s="755" t="str">
        <x:v>2026-08-17</x:v>
      </x:c>
      <x:c r="K114" s="755" t="str">
        <x:v>Official arXiv complete PDF verified.</x:v>
      </x:c>
      <x:c r="L114" s="756" t="str">
        <x:v>Preferred unique record after enhanced duplicate control</x:v>
      </x:c>
      <x:c r="M114" t="str">
        <x:v>Include</x:v>
      </x:c>
      <x:c r="N114"/>
      <x:c r="O114"/>
      <x:c r="P114"/>
      <x:c r="Q114"/>
    </x:row>
    <x:row r="115" ht="42" customHeight="1">
      <x:c r="A115" s="754" t="str">
        <x:v>ARXIV-14-001</x:v>
      </x:c>
      <x:c r="B115" s="755" t="str">
        <x:v>arXiv</x:v>
      </x:c>
      <x:c r="C115" s="755" t="str">
        <x:v>Interpretable Few-Shot Retinal Disease Diagnosis with Concept-Guided Prompting of Vision-Language Models</x:v>
      </x:c>
      <x:c r="D115" s="755" t="str">
        <x:v>Include</x:v>
      </x:c>
      <x:c r="E115" s="755" t="str">
        <x:v>Yes</x:v>
      </x:c>
      <x:c r="F115" s="755" t="str">
        <x:v>https://arxiv.org/abs/2503.02917</x:v>
      </x:c>
      <x:c r="G115" s="755" t="str">
        <x:v>https://arxiv.org/pdf/2503.02917</x:v>
      </x:c>
      <x:c r="H115" s="755" t="str">
        <x:v>Open preprint</x:v>
      </x:c>
      <x:c r="I115" s="755" t="str">
        <x:v>Retrieved — full text verified</x:v>
      </x:c>
      <x:c r="J115" s="755" t="str">
        <x:v>2026-08-17</x:v>
      </x:c>
      <x:c r="K115" s="755" t="str">
        <x:v>Official arXiv complete PDF verified.</x:v>
      </x:c>
      <x:c r="L115" s="756" t="str">
        <x:v>Preferred unique record after enhanced duplicate control</x:v>
      </x:c>
      <x:c r="M115" t="str">
        <x:v>Include</x:v>
      </x:c>
      <x:c r="N115"/>
      <x:c r="O115"/>
      <x:c r="P115"/>
      <x:c r="Q115"/>
    </x:row>
    <x:row r="116" ht="42" customHeight="1">
      <x:c r="A116" s="754" t="str">
        <x:v>CIT-071</x:v>
      </x:c>
      <x:c r="B116" s="755" t="str">
        <x:v>Citation chasing</x:v>
      </x:c>
      <x:c r="C116" s="755" t="str">
        <x:v>Hybrid vision–language models for improved transparency in healthcare processes: The retinal diagnosis use case</x:v>
      </x:c>
      <x:c r="D116" s="755" t="str">
        <x:v>Include</x:v>
      </x:c>
      <x:c r="E116" s="755" t="str">
        <x:v>Yes</x:v>
      </x:c>
      <x:c r="F116" s="755" t="str">
        <x:v>https://doi.org/10.1016/j.knosys.2026.115456</x:v>
      </x:c>
      <x:c r="G116" s="755" t="str">
        <x:v>https://www.sciencedirect.com/science/article/pii/S0950705126001991</x:v>
      </x:c>
      <x:c r="H116" s="755" t="str">
        <x:v>Human-confirmed full-text access</x:v>
      </x:c>
      <x:c r="I116" s="755" t="str">
        <x:v>Retrieved — the corresponding author confirmed full-text assessment</x:v>
      </x:c>
      <x:c r="J116" s="755" t="str">
        <x:v>2026-08-17</x:v>
      </x:c>
      <x:c r="K116" s="755" t="str">
        <x:v>The corresponding author confirmed access to and assessment of the complete report. The eligibility rationale was checked against the abstract/official record; see Master Records and Abstract Rationale Audit.</x:v>
      </x:c>
      <x:c r="L116" s="756" t="str">
        <x:v>Preferred unique record after enhanced duplicate control</x:v>
      </x:c>
      <x:c r="M116" t="str">
        <x:v>Include</x:v>
      </x:c>
      <x:c r="N116"/>
      <x:c r="O116"/>
      <x:c r="P116"/>
      <x:c r="Q116"/>
    </x:row>
    <x:row r="117" ht="42" customHeight="1">
      <x:c r="A117" s="754" t="str">
        <x:v>CIT-100</x:v>
      </x:c>
      <x:c r="B117" s="755" t="str">
        <x:v>Citation chasing</x:v>
      </x:c>
      <x:c r="C117" s="755" t="str">
        <x:v>Enhancing ophthalmology medical record management with multi-modal knowledge graphs</x:v>
      </x:c>
      <x:c r="D117" s="755" t="str">
        <x:v>Include</x:v>
      </x:c>
      <x:c r="E117" s="755" t="str">
        <x:v>Yes</x:v>
      </x:c>
      <x:c r="F117" s="755" t="str">
        <x:v>https://doi.org/10.1038/s41598-024-73316-9</x:v>
      </x:c>
      <x:c r="G117" s="755" t="str">
        <x:v>https://www.nature.com/articles/s41598-024-73316-9</x:v>
      </x:c>
      <x:c r="H117" s="755" t="str">
        <x:v>Open publisher full text</x:v>
      </x:c>
      <x:c r="I117" s="755" t="str">
        <x:v>Retrieved — full text verified</x:v>
      </x:c>
      <x:c r="J117" s="755" t="str">
        <x:v>2026-08-17</x:v>
      </x:c>
      <x:c r="K117" s="755" t="str">
        <x:v>Open-access Scientific Reports article and PDF verified.</x:v>
      </x:c>
      <x:c r="L117" s="756" t="str">
        <x:v>Preferred unique record after enhanced duplicate control</x:v>
      </x:c>
      <x:c r="M117" t="str">
        <x:v>Include</x:v>
      </x:c>
      <x:c r="N117"/>
      <x:c r="O117"/>
      <x:c r="P117"/>
      <x:c r="Q117"/>
    </x:row>
    <x:row r="118" ht="42" customHeight="1">
      <x:c r="A118" s="757" t="str">
        <x:v>CIT-101</x:v>
      </x:c>
      <x:c r="B118" s="758" t="str">
        <x:v>Citation chasing</x:v>
      </x:c>
      <x:c r="C118" s="758" t="str">
        <x:v>Semantic web ontology for structured knowledge representation and clinical decision support in eye diseases</x:v>
      </x:c>
      <x:c r="D118" s="758" t="str">
        <x:v>Include</x:v>
      </x:c>
      <x:c r="E118" s="758" t="str">
        <x:v>Yes</x:v>
      </x:c>
      <x:c r="F118" s="758" t="str">
        <x:v>https://doi.org/10.1038/s41598-025-15885-x</x:v>
      </x:c>
      <x:c r="G118" s="758" t="str">
        <x:v>https://www.nature.com/articles/s41598-025-15885-x</x:v>
      </x:c>
      <x:c r="H118" s="758" t="str">
        <x:v>Open publisher full text</x:v>
      </x:c>
      <x:c r="I118" s="758" t="str">
        <x:v>Retrieved — full text verified</x:v>
      </x:c>
      <x:c r="J118" s="758" t="str">
        <x:v>2026-08-17</x:v>
      </x:c>
      <x:c r="K118" s="758" t="str">
        <x:v>Open-access Scientific Reports article verified.</x:v>
      </x:c>
      <x:c r="L118" s="759" t="str">
        <x:v>Preferred unique record after enhanced duplicate control</x:v>
      </x:c>
      <x:c r="M118" t="str">
        <x:v>Include</x:v>
      </x:c>
      <x:c r="N118"/>
      <x:c r="O118"/>
      <x:c r="P118"/>
      <x:c r="Q118"/>
    </x:row>
  </x:sheetData>
  <x:mergeCells>
    <x:mergeCell ref="A1:L1"/>
    <x:mergeCell ref="A2:L2"/>
    <x:mergeCell ref="N1:Q1"/>
  </x:mergeCells>
  <x:conditionalFormatting sqref="M5:M118">
    <x:cfRule type="expression" dxfId="36" priority="9">
      <x:formula>$M5="Include"</x:formula>
    </x:cfRule>
    <x:cfRule type="expression" dxfId="37" priority="10">
      <x:formula>$M5="Exclude"</x:formula>
    </x:cfRule>
    <x:cfRule type="expression" dxfId="38" priority="11">
      <x:formula>LEFT($M5,7)="Removed"</x:formula>
    </x:cfRule>
  </x:conditionalFormatting>
  <x:conditionalFormatting sqref="I5:I118">
    <x:cfRule type="expression" dxfId="39" priority="12">
      <x:formula>LEFT($I5,9)="Retrieved"</x:formula>
    </x:cfRule>
    <x:cfRule type="expression" dxfId="40" priority="13">
      <x:formula>LEFT($I5,7)="Removed"</x:formula>
    </x:cfRule>
  </x:conditionalFormatting>
  <x:pageMargins left="0.7" right="0.7" top="0.75" bottom="0.75" header="0.3" footer="0.3"/>
  <x:tableParts count="1">
    <x:tablePart xmlns:r="http://schemas.openxmlformats.org/officeDocument/2006/relationships" r:id="R050b410b3fca4a57"/>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5" hidden="0" customWidth="1"/>
    <x:col min="2" max="2" width="44" hidden="0" customWidth="1"/>
    <x:col min="3" max="3" width="18" hidden="0" customWidth="1"/>
    <x:col min="4" max="4" width="16" hidden="0" customWidth="1"/>
    <x:col min="5" max="5" width="66" hidden="0" customWidth="1"/>
    <x:col min="6" max="6" width="45" hidden="0" customWidth="1"/>
    <x:col min="7" max="7" width="38" hidden="0" customWidth="1"/>
  </x:cols>
  <x:sheetData>
    <x:row r="1" ht="30" customHeight="1">
      <x:c r="A1" s="928" t="str">
        <x:v>Abstract / Official-Record Rationale Audit — 21 Human Full-Text Decisions</x:v>
      </x:c>
      <x:c r="B1" s="928"/>
      <x:c r="C1" s="928"/>
      <x:c r="D1" s="928"/>
      <x:c r="E1" s="928"/>
      <x:c r="F1" s="928"/>
      <x:c r="G1" s="928"/>
    </x:row>
    <x:row r="2" ht="42" customHeight="1">
      <x:c r="A2" s="932" t="str">
        <x:v>The corresponding author confirmed access and full-text assessment. The concise eligibility rationales below were checked against each abstract or official publisher record on 17 August 2026; they document, but do not replace, the human decision.</x:v>
      </x:c>
      <x:c r="B2" s="932"/>
      <x:c r="C2" s="932"/>
      <x:c r="D2" s="932"/>
      <x:c r="E2" s="932"/>
      <x:c r="F2" s="932"/>
      <x:c r="G2" s="932"/>
    </x:row>
    <x:row r="3">
      <x:c r="A3"/>
      <x:c r="B3"/>
      <x:c r="C3"/>
      <x:c r="D3"/>
      <x:c r="E3"/>
      <x:c r="F3"/>
      <x:c r="G3"/>
    </x:row>
    <x:row r="4" ht="32" customHeight="1">
      <x:c r="A4" s="944" t="str">
        <x:v>Record ID</x:v>
      </x:c>
      <x:c r="B4" s="945" t="str">
        <x:v>Title</x:v>
      </x:c>
      <x:c r="C4" s="945" t="str">
        <x:v>Human FT Decision</x:v>
      </x:c>
      <x:c r="D4" s="945" t="str">
        <x:v>Eligibility code</x:v>
      </x:c>
      <x:c r="E4" s="945" t="str">
        <x:v>Short professional rationale</x:v>
      </x:c>
      <x:c r="F4" s="945" t="str">
        <x:v>Official record</x:v>
      </x:c>
      <x:c r="G4" s="946" t="str">
        <x:v>Audit note</x:v>
      </x:c>
    </x:row>
    <x:row r="5" ht="62" customHeight="1">
      <x:c r="A5" s="956" t="str">
        <x:v>PM-003</x:v>
      </x:c>
      <x:c r="B5" s="953" t="str">
        <x:v>A multimodal vision-language model for generalizable annotation-free pathology localization</x:v>
      </x:c>
      <x:c r="C5" s="959" t="str">
        <x:v>Include</x:v>
      </x:c>
      <x:c r="D5" s="959" t="str">
        <x:v>I2–I4</x:v>
      </x:c>
      <x:c r="E5" s="953" t="str">
        <x:v>The abstract presents AFLoc, a multilevel semantic vision–language model that aligns medical concepts with image features and validates generalisation on retinal fundus images; this is original concept-oriented medical-imaging evidence.</x:v>
      </x:c>
      <x:c r="F5" s="953" t="str">
        <x:v>https://www.nature.com/articles/s41551-025-01574-7</x:v>
      </x:c>
      <x:c r="G5" s="953" t="str">
        <x:v>The corresponding author decision; rationale checked against abstract/official record on 2026-08-17.</x:v>
      </x:c>
    </x:row>
    <x:row r="6" ht="62" customHeight="1">
      <x:c r="A6" s="957" t="str">
        <x:v>PM-004</x:v>
      </x:c>
      <x:c r="B6" s="954" t="str">
        <x:v>An Interpretable and Accurate Deep-Learning Diagnosis Framework Modeled With Fully and Semi-Supervised Reciprocal Learning</x:v>
      </x:c>
      <x:c r="C6" s="960" t="str">
        <x:v>Include</x:v>
      </x:c>
      <x:c r="D6" s="960" t="str">
        <x:v>I2–I4</x:v>
      </x:c>
      <x:c r="E6" s="954" t="str">
        <x:v>The abstract reports InterNRL, an interpretable prototype-based student–teacher framework with empirical evaluation on retinal-disease diagnosis; it directly meets the retinal, concept-method and original-evidence criteria.</x:v>
      </x:c>
      <x:c r="F6" s="954" t="str">
        <x:v>https://ieeexplore.ieee.org/document/10225391/</x:v>
      </x:c>
      <x:c r="G6" s="954" t="str">
        <x:v>The corresponding author decision; rationale checked against abstract/official record on 2026-08-17.</x:v>
      </x:c>
    </x:row>
    <x:row r="7" ht="62" customHeight="1">
      <x:c r="A7" s="957" t="str">
        <x:v>PM-005</x:v>
      </x:c>
      <x:c r="B7" s="954" t="str">
        <x:v>Concept-based AI interpretability in physiological time-series data: Example of abnormality detection in electroencephalography</x:v>
      </x:c>
      <x:c r="C7" s="960" t="str">
        <x:v>Include</x:v>
      </x:c>
      <x:c r="D7" s="960" t="str">
        <x:v>I5</x:v>
      </x:c>
      <x:c r="E7" s="954" t="str">
        <x:v>The abstract evaluates concept-based interpretability for EEG time-series abnormality detection; it is retained as contextual medical concept-XAI evidence rather than direct retinal evidence.</x:v>
      </x:c>
      <x:c r="F7" s="954" t="str">
        <x:v>https://www.sciencedirect.com/science/article/pii/S0169260724004413</x:v>
      </x:c>
      <x:c r="G7" s="954" t="str">
        <x:v>The corresponding author decision; rationale checked against abstract/official record on 2026-08-17.</x:v>
      </x:c>
    </x:row>
    <x:row r="8" ht="62" customHeight="1">
      <x:c r="A8" s="957" t="str">
        <x:v>PM-007</x:v>
      </x:c>
      <x:c r="B8" s="954" t="str">
        <x:v>Robust and Interpretable Convolutional Neural Networks to Detect Glaucoma in Optical Coherence Tomography Images</x:v>
      </x:c>
      <x:c r="C8" s="960" t="str">
        <x:v>Include</x:v>
      </x:c>
      <x:c r="D8" s="960" t="str">
        <x:v>I2–I4</x:v>
      </x:c>
      <x:c r="E8" s="954" t="str">
        <x:v>The abstract applies TCAV to glaucoma OCT models and compares learned concepts with clinicians’ eye fixations, providing direct retinal concept-XAI and human-alignment evidence.</x:v>
      </x:c>
      <x:c r="F8" s="954" t="str">
        <x:v>https://doi.org/10.1109/TBME.2020.3043215</x:v>
      </x:c>
      <x:c r="G8" s="954" t="str">
        <x:v>The corresponding author decision; rationale checked against abstract/official record on 2026-08-17.</x:v>
      </x:c>
    </x:row>
    <x:row r="9" ht="62" customHeight="1">
      <x:c r="A9" s="957" t="str">
        <x:v>IEEE-004</x:v>
      </x:c>
      <x:c r="B9" s="954" t="str">
        <x:v>A Neuro-Symbolic Framework for Automated Glaucoma Detection using Optic Disc-...</x:v>
      </x:c>
      <x:c r="C9" s="960" t="str">
        <x:v>Include</x:v>
      </x:c>
      <x:c r="D9" s="960" t="str">
        <x:v>I2–I4</x:v>
      </x:c>
      <x:c r="E9" s="954" t="str">
        <x:v>The abstract describes automated glaucoma detection from optic-disc and optic-cup fundus information integrated with neuro-symbolic reasoning; it is a direct ophthalmic structured-explainability study.</x:v>
      </x:c>
      <x:c r="F9" s="954" t="str">
        <x:v>https://ieeexplore.ieee.org/abstract/document/11485500/</x:v>
      </x:c>
      <x:c r="G9" s="954" t="str">
        <x:v>The corresponding author decision; rationale checked against abstract/official record on 2026-08-17.</x:v>
      </x:c>
    </x:row>
    <x:row r="10" ht="62" customHeight="1">
      <x:c r="A10" s="957" t="str">
        <x:v>IEEE-007</x:v>
      </x:c>
      <x:c r="B10" s="954" t="str">
        <x:v>Fairness-Aware Multimodal Glaucoma Detection via Neurosymbolic Learning with ...</x:v>
      </x:c>
      <x:c r="C10" s="960" t="str">
        <x:v>Include</x:v>
      </x:c>
      <x:c r="D10" s="960" t="str">
        <x:v>I2–I4</x:v>
      </x:c>
      <x:c r="E10" s="954" t="str">
        <x:v>The abstract presents multimodal glaucoma detection using neuro-symbolic learning with differentiable clinical constraints and fairness objectives, constituting direct structured ophthalmic XAI evidence.</x:v>
      </x:c>
      <x:c r="F10" s="954" t="str">
        <x:v>https://doi.org/10.1109/MLISE70044.2026.11607573</x:v>
      </x:c>
      <x:c r="G10" s="954" t="str">
        <x:v>The corresponding author decision; rationale checked against abstract/official record on 2026-08-17.</x:v>
      </x:c>
    </x:row>
    <x:row r="11" ht="62" customHeight="1">
      <x:c r="A11" s="957" t="str">
        <x:v>IEEE-013</x:v>
      </x:c>
      <x:c r="B11" s="954" t="str">
        <x:v>ProtoD2C2: Prototype-Based Dual-Supervision, Dual-Consistency, and Dual-Contr...</x:v>
      </x:c>
      <x:c r="C11" s="960" t="str">
        <x:v>Include</x:v>
      </x:c>
      <x:c r="D11" s="960" t="str">
        <x:v>I2–I4</x:v>
      </x:c>
      <x:c r="E11" s="954" t="str">
        <x:v>The abstract presents prototype-based dual-supervision, consistency and contrastive learning for OCT fluid segmentation; the explicit prototype representation makes it relevant retinal concept-oriented evidence.</x:v>
      </x:c>
      <x:c r="F11" s="954" t="str">
        <x:v>https://doi.org/10.1109/BIBM66473.2025.11356061</x:v>
      </x:c>
      <x:c r="G11" s="954" t="str">
        <x:v>The corresponding author decision; rationale checked against abstract/official record on 2026-08-17.</x:v>
      </x:c>
    </x:row>
    <x:row r="12" ht="62" customHeight="1">
      <x:c r="A12" s="957" t="str">
        <x:v>IEEE-019</x:v>
      </x:c>
      <x:c r="B12" s="954" t="str">
        <x:v>On Interpretability of Deep Learning based Skin Lesion Classifiers using Conc...</x:v>
      </x:c>
      <x:c r="C12" s="960" t="str">
        <x:v>Include</x:v>
      </x:c>
      <x:c r="D12" s="960" t="str">
        <x:v>I5</x:v>
      </x:c>
      <x:c r="E12" s="954" t="str">
        <x:v>The abstract maps dermatologist-defined concepts to a skin-lesion classifier using CAV/TCAV with significance testing; it is retained as contextual medical concept-XAI evidence.</x:v>
      </x:c>
      <x:c r="F12" s="954" t="str">
        <x:v>https://ieeexplore.ieee.org/document/9206946/</x:v>
      </x:c>
      <x:c r="G12" s="954" t="str">
        <x:v>The corresponding author decision; rationale checked against abstract/official record on 2026-08-17.</x:v>
      </x:c>
    </x:row>
    <x:row r="13" ht="62" customHeight="1">
      <x:c r="A13" s="957" t="str">
        <x:v>GS-01-005</x:v>
      </x:c>
      <x:c r="B13" s="954" t="str">
        <x:v>Mitigating domain shift in concept bottleneck models for diadatic retinopathy grading via learnable concept projection</x:v>
      </x:c>
      <x:c r="C13" s="960" t="str">
        <x:v>Include</x:v>
      </x:c>
      <x:c r="D13" s="960" t="str">
        <x:v>I2–I4</x:v>
      </x:c>
      <x:c r="E13" s="954" t="str">
        <x:v>The abstract develops a concept bottleneck model with learnable concept projection to improve domain-shift robustness in diabetic-retinopathy grading; it is direct retinal concept-based evidence.</x:v>
      </x:c>
      <x:c r="F13" s="954" t="str">
        <x:v>https://www.spiedigitallibrary.org/conference-proceedings-of-spie/13928/139280X/Mitigating-domain-shift-in-concept-bottleneck-models-for-diabetic-retinopathy/10.1117/12.3088213.full</x:v>
      </x:c>
      <x:c r="G13" s="954" t="str">
        <x:v>The corresponding author decision; rationale checked against abstract/official record on 2026-08-17.</x:v>
      </x:c>
    </x:row>
    <x:row r="14" ht="62" customHeight="1">
      <x:c r="A14" s="957" t="str">
        <x:v>GS-01-006</x:v>
      </x:c>
      <x:c r="B14" s="954" t="str">
        <x:v>Concept-based lesion aware transformer for interpretable retinal disease diagnosis</x:v>
      </x:c>
      <x:c r="C14" s="960" t="str">
        <x:v>Include</x:v>
      </x:c>
      <x:c r="D14" s="960" t="str">
        <x:v>I2–I4</x:v>
      </x:c>
      <x:c r="E14" s="954" t="str">
        <x:v>The abstract presents a concept-based lesion-aware transformer that links retinal lesion concepts to disease diagnosis and evaluates interpretability; it directly meets the review criteria.</x:v>
      </x:c>
      <x:c r="F14" s="954" t="str">
        <x:v>https://pubmed.ncbi.nlm.nih.gov/39012729/</x:v>
      </x:c>
      <x:c r="G14" s="954" t="str">
        <x:v>The corresponding author decision; rationale checked against abstract/official record on 2026-08-17.</x:v>
      </x:c>
    </x:row>
    <x:row r="15" ht="62" customHeight="1">
      <x:c r="A15" s="957" t="str">
        <x:v>GS-01-022</x:v>
      </x:c>
      <x:c r="B15" s="954" t="str">
        <x:v>Cancepts from neurons’ Building interpretable medica! image diagnostic models by dissecting opaque neural networks</x:v>
      </x:c>
      <x:c r="C15" s="960" t="str">
        <x:v>Include</x:v>
      </x:c>
      <x:c r="D15" s="960" t="str">
        <x:v>I5</x:v>
      </x:c>
      <x:c r="E15" s="954" t="str">
        <x:v>The abstract constructs interpretable medical-image models by discovering neuron-derived concepts without manual concept annotation; it is retained as contextual original concept-oriented evidence.</x:v>
      </x:c>
      <x:c r="F15" s="954" t="str">
        <x:v>https://link.springer.com/chapter/10.1007/978-3-031-96625-5_1</x:v>
      </x:c>
      <x:c r="G15" s="954" t="str">
        <x:v>The corresponding author decision; rationale checked against abstract/official record on 2026-08-17.</x:v>
      </x:c>
    </x:row>
    <x:row r="16" ht="62" customHeight="1">
      <x:c r="A16" s="957" t="str">
        <x:v>GS-01-048</x:v>
      </x:c>
      <x:c r="B16" s="954" t="str">
        <x:v>CONAN CONcept-Onented ANomaly Detector far Interpretable Zero-Shot Detection</x:v>
      </x:c>
      <x:c r="C16" s="960" t="str">
        <x:v>Include</x:v>
      </x:c>
      <x:c r="D16" s="960" t="str">
        <x:v>I5</x:v>
      </x:c>
      <x:c r="E16" s="954" t="str">
        <x:v>The abstract proposes CONAN, a concept-oriented zero-shot anomaly detector with an actively curated concept bank and semantically aligned category prototypes; it is contextual structured concept-XAI evidence.</x:v>
      </x:c>
      <x:c r="F16" s="954" t="str">
        <x:v>https://link.springer.com/10.1007/978-981-92-1947-6_44</x:v>
      </x:c>
      <x:c r="G16" s="954" t="str">
        <x:v>The corresponding author decision; rationale checked against abstract/official record on 2026-08-17.</x:v>
      </x:c>
    </x:row>
    <x:row r="17" ht="62" customHeight="1">
      <x:c r="A17" s="957" t="str">
        <x:v>GS-03-001</x:v>
      </x:c>
      <x:c r="B17" s="954" t="str">
        <x:v>Case-based expert system for early detectian of diabetic retinopathy</x:v>
      </x:c>
      <x:c r="C17" s="960" t="str">
        <x:v>Include</x:v>
      </x:c>
      <x:c r="D17" s="960" t="str">
        <x:v>I2–I4</x:v>
      </x:c>
      <x:c r="E17" s="954" t="str">
        <x:v>The abstract proposes a case-based expert system that processes retinal fundus images, retrieves similar prior cases and reuses them to classify diabetic retinopathy; it is direct case-based explainability evidence.</x:v>
      </x:c>
      <x:c r="F17" s="954" t="str">
        <x:v>https://link.springer.com/chapter/10.1007/978-981-16-1295-4_27</x:v>
      </x:c>
      <x:c r="G17" s="954" t="str">
        <x:v>The corresponding author decision; rationale checked against abstract/official record on 2026-08-17.</x:v>
      </x:c>
    </x:row>
    <x:row r="18" ht="62" customHeight="1">
      <x:c r="A18" s="957" t="str">
        <x:v>GS-03-003</x:v>
      </x:c>
      <x:c r="B18" s="954" t="str">
        <x:v>A cybernetic systems approach to abnormality detection in retina images using case based reasoning AR Chowdhury et al</x:v>
      </x:c>
      <x:c r="C18" s="960" t="str">
        <x:v>Include</x:v>
      </x:c>
      <x:c r="D18" s="960" t="str">
        <x:v>I2–I4</x:v>
      </x:c>
      <x:c r="E18" s="954" t="str">
        <x:v>The abstract applies case-based reasoning to retinal images for abnormality detection and supports decisions through retrieval of comparable prior cases; it is direct retinal structured-reasoning evidence.</x:v>
      </x:c>
      <x:c r="F18" s="954" t="str">
        <x:v>https://link.springer.com/article/10.1007/s42452-020-3187-0</x:v>
      </x:c>
      <x:c r="G18" s="954" t="str">
        <x:v>The corresponding author decision; rationale checked against abstract/official record on 2026-08-17.</x:v>
      </x:c>
    </x:row>
    <x:row r="19" ht="62" customHeight="1">
      <x:c r="A19" s="957" t="str">
        <x:v>GS-03-004</x:v>
      </x:c>
      <x:c r="B19" s="954" t="str">
        <x:v>Retneval of similar cases to improve the diagnosis of diabetic retinopathy</x:v>
      </x:c>
      <x:c r="C19" s="960" t="str">
        <x:v>Include</x:v>
      </x:c>
      <x:c r="D19" s="960" t="str">
        <x:v>I2–I4</x:v>
      </x:c>
      <x:c r="E19" s="954" t="str">
        <x:v>The abstract retrieves previously diagnosed fundus images similar to a new case to support diabetic-retinopathy diagnosis, providing direct case-level and similarity-based explanation.</x:v>
      </x:c>
      <x:c r="F19" s="954" t="str">
        <x:v>https://link.springer.com/chapter/10.1007/978-3-031-40177-0_26</x:v>
      </x:c>
      <x:c r="G19" s="954" t="str">
        <x:v>The corresponding author decision; rationale checked against abstract/official record on 2026-08-17.</x:v>
      </x:c>
    </x:row>
    <x:row r="20" ht="62" customHeight="1">
      <x:c r="A20" s="957" t="str">
        <x:v>GS-03-078</x:v>
      </x:c>
      <x:c r="B20" s="954" t="str">
        <x:v>Optimized Hybrid Quantum-Classical GAN with Case-based Reasoning Feature Fusion for Multiclass Brain Tumor Classification</x:v>
      </x:c>
      <x:c r="C20" s="960" t="str">
        <x:v>Include</x:v>
      </x:c>
      <x:c r="D20" s="960" t="str">
        <x:v>I5</x:v>
      </x:c>
      <x:c r="E20" s="954" t="str">
        <x:v>The abstract combines case-based-reasoning feature fusion with a quantum–classical GAN for multiclass brain-tumour MRI classification; it is retained as contextual medical structured-reasoning evidence.</x:v>
      </x:c>
      <x:c r="F20" s="954" t="str">
        <x:v>https://www.tandfonline.com/doi/full/10.1080/03772063.2026.2660810</x:v>
      </x:c>
      <x:c r="G20" s="954" t="str">
        <x:v>The corresponding author decision; rationale checked against abstract/official record on 2026-08-17.</x:v>
      </x:c>
    </x:row>
    <x:row r="21" ht="62" customHeight="1">
      <x:c r="A21" s="957" t="str">
        <x:v>GS-03-099</x:v>
      </x:c>
      <x:c r="B21" s="954" t="str">
        <x:v>Knowledge Amplificatian Using Randomization in Case-Based Reasoning-- Case Study: Severity of Mammography Mass</x:v>
      </x:c>
      <x:c r="C21" s="960" t="str">
        <x:v>Include</x:v>
      </x:c>
      <x:c r="D21" s="960" t="str">
        <x:v>I5</x:v>
      </x:c>
      <x:c r="E21" s="954" t="str">
        <x:v>The abstract uses validated randomisation to expand a case-based reasoning knowledge base and evaluates it on mammography-mass severity; it is contextual medical CBR evidence.</x:v>
      </x:c>
      <x:c r="F21" s="954" t="str">
        <x:v>https://ieeexplore.ieee.org/document/8424702/</x:v>
      </x:c>
      <x:c r="G21" s="954" t="str">
        <x:v>The corresponding author decision; rationale checked against abstract/official record on 2026-08-17.</x:v>
      </x:c>
    </x:row>
    <x:row r="22" ht="62" customHeight="1">
      <x:c r="A22" s="957" t="str">
        <x:v>GS-04-003</x:v>
      </x:c>
      <x:c r="B22" s="954" t="str">
        <x:v>Neurosymbolic Al approach for dry and wet AMD classification using OCT Images</x:v>
      </x:c>
      <x:c r="C22" s="960" t="str">
        <x:v>Include</x:v>
      </x:c>
      <x:c r="D22" s="960" t="str">
        <x:v>I2–I4</x:v>
      </x:c>
      <x:c r="E22" s="954" t="str">
        <x:v>The abstract integrates symbolic medical knowledge with a neural model for dry/wet AMD classification from OCT and reports empirical performance, providing direct retinal neuro-symbolic evidence.</x:v>
      </x:c>
      <x:c r="F22" s="954" t="str">
        <x:v>https://link.springer.com/chapter/10.1007/978-3-031-96538-8_10</x:v>
      </x:c>
      <x:c r="G22" s="954" t="str">
        <x:v>The corresponding author decision; rationale checked against abstract/official record on 2026-08-17.</x:v>
      </x:c>
    </x:row>
    <x:row r="23" ht="62" customHeight="1">
      <x:c r="A23" s="957" t="str">
        <x:v>GS-04-008</x:v>
      </x:c>
      <x:c r="B23" s="954" t="str">
        <x:v>Towards trustworthy and explainable Al for ocular disease diagnosis using an ontalogy-guided neuro-symbolic framework</x:v>
      </x:c>
      <x:c r="C23" s="960" t="str">
        <x:v>Exclude</x:v>
      </x:c>
      <x:c r="D23" s="960" t="str">
        <x:v>E5</x:v>
      </x:c>
      <x:c r="E23" s="954" t="str">
        <x:v>The abstract describes a broad multi-class ocular classifier covering cataract, diabetic retinopathy, glaucoma and normal images, but does not report a distinct retinal-specific evaluation of the ontology-derived explanations sufficient for the predefined retinal concept-XAI synthesis.</x:v>
      </x:c>
      <x:c r="F23" s="954" t="str">
        <x:v>https://www.sciencedirect.com/science/article/pii/S1746809426017520</x:v>
      </x:c>
      <x:c r="G23" s="954" t="str">
        <x:v>The corresponding author decision; rationale checked against abstract/official record on 2026-08-17.</x:v>
      </x:c>
    </x:row>
    <x:row r="24" ht="62" customHeight="1">
      <x:c r="A24" s="957" t="str">
        <x:v>GS-04-023</x:v>
      </x:c>
      <x:c r="B24" s="954" t="str">
        <x:v>DeepInfusion A dynamic infusion based-neuro-symbolic Al madel for segmentation of intracranial aneurysms</x:v>
      </x:c>
      <x:c r="C24" s="960" t="str">
        <x:v>Include</x:v>
      </x:c>
      <x:c r="D24" s="960" t="str">
        <x:v>I5</x:v>
      </x:c>
      <x:c r="E24" s="954" t="str">
        <x:v>The abstract proposes DeepInfusion, a neuro-symbolic model for intracranial-aneurysm segmentation; it is retained as contextual original neuro-symbolic medical-imaging evidence.</x:v>
      </x:c>
      <x:c r="F24" s="954" t="str">
        <x:v>https://www.sciencedirect.com/science/article/pii/S0925231223006331</x:v>
      </x:c>
      <x:c r="G24" s="954" t="str">
        <x:v>The corresponding author decision; rationale checked against abstract/official record on 2026-08-17.</x:v>
      </x:c>
    </x:row>
    <x:row r="25" ht="62" customHeight="1">
      <x:c r="A25" s="958" t="str">
        <x:v>CIT-071</x:v>
      </x:c>
      <x:c r="B25" s="955" t="str">
        <x:v>Hybrid vision–language models for improved transparency in healthcare processes: The retinal diagnosis use case</x:v>
      </x:c>
      <x:c r="C25" s="961" t="str">
        <x:v>Include</x:v>
      </x:c>
      <x:c r="D25" s="961" t="str">
        <x:v>I2–I4</x:v>
      </x:c>
      <x:c r="E25" s="955" t="str">
        <x:v>The abstract combines ConvNeXt V2, CLIP-derived visual features and an LLM to generate human-readable explanations for retinal diagnoses; it is direct retinal vision–language XAI evidence.</x:v>
      </x:c>
      <x:c r="F25" s="955" t="str">
        <x:v>https://www.sciencedirect.com/science/article/pii/S0950705126001991</x:v>
      </x:c>
      <x:c r="G25" s="955" t="str">
        <x:v>The corresponding author decision; rationale checked against abstract/official record on 2026-08-17.</x:v>
      </x:c>
    </x:row>
  </x:sheetData>
  <x:mergeCells>
    <x:mergeCell ref="A1:G1"/>
    <x:mergeCell ref="A2:G2"/>
  </x:mergeCells>
  <x:conditionalFormatting sqref="C5:C25">
    <x:cfRule type="expression" dxfId="41" priority="1">
      <x:formula>$C5="Include"</x:formula>
    </x:cfRule>
    <x:cfRule type="expression" dxfId="42" priority="2">
      <x:formula>$C5="Exclude"</x:formula>
    </x:cfRule>
  </x:conditionalFormatting>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14" hidden="0" customWidth="1"/>
    <x:col min="2" max="2" width="52" hidden="0" customWidth="1"/>
    <x:col min="3" max="3" width="28" hidden="0" customWidth="1"/>
    <x:col min="4" max="4" width="42" hidden="0" customWidth="1"/>
    <x:col min="5" max="5" width="38" hidden="0" customWidth="1"/>
    <x:col min="6" max="6" width="52" hidden="0" customWidth="1"/>
    <x:col min="7" max="7" width="56" hidden="0" customWidth="1"/>
    <x:col min="8" max="8" width="56" hidden="0" customWidth="1"/>
    <x:col min="9" max="9" width="48" hidden="0" customWidth="1"/>
    <x:col min="10" max="10" width="28" hidden="0" customWidth="1"/>
    <x:col min="11" max="11" width="32" hidden="0" customWidth="1"/>
    <x:col min="12" max="12" width="28" hidden="0" customWidth="1"/>
    <x:col min="13" max="13" width="48" hidden="0" customWidth="1"/>
    <x:col min="14" max="14" width="20" hidden="0" customWidth="1"/>
    <x:col min="15" max="15" width="22" hidden="0" customWidth="1"/>
    <x:col min="16" max="16" width="22" hidden="0" customWidth="1"/>
  </x:cols>
  <x:sheetData>
    <x:row r="1" ht="22.5" customHeight="1">
      <x:c r="A1" s="965" t="str">
        <x:v>Abstract-Level Data Extraction — 109 Included Studies</x:v>
      </x:c>
      <x:c r="B1" s="965"/>
      <x:c r="C1" s="965"/>
      <x:c r="D1" s="965"/>
      <x:c r="E1" s="965"/>
      <x:c r="F1" s="965"/>
      <x:c r="G1" s="965"/>
      <x:c r="H1" s="965"/>
      <x:c r="I1" s="965"/>
      <x:c r="J1" s="965"/>
      <x:c r="K1" s="965"/>
      <x:c r="L1" s="965"/>
      <x:c r="M1" s="965"/>
      <x:c r="N1" s="965"/>
      <x:c r="O1" s="965"/>
      <x:c r="P1" s="965"/>
    </x:row>
    <x:row r="2" ht="37.5" customHeight="1">
      <x:c r="A2" s="969" t="str">
        <x:v>Professional extraction based on each study's abstract or authoritative indexed abstract summary. 'Not reported in abstract' is retained where the source does not provide the requested information; no missing detail has been inferred.</x:v>
      </x:c>
      <x:c r="B2" s="969"/>
      <x:c r="C2" s="969"/>
      <x:c r="D2" s="969"/>
      <x:c r="E2" s="969"/>
      <x:c r="F2" s="969"/>
      <x:c r="G2" s="969"/>
      <x:c r="H2" s="969"/>
      <x:c r="I2" s="969"/>
      <x:c r="J2" s="969"/>
      <x:c r="K2" s="969"/>
      <x:c r="L2" s="969"/>
      <x:c r="M2" s="969"/>
      <x:c r="N2" s="969"/>
      <x:c r="O2" s="969"/>
      <x:c r="P2" s="969"/>
    </x:row>
    <x:row r="3" ht="25.5" customHeight="1">
      <x:c r="A3" s="974" t="str">
        <x:v>Studies</x:v>
      </x:c>
      <x:c r="B3" s="978" t="n">
        <x:f>COUNTA(A6:A114)</x:f>
        <x:v>109</x:v>
      </x:c>
      <x:c r="C3" s="974" t="str">
        <x:v>Direct retinal</x:v>
      </x:c>
      <x:c r="D3" s="978" t="n">
        <x:f>COUNTIF(C6:C114,"Direct retinal/ophthalmic evidence")</x:f>
        <x:v>47</x:v>
      </x:c>
      <x:c r="E3" s="974" t="str">
        <x:v>Contextual</x:v>
      </x:c>
      <x:c r="F3" s="978" t="n">
        <x:f>COUNTIF(C6:C114,"Contextual medical concept-XAI evidence")</x:f>
        <x:v>62</x:v>
      </x:c>
      <x:c r="G3" s="974" t="str">
        <x:v>Dataset reported</x:v>
      </x:c>
      <x:c r="H3" s="978" t="n">
        <x:f>COUNTIF(N6:N114,"Yes")</x:f>
        <x:v>53</x:v>
      </x:c>
      <x:c r="I3" s="974" t="str">
        <x:v>Explanation evaluated</x:v>
      </x:c>
      <x:c r="J3" s="978" t="n">
        <x:f>COUNTIF(O6:O114,"Yes")</x:f>
        <x:v>13</x:v>
      </x:c>
      <x:c r="K3" s="974" t="str">
        <x:v>Limitations reported</x:v>
      </x:c>
      <x:c r="L3" s="978" t="n">
        <x:f>COUNTIF(P6:P114,"Yes")</x:f>
        <x:v>3</x:v>
      </x:c>
      <x:c r="M3" s="974" t="str">
        <x:v>Low-confidence summaries</x:v>
      </x:c>
      <x:c r="N3" s="978" t="n">
        <x:f>COUNTIF(K6:K114,"Low — indexed summary only")</x:f>
        <x:v>2</x:v>
      </x:c>
      <x:c r="O3" s="974" t="str">
        <x:v>Extraction complete</x:v>
      </x:c>
      <x:c r="P3" s="978" t="n">
        <x:f>COUNTA(A6:A114)</x:f>
        <x:v>109</x:v>
      </x:c>
    </x:row>
    <x:row r="5" ht="40.5" customHeight="1">
      <x:c r="A5" s="982" t="str">
        <x:v>Record ID</x:v>
      </x:c>
      <x:c r="B5" s="982" t="str">
        <x:v>Study citation</x:v>
      </x:c>
      <x:c r="C5" s="982" t="str">
        <x:v>Evidence role</x:v>
      </x:c>
      <x:c r="D5" s="982" t="str">
        <x:v>Method / Concept-XAI type</x:v>
      </x:c>
      <x:c r="E5" s="982" t="str">
        <x:v>Image modality and disease/task</x:v>
      </x:c>
      <x:c r="F5" s="982" t="str">
        <x:v>Dataset(s) / sample</x:v>
      </x:c>
      <x:c r="G5" s="982" t="str">
        <x:v>Explanation evaluation</x:v>
      </x:c>
      <x:c r="H5" s="982" t="str">
        <x:v>Key results</x:v>
      </x:c>
      <x:c r="I5" s="982" t="str">
        <x:v>Limitations reported in abstract</x:v>
      </x:c>
      <x:c r="J5" s="982" t="str">
        <x:v>Evidence basis</x:v>
      </x:c>
      <x:c r="K5" s="982" t="str">
        <x:v>Extraction confidence</x:v>
      </x:c>
      <x:c r="L5" s="982" t="str">
        <x:v>DOI</x:v>
      </x:c>
      <x:c r="M5" s="982" t="str">
        <x:v>Source URL</x:v>
      </x:c>
      <x:c r="N5" s="982" t="str">
        <x:v>Dataset/sample reported?</x:v>
      </x:c>
      <x:c r="O5" s="982" t="str">
        <x:v>Dedicated explanation evaluation?</x:v>
      </x:c>
      <x:c r="P5" s="982" t="str">
        <x:v>Study-specific limitation reported?</x:v>
      </x:c>
    </x:row>
    <x:row r="6" ht="88.5" customHeight="1">
      <x:c r="A6" s="990" t="str">
        <x:v>PM-001</x:v>
      </x:c>
      <x:c r="B6" s="988" t="str">
        <x:v>Vision language models in ophthalmology — Lim G, Elangovan K, Jin L. (2024)</x:v>
      </x:c>
      <x:c r="C6" s="988" t="str">
        <x:v>Direct retinal/ophthalmic evidence</x:v>
      </x:c>
      <x:c r="D6" s="988" t="str">
        <x:v>Concept-guided vision-language model (Transformer)</x:v>
      </x:c>
      <x:c r="E6" s="988" t="str">
        <x:v>Fundus photography; OCT — Ophthalmic disease</x:v>
      </x:c>
      <x:c r="F6" s="988" t="str">
        <x:v>Dataset and sample size not reported in abstract.</x:v>
      </x:c>
      <x:c r="G6" s="988" t="str">
        <x:v>Explanation evaluation not reported in abstract.</x:v>
      </x:c>
      <x:c r="H6" s="988" t="str">
        <x:v>No quantitative result is reported in the abstract.</x:v>
      </x:c>
      <x:c r="I6" s="988" t="str">
        <x:v>No study-specific limitation is reported in the abstract.</x:v>
      </x:c>
      <x:c r="J6" s="990" t="str">
        <x:v>OpenAlex scholarly record</x:v>
      </x:c>
      <x:c r="K6" s="990" t="str">
        <x:v>Moderate — complete scholarly-record abstract</x:v>
      </x:c>
      <x:c r="L6" s="990" t="str">
        <x:v>10.1097/ICU.0000000000001089</x:v>
      </x:c>
      <x:c r="M6" s="988" t="str">
        <x:v>https://journals.lww.com/co-ophthalmology/fulltext/2024/11000/vision_language_models_in_ophthalmology.9.aspx</x:v>
      </x:c>
      <x:c r="N6" s="990" t="str">
        <x:f>IF(LEFT(F6,7)="Dataset","No","Yes")</x:f>
        <x:v>No</x:v>
      </x:c>
      <x:c r="O6" s="990" t="str">
        <x:f>IF(OR(LEFT(G6,2)="No",LEFT(G6,11)="Explanation"),"No","Yes")</x:f>
        <x:v>No</x:v>
      </x:c>
      <x:c r="P6" s="990" t="str">
        <x:f>IF(LEFT(I6,2)="No","No","Yes")</x:f>
        <x:v>No</x:v>
      </x:c>
    </x:row>
    <x:row r="7" ht="88.5" customHeight="1">
      <x:c r="A7" s="990" t="str">
        <x:v>PM-003</x:v>
      </x:c>
      <x:c r="B7" s="988" t="str">
        <x:v>A multimodal vision–language model for generalizable annotation-free pathology localization — Yang H, Zhou HY, Liu J, Huang W, Li C, Li Z, Gao Y, Liu Q, Liang Y, Yang Q, Wu S, Tan T, Zheng H, Zhang K, Wang S. (2026)</x:v>
      </x:c>
      <x:c r="C7" s="988" t="str">
        <x:v>Direct retinal/ophthalmic evidence</x:v>
      </x:c>
      <x:c r="D7" s="988" t="str">
        <x:v>Concept-guided vision-language model</x:v>
      </x:c>
      <x:c r="E7" s="988" t="str">
        <x:v>Fundus photography; Histopathology; X-ray — Disease/task not reported in abstract</x:v>
      </x:c>
      <x:c r="F7" s="988" t="str">
        <x:v>We conducted primary experiments on a dataset of 220,000 pairs of image–report chest X-ray images and performed validation across 8 external datasets encompassing 34 types of chest pathology.</x:v>
      </x:c>
      <x:c r="G7" s="988" t="str">
        <x:v>No dedicated explanation-quality metric is reported in the abstract; interpretability is supported by the model design and/or qualitative concept, prototype, case, or rule outputs.</x:v>
      </x:c>
      <x:c r="H7" s="988" t="str">
        <x:v>The results demonstrate that AFLoc outperforms state-of-the-art methods in both annotation-free localization and classification tasks. We show that AFLoc exhibits robust generalization capabilities, even surpassing human benchmarks in localizing five different types of pathological image.</x:v>
      </x:c>
      <x:c r="I7" s="988" t="str">
        <x:v>No study-specific limitation is reported in the abstract.</x:v>
      </x:c>
      <x:c r="J7" s="990" t="str">
        <x:v>Semantic Scholar record</x:v>
      </x:c>
      <x:c r="K7" s="990" t="str">
        <x:v>Moderate — complete scholarly-record abstract</x:v>
      </x:c>
      <x:c r="L7" s="990" t="str">
        <x:v>10.1038/s41551-025-01574-7</x:v>
      </x:c>
      <x:c r="M7" s="988" t="str">
        <x:v>https://www.nature.com/articles/s41551-025-01574-7</x:v>
      </x:c>
      <x:c r="N7" s="990" t="str">
        <x:f>IF(LEFT(F7,7)="Dataset","No","Yes")</x:f>
        <x:v>Yes</x:v>
      </x:c>
      <x:c r="O7" s="990" t="str">
        <x:f>IF(OR(LEFT(G7,2)="No",LEFT(G7,11)="Explanation"),"No","Yes")</x:f>
        <x:v>No</x:v>
      </x:c>
      <x:c r="P7" s="990" t="str">
        <x:f>IF(LEFT(I7,2)="No","No","Yes")</x:f>
        <x:v>No</x:v>
      </x:c>
    </x:row>
    <x:row r="8" ht="88.5" customHeight="1">
      <x:c r="A8" s="990" t="str">
        <x:v>PM-004</x:v>
      </x:c>
      <x:c r="B8" s="988" t="str">
        <x:v>An Interpretable and Accurate Deep-Learning Diagnosis Framework Modeled With Fully and Semi-Supervised Reciprocal Learning — Wang C, Chen Y, Liu F, Elliott M, Kwok CF, Pena-Solorzano C, Frazer H, McCarthy DJ, Carneiro G. (2024)</x:v>
      </x:c>
      <x:c r="C8" s="988" t="str">
        <x:v>Direct retinal/ophthalmic evidence</x:v>
      </x:c>
      <x:c r="D8" s="988" t="str">
        <x:v>Prototype-based / prototypical learning (Segmentation model, Knowledge distillation)</x:v>
      </x:c>
      <x:c r="E8" s="988" t="str">
        <x:v>Modality not reported in abstract — Retinal disease / lesions; Breast disease / cancer; Brain tumour</x:v>
      </x:c>
      <x:c r="F8" s="988" t="str">
        <x:v>Dataset and sample size not reported in abstract.</x:v>
      </x:c>
      <x:c r="G8" s="988" t="str">
        <x:v>No dedicated explanation-quality metric is reported in the abstract; interpretability is supported by the model design and/or qualitative concept, prototype, case, or rule outputs.</x:v>
      </x:c>
      <x:c r="H8" s="988" t="str">
        <x:v>This reciprocal learning paradigm enables InterNRL to be flexibly optimised under both fully- and semi-supervised learning scenarios, reaching state-of-the-art classification performance in both scenarios for the tasks of breast cancer and retinal disease diagnosis. Moreover, relying on weakly-labelled training images, InterNRL also achieves superior breast cancer localisation and brain tumour segmentation results than other competing methods.</x:v>
      </x:c>
      <x:c r="I8" s="988" t="str">
        <x:v>No study-specific limitation is reported in the abstract.</x:v>
      </x:c>
      <x:c r="J8" s="990" t="str">
        <x:v>OpenAlex scholarly record</x:v>
      </x:c>
      <x:c r="K8" s="990" t="str">
        <x:v>Moderate — complete scholarly-record abstract</x:v>
      </x:c>
      <x:c r="L8" s="990" t="str">
        <x:v>10.1109/TMI.2023.3306781</x:v>
      </x:c>
      <x:c r="M8" s="988" t="str">
        <x:v>https://ieeexplore.ieee.org/document/10225391/</x:v>
      </x:c>
      <x:c r="N8" s="990" t="str">
        <x:f>IF(LEFT(F8,7)="Dataset","No","Yes")</x:f>
        <x:v>No</x:v>
      </x:c>
      <x:c r="O8" s="990" t="str">
        <x:f>IF(OR(LEFT(G8,2)="No",LEFT(G8,11)="Explanation"),"No","Yes")</x:f>
        <x:v>No</x:v>
      </x:c>
      <x:c r="P8" s="990" t="str">
        <x:f>IF(LEFT(I8,2)="No","No","Yes")</x:f>
        <x:v>No</x:v>
      </x:c>
    </x:row>
    <x:row r="9" ht="88.5" customHeight="1">
      <x:c r="A9" s="990" t="str">
        <x:v>PM-005</x:v>
      </x:c>
      <x:c r="B9" s="988" t="str">
        <x:v>Concept-based AI interpretability in physiological time-series data: Example of abnormality detection in electroencephalography — Brenner A, Knispel F, Fischer FP, Rossmanith P, Weber Y, Koch H, Röhrig R, Varghese J, Kutafina E. (2024)</x:v>
      </x:c>
      <x:c r="C9" s="988" t="str">
        <x:v>Contextual medical concept-XAI evidence</x:v>
      </x:c>
      <x:c r="D9" s="988" t="str">
        <x:v>Concept activation vectors / TCAV; Other concept-based model</x:v>
      </x:c>
      <x:c r="E9" s="988" t="str">
        <x:v>EEG time-series; Clinical time-series — EEG abnormality</x:v>
      </x:c>
      <x:c r="F9" s="988" t="str">
        <x:v>Dataset and sample size not reported in abstract.</x:v>
      </x:c>
      <x:c r="G9" s="988" t="str">
        <x:v>TCAV has the potential to improve interpretability of deep learning applied to multi-channel signals as well as to detect possible biases in the data.</x:v>
      </x:c>
      <x:c r="H9" s="988" t="str">
        <x:v>The model provides state-of-the-art performance on raw EEG data and is publically available. TCAV has the potential to improve interpretability of deep learning applied to multi-channel signals as well as to detect possible biases in the data.</x:v>
      </x:c>
      <x:c r="I9" s="988" t="str">
        <x:v>No study-specific limitation is reported in the abstract.</x:v>
      </x:c>
      <x:c r="J9" s="990" t="str">
        <x:v>OpenAlex scholarly record</x:v>
      </x:c>
      <x:c r="K9" s="990" t="str">
        <x:v>Moderate — complete scholarly-record abstract</x:v>
      </x:c>
      <x:c r="L9" s="990" t="str">
        <x:v>10.1016/j.cmpb.2024.108448</x:v>
      </x:c>
      <x:c r="M9" s="988" t="str">
        <x:v>https://www.sciencedirect.com/science/article/pii/S0169260724004413</x:v>
      </x:c>
      <x:c r="N9" s="990" t="str">
        <x:f>IF(LEFT(F9,7)="Dataset","No","Yes")</x:f>
        <x:v>No</x:v>
      </x:c>
      <x:c r="O9" s="990" t="str">
        <x:f>IF(OR(LEFT(G9,2)="No",LEFT(G9,11)="Explanation"),"No","Yes")</x:f>
        <x:v>Yes</x:v>
      </x:c>
      <x:c r="P9" s="990" t="str">
        <x:f>IF(LEFT(I9,2)="No","No","Yes")</x:f>
        <x:v>No</x:v>
      </x:c>
    </x:row>
    <x:row r="10" ht="88.5" customHeight="1">
      <x:c r="A10" s="990" t="str">
        <x:v>PM-007</x:v>
      </x:c>
      <x:c r="B10" s="988" t="str">
        <x:v>Robust and Interpretable Convolutional Neural Networks to Detect Glaucoma in Optical Coherence Tomography Images — Thakoor KA, Koorathota SC, Hood DC, Sajda P. (2021)</x:v>
      </x:c>
      <x:c r="C10" s="988" t="str">
        <x:v>Direct retinal/ophthalmic evidence</x:v>
      </x:c>
      <x:c r="D10" s="988" t="str">
        <x:v>Concept activation vectors / TCAV (CNN)</x:v>
      </x:c>
      <x:c r="E10" s="988" t="str">
        <x:v>OCT — Glaucoma</x:v>
      </x:c>
      <x:c r="F10" s="988" t="str">
        <x:v>Dataset and sample size not reported in abstract.</x:v>
      </x:c>
      <x:c r="G10" s="988" t="str">
        <x:v>Furthermore, we compare TCAV results to eye fixations of clinicians, to identify common decision-making features used by both AI and human experts. We find that employing fine-tuned transfer learning and CNN ensemble learning create end-to-end deep learning models with superior robustness compared to previously reported hybrid deep-learning/machine-learning models, and TCAV/eye-fixation comparison suggests the importance of three OCT report sub-images that are consistent with areas of interest fixated upon by OCT experts to detect glaucoma.</x:v>
      </x:c>
      <x:c r="H10" s="988" t="str">
        <x:v>In this work, we develop CNN architectures that demonstrate robust detection of glaucoma in optical coherence tomography (OCT) images and test with concept activation vectors (TCAVs) to infer what image concepts CNNs use to generate predictions. We find that employing fine-tuned transfer learning and CNN ensemble learning create end-to-end deep learning models with superior robustness compared to previously reported hybrid deep-learning/machine-learning models, and TCAV/eye-fixation comparison suggests the importance of three OCT report sub-images that are consistent with areas of interest fixated upon by OCT experts to detect glaucoma.</x:v>
      </x:c>
      <x:c r="I10" s="988" t="str">
        <x:v>No study-specific limitation is reported in the abstract.</x:v>
      </x:c>
      <x:c r="J10" s="990" t="str">
        <x:v>OpenAlex scholarly record</x:v>
      </x:c>
      <x:c r="K10" s="990" t="str">
        <x:v>Moderate — complete scholarly-record abstract</x:v>
      </x:c>
      <x:c r="L10" s="990" t="str">
        <x:v>10.1109/TBME.2020.3043215</x:v>
      </x:c>
      <x:c r="M10" s="988" t="str">
        <x:v>https://doi.org/10.1109/TBME.2020.3043215</x:v>
      </x:c>
      <x:c r="N10" s="990" t="str">
        <x:f>IF(LEFT(F10,7)="Dataset","No","Yes")</x:f>
        <x:v>No</x:v>
      </x:c>
      <x:c r="O10" s="990" t="str">
        <x:f>IF(OR(LEFT(G10,2)="No",LEFT(G10,11)="Explanation"),"No","Yes")</x:f>
        <x:v>Yes</x:v>
      </x:c>
      <x:c r="P10" s="990" t="str">
        <x:f>IF(LEFT(I10,2)="No","No","Yes")</x:f>
        <x:v>No</x:v>
      </x:c>
    </x:row>
    <x:row r="11" ht="88.5" customHeight="1">
      <x:c r="A11" s="990" t="str">
        <x:v>PM-008</x:v>
      </x:c>
      <x:c r="B11" s="988" t="str">
        <x:v>Neurosymbolic AI Framework for Explainable Retinal Disease Classification From OCT Images — Miladinovic A, Biscontin A, Ajcevic M, Kresevic S, Accardo A, Tognetto D, Inferrera L. (2026)</x:v>
      </x:c>
      <x:c r="C11" s="988" t="str">
        <x:v>Direct retinal/ophthalmic evidence</x:v>
      </x:c>
      <x:c r="D11" s="988" t="str">
        <x:v>Neuro-symbolic AI (CNN)</x:v>
      </x:c>
      <x:c r="E11" s="988" t="str">
        <x:v>OCT — Retinal disease / lesions</x:v>
      </x:c>
      <x:c r="F11" s="988" t="str">
        <x:v>A total of 10,846 optical coherence tomography images were retrospectively collected and categorized into seven diagnostic classes: dry AMD, wet AMD, epiretinal membrane, full-thickness MH, lamellar MH, central serous chorioretinopathy, and healthy retinas.</x:v>
      </x:c>
      <x:c r="G11" s="988" t="str">
        <x:v>No dedicated explanation-quality metric is reported in the abstract; interpretability is supported by the model design and/or qualitative concept, prototype, case, or rule outputs.</x:v>
      </x:c>
      <x:c r="H11" s="988" t="str">
        <x:v>On the external dataset, it retained superior performance, macro-precision 0.85, recall 0.79, F1 0.78, versus the CNN (0.73/0.64/0.59). Conclusions: Our hybrid neurosymbolic framework introduces a unified paradigm that couples symbolic reasoning with a conventional CNN, improving diagnostic performance while delivering transparent, clinically interpretable decisions.</x:v>
      </x:c>
      <x:c r="I11" s="988" t="str">
        <x:v>No study-specific limitation is reported in the abstract.</x:v>
      </x:c>
      <x:c r="J11" s="990" t="str">
        <x:v>OpenAlex scholarly record</x:v>
      </x:c>
      <x:c r="K11" s="990" t="str">
        <x:v>Moderate — complete scholarly-record abstract</x:v>
      </x:c>
      <x:c r="L11" s="990" t="str">
        <x:v>10.1167/tvst.15.1.6</x:v>
      </x:c>
      <x:c r="M11" s="988" t="str">
        <x:v>https://tvst.arvojournals.org/article.aspx?articleid=2811318</x:v>
      </x:c>
      <x:c r="N11" s="990" t="str">
        <x:f>IF(LEFT(F11,7)="Dataset","No","Yes")</x:f>
        <x:v>Yes</x:v>
      </x:c>
      <x:c r="O11" s="990" t="str">
        <x:f>IF(OR(LEFT(G11,2)="No",LEFT(G11,11)="Explanation"),"No","Yes")</x:f>
        <x:v>No</x:v>
      </x:c>
      <x:c r="P11" s="990" t="str">
        <x:f>IF(LEFT(I11,2)="No","No","Yes")</x:f>
        <x:v>No</x:v>
      </x:c>
    </x:row>
    <x:row r="12" ht="88.5" customHeight="1">
      <x:c r="A12" s="990" t="str">
        <x:v>PM-009</x:v>
      </x:c>
      <x:c r="B12" s="988" t="str">
        <x:v>Grounded report generation for enhancing ophthalmic ultrasound interpretation using Vision-Language Segmentation models — Jin K, Sun Q, Kang D, Luo Z, Yu T, Han W, Zhang Y, Wang M, Shi D, Grzybowski A. (2026)</x:v>
      </x:c>
      <x:c r="C12" s="988" t="str">
        <x:v>Direct retinal/ophthalmic evidence</x:v>
      </x:c>
      <x:c r="D12" s="988" t="str">
        <x:v>Concept-guided vision-language model (Segmentation model)</x:v>
      </x:c>
      <x:c r="E12" s="988" t="str">
        <x:v>Ultrasound — Disease/task not reported in abstract</x:v>
      </x:c>
      <x:c r="F12" s="988" t="str">
        <x:v>Using data from three hospitals, totaling 64,098 images and 21,355 reports, the VLS model achieved a BLEU4 score of 66.37 in internal test set, and 85.36 and 73.77 in external test sets.</x:v>
      </x:c>
      <x:c r="G12" s="988" t="str">
        <x:v>No dedicated explanation-quality metric is reported in the abstract; interpretability is supported by the model design and/or qualitative concept, prototype, case, or rule outputs.</x:v>
      </x:c>
      <x:c r="H12" s="988" t="str">
        <x:v>Overall diagnostic accuracy was 90.59% in internal and 71.87% in external test sets. This approach enhances diagnostic accuracy, reduces manual effort, and accelerates workflows, offering a promising solution for ophthalmic ultrasound interpretation.</x:v>
      </x:c>
      <x:c r="I12" s="988" t="str">
        <x:v>No study-specific limitation is reported in the abstract.</x:v>
      </x:c>
      <x:c r="J12" s="990" t="str">
        <x:v>OpenAlex scholarly record</x:v>
      </x:c>
      <x:c r="K12" s="990" t="str">
        <x:v>Moderate — complete scholarly-record abstract</x:v>
      </x:c>
      <x:c r="L12" s="990" t="str">
        <x:v>10.1038/s41746-025-02300-y</x:v>
      </x:c>
      <x:c r="M12" s="988" t="str">
        <x:v>https://www.nature.com/articles/s41746-025-02300-y</x:v>
      </x:c>
      <x:c r="N12" s="990" t="str">
        <x:f>IF(LEFT(F12,7)="Dataset","No","Yes")</x:f>
        <x:v>Yes</x:v>
      </x:c>
      <x:c r="O12" s="990" t="str">
        <x:f>IF(OR(LEFT(G12,2)="No",LEFT(G12,11)="Explanation"),"No","Yes")</x:f>
        <x:v>No</x:v>
      </x:c>
      <x:c r="P12" s="990" t="str">
        <x:f>IF(LEFT(I12,2)="No","No","Yes")</x:f>
        <x:v>No</x:v>
      </x:c>
    </x:row>
    <x:row r="13" ht="88.5" customHeight="1">
      <x:c r="A13" s="990" t="str">
        <x:v>PM-012</x:v>
      </x:c>
      <x:c r="B13" s="988" t="str">
        <x:v>Cross- and Intra-Image Prototypical Learning for Multi-Label Disease Diagnosis and Interpretation — Wang C, Liu F, Chen Y, Frazer H, Carneiro G. (2025)</x:v>
      </x:c>
      <x:c r="C13" s="988" t="str">
        <x:v>Contextual medical concept-XAI evidence</x:v>
      </x:c>
      <x:c r="D13" s="988" t="str">
        <x:v>Prototype-based / prototypical learning</x:v>
      </x:c>
      <x:c r="E13" s="988" t="str">
        <x:v>Fundus photography; X-ray — Disease/task not reported in abstract</x:v>
      </x:c>
      <x:c r="F13" s="988" t="str">
        <x:v>Extensive experiments show that our CIPL attains the state-of-the-art (SOTA) classification accuracy in two public multi-label benchmarks of disease diagnosis: thoracic radiography and fundus images.</x:v>
      </x:c>
      <x:c r="G13" s="988" t="str">
        <x:v>No dedicated explanation-quality metric is reported in the abstract; interpretability is supported by the model design and/or qualitative concept, prototype, case, or rule outputs.</x:v>
      </x:c>
      <x:c r="H13" s="988" t="str">
        <x:v>Extensive experiments show that our CIPL attains the state-of-the-art (SOTA) classification accuracy in two public multi-label benchmarks of disease diagnosis: thoracic radiography and fundus images. Quantitative interpretability results show that CIPL also has superiority in weakly-supervised thoracic disease localisation over other leading saliency- and prototype-based explanation methods.</x:v>
      </x:c>
      <x:c r="I13" s="988" t="str">
        <x:v>No study-specific limitation is reported in the abstract.</x:v>
      </x:c>
      <x:c r="J13" s="990" t="str">
        <x:v>OpenAlex scholarly record</x:v>
      </x:c>
      <x:c r="K13" s="990" t="str">
        <x:v>Moderate — complete scholarly-record abstract</x:v>
      </x:c>
      <x:c r="L13" s="990" t="str">
        <x:v>10.1109/TMI.2025.3541830</x:v>
      </x:c>
      <x:c r="M13" s="988" t="str">
        <x:v>https://ieeexplore.ieee.org/iel8/42/4359023/10887396.pdf</x:v>
      </x:c>
      <x:c r="N13" s="990" t="str">
        <x:f>IF(LEFT(F13,7)="Dataset","No","Yes")</x:f>
        <x:v>Yes</x:v>
      </x:c>
      <x:c r="O13" s="990" t="str">
        <x:f>IF(OR(LEFT(G13,2)="No",LEFT(G13,11)="Explanation"),"No","Yes")</x:f>
        <x:v>No</x:v>
      </x:c>
      <x:c r="P13" s="990" t="str">
        <x:f>IF(LEFT(I13,2)="No","No","Yes")</x:f>
        <x:v>No</x:v>
      </x:c>
    </x:row>
    <x:row r="14" ht="88.5" customHeight="1">
      <x:c r="A14" s="990" t="str">
        <x:v>PM-016</x:v>
      </x:c>
      <x:c r="B14" s="988" t="str">
        <x:v>An Explainable AI Framework for Corneal Imaging Interpretation and Refractive Surgery Decision Support — Wang MH. (2025)</x:v>
      </x:c>
      <x:c r="C14" s="988" t="str">
        <x:v>Contextual medical concept-XAI evidence</x:v>
      </x:c>
      <x:c r="D14" s="988" t="str">
        <x:v>Neuro-symbolic AI; Concept-guided vision-language model; Ontology / knowledge-guided explanation (Vision Transformer, CNN)</x:v>
      </x:c>
      <x:c r="E14" s="988" t="str">
        <x:v>Modality not reported in abstract — Disease/task not reported in abstract</x:v>
      </x:c>
      <x:c r="F14" s="988" t="str">
        <x:v>In a prospective cohort of 20 eyes, comprehensive IOLMaster 700 reports were analyzed through a four-stage pipeline: (1) automated extraction of key parameters—including corneal curvature, pachymetry, and axial biometry; (2) mapping of these quantitative features onto a curated corneal disease and refractive-surgery knowledge graph; (3) Bayesian probabilistic inference to evaluate early keratoconus and surgical eligibility; and (4) explainable multi-model LLM reporting, employing DeepSeek and GPT-4.0, to generate bilingual physician- and patient-facing narratives.</x:v>
      </x:c>
      <x:c r="G14" s="988" t="str">
        <x:v>The generated bilingual reports were rated ≥4.8/5 for logical clarity, clinical usefulness, and comprehensibility, with representative cases fully concordant with expert judgment.</x:v>
      </x:c>
      <x:c r="H14" s="988" t="str">
        <x:v>Comparative benchmarking against baseline CNN and ViT models demonstrated superior diagnostic accuracy (AUC = 0.95 ± 0.03 vs. The approach holds significant promise for improving early ectatic disease detection and supporting individualized refractive surgery planning in routine ophthalmic practice.</x:v>
      </x:c>
      <x:c r="I14" s="988" t="str">
        <x:v>No study-specific limitation is reported in the abstract.</x:v>
      </x:c>
      <x:c r="J14" s="990" t="str">
        <x:v>OpenAlex scholarly record</x:v>
      </x:c>
      <x:c r="K14" s="990" t="str">
        <x:v>Moderate — complete scholarly-record abstract</x:v>
      </x:c>
      <x:c r="L14" s="990" t="str">
        <x:v>10.3390/bioengineering12111174</x:v>
      </x:c>
      <x:c r="M14" s="988" t="str">
        <x:v>https://www.mdpi.com/2306-5354/12/11/1174</x:v>
      </x:c>
      <x:c r="N14" s="990" t="str">
        <x:f>IF(LEFT(F14,7)="Dataset","No","Yes")</x:f>
        <x:v>Yes</x:v>
      </x:c>
      <x:c r="O14" s="990" t="str">
        <x:f>IF(OR(LEFT(G14,2)="No",LEFT(G14,11)="Explanation"),"No","Yes")</x:f>
        <x:v>Yes</x:v>
      </x:c>
      <x:c r="P14" s="990" t="str">
        <x:f>IF(LEFT(I14,2)="No","No","Yes")</x:f>
        <x:v>No</x:v>
      </x:c>
    </x:row>
    <x:row r="15" ht="88.5" customHeight="1">
      <x:c r="A15" s="990" t="str">
        <x:v>PM-017</x:v>
      </x:c>
      <x:c r="B15" s="988" t="str">
        <x:v>Explainable Artificial Intelligence Framework for Predicting Treatment Outcomes in Age-Related Macular Degeneration — Wang MH. (2025)</x:v>
      </x:c>
      <x:c r="C15" s="988" t="str">
        <x:v>Direct retinal/ophthalmic evidence</x:v>
      </x:c>
      <x:c r="D15" s="988" t="str">
        <x:v>Neuro-symbolic AI; Concept-guided vision-language model; Ontology / knowledge-guided explanation (Segmentation model)</x:v>
      </x:c>
      <x:c r="E15" s="988" t="str">
        <x:v>Fundus photography; OCT; Fluorescein angiography — Age-related macular degeneration</x:v>
      </x:c>
      <x:c r="F15" s="988" t="str">
        <x:v>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x:v>
      </x:c>
      <x:c r="G15" s="988" t="str">
        <x:v>No dedicated explanation-quality metric is reported in the abstract; interpretability is supported by the model design and/or qualitative concept, prototype, case, or rule outputs.</x:v>
      </x:c>
      <x:c r="H15" s="988" t="str">
        <x:v>On an independent test set, the hybrid model achieved AUROC 0.94 ± 0.03, AUPRC 0.92 ± 0.04, and a Brier score of 0.07, significantly outperforming purely neural and classical Cox regression baselines (p ≤ 0.01).</x:v>
      </x:c>
      <x:c r="I15" s="988" t="str">
        <x:v>No study-specific limitation is reported in the abstract.</x:v>
      </x:c>
      <x:c r="J15" s="990" t="str">
        <x:v>OpenAlex scholarly record</x:v>
      </x:c>
      <x:c r="K15" s="990" t="str">
        <x:v>Moderate — complete scholarly-record abstract</x:v>
      </x:c>
      <x:c r="L15" s="990" t="str">
        <x:v>10.3390/s25226879</x:v>
      </x:c>
      <x:c r="M15" s="988" t="str">
        <x:v>https://www.mdpi.com/1424-8220/25/22/6879</x:v>
      </x:c>
      <x:c r="N15" s="990" t="str">
        <x:f>IF(LEFT(F15,7)="Dataset","No","Yes")</x:f>
        <x:v>Yes</x:v>
      </x:c>
      <x:c r="O15" s="990" t="str">
        <x:f>IF(OR(LEFT(G15,2)="No",LEFT(G15,11)="Explanation"),"No","Yes")</x:f>
        <x:v>No</x:v>
      </x:c>
      <x:c r="P15" s="990" t="str">
        <x:f>IF(LEFT(I15,2)="No","No","Yes")</x:f>
        <x:v>No</x:v>
      </x:c>
    </x:row>
    <x:row r="16" ht="88.5" customHeight="1">
      <x:c r="A16" s="990" t="str">
        <x:v>PM-018</x:v>
      </x:c>
      <x:c r="B16" s="988" t="str">
        <x:v>Explainable neuro-symbolic artificial intelligence for automated interpretation of corneal topography and early keratoconus detection — Wang MH, Qin S. (2026)</x:v>
      </x:c>
      <x:c r="C16" s="988" t="str">
        <x:v>Contextual medical concept-XAI evidence</x:v>
      </x:c>
      <x:c r="D16" s="988" t="str">
        <x:v>Neuro-symbolic AI; Concept-guided vision-language model; Ontology / knowledge-guided explanation (Vision Transformer, Transformer, CNN)</x:v>
      </x:c>
      <x:c r="E16" s="988" t="str">
        <x:v>Modality not reported in abstract — Disease/task not reported in abstract</x:v>
      </x:c>
      <x:c r="F16" s="988" t="str">
        <x:v>Results: In a prospective pilot cohort of 20 eyes, the proposed framework demonstrated strong diagnostic performance for early keratoconus detection, achieving an area under the receiver operating characteristic curve (AUC) of approximately 0.95.</x:v>
      </x:c>
      <x:c r="G16" s="988" t="str">
        <x:v>No dedicated explanation-quality metric is reported in the abstract; interpretability is supported by the model design and/or qualitative concept, prototype, case, or rule outputs.</x:v>
      </x:c>
      <x:c r="H16" s="988" t="str">
        <x:v>Results: In a prospective pilot cohort of 20 eyes, the proposed framework demonstrated strong diagnostic performance for early keratoconus detection, achieving an area under the receiver operating characteristic curve (AUC) of approximately 0.95. Sensitivity and specificity remained high across decision thresholds, and the system achieved a balanced F1 score for refractive surgery eligibility classification.</x:v>
      </x:c>
      <x:c r="I16" s="988" t="str">
        <x:v>No study-specific limitation is reported in the abstract.</x:v>
      </x:c>
      <x:c r="J16" s="990" t="str">
        <x:v>OpenAlex scholarly record</x:v>
      </x:c>
      <x:c r="K16" s="990" t="str">
        <x:v>Moderate — complete scholarly-record abstract</x:v>
      </x:c>
      <x:c r="L16" s="990" t="str">
        <x:v>10.3389/frai.2026.1713747</x:v>
      </x:c>
      <x:c r="M16" s="988" t="str">
        <x:v>https://www.frontiersin.org/journals/artificial-intelligence/articles/10.3389/frai.2026.1713747/pdf</x:v>
      </x:c>
      <x:c r="N16" s="990" t="str">
        <x:f>IF(LEFT(F16,7)="Dataset","No","Yes")</x:f>
        <x:v>Yes</x:v>
      </x:c>
      <x:c r="O16" s="990" t="str">
        <x:f>IF(OR(LEFT(G16,2)="No",LEFT(G16,11)="Explanation"),"No","Yes")</x:f>
        <x:v>No</x:v>
      </x:c>
      <x:c r="P16" s="990" t="str">
        <x:f>IF(LEFT(I16,2)="No","No","Yes")</x:f>
        <x:v>No</x:v>
      </x:c>
    </x:row>
    <x:row r="17" ht="88.5" customHeight="1">
      <x:c r="A17" s="990" t="str">
        <x:v>PM-020</x:v>
      </x:c>
      <x:c r="B17" s="988" t="str">
        <x:v>Compact vision language models enable efficient and interpretable optical coherence tomography through layer-specific multimodal learning — Haghighi T, Gholami S, Sokol JT, Biswas A, Lim JI, Leng T, Thompson AC, Tabkhi H, Alam MN. (2025)</x:v>
      </x:c>
      <x:c r="C17" s="988" t="str">
        <x:v>Contextual medical concept-XAI evidence</x:v>
      </x:c>
      <x:c r="D17" s="988" t="str">
        <x:v>Concept-guided vision-language model (Vision Transformer)</x:v>
      </x:c>
      <x:c r="E17" s="988" t="str">
        <x:v>OCT — Diabetic retinopathy; Diabetic macular oedema; Retinal disease / lesions; Choroidal neoplasia / uveal melanoma; Ophthalmic disease</x:v>
      </x:c>
      <x:c r="F17" s="988" t="str">
        <x:v>We curated a multimodal dataset of 40,000 OCT B-scans from public repositories and private clinical cohorts, each paired with expert-validated summaries spanning six conditions: diabetic macular edema, diabetic retinopathy, geographic atrophy, drusen, choroidal neovascularization, and healthy retina.</x:v>
      </x:c>
      <x:c r="G17" s="988" t="str">
        <x:v>No dedicated explanation-quality metric is reported in the abstract; interpretability is supported by the model design and/or qualitative concept, prototype, case, or rule outputs.</x:v>
      </x:c>
      <x:c r="H17" s="988" t="str">
        <x:v>For disease classification, LO-VLM reaches 96% accuracy (F1 = 96%), outperforming ViT by 13% and exceeding medical VLM benchmarks by over 62% (p &lt; 0.05). LO-VLM achieves high accuracy and produces reports clinicians find useful.</x:v>
      </x:c>
      <x:c r="I17" s="988" t="str">
        <x:v>No study-specific limitation is reported in the abstract.</x:v>
      </x:c>
      <x:c r="J17" s="990" t="str">
        <x:v>OpenAlex scholarly record</x:v>
      </x:c>
      <x:c r="K17" s="990" t="str">
        <x:v>Moderate — complete scholarly-record abstract</x:v>
      </x:c>
      <x:c r="L17" s="990" t="str">
        <x:v>10.1038/s43856-025-01293-9</x:v>
      </x:c>
      <x:c r="M17" s="988" t="str">
        <x:v>https://www.nature.com/articles/s43856-025-01293-9</x:v>
      </x:c>
      <x:c r="N17" s="990" t="str">
        <x:f>IF(LEFT(F17,7)="Dataset","No","Yes")</x:f>
        <x:v>Yes</x:v>
      </x:c>
      <x:c r="O17" s="990" t="str">
        <x:f>IF(OR(LEFT(G17,2)="No",LEFT(G17,11)="Explanation"),"No","Yes")</x:f>
        <x:v>No</x:v>
      </x:c>
      <x:c r="P17" s="990" t="str">
        <x:f>IF(LEFT(I17,2)="No","No","Yes")</x:f>
        <x:v>No</x:v>
      </x:c>
    </x:row>
    <x:row r="18" ht="88.5" customHeight="1">
      <x:c r="A18" s="990" t="str">
        <x:v>PM-021</x:v>
      </x:c>
      <x:c r="B18" s="988" t="str">
        <x:v>ORBIT‐AMD: Ordinal Risk, Bilateral Imaging, and Trajectory Learning for Age‐Related Macular Degeneration in Multi‐Cohorts — Cui X, Wen D, Yu-Wai-Man P, Li X. (2026)</x:v>
      </x:c>
      <x:c r="C18" s="988" t="str">
        <x:v>Direct retinal/ophthalmic evidence</x:v>
      </x:c>
      <x:c r="D18" s="988" t="str">
        <x:v>Concept bottleneck model</x:v>
      </x:c>
      <x:c r="E18" s="988" t="str">
        <x:v>Fundus photography; OCT — Age-related macular degeneration</x:v>
      </x:c>
      <x:c r="F18" s="988" t="str">
        <x:v>In a UK Biobank development/internal-testing cohort of 58 214 participants and 109 691 eyes, and an external Tianjin Medical University Eye Hospital cohort of 1996 participants and 3780 eyes, ORBIT-AMD achieved AUROC values of 0.984 internally and 0.975 externally for prevalent late-AMD detection.</x:v>
      </x:c>
      <x:c r="G18" s="988" t="str">
        <x:v>No dedicated explanation-quality metric is reported in the abstract; interpretability is supported by the model design and/or qualitative concept, prototype, case, or rule outputs.</x:v>
      </x:c>
      <x:c r="H18" s="988" t="str">
        <x:v>In a UK Biobank development/internal-testing cohort of 58 214 participants and 109 691 eyes, and an external Tianjin Medical University Eye Hospital cohort of 1996 participants and 3780 eyes, ORBIT-AMD achieved AUROC values of 0.984 internally and 0.975 externally for prevalent late-AMD detection. Five-year late-AMD progression prediction achieved AUROC values of 0.825 and 0.767, respectively.</x:v>
      </x:c>
      <x:c r="I18" s="988" t="str">
        <x:v>No study-specific limitation is reported in the abstract.</x:v>
      </x:c>
      <x:c r="J18" s="990" t="str">
        <x:v>OpenAlex scholarly record</x:v>
      </x:c>
      <x:c r="K18" s="990" t="str">
        <x:v>Moderate — complete scholarly-record abstract</x:v>
      </x:c>
      <x:c r="L18" s="990" t="str">
        <x:v>10.1002/advs.76361</x:v>
      </x:c>
      <x:c r="M18" s="988" t="str">
        <x:v>https://advanced.onlinelibrary.wiley.com/doi/10.1002/advs.76361</x:v>
      </x:c>
      <x:c r="N18" s="990" t="str">
        <x:f>IF(LEFT(F18,7)="Dataset","No","Yes")</x:f>
        <x:v>Yes</x:v>
      </x:c>
      <x:c r="O18" s="990" t="str">
        <x:f>IF(OR(LEFT(G18,2)="No",LEFT(G18,11)="Explanation"),"No","Yes")</x:f>
        <x:v>No</x:v>
      </x:c>
      <x:c r="P18" s="990" t="str">
        <x:f>IF(LEFT(I18,2)="No","No","Yes")</x:f>
        <x:v>No</x:v>
      </x:c>
    </x:row>
    <x:row r="19" ht="88.5" customHeight="1">
      <x:c r="A19" s="990" t="str">
        <x:v>PM-024</x:v>
      </x:c>
      <x:c r="B19" s="988" t="str">
        <x:v>Explainable multimodal AI and neuro-symbolic clinical decision support system for chronic eye disease management: a digital health implementation study — Wang MH, Lee SMY, Hou G, Wang Y, Alves JC, Xie R, He Y, Liu J, Fang X, Yang Y, Cai X, Zheng S, Yu Z, Lin EZ, Cheang C, Ian KK, Qin S. (2026)</x:v>
      </x:c>
      <x:c r="C19" s="988" t="str">
        <x:v>Contextual medical concept-XAI evidence</x:v>
      </x:c>
      <x:c r="D19" s="988" t="str">
        <x:v>Neuro-symbolic AI; Concept-guided vision-language model; Ontology / knowledge-guided explanation</x:v>
      </x:c>
      <x:c r="E19" s="988" t="str">
        <x:v>OCT — Ophthalmic disease</x:v>
      </x:c>
      <x:c r="F19" s="988" t="str">
        <x:v>The system was applied to 24 de-identified unstructured clinical documents, including outpatient notes, operative reports, optical coherence tomography reports, and billing records.</x:v>
      </x:c>
      <x:c r="G19" s="988" t="str">
        <x:v>No dedicated explanation-quality metric is reported in the abstract; interpretability is supported by the model design and/or qualitative concept, prototype, case, or rule outputs.</x:v>
      </x:c>
      <x:c r="H19" s="988" t="str">
        <x:v>The proposed system improves documentation efficiency, coding accuracy, and auditability while reducing hidden administrative costs. Conclusion: AI-enabled administrative automation using a neuro-symbolic and LLM framework has the potential to significantly improve operational efficiency and reduce costs in AMD care, supporting the development of sustainable and value-based digital healthcare systems.</x:v>
      </x:c>
      <x:c r="I19" s="988" t="str">
        <x:v>Although limited by a small sample size and single-center design, the framework provides a scalable and explainable architecture for AI-assisted administrative automation in digital health systems and chronic disease management.</x:v>
      </x:c>
      <x:c r="J19" s="990" t="str">
        <x:v>OpenAlex scholarly record</x:v>
      </x:c>
      <x:c r="K19" s="990" t="str">
        <x:v>Moderate — complete scholarly-record abstract</x:v>
      </x:c>
      <x:c r="L19" s="990" t="str">
        <x:v>10.3389/fdgth.2026.1836890</x:v>
      </x:c>
      <x:c r="M19" s="988" t="str">
        <x:v>https://www.frontiersin.org/journals/digital-health/articles/10.3389/fdgth.2026.1836890/full</x:v>
      </x:c>
      <x:c r="N19" s="990" t="str">
        <x:f>IF(LEFT(F19,7)="Dataset","No","Yes")</x:f>
        <x:v>Yes</x:v>
      </x:c>
      <x:c r="O19" s="990" t="str">
        <x:f>IF(OR(LEFT(G19,2)="No",LEFT(G19,11)="Explanation"),"No","Yes")</x:f>
        <x:v>No</x:v>
      </x:c>
      <x:c r="P19" s="990" t="str">
        <x:f>IF(LEFT(I19,2)="No","No","Yes")</x:f>
        <x:v>Yes</x:v>
      </x:c>
    </x:row>
    <x:row r="20" ht="88.5" customHeight="1">
      <x:c r="A20" s="990" t="str">
        <x:v>IEEE-001</x:v>
      </x:c>
      <x:c r="B20" s="988" t="str">
        <x:v>Case Based Reasoning in Retina Abnormalities Detection — A. R. Chowdhury; S. Banerjee (2019)</x:v>
      </x:c>
      <x:c r="C20" s="988" t="str">
        <x:v>Direct retinal/ophthalmic evidence</x:v>
      </x:c>
      <x:c r="D20" s="988" t="str">
        <x:v>Case-based reasoning / example retrieval (Segmentation model)</x:v>
      </x:c>
      <x:c r="E20" s="988" t="str">
        <x:v>Fundus photography — Diabetic retinopathy; Age-related macular degeneration; Retinal disease / lesions</x:v>
      </x:c>
      <x:c r="F20" s="988" t="str">
        <x:v>Dataset and sample size not reported in abstract.</x:v>
      </x:c>
      <x:c r="G20" s="988" t="str">
        <x:v>Explanation evaluation not reported in abstract.</x:v>
      </x:c>
      <x:c r="H20" s="988" t="str">
        <x:v>The KNN classifier outperforms Naïve Bayes classifier and achieves 92.6% of average accuracy with an ROC of 0.952 in lesion classification.</x:v>
      </x:c>
      <x:c r="I20" s="988" t="str">
        <x:v>No study-specific limitation is reported in the abstract.</x:v>
      </x:c>
      <x:c r="J20" s="990" t="str">
        <x:v>OpenAlex scholarly record</x:v>
      </x:c>
      <x:c r="K20" s="990" t="str">
        <x:v>Moderate — complete scholarly-record abstract</x:v>
      </x:c>
      <x:c r="L20" s="990" t="str">
        <x:v>10.1109/ISCON47742.2019.9036318</x:v>
      </x:c>
      <x:c r="M20" s="988" t="str">
        <x:v>https://ieeexplore.ieee.org/iel7/9018167/9036148/09036318.pdf</x:v>
      </x:c>
      <x:c r="N20" s="990" t="str">
        <x:f>IF(LEFT(F20,7)="Dataset","No","Yes")</x:f>
        <x:v>No</x:v>
      </x:c>
      <x:c r="O20" s="990" t="str">
        <x:f>IF(OR(LEFT(G20,2)="No",LEFT(G20,11)="Explanation"),"No","Yes")</x:f>
        <x:v>No</x:v>
      </x:c>
      <x:c r="P20" s="990" t="str">
        <x:f>IF(LEFT(I20,2)="No","No","Yes")</x:f>
        <x:v>No</x:v>
      </x:c>
    </x:row>
    <x:row r="21" ht="88.5" customHeight="1">
      <x:c r="A21" s="990" t="str">
        <x:v>IEEE-002</x:v>
      </x:c>
      <x:c r="B21" s="988" t="str">
        <x:v>Protostage-NET: A Clinically Guided Foundation Model With Prototypical Learning for Automated Amd Grading From Oct Images — M. Elsharkawy; M. El-Melegy; A. Ali; A. Mahmoud; M. Ghazal; A. Khalil; W. Wan... (2026)</x:v>
      </x:c>
      <x:c r="C21" s="988" t="str">
        <x:v>Direct retinal/ophthalmic evidence</x:v>
      </x:c>
      <x:c r="D21" s="988" t="str">
        <x:v>Prototype-based / prototypical learning; Concept-guided vision-language model</x:v>
      </x:c>
      <x:c r="E21" s="988" t="str">
        <x:v>OCT — Age-related macular degeneration</x:v>
      </x:c>
      <x:c r="F21" s="988" t="str">
        <x:v>We evaluate ProtoStage-Net on a cohort of 954 OCT B-scans acquired from three different imaging devices.</x:v>
      </x:c>
      <x:c r="G21" s="988" t="str">
        <x:v>Explanation evaluation not reported in abstract.</x:v>
      </x:c>
      <x:c r="H21" s="988" t="str">
        <x:v>Our framework achieves a macro F1-score of 93.49 %, surpassing the baseline foundation model by more than 2 % and outperforming recent state-of-the-art methods.</x:v>
      </x:c>
      <x:c r="I21" s="988" t="str">
        <x:v>No study-specific limitation is reported in the abstract.</x:v>
      </x:c>
      <x:c r="J21" s="990" t="str">
        <x:v>Semantic Scholar record</x:v>
      </x:c>
      <x:c r="K21" s="990" t="str">
        <x:v>Moderate — complete scholarly-record abstract</x:v>
      </x:c>
      <x:c r="L21" s="990" t="str">
        <x:v>10.1109/ISBI61048.2026.11515452</x:v>
      </x:c>
      <x:c r="M21" s="988" t="str">
        <x:v>https://ieeexplore.ieee.org/iel8/11515282/11515297/11515452.pdf</x:v>
      </x:c>
      <x:c r="N21" s="990" t="str">
        <x:f>IF(LEFT(F21,7)="Dataset","No","Yes")</x:f>
        <x:v>Yes</x:v>
      </x:c>
      <x:c r="O21" s="990" t="str">
        <x:f>IF(OR(LEFT(G21,2)="No",LEFT(G21,11)="Explanation"),"No","Yes")</x:f>
        <x:v>No</x:v>
      </x:c>
      <x:c r="P21" s="990" t="str">
        <x:f>IF(LEFT(I21,2)="No","No","Yes")</x:f>
        <x:v>No</x:v>
      </x:c>
    </x:row>
    <x:row r="22" ht="88.5" customHeight="1">
      <x:c r="A22" s="990" t="str">
        <x:v>IEEE-004</x:v>
      </x:c>
      <x:c r="B22" s="988" t="str">
        <x:v>A Neuro-Symbolic Framework for Automated Glaucoma Detection using Optic Disc-Cup Segmentation and Deep Learning — T. Sangeetha; S. U; S. R. Arulprakash; S. R (2026)</x:v>
      </x:c>
      <x:c r="C22" s="988" t="str">
        <x:v>Direct retinal/ophthalmic evidence</x:v>
      </x:c>
      <x:c r="D22" s="988" t="str">
        <x:v>Neuro-symbolic AI (CNN, Segmentation model)</x:v>
      </x:c>
      <x:c r="E22" s="988" t="str">
        <x:v>Fundus photography — Glaucoma</x:v>
      </x:c>
      <x:c r="F22" s="988" t="str">
        <x:v>RIM-ONE, ImageNet. Meanwhile, a convolutional neural network model VGG-19 predicts images from glaucoma and provides confidence-aware predictions.</x:v>
      </x:c>
      <x:c r="G22" s="988" t="str">
        <x:v>No dedicated explanation-quality metric is reported in the abstract; interpretability is supported by the model design and/or qualitative concept, prototype, case, or rule outputs.</x:v>
      </x:c>
      <x:c r="H22" s="988" t="str">
        <x:v>Experiments on the RIM-ONE DL dataset demonstrate that our method outperforms both segmentation-based and classification-based methods, achieving an accuracy of 86.0%, sensitivity of 63.4%, specificity of 97.8% and AUC of 94.9%. The novelty of our work lies in an interpretable fusion between quantitative anatomical biomarker and deep-learned visual pattern, leading to a robust, explainable, and therapeutic-orientated procedure for automated glaucoma screening.</x:v>
      </x:c>
      <x:c r="I22" s="988" t="str">
        <x:v>No study-specific limitation is reported in the abstract.</x:v>
      </x:c>
      <x:c r="J22" s="990" t="str">
        <x:v>Semantic Scholar record</x:v>
      </x:c>
      <x:c r="K22" s="990" t="str">
        <x:v>Moderate — complete scholarly-record abstract</x:v>
      </x:c>
      <x:c r="L22" s="990" t="str">
        <x:v>10.1109/ICOECA68095.2026.11485500</x:v>
      </x:c>
      <x:c r="M22" s="988" t="str">
        <x:v>https://ieeexplore.ieee.org/abstract/document/11485500/</x:v>
      </x:c>
      <x:c r="N22" s="990" t="str">
        <x:f>IF(LEFT(F22,7)="Dataset","No","Yes")</x:f>
        <x:v>Yes</x:v>
      </x:c>
      <x:c r="O22" s="990" t="str">
        <x:f>IF(OR(LEFT(G22,2)="No",LEFT(G22,11)="Explanation"),"No","Yes")</x:f>
        <x:v>No</x:v>
      </x:c>
      <x:c r="P22" s="990" t="str">
        <x:f>IF(LEFT(I22,2)="No","No","Yes")</x:f>
        <x:v>No</x:v>
      </x:c>
    </x:row>
    <x:row r="23" ht="88.5" customHeight="1">
      <x:c r="A23" s="990" t="str">
        <x:v>IEEE-007</x:v>
      </x:c>
      <x:c r="B23" s="988" t="str">
        <x:v>Fairness-Aware Multimodal Glaucoma Detection via Neurosymbolic Learning with Differentiable Clinical Constraints — A. Ferraro; M. Iammarino; F. Pecorelli; S. Mondal; G. De Pietro (2026)</x:v>
      </x:c>
      <x:c r="C23" s="988" t="str">
        <x:v>Direct retinal/ophthalmic evidence</x:v>
      </x:c>
      <x:c r="D23" s="988" t="str">
        <x:v>Neuro-symbolic AI</x:v>
      </x:c>
      <x:c r="E23" s="988" t="str">
        <x:v>OCT — Glaucoma</x:v>
      </x:c>
      <x:c r="F23" s="988" t="str">
        <x:v>Experiments on the Harvard FairDomain dataset demonstrate that neurosymbolic constraints improve predictive performance, achieving an accuracy of 0.766 and F1-score of 0.732 on a representative split, while reducing race and gender disparities without explicit fairness supervision.</x:v>
      </x:c>
      <x:c r="G23" s="988" t="str">
        <x:v>No dedicated explanation-quality metric is reported in the abstract; interpretability is supported by the model design and/or qualitative concept, prototype, case, or rule outputs.</x:v>
      </x:c>
      <x:c r="H23" s="988" t="str">
        <x:v>Multi-seed evaluation further confirms robustness, with the proposed model achieving the highest average F1-Score $(0.7262 \pm 0.005)$ and reducing the race TPR gap from 0.0836 to 0.0470 and the gender TPR gap from 0.0215 to 0.0047. In contrast, adversarial debiasing improves fairness at the cost of predictive performance, and their combination does not yield consistent gains, highlighting a nontrivial interaction between structured clinical constraints and adversarial settings.</x:v>
      </x:c>
      <x:c r="I23" s="988" t="str">
        <x:v>No study-specific limitation is reported in the abstract.</x:v>
      </x:c>
      <x:c r="J23" s="990" t="str">
        <x:v>Semantic Scholar record</x:v>
      </x:c>
      <x:c r="K23" s="990" t="str">
        <x:v>Moderate — complete scholarly-record abstract</x:v>
      </x:c>
      <x:c r="L23" s="990" t="str">
        <x:v>10.1109/MLISE70044.2026.11607573</x:v>
      </x:c>
      <x:c r="M23" s="988" t="str">
        <x:v>https://doi.org/10.1109/MLISE70044.2026.11607573</x:v>
      </x:c>
      <x:c r="N23" s="990" t="str">
        <x:f>IF(LEFT(F23,7)="Dataset","No","Yes")</x:f>
        <x:v>Yes</x:v>
      </x:c>
      <x:c r="O23" s="990" t="str">
        <x:f>IF(OR(LEFT(G23,2)="No",LEFT(G23,11)="Explanation"),"No","Yes")</x:f>
        <x:v>No</x:v>
      </x:c>
      <x:c r="P23" s="990" t="str">
        <x:f>IF(LEFT(I23,2)="No","No","Yes")</x:f>
        <x:v>No</x:v>
      </x:c>
    </x:row>
    <x:row r="24" ht="88.5" customHeight="1">
      <x:c r="A24" s="990" t="str">
        <x:v>IEEE-013</x:v>
      </x:c>
      <x:c r="B24" s="988" t="str">
        <x:v>ProtoD2C2: Prototype-Based Dual-Supervision, Dual-Consistency, and Dual-Contrastive Learning for OCT Fluid Segmentation — J. Liu; M. Zhang; Q. Tang; Y. Li; X. Wei; H. Zhang (2025)</x:v>
      </x:c>
      <x:c r="C24" s="988" t="str">
        <x:v>Direct retinal/ophthalmic evidence</x:v>
      </x:c>
      <x:c r="D24" s="988" t="str">
        <x:v>Prototype-based / prototypical learning (Segmentation model)</x:v>
      </x:c>
      <x:c r="E24" s="988" t="str">
        <x:v>OCT — Disease/task not reported in abstract</x:v>
      </x:c>
      <x:c r="F24" s="988" t="str">
        <x:v>We evaluated our method on two public OCT fluid segmentation datasets RETOUCH and AROI, demonstrating superior performance compared to state-of-theart annotation-efficient segmentation approaches.</x:v>
      </x:c>
      <x:c r="G24" s="988" t="str">
        <x:v>No dedicated explanation-quality metric is reported in the abstract; interpretability is supported by the model design and/or qualitative concept, prototype, case, or rule outputs.</x:v>
      </x:c>
      <x:c r="H24" s="988" t="str">
        <x:v>We evaluated our method on two public OCT fluid segmentation datasets RETOUCH and AROI, demonstrating superior performance compared to state-of-theart annotation-efficient segmentation approaches.</x:v>
      </x:c>
      <x:c r="I24" s="988" t="str">
        <x:v>No study-specific limitation is reported in the abstract.</x:v>
      </x:c>
      <x:c r="J24" s="990" t="str">
        <x:v>Semantic Scholar record</x:v>
      </x:c>
      <x:c r="K24" s="990" t="str">
        <x:v>Moderate — complete scholarly-record abstract</x:v>
      </x:c>
      <x:c r="L24" s="990" t="str">
        <x:v>10.1109/BIBM66473.2025.11356061</x:v>
      </x:c>
      <x:c r="M24" s="988" t="str">
        <x:v>https://doi.org/10.1109/BIBM66473.2025.11356061</x:v>
      </x:c>
      <x:c r="N24" s="990" t="str">
        <x:f>IF(LEFT(F24,7)="Dataset","No","Yes")</x:f>
        <x:v>Yes</x:v>
      </x:c>
      <x:c r="O24" s="990" t="str">
        <x:f>IF(OR(LEFT(G24,2)="No",LEFT(G24,11)="Explanation"),"No","Yes")</x:f>
        <x:v>No</x:v>
      </x:c>
      <x:c r="P24" s="990" t="str">
        <x:f>IF(LEFT(I24,2)="No","No","Yes")</x:f>
        <x:v>No</x:v>
      </x:c>
    </x:row>
    <x:row r="25" ht="88.5" customHeight="1">
      <x:c r="A25" s="990" t="str">
        <x:v>IEEE-019</x:v>
      </x:c>
      <x:c r="B25" s="988" t="str">
        <x:v>On Interpretability of Deep Learning based Skin Lesion Classifiers using Concept Activation Vectors — A. Lucieri; M. N. Bajwa; S. Alexander Braun; M. I. Malik; A. Dengel; S. Ahmed (2020)</x:v>
      </x:c>
      <x:c r="C25" s="988" t="str">
        <x:v>Contextual medical concept-XAI evidence</x:v>
      </x:c>
      <x:c r="D25" s="988" t="str">
        <x:v>Concept activation vectors / TCAV</x:v>
      </x:c>
      <x:c r="E25" s="988" t="str">
        <x:v>Modality not reported in abstract — Skin lesions / melanoma</x:v>
      </x:c>
      <x:c r="F25" s="988" t="str">
        <x:v>Two well established and publicly available skin disease datasets, PH2and derm7pt, are used for experimentation.</x:v>
      </x:c>
      <x:c r="G25" s="988" t="str">
        <x:v>No dedicated explanation-quality metric is reported in the abstract; interpretability is supported by the model design and/or qualitative concept, prototype, case, or rule outputs.</x:v>
      </x:c>
      <x:c r="H25" s="988" t="str">
        <x:v>Deep learning based medical image classifiers have shown remarkable prowess in various application areas like ophthalmology, dermatology, pathology, and radiology.</x:v>
      </x:c>
      <x:c r="I25" s="988" t="str">
        <x:v>No study-specific limitation is reported in the abstract.</x:v>
      </x:c>
      <x:c r="J25" s="990" t="str">
        <x:v>OpenAlex scholarly record</x:v>
      </x:c>
      <x:c r="K25" s="990" t="str">
        <x:v>Moderate — complete scholarly-record abstract</x:v>
      </x:c>
      <x:c r="L25" s="990" t="str">
        <x:v>10.1109/IJCNN48605.2020.9206946</x:v>
      </x:c>
      <x:c r="M25" s="988" t="str">
        <x:v>https://ieeexplore.ieee.org/document/9206946/</x:v>
      </x:c>
      <x:c r="N25" s="990" t="str">
        <x:f>IF(LEFT(F25,7)="Dataset","No","Yes")</x:f>
        <x:v>Yes</x:v>
      </x:c>
      <x:c r="O25" s="990" t="str">
        <x:f>IF(OR(LEFT(G25,2)="No",LEFT(G25,11)="Explanation"),"No","Yes")</x:f>
        <x:v>No</x:v>
      </x:c>
      <x:c r="P25" s="990" t="str">
        <x:f>IF(LEFT(I25,2)="No","No","Yes")</x:f>
        <x:v>No</x:v>
      </x:c>
    </x:row>
    <x:row r="26" ht="88.5" customHeight="1">
      <x:c r="A26" s="990" t="str">
        <x:v>GS-01-002</x:v>
      </x:c>
      <x:c r="B26" s="988" t="str">
        <x:v>Vision-Language Models Guided Graph Concept Reasoning for Interpretable Diabetic Retinopathy Diagnosis — O Xu XLuo, ¥ Lin. Cliu Y¥Hu Jli XLyu + Proceedings af tna AAAI 2026 (2026)</x:v>
      </x:c>
      <x:c r="C26" s="988" t="str">
        <x:v>Direct retinal/ophthalmic evidence</x:v>
      </x:c>
      <x:c r="D26" s="988" t="str">
        <x:v>Concept bottleneck model; Concept-guided vision-language model; Other concept-based model</x:v>
      </x:c>
      <x:c r="E26" s="988" t="str">
        <x:v>Modality not reported in abstract — Diabetic retinopathy; Retinal disease / lesions</x:v>
      </x:c>
      <x:c r="F26" s="988" t="str">
        <x:v>Dataset and sample size not reported in abstract.</x:v>
      </x:c>
      <x:c r="G26" s="988" t="str">
        <x:v>No dedicated explanation-quality metric is reported in the abstract; interpretability is supported by the model design and/or qualitative concept, prototype, case, or rule outputs.</x:v>
      </x:c>
      <x:c r="H26" s="988" t="str">
        <x:v>Experiments on two public DR benchmarks show that VLM-GCR achieves strong performance in both lesion and grading tasks, while delivering clear and clinically meaningful reasoning steps.</x:v>
      </x:c>
      <x:c r="I26" s="988" t="str">
        <x:v>No study-specific limitation is reported in the abstract.</x:v>
      </x:c>
      <x:c r="J26" s="990" t="str">
        <x:v>OpenAlex scholarly record</x:v>
      </x:c>
      <x:c r="K26" s="990" t="str">
        <x:v>Moderate — complete scholarly-record abstract</x:v>
      </x:c>
      <x:c r="L26" s="990" t="str">
        <x:v>10.1609/aaai.v40i32.39948</x:v>
      </x:c>
      <x:c r="M26" s="988" t="str">
        <x:v>https://ojs.aaai.org/index.php/AAAI/article/view/39948/43909</x:v>
      </x:c>
      <x:c r="N26" s="990" t="str">
        <x:f>IF(LEFT(F26,7)="Dataset","No","Yes")</x:f>
        <x:v>No</x:v>
      </x:c>
      <x:c r="O26" s="990" t="str">
        <x:f>IF(OR(LEFT(G26,2)="No",LEFT(G26,11)="Explanation"),"No","Yes")</x:f>
        <x:v>No</x:v>
      </x:c>
      <x:c r="P26" s="990" t="str">
        <x:f>IF(LEFT(I26,2)="No","No","Yes")</x:f>
        <x:v>No</x:v>
      </x:c>
    </x:row>
    <x:row r="27" ht="88.5" customHeight="1">
      <x:c r="A27" s="990" t="str">
        <x:v>GS-01-005</x:v>
      </x:c>
      <x:c r="B27" s="988" t="str">
        <x:v>Mitigating domain shift in concept bottleneck models for diabetic retinopathy grading via learnable concept projection — Yea ELee- Medical Imaging 2926 tage Perceptian §«—-2126</x:v>
      </x:c>
      <x:c r="C27" s="988" t="str">
        <x:v>Direct retinal/ophthalmic evidence</x:v>
      </x:c>
      <x:c r="D27" s="988" t="str">
        <x:v>Concept bottleneck model; Prototype-based / prototypical learning</x:v>
      </x:c>
      <x:c r="E27" s="988" t="str">
        <x:v>Fundus photography — Diabetic retinopathy; Retinal disease / lesions</x:v>
      </x:c>
      <x:c r="F27" s="988" t="str">
        <x:v>APTOS, Messidor-2, FGADR, DDR. This projector realigns backbone features with frozen concept prototypes when a new hospital domain arrives with as few as 10 labeled images per grade.</x:v>
      </x:c>
      <x:c r="G27" s="988" t="str">
        <x:v>No dedicated explanation-quality metric is reported in the abstract; interpretability is supported by the model design and/or qualitative concept, prototype, case, or rule outputs.</x:v>
      </x:c>
      <x:c r="H27" s="988" t="str">
        <x:v>The proposed method achieves 54.37% average accuracy and 0.48 quadratic weighted kappa after all sessions, outperforming the strongest baseline by 10 percentage points in accuracy while halving forgetting.</x:v>
      </x:c>
      <x:c r="I27" s="988" t="str">
        <x:v>No study-specific limitation is reported in the abstract.</x:v>
      </x:c>
      <x:c r="J27" s="990" t="str">
        <x:v>OpenAlex scholarly record</x:v>
      </x:c>
      <x:c r="K27" s="990" t="str">
        <x:v>Moderate — complete scholarly-record abstract</x:v>
      </x:c>
      <x:c r="L27" s="990" t="str">
        <x:v>10.1117/12.3088213</x:v>
      </x:c>
      <x:c r="M27" s="988" t="str">
        <x:v>https://www.spiedigitallibrary.org/conference-proceedings-of-spie/13928/139280X/Mitigating-domain-shift-in-concept-bottleneck-models-for-diabetic-retinopathy/10.1117/12.3088213.full</x:v>
      </x:c>
      <x:c r="N27" s="990" t="str">
        <x:f>IF(LEFT(F27,7)="Dataset","No","Yes")</x:f>
        <x:v>Yes</x:v>
      </x:c>
      <x:c r="O27" s="990" t="str">
        <x:f>IF(OR(LEFT(G27,2)="No",LEFT(G27,11)="Explanation"),"No","Yes")</x:f>
        <x:v>No</x:v>
      </x:c>
      <x:c r="P27" s="990" t="str">
        <x:f>IF(LEFT(I27,2)="No","No","Yes")</x:f>
        <x:v>No</x:v>
      </x:c>
    </x:row>
    <x:row r="28" ht="88.5" customHeight="1">
      <x:c r="A28" s="990" t="str">
        <x:v>GS-01-006</x:v>
      </x:c>
      <x:c r="B28" s="988" t="str">
        <x:v>Concept-Based Lesion Aware Transformer for Interpretable Retinal Disease Diagnosis — CwWer MY2 HLi Tohen (2024)</x:v>
      </x:c>
      <x:c r="C28" s="988" t="str">
        <x:v>Direct retinal/ophthalmic evidence</x:v>
      </x:c>
      <x:c r="D28" s="988" t="str">
        <x:v>Self-explaining / interpretable-by-design model; Other concept-based model (Transformer)</x:v>
      </x:c>
      <x:c r="E28" s="988" t="str">
        <x:v>Fundus photography — Retinal disease / lesions</x:v>
      </x:c>
      <x:c r="F28" s="988" t="str">
        <x:v>Dataset and sample size not reported in abstract.</x:v>
      </x:c>
      <x:c r="G28" s="988" t="str">
        <x:v>Experiments conducted on four fundus image datasets demonstrate that our method achieves favorable performance against state-of-the-art methods while providing faithful explanations and enabling concept-level interventions.</x:v>
      </x:c>
      <x:c r="H28" s="988" t="str">
        <x:v>By integrating with image-level annotations, it achieves the alignment of lesion concepts with human cognition under the guidance of a retinal foundation model. Experiments conducted on four fundus image datasets demonstrate that our method achieves favorable performance against state-of-the-art methods while providing faithful explanations and enabling concept-level interventions.</x:v>
      </x:c>
      <x:c r="I28" s="988" t="str">
        <x:v>No study-specific limitation is reported in the abstract.</x:v>
      </x:c>
      <x:c r="J28" s="990" t="str">
        <x:v>OpenAlex scholarly record</x:v>
      </x:c>
      <x:c r="K28" s="990" t="str">
        <x:v>Moderate — complete scholarly-record abstract</x:v>
      </x:c>
      <x:c r="L28" s="990" t="str">
        <x:v>10.1109/TMI.2024.3429148</x:v>
      </x:c>
      <x:c r="M28" s="988" t="str">
        <x:v>https://pubmed.ncbi.nlm.nih.gov/39012729/</x:v>
      </x:c>
      <x:c r="N28" s="990" t="str">
        <x:f>IF(LEFT(F28,7)="Dataset","No","Yes")</x:f>
        <x:v>No</x:v>
      </x:c>
      <x:c r="O28" s="990" t="str">
        <x:f>IF(OR(LEFT(G28,2)="No",LEFT(G28,11)="Explanation"),"No","Yes")</x:f>
        <x:v>Yes</x:v>
      </x:c>
      <x:c r="P28" s="990" t="str">
        <x:f>IF(LEFT(I28,2)="No","No","Yes")</x:f>
        <x:v>No</x:v>
      </x:c>
    </x:row>
    <x:row r="29" ht="88.5" customHeight="1">
      <x:c r="A29" s="990" t="str">
        <x:v>GS-01-007</x:v>
      </x:c>
      <x:c r="B29" s="988" t="str">
        <x:v>AdaCBM: An Adaptive Concept Bottleneck Model for Explainable and Accurate Diagnosis — TF Chowdhury YMH Phan KLiao MSTo (2024)</x:v>
      </x:c>
      <x:c r="C29" s="988" t="str">
        <x:v>Contextual medical concept-XAI evidence</x:v>
      </x:c>
      <x:c r="D29" s="988" t="str">
        <x:v>Concept bottleneck model; Concept-guided vision-language model</x:v>
      </x:c>
      <x:c r="E29" s="988" t="str">
        <x:v>Modality not reported in abstract — Disease/task not reported in abstract</x:v>
      </x:c>
      <x:c r="F29" s="988" t="str">
        <x:v>Dataset and sample size not reported in abstract.</x:v>
      </x:c>
      <x:c r="G29" s="988" t="str">
        <x:v>No dedicated explanation-quality metric is reported in the abstract; interpretability is supported by the model design and/or qualitative concept, prototype, case, or rule outputs.</x:v>
      </x:c>
      <x:c r="H29" s="988" t="str">
        <x:v>While CLIP provides both explainability and zero-shot classification capability, its pre-training on generic image and text data may limit its classification accuracy and applicability to medical image diagnostic tasks, creating a transfer learning problem.</x:v>
      </x:c>
      <x:c r="I29" s="988" t="str">
        <x:v>No study-specific limitation is reported in the abstract.</x:v>
      </x:c>
      <x:c r="J29" s="990" t="str">
        <x:v>arXiv API record</x:v>
      </x:c>
      <x:c r="K29" s="990" t="str">
        <x:v>Moderate — complete preprint abstract</x:v>
      </x:c>
      <x:c r="L29" s="990" t="str"/>
      <x:c r="M29" s="988" t="str">
        <x:v>https://arxiv.org/abs/2408.02001</x:v>
      </x:c>
      <x:c r="N29" s="990" t="str">
        <x:f>IF(LEFT(F29,7)="Dataset","No","Yes")</x:f>
        <x:v>No</x:v>
      </x:c>
      <x:c r="O29" s="990" t="str">
        <x:f>IF(OR(LEFT(G29,2)="No",LEFT(G29,11)="Explanation"),"No","Yes")</x:f>
        <x:v>No</x:v>
      </x:c>
      <x:c r="P29" s="990" t="str">
        <x:f>IF(LEFT(I29,2)="No","No","Yes")</x:f>
        <x:v>No</x:v>
      </x:c>
    </x:row>
    <x:row r="30" ht="88.5" customHeight="1">
      <x:c r="A30" s="990" t="str">
        <x:v>GS-01-008</x:v>
      </x:c>
      <x:c r="B30" s="988" t="str">
        <x:v>MVP-CBM:Multi-layer Visual Preference-enhanced Concept Bottleneck Model for Explainable Medical Image Classification — Cyvang Kgharg ¥Liv,2He. X90 (2025)</x:v>
      </x:c>
      <x:c r="C30" s="988" t="str">
        <x:v>Contextual medical concept-XAI evidence</x:v>
      </x:c>
      <x:c r="D30" s="988" t="str">
        <x:v>Concept bottleneck model</x:v>
      </x:c>
      <x:c r="E30" s="988" t="str">
        <x:v>Modality not reported in abstract — Disease/task not reported in abstract</x:v>
      </x:c>
      <x:c r="F30" s="988" t="str">
        <x:v>Dataset and sample size not reported in abstract.</x:v>
      </x:c>
      <x:c r="G30" s="988" t="str">
        <x:v>No dedicated explanation-quality metric is reported in the abstract; interpretability is supported by the model design and/or qualitative concept, prototype, case, or rule outputs.</x:v>
      </x:c>
      <x:c r="H30" s="988" t="str">
        <x:v>The concept bottleneck model (CBM), as a technique improving interpretability via linking predictions to human-understandable concepts, makes high-risk and life-critical medical image classification credible. Extensive experiments on several public medical classification benchmarks demonstrate that MVP-CBM achieves state-of-the-art accuracy and interoperability, verifying its superiority.</x:v>
      </x:c>
      <x:c r="I30" s="988" t="str">
        <x:v>No study-specific limitation is reported in the abstract.</x:v>
      </x:c>
      <x:c r="J30" s="990" t="str">
        <x:v>arXiv API record</x:v>
      </x:c>
      <x:c r="K30" s="990" t="str">
        <x:v>Moderate — complete preprint abstract</x:v>
      </x:c>
      <x:c r="L30" s="990" t="str"/>
      <x:c r="M30" s="988" t="str">
        <x:v>https://arxiv.org/abs/2506.12568</x:v>
      </x:c>
      <x:c r="N30" s="990" t="str">
        <x:f>IF(LEFT(F30,7)="Dataset","No","Yes")</x:f>
        <x:v>No</x:v>
      </x:c>
      <x:c r="O30" s="990" t="str">
        <x:f>IF(OR(LEFT(G30,2)="No",LEFT(G30,11)="Explanation"),"No","Yes")</x:f>
        <x:v>No</x:v>
      </x:c>
      <x:c r="P30" s="990" t="str">
        <x:f>IF(LEFT(I30,2)="No","No","Yes")</x:f>
        <x:v>No</x:v>
      </x:c>
    </x:row>
    <x:row r="31" ht="88.5" customHeight="1">
      <x:c r="A31" s="990" t="str">
        <x:v>GS-01-009</x:v>
      </x:c>
      <x:c r="B31" s="988" t="str">
        <x:v>Robust and Interpretable Medical Image Classifiers via Concept Bottleneck Models — AYar YwWang YZhong Zhe, PKarypis (2023)</x:v>
      </x:c>
      <x:c r="C31" s="988" t="str">
        <x:v>Contextual medical concept-XAI evidence</x:v>
      </x:c>
      <x:c r="D31" s="988" t="str">
        <x:v>Concept bottleneck model; Concept-guided vision-language model</x:v>
      </x:c>
      <x:c r="E31" s="988" t="str">
        <x:v>Modality not reported in abstract — Disease/task not reported in abstract</x:v>
      </x:c>
      <x:c r="F31" s="988" t="str">
        <x:v>Specifically, we first query clinical concepts from GPT-4, then transform latent image features into explicit concepts with a vision-language model.</x:v>
      </x:c>
      <x:c r="G31" s="988" t="str">
        <x:v>No dedicated explanation-quality metric is reported in the abstract; interpretability is supported by the model design and/or qualitative concept, prototype, case, or rule outputs.</x:v>
      </x:c>
      <x:c r="H31" s="988" t="str">
        <x:v>First, neural models tend to learn spurious correlations instead of desired features, which could fall short when generalizing to new domains (e.g., patients with different ages). On challenging datasets with strong confounding factors, our method can mitigate spurious correlations thus substantially outperform standard visual encoders and other baselines.</x:v>
      </x:c>
      <x:c r="I31" s="988" t="str">
        <x:v>No study-specific limitation is reported in the abstract.</x:v>
      </x:c>
      <x:c r="J31" s="990" t="str">
        <x:v>OpenAlex scholarly record</x:v>
      </x:c>
      <x:c r="K31" s="990" t="str">
        <x:v>Moderate — complete scholarly-record abstract</x:v>
      </x:c>
      <x:c r="L31" s="990" t="str">
        <x:v>10.48550/arxiv.2310.03182</x:v>
      </x:c>
      <x:c r="M31" s="988" t="str">
        <x:v>https://arxiv.org/pdf/2310.03182</x:v>
      </x:c>
      <x:c r="N31" s="990" t="str">
        <x:f>IF(LEFT(F31,7)="Dataset","No","Yes")</x:f>
        <x:v>Yes</x:v>
      </x:c>
      <x:c r="O31" s="990" t="str">
        <x:f>IF(OR(LEFT(G31,2)="No",LEFT(G31,11)="Explanation"),"No","Yes")</x:f>
        <x:v>No</x:v>
      </x:c>
      <x:c r="P31" s="990" t="str">
        <x:f>IF(LEFT(I31,2)="No","No","Yes")</x:f>
        <x:v>No</x:v>
      </x:c>
    </x:row>
    <x:row r="32" ht="88.5" customHeight="1">
      <x:c r="A32" s="990" t="str">
        <x:v>GS-01-011</x:v>
      </x:c>
      <x:c r="B32" s="988" t="str">
        <x:v>Learning Optimal Summaries of Clinical Time-Series with Concept Bottleneck Models — CwWu § Parbhso M~avasi -MachineLearnngfor 2022 (2022)</x:v>
      </x:c>
      <x:c r="C32" s="988" t="str">
        <x:v>Contextual medical concept-XAI evidence</x:v>
      </x:c>
      <x:c r="D32" s="988" t="str">
        <x:v>Concept bottleneck model</x:v>
      </x:c>
      <x:c r="E32" s="988" t="str">
        <x:v>Clinical time-series — Disease/task not reported in abstract</x:v>
      </x:c>
      <x:c r="F32" s="988" t="str">
        <x:v>Dataset and sample size not reported in abstract.</x:v>
      </x:c>
      <x:c r="G32" s="988" t="str">
        <x:v>No dedicated explanation-quality metric is reported in the abstract; interpretability is supported by the model design and/or qualitative concept, prototype, case, or rule outputs.</x:v>
      </x:c>
      <x:c r="H32" s="988" t="str">
        <x:v>Clinical experts must be able to understand the reasons behind a model’s recommendation before taking action, as it is crucial to assess for criteria other than accuracy, such as trust, safety, fairness, and robustness. On a real-world task of predicting vasopressor onset in ICU units, our algorithm achieves predictive performance comparable to state-of-the-art deep learning models while learning concise groupings conducive for clinical inspection.1</x:v>
      </x:c>
      <x:c r="I32" s="988" t="str">
        <x:v>No study-specific limitation is reported in the abstract.</x:v>
      </x:c>
      <x:c r="J32" s="990" t="str">
        <x:v>Full-text PDF (abstract section)</x:v>
      </x:c>
      <x:c r="K32" s="990" t="str">
        <x:v>High — complete authoritative abstract</x:v>
      </x:c>
      <x:c r="L32" s="990" t="str"/>
      <x:c r="M32" s="988" t="str">
        <x:v>https://proceedings.mlr.press/v182/wu22a/wu22a.pdf</x:v>
      </x:c>
      <x:c r="N32" s="990" t="str">
        <x:f>IF(LEFT(F32,7)="Dataset","No","Yes")</x:f>
        <x:v>No</x:v>
      </x:c>
      <x:c r="O32" s="990" t="str">
        <x:f>IF(OR(LEFT(G32,2)="No",LEFT(G32,11)="Explanation"),"No","Yes")</x:f>
        <x:v>No</x:v>
      </x:c>
      <x:c r="P32" s="990" t="str">
        <x:f>IF(LEFT(I32,2)="No","No","Yes")</x:f>
        <x:v>No</x:v>
      </x:c>
    </x:row>
    <x:row r="33" ht="88.5" customHeight="1">
      <x:c r="A33" s="990" t="str">
        <x:v>GS-01-017</x:v>
      </x:c>
      <x:c r="B33" s="988" t="str">
        <x:v>Spatially Grounded Concept Bottleneck Models for Trustworthy Breast Ultrasound Diagnosis — MR Tonriey DO She HY Adarbah. ANgere (2026)</x:v>
      </x:c>
      <x:c r="C33" s="988" t="str">
        <x:v>Contextual medical concept-XAI evidence</x:v>
      </x:c>
      <x:c r="D33" s="988" t="str">
        <x:v>Concept bottleneck model</x:v>
      </x:c>
      <x:c r="E33" s="988" t="str">
        <x:v>Ultrasound — Breast disease / cancer</x:v>
      </x:c>
      <x:c r="F33" s="988" t="str">
        <x:v>Dataset and sample size not reported in abstract.</x:v>
      </x:c>
      <x:c r="G33" s="988" t="str">
        <x:v>No dedicated explanation-quality metric is reported in the abstract; interpretability is supported by the model design and/or qualitative concept, prototype, case, or rule outputs.</x:v>
      </x:c>
      <x:c r="H33" s="988" t="str">
        <x:v>Across five-fold stratified group cross-validation, the proposed SG-CBM improves diagnostic AUROC and concept macro-AUROC while markedly increasing spatial alignment of concept evidence.</x:v>
      </x:c>
      <x:c r="I33" s="988" t="str">
        <x:v>No study-specific limitation is reported in the abstract.</x:v>
      </x:c>
      <x:c r="J33" s="990" t="str">
        <x:v>arXiv API record</x:v>
      </x:c>
      <x:c r="K33" s="990" t="str">
        <x:v>Moderate — complete preprint abstract</x:v>
      </x:c>
      <x:c r="L33" s="990" t="str"/>
      <x:c r="M33" s="988" t="str">
        <x:v>https://arxiv.org/abs/2607.20691</x:v>
      </x:c>
      <x:c r="N33" s="990" t="str">
        <x:f>IF(LEFT(F33,7)="Dataset","No","Yes")</x:f>
        <x:v>No</x:v>
      </x:c>
      <x:c r="O33" s="990" t="str">
        <x:f>IF(OR(LEFT(G33,2)="No",LEFT(G33,11)="Explanation"),"No","Yes")</x:f>
        <x:v>No</x:v>
      </x:c>
      <x:c r="P33" s="990" t="str">
        <x:f>IF(LEFT(I33,2)="No","No","Yes")</x:f>
        <x:v>No</x:v>
      </x:c>
    </x:row>
    <x:row r="34" ht="88.5" customHeight="1">
      <x:c r="A34" s="990" t="str">
        <x:v>GS-01-021</x:v>
      </x:c>
      <x:c r="B34" s="988" t="str">
        <x:v>A concept-based interpretable model for the diagnosis of choroid neoplasias using multimodal data — Yiwu, ¥ iu Y Yang MS Yao W Yang XShi...- Nature. 2025 (2025)</x:v>
      </x:c>
      <x:c r="C34" s="988" t="str">
        <x:v>Direct retinal/ophthalmic evidence</x:v>
      </x:c>
      <x:c r="D34" s="988" t="str">
        <x:v>Other concept-based model</x:v>
      </x:c>
      <x:c r="E34" s="988" t="str">
        <x:v>Modality not reported in abstract — Choroidal neoplasia / uveal melanoma</x:v>
      </x:c>
      <x:c r="F34" s="988" t="str">
        <x:v>The dataset encompasses over 750 Asian patients with choroid neoplasm imaging and radiological reports.</x:v>
      </x:c>
      <x:c r="G34" s="988" t="str">
        <x:v>No dedicated explanation-quality metric is reported in the abstract; interpretability is supported by the model design and/or qualitative concept, prototype, case, or rule outputs.</x:v>
      </x:c>
      <x:c r="H34" s="988" t="str">
        <x:v>The model integrates domain-expert insights from radiological reports and differentiates three types of choroidal tumours, achieving an F1 score of 0.91. Its performance matches senior ophthalmologists and improves the diagnostic accuracy of less experienced clinicians by 42%.</x:v>
      </x:c>
      <x:c r="I34" s="988" t="str">
        <x:v>No study-specific limitation is reported in the abstract.</x:v>
      </x:c>
      <x:c r="J34" s="990" t="str">
        <x:v>Publisher full-text abstract</x:v>
      </x:c>
      <x:c r="K34" s="990" t="str">
        <x:v>High — complete authoritative abstract</x:v>
      </x:c>
      <x:c r="L34" s="990" t="str"/>
      <x:c r="M34" s="988" t="str">
        <x:v>https://pmc.ncbi.nlm.nih.gov/articles/PMC11994757/</x:v>
      </x:c>
      <x:c r="N34" s="990" t="str">
        <x:f>IF(LEFT(F34,7)="Dataset","No","Yes")</x:f>
        <x:v>Yes</x:v>
      </x:c>
      <x:c r="O34" s="990" t="str">
        <x:f>IF(OR(LEFT(G34,2)="No",LEFT(G34,11)="Explanation"),"No","Yes")</x:f>
        <x:v>No</x:v>
      </x:c>
      <x:c r="P34" s="990" t="str">
        <x:f>IF(LEFT(I34,2)="No","No","Yes")</x:f>
        <x:v>No</x:v>
      </x:c>
    </x:row>
    <x:row r="35" ht="88.5" customHeight="1">
      <x:c r="A35" s="990" t="str">
        <x:v>GS-01-022</x:v>
      </x:c>
      <x:c r="B35" s="988" t="str">
        <x:v>Concepts from Neurons: Building Interpretable Medical Image Diagnostic Models by Dissecting Opaque Neural Networks — S Song H Wang X Zhang QO Dou (2025)</x:v>
      </x:c>
      <x:c r="C35" s="988" t="str">
        <x:v>Contextual medical concept-XAI evidence</x:v>
      </x:c>
      <x:c r="D35" s="988" t="str">
        <x:v>Concept bottleneck model</x:v>
      </x:c>
      <x:c r="E35" s="988" t="str">
        <x:v>Modality not reported in abstract — Disease/task not reported in abstract</x:v>
      </x:c>
      <x:c r="F35" s="988" t="str">
        <x:v>Dataset and sample size not reported in abstract.</x:v>
      </x:c>
      <x:c r="G35" s="988" t="str">
        <x:v>No dedicated explanation-quality metric is reported in the abstract; interpretability is supported by the model design and/or qualitative concept, prototype, case, or rule outputs.</x:v>
      </x:c>
      <x:c r="H35" s="988" t="str">
        <x:v>Deep learning has achieved remarkable success in medical image analysis, yet its translation to clinical settings is often impeded by the opaque nature of these models.</x:v>
      </x:c>
      <x:c r="I35" s="988" t="str">
        <x:v>No study-specific limitation is reported in the abstract.</x:v>
      </x:c>
      <x:c r="J35" s="990" t="str">
        <x:v>Publisher/Repository HTML metadata</x:v>
      </x:c>
      <x:c r="K35" s="990" t="str">
        <x:v>High — complete authoritative abstract</x:v>
      </x:c>
      <x:c r="L35" s="990" t="str">
        <x:v>10.1007/978-3-031-96625-5_1</x:v>
      </x:c>
      <x:c r="M35" s="988" t="str">
        <x:v>https://link.springer.com/chapter/10.1007/978-3-031-96625-5_1</x:v>
      </x:c>
      <x:c r="N35" s="990" t="str">
        <x:f>IF(LEFT(F35,7)="Dataset","No","Yes")</x:f>
        <x:v>No</x:v>
      </x:c>
      <x:c r="O35" s="990" t="str">
        <x:f>IF(OR(LEFT(G35,2)="No",LEFT(G35,11)="Explanation"),"No","Yes")</x:f>
        <x:v>No</x:v>
      </x:c>
      <x:c r="P35" s="990" t="str">
        <x:f>IF(LEFT(I35,2)="No","No","Yes")</x:f>
        <x:v>No</x:v>
      </x:c>
    </x:row>
    <x:row r="36" ht="88.5" customHeight="1">
      <x:c r="A36" s="990" t="str">
        <x:v>GS-01-028</x:v>
      </x:c>
      <x:c r="B36" s="988" t="str">
        <x:v>Stable Vision Concept Transformers for Medical Diagnosis — Ley Slai yHua. S$ %ang JZhang (2025)</x:v>
      </x:c>
      <x:c r="C36" s="988" t="str">
        <x:v>Contextual medical concept-XAI evidence</x:v>
      </x:c>
      <x:c r="D36" s="988" t="str">
        <x:v>Concept bottleneck model; Other concept-based model (Vision Transformer, Transformer)</x:v>
      </x:c>
      <x:c r="E36" s="988" t="str">
        <x:v>Modality not reported in abstract — Disease/task not reported in abstract</x:v>
      </x:c>
      <x:c r="F36" s="988" t="str">
        <x:v>Dataset and sample size not reported in abstract.</x:v>
      </x:c>
      <x:c r="G36" s="988" t="str">
        <x:v>No dedicated explanation-quality metric is reported in the abstract; interpretability is supported by the model design and/or qualitative concept, prototype, case, or rule outputs.</x:v>
      </x:c>
      <x:c r="H36" s="988" t="str">
        <x:v>Comprehensive experiments on four medical datasets demonstrate that our VCT and SVCT maintain accuracy while remaining interpretable compared to baselines.</x:v>
      </x:c>
      <x:c r="I36" s="988" t="str">
        <x:v>No study-specific limitation is reported in the abstract.</x:v>
      </x:c>
      <x:c r="J36" s="990" t="str">
        <x:v>arXiv API record</x:v>
      </x:c>
      <x:c r="K36" s="990" t="str">
        <x:v>Moderate — complete preprint abstract</x:v>
      </x:c>
      <x:c r="L36" s="990" t="str"/>
      <x:c r="M36" s="988" t="str">
        <x:v>https://arxiv.org/abs/2506.05286</x:v>
      </x:c>
      <x:c r="N36" s="990" t="str">
        <x:f>IF(LEFT(F36,7)="Dataset","No","Yes")</x:f>
        <x:v>No</x:v>
      </x:c>
      <x:c r="O36" s="990" t="str">
        <x:f>IF(OR(LEFT(G36,2)="No",LEFT(G36,11)="Explanation"),"No","Yes")</x:f>
        <x:v>No</x:v>
      </x:c>
      <x:c r="P36" s="990" t="str">
        <x:f>IF(LEFT(I36,2)="No","No","Yes")</x:f>
        <x:v>No</x:v>
      </x:c>
    </x:row>
    <x:row r="37" ht="88.5" customHeight="1">
      <x:c r="A37" s="990" t="str">
        <x:v>GS-01-029</x:v>
      </x:c>
      <x:c r="B37" s="988" t="str">
        <x:v>CBVLM: Training-free Explainable Concept-based Large Vision Language Models for Medical Image Classification — C Patricio. |Rio-Toro JS Cardesc LE Teixeira -Compulers in Bology , 2025 (2025)</x:v>
      </x:c>
      <x:c r="C37" s="988" t="str">
        <x:v>Contextual medical concept-XAI evidence</x:v>
      </x:c>
      <x:c r="D37" s="988" t="str">
        <x:v>Concept bottleneck model; Concept-guided vision-language model; Other concept-based model (Retrieval)</x:v>
      </x:c>
      <x:c r="E37" s="988" t="str">
        <x:v>Modality not reported in abstract — Disease/task not reported in abstract</x:v>
      </x:c>
      <x:c r="F37" s="988" t="str">
        <x:v>Dataset and sample size not reported in abstract.</x:v>
      </x:c>
      <x:c r="G37" s="988" t="str">
        <x:v>No dedicated explanation-quality metric is reported in the abstract; interpretability is supported by the model design and/or qualitative concept, prototype, case, or rule outputs.</x:v>
      </x:c>
      <x:c r="H37" s="988" t="str">
        <x:v>Then, we ask the LVLM to classify the image based on the previous concept predictions. We validate our approach with extensive experiments across four medical datasets and twelve LVLMs (both generic and medical) and show that CBVLM consistently outperforms CBMs and task-specific supervised methods without requiring any training and using just a few annotated examples.</x:v>
      </x:c>
      <x:c r="I37" s="988" t="str">
        <x:v>No study-specific limitation is reported in the abstract.</x:v>
      </x:c>
      <x:c r="J37" s="990" t="str">
        <x:v>arXiv API record</x:v>
      </x:c>
      <x:c r="K37" s="990" t="str">
        <x:v>Moderate — complete preprint abstract</x:v>
      </x:c>
      <x:c r="L37" s="990" t="str"/>
      <x:c r="M37" s="988" t="str">
        <x:v>https://arxiv.org/abs/2501.12266</x:v>
      </x:c>
      <x:c r="N37" s="990" t="str">
        <x:f>IF(LEFT(F37,7)="Dataset","No","Yes")</x:f>
        <x:v>No</x:v>
      </x:c>
      <x:c r="O37" s="990" t="str">
        <x:f>IF(OR(LEFT(G37,2)="No",LEFT(G37,11)="Explanation"),"No","Yes")</x:f>
        <x:v>No</x:v>
      </x:c>
      <x:c r="P37" s="990" t="str">
        <x:f>IF(LEFT(I37,2)="No","No","Yes")</x:f>
        <x:v>No</x:v>
      </x:c>
    </x:row>
    <x:row r="38" ht="88.5" customHeight="1">
      <x:c r="A38" s="990" t="str">
        <x:v>GS-01-035</x:v>
      </x:c>
      <x:c r="B38" s="988" t="str">
        <x:v>Concept-Aware Adaptive Multimodal Fusion With Knowledge Distillation for Medical Image Diagnosis — JLi XZherg ¥ Zheng YMeng (2025)</x:v>
      </x:c>
      <x:c r="C38" s="988" t="str">
        <x:v>Contextual medical concept-XAI evidence</x:v>
      </x:c>
      <x:c r="D38" s="988" t="str">
        <x:v>Concept-guided vision-language model; Other concept-based model (Knowledge distillation)</x:v>
      </x:c>
      <x:c r="E38" s="988" t="str">
        <x:v>Modality not reported in abstract — Glaucoma; Age-related macular degeneration</x:v>
      </x:c>
      <x:c r="F38" s="988" t="str">
        <x:v>Harvard30k-Glaucoma, MMC-AMD, Derm7pt</x:v>
      </x:c>
      <x:c r="G38" s="988" t="str">
        <x:v>No dedicated explanation-quality metric is reported in the abstract; interpretability is supported by the model design and/or qualitative concept, prototype, case, or rule outputs.</x:v>
      </x:c>
      <x:c r="H38" s="988" t="str">
        <x:v>Experiments on Derm7pt, MMC-AMD and Harvard30k-Glaucoma show absolute Cohen's kappa improvements of 5.37%, 3.91% and 6.93%, respectively, over state-of-the-art methods.</x:v>
      </x:c>
      <x:c r="I38" s="988" t="str">
        <x:v>No study-specific limitation is reported in the abstract.</x:v>
      </x:c>
      <x:c r="J38" s="990" t="str">
        <x:v>PubMed publisher record</x:v>
      </x:c>
      <x:c r="K38" s="990" t="str">
        <x:v>High — complete authoritative abstract</x:v>
      </x:c>
      <x:c r="L38" s="990" t="str">
        <x:v>10.1109/JBHI.2026.3680783</x:v>
      </x:c>
      <x:c r="M38" s="988" t="str">
        <x:v>https://pubmed.ncbi.nlm.nih.gov/42154716/</x:v>
      </x:c>
      <x:c r="N38" s="990" t="str">
        <x:f>IF(LEFT(F38,7)="Dataset","No","Yes")</x:f>
        <x:v>Yes</x:v>
      </x:c>
      <x:c r="O38" s="990" t="str">
        <x:f>IF(OR(LEFT(G38,2)="No",LEFT(G38,11)="Explanation"),"No","Yes")</x:f>
        <x:v>No</x:v>
      </x:c>
      <x:c r="P38" s="990" t="str">
        <x:f>IF(LEFT(I38,2)="No","No","Yes")</x:f>
        <x:v>No</x:v>
      </x:c>
    </x:row>
    <x:row r="39" ht="88.5" customHeight="1">
      <x:c r="A39" s="990" t="str">
        <x:v>GS-01-036</x:v>
      </x:c>
      <x:c r="B39" s="988" t="str">
        <x:v>Can Vision-Language Models Enable More Efficient Concept-Based Learning with Less Supervision for Interpretable Lung Nodule Diagnosis? — B Ma D Madz.a-Madzou. J Ouyang K Gilhuys</x:v>
      </x:c>
      <x:c r="C39" s="988" t="str">
        <x:v>Contextual medical concept-XAI evidence</x:v>
      </x:c>
      <x:c r="D39" s="988" t="str">
        <x:v>Concept-guided vision-language model; Other concept-based model</x:v>
      </x:c>
      <x:c r="E39" s="988" t="str">
        <x:v>CT — Lung nodule / lung cancer</x:v>
      </x:c>
      <x:c r="F39" s="988" t="str">
        <x:v>Dataset and sample size not reported in abstract.</x:v>
      </x:c>
      <x:c r="G39" s="988" t="str">
        <x:v>No dedicated explanation-quality metric is reported in the abstract; interpretability is supported by the model design and/or qualitative concept, prototype, case, or rule outputs.</x:v>
      </x:c>
      <x:c r="H39" s="988" t="str">
        <x:v>The indexed abstract summary reports that VLM-derived concepts can reduce supervision and improve interpretability and diagnostic performance, but are not yet sufficient for fully label-free concept-based learning.</x:v>
      </x:c>
      <x:c r="I39" s="988" t="str">
        <x:v>The indexed abstract summary reports that VLM-derived concepts can reduce supervision and improve interpretability and diagnostic performance, but are not yet sufficient for fully label-free concept-based learning.</x:v>
      </x:c>
      <x:c r="J39" s="990" t="str">
        <x:v>Search-indexed abstract summary</x:v>
      </x:c>
      <x:c r="K39" s="990" t="str">
        <x:v>Low — indexed summary only</x:v>
      </x:c>
      <x:c r="L39" s="990" t="str"/>
      <x:c r="M39" s="988" t="str">
        <x:v>https://openreview.net/forum?id=OyOHg986R5</x:v>
      </x:c>
      <x:c r="N39" s="990" t="str">
        <x:f>IF(LEFT(F39,7)="Dataset","No","Yes")</x:f>
        <x:v>No</x:v>
      </x:c>
      <x:c r="O39" s="990" t="str">
        <x:f>IF(OR(LEFT(G39,2)="No",LEFT(G39,11)="Explanation"),"No","Yes")</x:f>
        <x:v>No</x:v>
      </x:c>
      <x:c r="P39" s="990" t="str">
        <x:f>IF(LEFT(I39,2)="No","No","Yes")</x:f>
        <x:v>Yes</x:v>
      </x:c>
    </x:row>
    <x:row r="40" ht="88.5" customHeight="1">
      <x:c r="A40" s="990" t="str">
        <x:v>GS-01-037</x:v>
      </x:c>
      <x:c r="B40" s="988" t="str">
        <x:v>Training-free Test-time Improvement for Explainable Medical Image Classification — HHe J Tang. Ztu. K Li ¥ Lu (2025)</x:v>
      </x:c>
      <x:c r="C40" s="988" t="str">
        <x:v>Contextual medical concept-XAI evidence</x:v>
      </x:c>
      <x:c r="D40" s="988" t="str">
        <x:v>Concept bottleneck model</x:v>
      </x:c>
      <x:c r="E40" s="988" t="str">
        <x:v>Modality not reported in abstract — Disease/task not reported in abstract</x:v>
      </x:c>
      <x:c r="F40" s="988" t="str">
        <x:v>By leveraging minimal new data (e.g., 4 images per class) with only image-level labels, our approach enhances out-of-domain performance without sacrificing source domain accuracy through two key operations: masking misactivated confounding concepts and amplifying under-activated discriminative concepts.</x:v>
      </x:c>
      <x:c r="G40" s="988" t="str">
        <x:v>No dedicated explanation-quality metric is reported in the abstract; interpretability is supported by the model design and/or qualitative concept, prototype, case, or rule outputs.</x:v>
      </x:c>
      <x:c r="H40" s="988" t="str">
        <x:v>Furthermore, since CBM training requires explicit concept annotations, fine-tuning models solely with image-level labels could compromise concept prediction accuracy and faithfulness - a critical limitation given the high cost of acquiring expert-annotated concept labels in medical domains. By leveraging minimal new data (e.g., 4 images per class) with only image-level labels, our approach enhances out-of-domain performance without sacrificing source domain accuracy through two key operations: masking misactivated confounding concepts and amplifying under-activated discriminative concepts.</x:v>
      </x:c>
      <x:c r="I40" s="988" t="str">
        <x:v>No study-specific limitation is reported in the abstract.</x:v>
      </x:c>
      <x:c r="J40" s="990" t="str">
        <x:v>arXiv API record</x:v>
      </x:c>
      <x:c r="K40" s="990" t="str">
        <x:v>Moderate — complete preprint abstract</x:v>
      </x:c>
      <x:c r="L40" s="990" t="str"/>
      <x:c r="M40" s="988" t="str">
        <x:v>https://arxiv.org/abs/2506.18070</x:v>
      </x:c>
      <x:c r="N40" s="990" t="str">
        <x:f>IF(LEFT(F40,7)="Dataset","No","Yes")</x:f>
        <x:v>Yes</x:v>
      </x:c>
      <x:c r="O40" s="990" t="str">
        <x:f>IF(OR(LEFT(G40,2)="No",LEFT(G40,11)="Explanation"),"No","Yes")</x:f>
        <x:v>No</x:v>
      </x:c>
      <x:c r="P40" s="990" t="str">
        <x:f>IF(LEFT(I40,2)="No","No","Yes")</x:f>
        <x:v>No</x:v>
      </x:c>
    </x:row>
    <x:row r="41" ht="88.5" customHeight="1">
      <x:c r="A41" s="990" t="str">
        <x:v>GS-01-040</x:v>
      </x:c>
      <x:c r="B41" s="988" t="str">
        <x:v>ConceptSMILE: Auditing the Trustworthiness of Concept-Based Explainable AI — M Mo-lapowr. KAslanselat 2Dehghani (2026)</x:v>
      </x:c>
      <x:c r="C41" s="988" t="str">
        <x:v>Contextual medical concept-XAI evidence</x:v>
      </x:c>
      <x:c r="D41" s="988" t="str">
        <x:v>Concept-guided vision-language model; Other concept-based model</x:v>
      </x:c>
      <x:c r="E41" s="988" t="str">
        <x:v>Fundus photography — Disease/task not reported in abstract</x:v>
      </x:c>
      <x:c r="F41" s="988" t="str">
        <x:v>Dataset and sample size not reported in abstract.</x:v>
      </x:c>
      <x:c r="G41" s="988" t="str">
        <x:v>Reliability is assessed through attribution accuracy, surrogate fidelity, faithfulness, stability, and consistency. Results show that reliability varies across concepts and pathways: MedSAM achieves stronger spatial attribution and the highest surrogate fidelity ($R^2 = 0.8503$, $R_w^2 = 0.8465$), while the VLM pathway shows stronger vessel faithfulness and stronger stability under selected artefact conditions.</x:v>
      </x:c>
      <x:c r="H41" s="988" t="str">
        <x:v>Reliability is assessed through attribution accuracy, surrogate fidelity, faithfulness, stability, and consistency. Results show that reliability varies across concepts and pathways: MedSAM achieves stronger spatial attribution and the highest surrogate fidelity ($R^2 = 0.8503$, $R_w^2 = 0.8465$), while the VLM pathway shows stronger vessel faithfulness and stronger stability under selected artefact conditions.</x:v>
      </x:c>
      <x:c r="I41" s="988" t="str">
        <x:v>No study-specific limitation is reported in the abstract.</x:v>
      </x:c>
      <x:c r="J41" s="990" t="str">
        <x:v>OpenAlex scholarly record</x:v>
      </x:c>
      <x:c r="K41" s="990" t="str">
        <x:v>Moderate — complete scholarly-record abstract</x:v>
      </x:c>
      <x:c r="L41" s="990" t="str"/>
      <x:c r="M41" s="988" t="str">
        <x:v>https://arxiv.org/pdf/2607.09649</x:v>
      </x:c>
      <x:c r="N41" s="990" t="str">
        <x:f>IF(LEFT(F41,7)="Dataset","No","Yes")</x:f>
        <x:v>No</x:v>
      </x:c>
      <x:c r="O41" s="990" t="str">
        <x:f>IF(OR(LEFT(G41,2)="No",LEFT(G41,11)="Explanation"),"No","Yes")</x:f>
        <x:v>Yes</x:v>
      </x:c>
      <x:c r="P41" s="990" t="str">
        <x:f>IF(LEFT(I41,2)="No","No","Yes")</x:f>
        <x:v>No</x:v>
      </x:c>
    </x:row>
    <x:row r="42" ht="88.5" customHeight="1">
      <x:c r="A42" s="990" t="str">
        <x:v>GS-01-046</x:v>
      </x:c>
      <x:c r="B42" s="988" t="str">
        <x:v>A Concept-based approach to Voice Disorder Detection — 2Gha GCwayegra AKoudonas MFantni (2025)</x:v>
      </x:c>
      <x:c r="C42" s="988" t="str">
        <x:v>Contextual medical concept-XAI evidence</x:v>
      </x:c>
      <x:c r="D42" s="988" t="str">
        <x:v>Concept bottleneck model; Concept embedding model; Other concept-based model</x:v>
      </x:c>
      <x:c r="E42" s="988" t="str">
        <x:v>Voice / audio — Voice disorder</x:v>
      </x:c>
      <x:c r="F42" s="988" t="str">
        <x:v>Dataset and sample size not reported in abstract.</x:v>
      </x:c>
      <x:c r="G42" s="988" t="str">
        <x:v>No dedicated explanation-quality metric is reported in the abstract; interpretability is supported by the model design and/or qualitative concept, prototype, case, or rule outputs.</x:v>
      </x:c>
      <x:c r="H42" s="988" t="str">
        <x:v>This paper investigates an alternative approach based on Explainable AI (XAI), a field that aims to improve the interpretability of DNNs by providing different forms of explanations. Specifically, this works focuses on concept-based models such as Concept Bottleneck Model (CBM) and Concept Embedding Model (CEM) and how they can achieve performance comparable to traditional deep learning methods, while offering a more transparent and interpretable decision framework.</x:v>
      </x:c>
      <x:c r="I42" s="988" t="str">
        <x:v>No study-specific limitation is reported in the abstract.</x:v>
      </x:c>
      <x:c r="J42" s="990" t="str">
        <x:v>arXiv API record</x:v>
      </x:c>
      <x:c r="K42" s="990" t="str">
        <x:v>Moderate — complete preprint abstract</x:v>
      </x:c>
      <x:c r="L42" s="990" t="str"/>
      <x:c r="M42" s="988" t="str">
        <x:v>https://arxiv.org/abs/2507.17799</x:v>
      </x:c>
      <x:c r="N42" s="990" t="str">
        <x:f>IF(LEFT(F42,7)="Dataset","No","Yes")</x:f>
        <x:v>No</x:v>
      </x:c>
      <x:c r="O42" s="990" t="str">
        <x:f>IF(OR(LEFT(G42,2)="No",LEFT(G42,11)="Explanation"),"No","Yes")</x:f>
        <x:v>No</x:v>
      </x:c>
      <x:c r="P42" s="990" t="str">
        <x:f>IF(LEFT(I42,2)="No","No","Yes")</x:f>
        <x:v>No</x:v>
      </x:c>
    </x:row>
    <x:row r="43" ht="88.5" customHeight="1">
      <x:c r="A43" s="990" t="str">
        <x:v>GS-01-048</x:v>
      </x:c>
      <x:c r="B43" s="988" t="str">
        <x:v>CONAN: CONcept-Oriented ANomaly Detector for Interpretable Zero-Shot Detection — Ylee Eleo JKwon, See KKim S¥u_ -Faciic-Asia Conference = 2026 (2026)</x:v>
      </x:c>
      <x:c r="C43" s="988" t="str">
        <x:v>Contextual medical concept-XAI evidence</x:v>
      </x:c>
      <x:c r="D43" s="988" t="str">
        <x:v>Concept bottleneck model; Concept-guided vision-language model</x:v>
      </x:c>
      <x:c r="E43" s="988" t="str">
        <x:v>Modality not reported in abstract — Disease/task not reported in abstract</x:v>
      </x:c>
      <x:c r="F43" s="988" t="str">
        <x:v>Dataset and sample size not reported in abstract.</x:v>
      </x:c>
      <x:c r="G43" s="988" t="str">
        <x:v>No dedicated explanation-quality metric is reported in the abstract; interpretability is supported by the model design and/or qualitative concept, prototype, case, or rule outputs.</x:v>
      </x:c>
      <x:c r="H43" s="988" t="str">
        <x:v>No quantitative result is reported in the abstract.</x:v>
      </x:c>
      <x:c r="I43" s="988" t="str">
        <x:v>No study-specific limitation is reported in the abstract.</x:v>
      </x:c>
      <x:c r="J43" s="990" t="str">
        <x:v>Publisher/Repository HTML metadata</x:v>
      </x:c>
      <x:c r="K43" s="990" t="str">
        <x:v>High — complete authoritative abstract</x:v>
      </x:c>
      <x:c r="L43" s="990" t="str">
        <x:v>10.1007/978-981-92-1947-6_44</x:v>
      </x:c>
      <x:c r="M43" s="988" t="str">
        <x:v>https://link.springer.com/10.1007/978-981-92-1947-6_44</x:v>
      </x:c>
      <x:c r="N43" s="990" t="str">
        <x:f>IF(LEFT(F43,7)="Dataset","No","Yes")</x:f>
        <x:v>No</x:v>
      </x:c>
      <x:c r="O43" s="990" t="str">
        <x:f>IF(OR(LEFT(G43,2)="No",LEFT(G43,11)="Explanation"),"No","Yes")</x:f>
        <x:v>No</x:v>
      </x:c>
      <x:c r="P43" s="990" t="str">
        <x:f>IF(LEFT(I43,2)="No","No","Yes")</x:f>
        <x:v>No</x:v>
      </x:c>
    </x:row>
    <x:row r="44" ht="88.5" customHeight="1">
      <x:c r="A44" s="990" t="str">
        <x:v>GS-01-050</x:v>
      </x:c>
      <x:c r="B44" s="988" t="str">
        <x:v>NeRD: Neuro-Symbolic Rule Distillation for Efficient Ontology-Grounded Chain-of-Thought in Medical Image Diagnosis — HYang Yuigng SYai s Crow ELI, CO Poon (2026)</x:v>
      </x:c>
      <x:c r="C44" s="988" t="str">
        <x:v>Contextual medical concept-XAI evidence</x:v>
      </x:c>
      <x:c r="D44" s="988" t="str">
        <x:v>Concept bottleneck model; Neuro-symbolic AI; Ontology / knowledge-guided explanation</x:v>
      </x:c>
      <x:c r="E44" s="988" t="str">
        <x:v>Modality not reported in abstract — Disease/task not reported in abstract</x:v>
      </x:c>
      <x:c r="F44" s="988" t="str">
        <x:v>Dataset and sample size not reported in abstract.</x:v>
      </x:c>
      <x:c r="G44" s="988" t="str">
        <x:v>No dedicated explanation-quality metric is reported in the abstract; interpretability is supported by the model design and/or qualitative concept, prototype, case, or rule outputs.</x:v>
      </x:c>
      <x:c r="H44" s="988" t="str">
        <x:v>Our method further enables a first expert-in-the-loop study for Multimodal Chain-of-Thought-based diagnosis, achieving efficient and effective concept-level intervention.</x:v>
      </x:c>
      <x:c r="I44" s="988" t="str">
        <x:v>No study-specific limitation is reported in the abstract.</x:v>
      </x:c>
      <x:c r="J44" s="990" t="str">
        <x:v>arXiv API record</x:v>
      </x:c>
      <x:c r="K44" s="990" t="str">
        <x:v>Moderate — complete preprint abstract</x:v>
      </x:c>
      <x:c r="L44" s="990" t="str"/>
      <x:c r="M44" s="988" t="str">
        <x:v>https://arxiv.org/abs/2606.15617</x:v>
      </x:c>
      <x:c r="N44" s="990" t="str">
        <x:f>IF(LEFT(F44,7)="Dataset","No","Yes")</x:f>
        <x:v>No</x:v>
      </x:c>
      <x:c r="O44" s="990" t="str">
        <x:f>IF(OR(LEFT(G44,2)="No",LEFT(G44,11)="Explanation"),"No","Yes")</x:f>
        <x:v>No</x:v>
      </x:c>
      <x:c r="P44" s="990" t="str">
        <x:f>IF(LEFT(I44,2)="No","No","Yes")</x:f>
        <x:v>No</x:v>
      </x:c>
    </x:row>
    <x:row r="45" ht="88.5" customHeight="1">
      <x:c r="A45" s="990" t="str">
        <x:v>GS-01-052</x:v>
      </x:c>
      <x:c r="B45" s="988" t="str">
        <x:v>ViConEx-Med: Visual Concept Explainability via Multi-Concept Token Transformer for Medical Image Analysis — C Patricio. .F Teixeis .C Neves (2025)</x:v>
      </x:c>
      <x:c r="C45" s="988" t="str">
        <x:v>Contextual medical concept-XAI evidence</x:v>
      </x:c>
      <x:c r="D45" s="988" t="str">
        <x:v>Self-explaining / interpretable-by-design model; Other concept-based model (Transformer)</x:v>
      </x:c>
      <x:c r="E45" s="988" t="str">
        <x:v>Modality not reported in abstract — Disease/task not reported in abstract</x:v>
      </x:c>
      <x:c r="F45" s="988" t="str">
        <x:v>Dataset and sample size not reported in abstract.</x:v>
      </x:c>
      <x:c r="G45" s="988" t="str">
        <x:v>No dedicated explanation-quality metric is reported in the abstract; interpretability is supported by the model design and/or qualitative concept, prototype, case, or rule outputs.</x:v>
      </x:c>
      <x:c r="H45" s="988" t="str">
        <x:v>Experiments on both synthetic and real-world medical datasets demonstrate that ViConEx-Med outperforms prior concept-based models and achieves competitive performance with black-box models in terms of both concept detection and localization precision. Our results suggest a promising direction for building inherently interpretable models grounded in visual concepts.</x:v>
      </x:c>
      <x:c r="I45" s="988" t="str">
        <x:v>No study-specific limitation is reported in the abstract.</x:v>
      </x:c>
      <x:c r="J45" s="990" t="str">
        <x:v>arXiv API record</x:v>
      </x:c>
      <x:c r="K45" s="990" t="str">
        <x:v>Moderate — complete preprint abstract</x:v>
      </x:c>
      <x:c r="L45" s="990" t="str"/>
      <x:c r="M45" s="988" t="str">
        <x:v>https://arxiv.org/abs/2510.10174</x:v>
      </x:c>
      <x:c r="N45" s="990" t="str">
        <x:f>IF(LEFT(F45,7)="Dataset","No","Yes")</x:f>
        <x:v>No</x:v>
      </x:c>
      <x:c r="O45" s="990" t="str">
        <x:f>IF(OR(LEFT(G45,2)="No",LEFT(G45,11)="Explanation"),"No","Yes")</x:f>
        <x:v>No</x:v>
      </x:c>
      <x:c r="P45" s="990" t="str">
        <x:f>IF(LEFT(I45,2)="No","No","Yes")</x:f>
        <x:v>No</x:v>
      </x:c>
    </x:row>
    <x:row r="46" ht="88.5" customHeight="1">
      <x:c r="A46" s="990" t="str">
        <x:v>GS-01-054</x:v>
      </x:c>
      <x:c r="B46" s="988" t="str">
        <x:v>XDR-LVLM: An Explainable Vision-Language Large Model for Diabetic Retinopathy Diagnosis — M lio. K Tanaka K Matsuds. A Nakaysma (2025)</x:v>
      </x:c>
      <x:c r="C46" s="988" t="str">
        <x:v>Direct retinal/ophthalmic evidence</x:v>
      </x:c>
      <x:c r="D46" s="988" t="str">
        <x:v>Concept-guided vision-language model</x:v>
      </x:c>
      <x:c r="E46" s="988" t="str">
        <x:v>Fundus photography — Diabetic retinopathy; Retinal disease / lesions</x:v>
      </x:c>
      <x:c r="F46" s="988" t="str">
        <x:v>DDR. Extensive experiments on the Diabetic Retinopathy (DDR) dataset demonstrate that XDR-LVLM achieves state-of-the-art performance, with a Balanced Accuracy of 84.55% and an F1 Score of 79.92% for disease diagnosis, and superior results for concept detection (77.95% BACC, 66.88% F1).</x:v>
      </x:c>
      <x:c r="G46" s="988" t="str">
        <x:v>Furthermore, human evaluations confirm the high fluency, accuracy, and clinical utility of the generated explanations, showcasing XDR-LVLM's ability to bridge the gap between automated diagnosis and clinical needs by providing robust and interpretable insights.</x:v>
      </x:c>
      <x:c r="H46" s="988" t="str">
        <x:v>Extensive experiments on the Diabetic Retinopathy (DDR) dataset demonstrate that XDR-LVLM achieves state-of-the-art performance, with a Balanced Accuracy of 84.55% and an F1 Score of 79.92% for disease diagnosis, and superior results for concept detection (77.95% BACC, 66.88% F1). Furthermore, human evaluations confirm the high fluency, accuracy, and clinical utility of the generated explanations, showcasing XDR-LVLM's ability to bridge the gap between automated diagnosis and clinical needs by providing robust and interpretable insights.</x:v>
      </x:c>
      <x:c r="I46" s="988" t="str">
        <x:v>No study-specific limitation is reported in the abstract.</x:v>
      </x:c>
      <x:c r="J46" s="990" t="str">
        <x:v>arXiv API record</x:v>
      </x:c>
      <x:c r="K46" s="990" t="str">
        <x:v>Moderate — complete preprint abstract</x:v>
      </x:c>
      <x:c r="L46" s="990" t="str"/>
      <x:c r="M46" s="988" t="str">
        <x:v>https://arxiv.org/abs/2508.15168</x:v>
      </x:c>
      <x:c r="N46" s="990" t="str">
        <x:f>IF(LEFT(F46,7)="Dataset","No","Yes")</x:f>
        <x:v>Yes</x:v>
      </x:c>
      <x:c r="O46" s="990" t="str">
        <x:f>IF(OR(LEFT(G46,2)="No",LEFT(G46,11)="Explanation"),"No","Yes")</x:f>
        <x:v>Yes</x:v>
      </x:c>
      <x:c r="P46" s="990" t="str">
        <x:f>IF(LEFT(I46,2)="No","No","Yes")</x:f>
        <x:v>No</x:v>
      </x:c>
    </x:row>
    <x:row r="47" ht="88.5" customHeight="1">
      <x:c r="A47" s="990" t="str">
        <x:v>GS-01-055</x:v>
      </x:c>
      <x:c r="B47" s="988" t="str">
        <x:v>Explainability Through Human-Centric Design for XAI in Lung Cancer Detection — ARafery RRamags: 4 Rajan (2025)</x:v>
      </x:c>
      <x:c r="C47" s="988" t="str">
        <x:v>Contextual medical concept-XAI evidence</x:v>
      </x:c>
      <x:c r="D47" s="988" t="str">
        <x:v>Concept bottleneck model</x:v>
      </x:c>
      <x:c r="E47" s="988" t="str">
        <x:v>X-ray — Lung nodule / lung cancer</x:v>
      </x:c>
      <x:c r="F47" s="988" t="str">
        <x:v>Using a high-performing InceptionV3-based classifier and a public dataset of chest X-rays with radiology reports, we compare XpertXAI against leading post-hoc explainability methods and an unsupervised CBM, XCBs.</x:v>
      </x:c>
      <x:c r="G47" s="988" t="str">
        <x:v>No dedicated explanation-quality metric is reported in the abstract; interpretability is supported by the model design and/or qualitative concept, prototype, case, or rule outputs.</x:v>
      </x:c>
      <x:c r="H47" s="988" t="str">
        <x:v>Using a high-performing InceptionV3-based classifier and a public dataset of chest X-rays with radiology reports, we compare XpertXAI against leading post-hoc explainability methods and an unsupervised CBM, XCBs. XpertXAI not only outperforms these baselines in predictive accuracy but also delivers concept-level explanations that better align with expert reasoning.</x:v>
      </x:c>
      <x:c r="I47" s="988" t="str">
        <x:v>No study-specific limitation is reported in the abstract.</x:v>
      </x:c>
      <x:c r="J47" s="990" t="str">
        <x:v>arXiv API record</x:v>
      </x:c>
      <x:c r="K47" s="990" t="str">
        <x:v>Moderate — complete preprint abstract</x:v>
      </x:c>
      <x:c r="L47" s="990" t="str"/>
      <x:c r="M47" s="988" t="str">
        <x:v>https://arxiv.org/abs/2505.09755</x:v>
      </x:c>
      <x:c r="N47" s="990" t="str">
        <x:f>IF(LEFT(F47,7)="Dataset","No","Yes")</x:f>
        <x:v>Yes</x:v>
      </x:c>
      <x:c r="O47" s="990" t="str">
        <x:f>IF(OR(LEFT(G47,2)="No",LEFT(G47,11)="Explanation"),"No","Yes")</x:f>
        <x:v>No</x:v>
      </x:c>
      <x:c r="P47" s="990" t="str">
        <x:f>IF(LEFT(I47,2)="No","No","Yes")</x:f>
        <x:v>No</x:v>
      </x:c>
    </x:row>
    <x:row r="48" ht="88.5" customHeight="1">
      <x:c r="A48" s="990" t="str">
        <x:v>GS-01-056</x:v>
      </x:c>
      <x:c r="B48" s="988" t="str">
        <x:v>Semi-Supervised Concept Infused Pseudo-Label Refining for Interpretable Diabetic Retinopathy Grading — ¥ Gao Ci\¥en, 4h QTan Ye (2026)</x:v>
      </x:c>
      <x:c r="C48" s="988" t="str">
        <x:v>Direct retinal/ophthalmic evidence</x:v>
      </x:c>
      <x:c r="D48" s="988" t="str">
        <x:v>Other concept-based model</x:v>
      </x:c>
      <x:c r="E48" s="988" t="str">
        <x:v>Modality not reported in abstract — Diabetic retinopathy; Retinal disease / lesions</x:v>
      </x:c>
      <x:c r="F48" s="988" t="str">
        <x:v>Dataset and sample size not reported in abstract.</x:v>
      </x:c>
      <x:c r="G48" s="988" t="str">
        <x:v>No dedicated explanation-quality metric is reported in the abstract; interpretability is supported by the model design and/or qualitative concept, prototype, case, or rule outputs.</x:v>
      </x:c>
      <x:c r="H48" s="988" t="str">
        <x:v>No quantitative result is reported in the abstract.</x:v>
      </x:c>
      <x:c r="I48" s="988" t="str">
        <x:v>No study-specific limitation is reported in the abstract.</x:v>
      </x:c>
      <x:c r="J48" s="990" t="str">
        <x:v>OpenAlex scholarly record</x:v>
      </x:c>
      <x:c r="K48" s="990" t="str">
        <x:v>Moderate — complete scholarly-record abstract</x:v>
      </x:c>
      <x:c r="L48" s="990" t="str">
        <x:v>10.1109/ICASSP55912.2026.11462792</x:v>
      </x:c>
      <x:c r="M48" s="988" t="str">
        <x:v>https://doi.org/10.1109/ICASSP55912.2026.11462792</x:v>
      </x:c>
      <x:c r="N48" s="990" t="str">
        <x:f>IF(LEFT(F48,7)="Dataset","No","Yes")</x:f>
        <x:v>No</x:v>
      </x:c>
      <x:c r="O48" s="990" t="str">
        <x:f>IF(OR(LEFT(G48,2)="No",LEFT(G48,11)="Explanation"),"No","Yes")</x:f>
        <x:v>No</x:v>
      </x:c>
      <x:c r="P48" s="990" t="str">
        <x:f>IF(LEFT(I48,2)="No","No","Yes")</x:f>
        <x:v>No</x:v>
      </x:c>
    </x:row>
    <x:row r="49" ht="88.5" customHeight="1">
      <x:c r="A49" s="990" t="str">
        <x:v>GS-01-058</x:v>
      </x:c>
      <x:c r="B49" s="988" t="str">
        <x:v>Open-Linguistic Concept Unified Learning for Cross-Site Interpretable Dermatology Image Diagnosis — Cy ddan luo, Wang Vien (2026)</x:v>
      </x:c>
      <x:c r="C49" s="988" t="str">
        <x:v>Contextual medical concept-XAI evidence</x:v>
      </x:c>
      <x:c r="D49" s="988" t="str">
        <x:v>Prototype-based / prototypical learning; Concept-guided vision-language model; Other concept-based model</x:v>
      </x:c>
      <x:c r="E49" s="988" t="str">
        <x:v>Dermoscopy / skin imaging — Skin lesions / melanoma</x:v>
      </x:c>
      <x:c r="F49" s="988" t="str">
        <x:v>Dataset and sample size not reported in abstract.</x:v>
      </x:c>
      <x:c r="G49" s="988" t="str">
        <x:v>No dedicated explanation-quality metric is reported in the abstract; interpretability is supported by the model design and/or qualitative concept, prototype, case, or rule outputs.</x:v>
      </x:c>
      <x:c r="H49" s="988" t="str">
        <x:v>UniCon resolves these challenges through three contributions: (1) A shared semantic representation space via a unified concept prototype codebook, seamlessly coordinating heterogeneous concept systems across modalities without dataset-specific retraining. (2) Open-linguistic based multi-faceted semantic specifications to overcome sparse textual label limitations, improving boundary sensitivity in uncertain clinical contexts. (3) A robust, cross-site adjustable intervention interface powered by reliability-gated bottleneck aggregation, enabling consistent reasoning and transferable clinician corrections. Extensive experiments demonstrate that beyond securing top-tier diagnostic accuracy, UniCon successfully bridges disparate clinical taxonomies, unlocking unprecedented cross-site intervention capabilities.</x:v>
      </x:c>
      <x:c r="I49" s="988" t="str">
        <x:v>No study-specific limitation is reported in the abstract.</x:v>
      </x:c>
      <x:c r="J49" s="990" t="str">
        <x:v>arXiv API record</x:v>
      </x:c>
      <x:c r="K49" s="990" t="str">
        <x:v>Moderate — complete preprint abstract</x:v>
      </x:c>
      <x:c r="L49" s="990" t="str"/>
      <x:c r="M49" s="988" t="str">
        <x:v>https://arxiv.org/abs/2608.03225</x:v>
      </x:c>
      <x:c r="N49" s="990" t="str">
        <x:f>IF(LEFT(F49,7)="Dataset","No","Yes")</x:f>
        <x:v>No</x:v>
      </x:c>
      <x:c r="O49" s="990" t="str">
        <x:f>IF(OR(LEFT(G49,2)="No",LEFT(G49,11)="Explanation"),"No","Yes")</x:f>
        <x:v>No</x:v>
      </x:c>
      <x:c r="P49" s="990" t="str">
        <x:f>IF(LEFT(I49,2)="No","No","Yes")</x:f>
        <x:v>No</x:v>
      </x:c>
    </x:row>
    <x:row r="50" ht="88.5" customHeight="1">
      <x:c r="A50" s="990" t="str">
        <x:v>GS-01-062</x:v>
      </x:c>
      <x:c r="B50" s="988" t="str">
        <x:v>Aligning Human Knowledge with Visual Concepts Towards Explainable Medical Image Classification — ¥Gae.D Gu MZhot DO Metaxas (2024)</x:v>
      </x:c>
      <x:c r="C50" s="988" t="str">
        <x:v>Contextual medical concept-XAI evidence</x:v>
      </x:c>
      <x:c r="D50" s="988" t="str">
        <x:v>Concept-guided vision-language model</x:v>
      </x:c>
      <x:c r="E50" s="988" t="str">
        <x:v>Modality not reported in abstract — Disease/task not reported in abstract</x:v>
      </x:c>
      <x:c r="F50" s="988" t="str">
        <x:v>Dataset and sample size not reported in abstract.</x:v>
      </x:c>
      <x:c r="G50" s="988" t="str">
        <x:v>No dedicated explanation-quality metric is reported in the abstract; interpretability is supported by the model design and/or qualitative concept, prototype, case, or rule outputs.</x:v>
      </x:c>
      <x:c r="H50" s="988" t="str">
        <x:v>Explicd initiates its process by querying domain knowledge from either large language models (LLMs) or human experts to establish diagnostic criteria across various concept axes (e.g., color, shape, texture, or specific patterns of diseases). Through extensive evaluation of five medical image classification benchmarks, Explicd has demonstrated its inherent explainability and extends to improve classification performance compared to traditional black-box models.</x:v>
      </x:c>
      <x:c r="I50" s="988" t="str">
        <x:v>No study-specific limitation is reported in the abstract.</x:v>
      </x:c>
      <x:c r="J50" s="990" t="str">
        <x:v>arXiv API record</x:v>
      </x:c>
      <x:c r="K50" s="990" t="str">
        <x:v>Moderate — complete preprint abstract</x:v>
      </x:c>
      <x:c r="L50" s="990" t="str">
        <x:v>10.1007/978-3-031-72117-5_5</x:v>
      </x:c>
      <x:c r="M50" s="988" t="str">
        <x:v>https://arxiv.org/abs/2406.05596</x:v>
      </x:c>
      <x:c r="N50" s="990" t="str">
        <x:f>IF(LEFT(F50,7)="Dataset","No","Yes")</x:f>
        <x:v>No</x:v>
      </x:c>
      <x:c r="O50" s="990" t="str">
        <x:f>IF(OR(LEFT(G50,2)="No",LEFT(G50,11)="Explanation"),"No","Yes")</x:f>
        <x:v>No</x:v>
      </x:c>
      <x:c r="P50" s="990" t="str">
        <x:f>IF(LEFT(I50,2)="No","No","Yes")</x:f>
        <x:v>No</x:v>
      </x:c>
    </x:row>
    <x:row r="51" ht="88.5" customHeight="1">
      <x:c r="A51" s="990" t="str">
        <x:v>GS-01-063</x:v>
      </x:c>
      <x:c r="B51" s="988" t="str">
        <x:v>Interpretable Neuropsychiatric Diagnosis via Concept-Guided Graph Neural Networks — S Wang ZLei ZTan JLi JRasep AZrang. ~- arXiv praprintarXiy 2025 (2025)</x:v>
      </x:c>
      <x:c r="C51" s="988" t="str">
        <x:v>Contextual medical concept-XAI evidence</x:v>
      </x:c>
      <x:c r="D51" s="988" t="str">
        <x:v>Concept-guided vision-language model; Other concept-based model (GNN)</x:v>
      </x:c>
      <x:c r="E51" s="988" t="str">
        <x:v>MRI — Disease/task not reported in abstract</x:v>
      </x:c>
      <x:c r="F51" s="988" t="str">
        <x:v>Dataset and sample size not reported in abstract.</x:v>
      </x:c>
      <x:c r="G51" s="988" t="str">
        <x:v>No dedicated explanation-quality metric is reported in the abstract; interpretability is supported by the model design and/or qualitative concept, prototype, case, or rule outputs.</x:v>
      </x:c>
      <x:c r="H51" s="988" t="str">
        <x:v>Extensive experiments across multiple psychiatric disorder datasets demonstrate that CONCEPTNEURO-augmented GNNs consistently outperform their vanilla counterparts, improving accuracy while providing transparent, clinically aligned explanations.</x:v>
      </x:c>
      <x:c r="I51" s="988" t="str">
        <x:v>No study-specific limitation is reported in the abstract.</x:v>
      </x:c>
      <x:c r="J51" s="990" t="str">
        <x:v>arXiv API record</x:v>
      </x:c>
      <x:c r="K51" s="990" t="str">
        <x:v>Moderate — complete preprint abstract</x:v>
      </x:c>
      <x:c r="L51" s="990" t="str"/>
      <x:c r="M51" s="988" t="str">
        <x:v>https://arxiv.org/abs/2510.03351</x:v>
      </x:c>
      <x:c r="N51" s="990" t="str">
        <x:f>IF(LEFT(F51,7)="Dataset","No","Yes")</x:f>
        <x:v>No</x:v>
      </x:c>
      <x:c r="O51" s="990" t="str">
        <x:f>IF(OR(LEFT(G51,2)="No",LEFT(G51,11)="Explanation"),"No","Yes")</x:f>
        <x:v>No</x:v>
      </x:c>
      <x:c r="P51" s="990" t="str">
        <x:f>IF(LEFT(I51,2)="No","No","Yes")</x:f>
        <x:v>No</x:v>
      </x:c>
    </x:row>
    <x:row r="52" ht="88.5" customHeight="1">
      <x:c r="A52" s="990" t="str">
        <x:v>GS-01-071</x:v>
      </x:c>
      <x:c r="B52" s="988" t="str">
        <x:v>Aligning Characteristic Descriptors with Images for Human-Expert-like Explainability — BC Yalavarthi N Ratha (2024)</x:v>
      </x:c>
      <x:c r="C52" s="988" t="str">
        <x:v>Contextual medical concept-XAI evidence</x:v>
      </x:c>
      <x:c r="D52" s="988" t="str">
        <x:v>Concept bottleneck model</x:v>
      </x:c>
      <x:c r="E52" s="988" t="str">
        <x:v>X-ray — Disease/task not reported in abstract</x:v>
      </x:c>
      <x:c r="F52" s="988" t="str">
        <x:v>Dataset and sample size not reported in abstract.</x:v>
      </x:c>
      <x:c r="G52" s="988" t="str">
        <x:v>No dedicated explanation-quality metric is reported in the abstract; interpretability is supported by the model design and/or qualitative concept, prototype, case, or rule outputs.</x:v>
      </x:c>
      <x:c r="H52" s="988" t="str">
        <x:v>No quantitative result is reported in the abstract.</x:v>
      </x:c>
      <x:c r="I52" s="988" t="str">
        <x:v>No study-specific limitation is reported in the abstract.</x:v>
      </x:c>
      <x:c r="J52" s="990" t="str">
        <x:v>arXiv API record</x:v>
      </x:c>
      <x:c r="K52" s="990" t="str">
        <x:v>Moderate — complete preprint abstract</x:v>
      </x:c>
      <x:c r="L52" s="990" t="str"/>
      <x:c r="M52" s="988" t="str">
        <x:v>https://arxiv.org/abs/2411.04008</x:v>
      </x:c>
      <x:c r="N52" s="990" t="str">
        <x:f>IF(LEFT(F52,7)="Dataset","No","Yes")</x:f>
        <x:v>No</x:v>
      </x:c>
      <x:c r="O52" s="990" t="str">
        <x:f>IF(OR(LEFT(G52,2)="No",LEFT(G52,11)="Explanation"),"No","Yes")</x:f>
        <x:v>No</x:v>
      </x:c>
      <x:c r="P52" s="990" t="str">
        <x:f>IF(LEFT(I52,2)="No","No","Yes")</x:f>
        <x:v>No</x:v>
      </x:c>
    </x:row>
    <x:row r="53" ht="88.5" customHeight="1">
      <x:c r="A53" s="990" t="str">
        <x:v>GS-01-076</x:v>
      </x:c>
      <x:c r="B53" s="988" t="str">
        <x:v>Naming the Concepts Classifiers Rely On: Language-Anchored Decomposition for Faithful Explanation — AH Akash. 2 Bhusal. S Jones, DAAdjeroh = (2026)</x:v>
      </x:c>
      <x:c r="C53" s="988" t="str">
        <x:v>Contextual medical concept-XAI evidence</x:v>
      </x:c>
      <x:c r="D53" s="988" t="str">
        <x:v>Concept-guided vision-language model</x:v>
      </x:c>
      <x:c r="E53" s="988" t="str">
        <x:v>Modality not reported in abstract — Disease/task not reported in abstract</x:v>
      </x:c>
      <x:c r="F53" s="988" t="str">
        <x:v>Dataset and sample size not reported in abstract.</x:v>
      </x:c>
      <x:c r="G53" s="988" t="str">
        <x:v>No dedicated explanation-quality metric is reported in the abstract; interpretability is supported by the model design and/or qualitative concept, prototype, case, or rule outputs.</x:v>
      </x:c>
      <x:c r="H53" s="988" t="str">
        <x:v>Removing this anchor preserves accuracy but collapses attribution faithfulness.</x:v>
      </x:c>
      <x:c r="I53" s="988" t="str">
        <x:v>No study-specific limitation is reported in the abstract.</x:v>
      </x:c>
      <x:c r="J53" s="990" t="str">
        <x:v>arXiv API record</x:v>
      </x:c>
      <x:c r="K53" s="990" t="str">
        <x:v>Moderate — complete preprint abstract</x:v>
      </x:c>
      <x:c r="L53" s="990" t="str"/>
      <x:c r="M53" s="988" t="str">
        <x:v>https://arxiv.org/abs/2607.07264</x:v>
      </x:c>
      <x:c r="N53" s="990" t="str">
        <x:f>IF(LEFT(F53,7)="Dataset","No","Yes")</x:f>
        <x:v>No</x:v>
      </x:c>
      <x:c r="O53" s="990" t="str">
        <x:f>IF(OR(LEFT(G53,2)="No",LEFT(G53,11)="Explanation"),"No","Yes")</x:f>
        <x:v>No</x:v>
      </x:c>
      <x:c r="P53" s="990" t="str">
        <x:f>IF(LEFT(I53,2)="No","No","Yes")</x:f>
        <x:v>No</x:v>
      </x:c>
    </x:row>
    <x:row r="54" ht="88.5" customHeight="1">
      <x:c r="A54" s="990" t="str">
        <x:v>GS-01-078</x:v>
      </x:c>
      <x:c r="B54" s="988" t="str">
        <x:v>A Tool Bottleneck Framework for Clinically-Informed and Interpretable Medical Image Understanding — Clip 4G Wang. JHsy. J Ws EAdelj (2025)</x:v>
      </x:c>
      <x:c r="C54" s="988" t="str">
        <x:v>Contextual medical concept-XAI evidence</x:v>
      </x:c>
      <x:c r="D54" s="988" t="str">
        <x:v>Concept-guided vision-language model</x:v>
      </x:c>
      <x:c r="E54" s="988" t="str">
        <x:v>Histopathology — Skin lesions / melanoma</x:v>
      </x:c>
      <x:c r="F54" s="988" t="str">
        <x:v>Dataset and sample size not reported in abstract.</x:v>
      </x:c>
      <x:c r="G54" s="988" t="str">
        <x:v>No dedicated explanation-quality metric is reported in the abstract; interpretability is supported by the model design and/or qualitative concept, prototype, case, or rule outputs.</x:v>
      </x:c>
      <x:c r="H54" s="988" t="str">
        <x:v>Overall, our framework not only improves tool-use in medical imaging contexts, but also yields more interpretable, clinically-grounded predictors. We evaluate TBF on tasks in histopathology and dermatology and find that these advantages enable our framework to perform on par with or better than deep learning-based classifiers, VLMs, and state-of-the-art tool-use frameworks, with particular gains in data-limited regimes.</x:v>
      </x:c>
      <x:c r="I54" s="988" t="str">
        <x:v>No study-specific limitation is reported in the abstract.</x:v>
      </x:c>
      <x:c r="J54" s="990" t="str">
        <x:v>arXiv API record</x:v>
      </x:c>
      <x:c r="K54" s="990" t="str">
        <x:v>Moderate — complete preprint abstract</x:v>
      </x:c>
      <x:c r="L54" s="990" t="str"/>
      <x:c r="M54" s="988" t="str">
        <x:v>https://arxiv.org/abs/2512.21414</x:v>
      </x:c>
      <x:c r="N54" s="990" t="str">
        <x:f>IF(LEFT(F54,7)="Dataset","No","Yes")</x:f>
        <x:v>No</x:v>
      </x:c>
      <x:c r="O54" s="990" t="str">
        <x:f>IF(OR(LEFT(G54,2)="No",LEFT(G54,11)="Explanation"),"No","Yes")</x:f>
        <x:v>No</x:v>
      </x:c>
      <x:c r="P54" s="990" t="str">
        <x:f>IF(LEFT(I54,2)="No","No","Yes")</x:f>
        <x:v>No</x:v>
      </x:c>
    </x:row>
    <x:row r="55" ht="88.5" customHeight="1">
      <x:c r="A55" s="990" t="str">
        <x:v>GS-01-088</x:v>
      </x:c>
      <x:c r="B55" s="988" t="str">
        <x:v>An Explainable Biomedical Foundation Model via Large-Scale Concept-Enhanced Vision-Language Pre-training — YNie SHe Y Bie ¥ Wang ZChen S$¥ang -a‘XivpraprintarX ©2125</x:v>
      </x:c>
      <x:c r="C55" s="988" t="str">
        <x:v>Contextual medical concept-XAI evidence</x:v>
      </x:c>
      <x:c r="D55" s="988" t="str">
        <x:v>Concept-guided vision-language model</x:v>
      </x:c>
      <x:c r="E55" s="988" t="str">
        <x:v>Modality not reported in abstract — Disease/task not reported in abstract</x:v>
      </x:c>
      <x:c r="F55" s="988" t="str">
        <x:v>We curate MedConcept-23M, the largest pre-training dataset comprising 23 million image-text-concept triplets across diverse medical modalities, where clinical concepts are derived from the Unified Medical Language System.</x:v>
      </x:c>
      <x:c r="G55" s="988" t="str">
        <x:v>No dedicated explanation-quality metric is reported in the abstract; interpretability is supported by the model design and/or qualitative concept, prototype, case, or rule outputs.</x:v>
      </x:c>
      <x:c r="H55" s="988" t="str">
        <x:v>Extensive experiments demonstrate that ConceptCLIP outperforms existing state-of-the-art multimodal biomedical foundation models. Importantly, ConceptCLIP demonstrates superior diagnostic performance while providing human-understandable explanations validated by clinical experts.</x:v>
      </x:c>
      <x:c r="I55" s="988" t="str">
        <x:v>No study-specific limitation is reported in the abstract.</x:v>
      </x:c>
      <x:c r="J55" s="990" t="str">
        <x:v>arXiv API record</x:v>
      </x:c>
      <x:c r="K55" s="990" t="str">
        <x:v>Moderate — complete preprint abstract</x:v>
      </x:c>
      <x:c r="L55" s="990" t="str"/>
      <x:c r="M55" s="988" t="str">
        <x:v>https://arxiv.org/abs/2501.15579</x:v>
      </x:c>
      <x:c r="N55" s="990" t="str">
        <x:f>IF(LEFT(F55,7)="Dataset","No","Yes")</x:f>
        <x:v>Yes</x:v>
      </x:c>
      <x:c r="O55" s="990" t="str">
        <x:f>IF(OR(LEFT(G55,2)="No",LEFT(G55,11)="Explanation"),"No","Yes")</x:f>
        <x:v>No</x:v>
      </x:c>
      <x:c r="P55" s="990" t="str">
        <x:f>IF(LEFT(I55,2)="No","No","Yes")</x:f>
        <x:v>No</x:v>
      </x:c>
    </x:row>
    <x:row r="56" ht="88.5" customHeight="1">
      <x:c r="A56" s="990" t="str">
        <x:v>GS-01-089</x:v>
      </x:c>
      <x:c r="B56" s="988" t="str">
        <x:v>ConVLM: Concept-Guided Vision-Language Models for Explainable Dermatological Diagnosis — A Davis</x:v>
      </x:c>
      <x:c r="C56" s="988" t="str">
        <x:v>Contextual medical concept-XAI evidence</x:v>
      </x:c>
      <x:c r="D56" s="988" t="str">
        <x:v>Concept-guided vision-language model; Other concept-based model</x:v>
      </x:c>
      <x:c r="E56" s="988" t="str">
        <x:v>Modality not reported in abstract — Skin lesions / melanoma</x:v>
      </x:c>
      <x:c r="F56" s="988" t="str">
        <x:v>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x:v>
      </x:c>
      <x:c r="G56" s="988" t="str">
        <x:v>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x:v>
      </x:c>
      <x:c r="H56" s="988" t="str">
        <x:v>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x:v>
      </x:c>
      <x:c r="I56" s="988" t="str">
        <x:v>No study-specific limitation is reported in the abstract.</x:v>
      </x:c>
      <x:c r="J56" s="990" t="str">
        <x:v>OpenAlex scholarly record</x:v>
      </x:c>
      <x:c r="K56" s="990" t="str">
        <x:v>Moderate — complete scholarly-record abstract</x:v>
      </x:c>
      <x:c r="L56" s="990" t="str">
        <x:v>10.31224/5064</x:v>
      </x:c>
      <x:c r="M56" s="988" t="str">
        <x:v>https://engrxiv.org/preprint/download/5064/8610/7159</x:v>
      </x:c>
      <x:c r="N56" s="990" t="str">
        <x:f>IF(LEFT(F56,7)="Dataset","No","Yes")</x:f>
        <x:v>Yes</x:v>
      </x:c>
      <x:c r="O56" s="990" t="str">
        <x:f>IF(OR(LEFT(G56,2)="No",LEFT(G56,11)="Explanation"),"No","Yes")</x:f>
        <x:v>Yes</x:v>
      </x:c>
      <x:c r="P56" s="990" t="str">
        <x:f>IF(LEFT(I56,2)="No","No","Yes")</x:f>
        <x:v>No</x:v>
      </x:c>
    </x:row>
    <x:row r="57" ht="88.5" customHeight="1">
      <x:c r="A57" s="990" t="str">
        <x:v>GS-01-096</x:v>
      </x:c>
      <x:c r="B57" s="988" t="str">
        <x:v>AC-MIL: Weakly Supervised Atrial LGE-MRI Quality Assessment via Adversarial Concept Disentanglement — KM Sudan KHansen BOncky AMorris -arXev pregnnt ari = 2926</x:v>
      </x:c>
      <x:c r="C57" s="988" t="str">
        <x:v>Contextual medical concept-XAI evidence</x:v>
      </x:c>
      <x:c r="D57" s="988" t="str">
        <x:v>Concept-XAI method not specified in abstract</x:v>
      </x:c>
      <x:c r="E57" s="988" t="str">
        <x:v>MRI — Disease/task not reported in abstract</x:v>
      </x:c>
      <x:c r="F57" s="988" t="str">
        <x:v>Dataset and sample size not reported in abstract.</x:v>
      </x:c>
      <x:c r="G57" s="988" t="str">
        <x:v>No dedicated explanation-quality metric is reported in the abstract; interpretability is supported by the model design and/or qualitative concept, prototype, case, or rule outputs.</x:v>
      </x:c>
      <x:c r="H57" s="988" t="str">
        <x:v>While Multiple Instance Learning (MIL) has emerged as a powerful tool for automated quality assessment under weak supervision, current state-of-the-art methods map localized visual evidence to a single, opaque global feature vector. Crucially, our framework achieves this deep clinical transparency while maintaining highly competitive ordinal grading performance against existing baselines.</x:v>
      </x:c>
      <x:c r="I57" s="988" t="str">
        <x:v>No study-specific limitation is reported in the abstract.</x:v>
      </x:c>
      <x:c r="J57" s="990" t="str">
        <x:v>OpenAlex scholarly record</x:v>
      </x:c>
      <x:c r="K57" s="990" t="str">
        <x:v>Moderate — complete scholarly-record abstract</x:v>
      </x:c>
      <x:c r="L57" s="990" t="str"/>
      <x:c r="M57" s="988" t="str">
        <x:v>https://arxiv.org/pdf/2604.10303</x:v>
      </x:c>
      <x:c r="N57" s="990" t="str">
        <x:f>IF(LEFT(F57,7)="Dataset","No","Yes")</x:f>
        <x:v>No</x:v>
      </x:c>
      <x:c r="O57" s="990" t="str">
        <x:f>IF(OR(LEFT(G57,2)="No",LEFT(G57,11)="Explanation"),"No","Yes")</x:f>
        <x:v>No</x:v>
      </x:c>
      <x:c r="P57" s="990" t="str">
        <x:f>IF(LEFT(I57,2)="No","No","Yes")</x:f>
        <x:v>No</x:v>
      </x:c>
    </x:row>
    <x:row r="58" ht="88.5" customHeight="1">
      <x:c r="A58" s="990" t="str">
        <x:v>GS-02-001</x:v>
      </x:c>
      <x:c r="B58" s="988" t="str">
        <x:v>Prototype-Guided Promptable Retinal Lesion Segmentation from Coarse Annotations — O Yu, X Sing</x:v>
      </x:c>
      <x:c r="C58" s="988" t="str">
        <x:v>Direct retinal/ophthalmic evidence</x:v>
      </x:c>
      <x:c r="D58" s="988" t="str">
        <x:v>Prototype-based / prototypical learning (Segmentation model)</x:v>
      </x:c>
      <x:c r="E58" s="988" t="str">
        <x:v>Modality not reported in abstract — Retinal disease / lesions</x:v>
      </x:c>
      <x:c r="F58" s="988" t="str">
        <x:v>IDRiD, DDR</x:v>
      </x:c>
      <x:c r="G58" s="988" t="str">
        <x:v>No dedicated explanation-quality metric is reported in the abstract; interpretability is supported by the model design and/or qualitative concept, prototype, case, or rule outputs.</x:v>
      </x:c>
      <x:c r="H58" s="988" t="str">
        <x:v>Experimental results demonstrate that our prototype-based model significantly outperforms fully supervised and non-prototypical promptable baselines, achieving more accurate and robust segmentation, particularly for challenging and variable lesions.</x:v>
      </x:c>
      <x:c r="I58" s="988" t="str">
        <x:v>No study-specific limitation is reported in the abstract.</x:v>
      </x:c>
      <x:c r="J58" s="990" t="str">
        <x:v>OpenAlex scholarly record</x:v>
      </x:c>
      <x:c r="K58" s="990" t="str">
        <x:v>Moderate — complete scholarly-record abstract</x:v>
      </x:c>
      <x:c r="L58" s="990" t="str">
        <x:v>10.3390/electronics14163252</x:v>
      </x:c>
      <x:c r="M58" s="988" t="str">
        <x:v>https://www.mdpi.com/2079-9292/14/16/3252</x:v>
      </x:c>
      <x:c r="N58" s="990" t="str">
        <x:f>IF(LEFT(F58,7)="Dataset","No","Yes")</x:f>
        <x:v>Yes</x:v>
      </x:c>
      <x:c r="O58" s="990" t="str">
        <x:f>IF(OR(LEFT(G58,2)="No",LEFT(G58,11)="Explanation"),"No","Yes")</x:f>
        <x:v>No</x:v>
      </x:c>
      <x:c r="P58" s="990" t="str">
        <x:f>IF(LEFT(I58,2)="No","No","Yes")</x:f>
        <x:v>No</x:v>
      </x:c>
    </x:row>
    <x:row r="59" ht="88.5" customHeight="1">
      <x:c r="A59" s="990" t="str">
        <x:v>GS-02-007</x:v>
      </x:c>
      <x:c r="B59" s="988" t="str">
        <x:v>A novel few-shot classification framework for diabetic retinopathy detection and grading — MMuugappar NB Prakash R Jeya</x:v>
      </x:c>
      <x:c r="C59" s="988" t="str">
        <x:v>Direct retinal/ophthalmic evidence</x:v>
      </x:c>
      <x:c r="D59" s="988" t="str">
        <x:v>Prototype-based / prototypical learning</x:v>
      </x:c>
      <x:c r="E59" s="988" t="str">
        <x:v>Fundus photography — Diabetic retinopathy; Retinal disease / lesions</x:v>
      </x:c>
      <x:c r="F59" s="988" t="str">
        <x:v>We developed a DRNet based on the APTOS2019 dataset for diabetic detection and grading.</x:v>
      </x:c>
      <x:c r="G59" s="988" t="str">
        <x:v>No dedicated explanation-quality metric is reported in the abstract; interpretability is supported by the model design and/or qualitative concept, prototype, case, or rule outputs.</x:v>
      </x:c>
      <x:c r="H59" s="988" t="str">
        <x:v>As a result, the system achieves 99.73 % accuracy, 99.82 % sensitivity, 99.63 % specificity in DR detection, 98.18 % accuracy, 97.41% sensitivity, and 99.55% specificity in DR grading.</x:v>
      </x:c>
      <x:c r="I59" s="988" t="str">
        <x:v>No study-specific limitation is reported in the abstract.</x:v>
      </x:c>
      <x:c r="J59" s="990" t="str">
        <x:v>OpenAlex scholarly record</x:v>
      </x:c>
      <x:c r="K59" s="990" t="str">
        <x:v>Moderate — complete scholarly-record abstract</x:v>
      </x:c>
      <x:c r="L59" s="990" t="str">
        <x:v>10.1016/j.measurement.2022.111485</x:v>
      </x:c>
      <x:c r="M59" s="988" t="str">
        <x:v>https://irep.ntu.ac.uk/id/eprint/47016/1/1596874_Mahmud.pdf</x:v>
      </x:c>
      <x:c r="N59" s="990" t="str">
        <x:f>IF(LEFT(F59,7)="Dataset","No","Yes")</x:f>
        <x:v>Yes</x:v>
      </x:c>
      <x:c r="O59" s="990" t="str">
        <x:f>IF(OR(LEFT(G59,2)="No",LEFT(G59,11)="Explanation"),"No","Yes")</x:f>
        <x:v>No</x:v>
      </x:c>
      <x:c r="P59" s="990" t="str">
        <x:f>IF(LEFT(I59,2)="No","No","Yes")</x:f>
        <x:v>No</x:v>
      </x:c>
    </x:row>
    <x:row r="60" ht="88.5" customHeight="1">
      <x:c r="A60" s="990" t="str">
        <x:v>GS-02-009</x:v>
      </x:c>
      <x:c r="B60" s="988" t="str">
        <x:v>HybridFusionNet: A Distributed Prototype-Guided Multi-Scale Transformer–CNN Framework for Robust and Interpretable Diabetic Retinopathy Detection — KV Shanthala KC Kundue (2026)</x:v>
      </x:c>
      <x:c r="C60" s="988" t="str">
        <x:v>Direct retinal/ophthalmic evidence</x:v>
      </x:c>
      <x:c r="D60" s="988" t="str">
        <x:v>Prototype-based / prototypical learning (Vision Transformer, Transformer, CNN)</x:v>
      </x:c>
      <x:c r="E60" s="988" t="str">
        <x:v>Modality not reported in abstract — Diabetic retinopathy; Retinal disease / lesions</x:v>
      </x:c>
      <x:c r="F60" s="988" t="str">
        <x:v>APTOS 2019, EyePACS, Messidor-2. Experiments conducted on EyePACS, APTOS 2019, and Messidor-2 datasets demonstrated that HybridFusionNet achieves 95.8% accuracy, 0.934 sensitivity, 0.972 specificity, and a quadratic weighted kappa of 0.912, outperforming state-of-the-art baselines.</x:v>
      </x:c>
      <x:c r="G60" s="988" t="str">
        <x:v>No dedicated explanation-quality metric is reported in the abstract; interpretability is supported by the model design and/or qualitative concept, prototype, case, or rule outputs.</x:v>
      </x:c>
      <x:c r="H60" s="988" t="str">
        <x:v>Experiments conducted on EyePACS, APTOS 2019, and Messidor-2 datasets demonstrated that HybridFusionNet achieves 95.8% accuracy, 0.934 sensitivity, 0.972 specificity, and a quadratic weighted kappa of 0.912, outperforming state-of-the-art baselines. The model achieves ~78 ms inference per image, a 14× training speedup, and 40% reduced memory footprint compared to conventional vision transformers, ensuring feasibility for real-time and resource-constrained clinical settings.</x:v>
      </x:c>
      <x:c r="I60" s="988" t="str">
        <x:v>No study-specific limitation is reported in the abstract.</x:v>
      </x:c>
      <x:c r="J60" s="990" t="str">
        <x:v>OpenAlex scholarly record</x:v>
      </x:c>
      <x:c r="K60" s="990" t="str">
        <x:v>Moderate — complete scholarly-record abstract</x:v>
      </x:c>
      <x:c r="L60" s="990" t="str">
        <x:v>10.1016/j.procs.2026.06.266</x:v>
      </x:c>
      <x:c r="M60" s="988" t="str">
        <x:v>https://www.sciencedirect.com/journal/procedia-computer-science/vol/283/suppl/C?page=2</x:v>
      </x:c>
      <x:c r="N60" s="990" t="str">
        <x:f>IF(LEFT(F60,7)="Dataset","No","Yes")</x:f>
        <x:v>Yes</x:v>
      </x:c>
      <x:c r="O60" s="990" t="str">
        <x:f>IF(OR(LEFT(G60,2)="No",LEFT(G60,11)="Explanation"),"No","Yes")</x:f>
        <x:v>No</x:v>
      </x:c>
      <x:c r="P60" s="990" t="str">
        <x:f>IF(LEFT(I60,2)="No","No","Yes")</x:f>
        <x:v>No</x:v>
      </x:c>
    </x:row>
    <x:row r="61" ht="88.5" customHeight="1">
      <x:c r="A61" s="990" t="str">
        <x:v>GS-02-012</x:v>
      </x:c>
      <x:c r="B61" s="988" t="str">
        <x:v>Transformer-Based Multi-Prototype Approach for Diabetic Macular Edema Analysis in OCT Images — PL Vizal Jde Moura UNove MCnega -ICASSP 2023-2023 = 2023 (2023)</x:v>
      </x:c>
      <x:c r="C61" s="988" t="str">
        <x:v>Direct retinal/ophthalmic evidence</x:v>
      </x:c>
      <x:c r="D61" s="988" t="str">
        <x:v>Prototype-based / prototypical learning (Vision Transformer, Transformer)</x:v>
      </x:c>
      <x:c r="E61" s="988" t="str">
        <x:v>OCT — Diabetic macular oedema</x:v>
      </x:c>
      <x:c r="F61" s="988" t="str">
        <x:v>Dataset and sample size not reported in abstract.</x:v>
      </x:c>
      <x:c r="G61" s="988" t="str">
        <x:v>No dedicated explanation-quality metric is reported in the abstract; interpretability is supported by the model design and/or qualitative concept, prototype, case, or rule outputs.</x:v>
      </x:c>
      <x:c r="H61" s="988" t="str">
        <x:v>Our proposal achieved robust results in two representative OCT devices, with a mean accuracy of 0.9099 ± 0.0083 and 0.8582 ± 0.0126 for CME and DRT-type fluid accumulations, respectively.</x:v>
      </x:c>
      <x:c r="I61" s="988" t="str">
        <x:v>No study-specific limitation is reported in the abstract.</x:v>
      </x:c>
      <x:c r="J61" s="990" t="str">
        <x:v>OpenAlex scholarly record</x:v>
      </x:c>
      <x:c r="K61" s="990" t="str">
        <x:v>Moderate — complete scholarly-record abstract</x:v>
      </x:c>
      <x:c r="L61" s="990" t="str">
        <x:v>10.1109/ICASSP49357.2023.10095039</x:v>
      </x:c>
      <x:c r="M61" s="988" t="str">
        <x:v>https://ieeexplore.ieee.org/iel7/10094559/10094560/10095039.pdf</x:v>
      </x:c>
      <x:c r="N61" s="990" t="str">
        <x:f>IF(LEFT(F61,7)="Dataset","No","Yes")</x:f>
        <x:v>No</x:v>
      </x:c>
      <x:c r="O61" s="990" t="str">
        <x:f>IF(OR(LEFT(G61,2)="No",LEFT(G61,11)="Explanation"),"No","Yes")</x:f>
        <x:v>No</x:v>
      </x:c>
      <x:c r="P61" s="990" t="str">
        <x:f>IF(LEFT(I61,2)="No","No","Yes")</x:f>
        <x:v>No</x:v>
      </x:c>
    </x:row>
    <x:row r="62" ht="88.5" customHeight="1">
      <x:c r="A62" s="990" t="str">
        <x:v>GS-02-017</x:v>
      </x:c>
      <x:c r="B62" s="988" t="str">
        <x:v>Automatic Grading of Age-Related Cataract via Progressive Ordinal Attention and Topology-Constrained Prototype Learning — 2X%u Cvian XHu Wang. Y Hu. 2 Zhang (2026)</x:v>
      </x:c>
      <x:c r="C62" s="988" t="str">
        <x:v>Direct retinal/ophthalmic evidence</x:v>
      </x:c>
      <x:c r="D62" s="988" t="str">
        <x:v>Prototype-based / prototypical learning (Transformer, CNN)</x:v>
      </x:c>
      <x:c r="E62" s="988" t="str">
        <x:v>Modality not reported in abstract — Cataract</x:v>
      </x:c>
      <x:c r="F62" s="988" t="str">
        <x:v>Dataset and sample size not reported in abstract.</x:v>
      </x:c>
      <x:c r="G62" s="988" t="str">
        <x:v>No dedicated explanation-quality metric is reported in the abstract; interpretability is supported by the model design and/or qualitative concept, prototype, case, or rule outputs.</x:v>
      </x:c>
      <x:c r="H62" s="988" t="str">
        <x:v>Experimental results demonstrate that POA-Net achieves an accuracy of 89.20% and a weighted kappa coefficient of 93.82%, outperforming several state-of-the-art convolutional and Transformer-based methods. The model shows improved capability in distinguishing adjacent severity levels and exhibits strong agreement with clinical annotations.</x:v>
      </x:c>
      <x:c r="I62" s="988" t="str">
        <x:v>No study-specific limitation is reported in the abstract.</x:v>
      </x:c>
      <x:c r="J62" s="990" t="str">
        <x:v>Publisher/Repository HTML metadata</x:v>
      </x:c>
      <x:c r="K62" s="990" t="str">
        <x:v>High — complete authoritative abstract</x:v>
      </x:c>
      <x:c r="L62" s="990" t="str">
        <x:v>10.1007/s10278-026-02144-2</x:v>
      </x:c>
      <x:c r="M62" s="988" t="str">
        <x:v>https://link.springer.com/content/pdf/10.1007/s10278-026-02144-2.pdf</x:v>
      </x:c>
      <x:c r="N62" s="990" t="str">
        <x:f>IF(LEFT(F62,7)="Dataset","No","Yes")</x:f>
        <x:v>No</x:v>
      </x:c>
      <x:c r="O62" s="990" t="str">
        <x:f>IF(OR(LEFT(G62,2)="No",LEFT(G62,11)="Explanation"),"No","Yes")</x:f>
        <x:v>No</x:v>
      </x:c>
      <x:c r="P62" s="990" t="str">
        <x:f>IF(LEFT(I62,2)="No","No","Yes")</x:f>
        <x:v>No</x:v>
      </x:c>
    </x:row>
    <x:row r="63" ht="88.5" customHeight="1">
      <x:c r="A63" s="990" t="str">
        <x:v>GS-02-046</x:v>
      </x:c>
      <x:c r="B63" s="988" t="str">
        <x:v>RetinoFusionNet: A Scalable and Interpretable Vision Transformer Framework for Diabetic Retinopathy Detection — KY Shanthala KC Kundue (2026)</x:v>
      </x:c>
      <x:c r="C63" s="988" t="str">
        <x:v>Direct retinal/ophthalmic evidence</x:v>
      </x:c>
      <x:c r="D63" s="988" t="str">
        <x:v>Prototype-based / prototypical learning (Vision Transformer, Transformer)</x:v>
      </x:c>
      <x:c r="E63" s="988" t="str">
        <x:v>Fundus photography — Diabetic retinopathy; Retinal disease / lesions</x:v>
      </x:c>
      <x:c r="F63" s="988" t="str">
        <x:v>APTOS 2019, EyePACS, Messidor-2. Comprehensive evaluation on EyePACS, APTOS 2019, and Messidor-2 datasets demonstrates state-of-the-art accuracy with only a 4.1–4.5% cross-dataset drop, outperforming ViT and ProtoPNet, which show a decline of 8.3–12.1%.</x:v>
      </x:c>
      <x:c r="G63" s="988" t="str">
        <x:v>No dedicated explanation-quality metric is reported in the abstract; interpretability is supported by the model design and/or qualitative concept, prototype, case, or rule outputs.</x:v>
      </x:c>
      <x:c r="H63" s="988" t="str">
        <x:v>Comprehensive evaluation on EyePACS, APTOS 2019, and Messidor-2 datasets demonstrates state-of-the-art accuracy with only a 4.1–4.5% cross-dataset drop, outperforming ViT and ProtoPNet, which show a decline of 8.3–12.1%. RetinoFusionNet also achieves a per-image inference time of 78 ms, reduces memory usage by 42% compared to standard ViTs, and operates at just 14.6 GFLOPs, confirming its robustness and deployment feasibility.</x:v>
      </x:c>
      <x:c r="I63" s="988" t="str">
        <x:v>No study-specific limitation is reported in the abstract.</x:v>
      </x:c>
      <x:c r="J63" s="990" t="str">
        <x:v>OpenAlex scholarly record</x:v>
      </x:c>
      <x:c r="K63" s="990" t="str">
        <x:v>Moderate — complete scholarly-record abstract</x:v>
      </x:c>
      <x:c r="L63" s="990" t="str">
        <x:v>10.48084/etasr.15311</x:v>
      </x:c>
      <x:c r="M63" s="988" t="str">
        <x:v>https://www.etasr.com/index.php/ETASR/article/download/15311/6142</x:v>
      </x:c>
      <x:c r="N63" s="990" t="str">
        <x:f>IF(LEFT(F63,7)="Dataset","No","Yes")</x:f>
        <x:v>Yes</x:v>
      </x:c>
      <x:c r="O63" s="990" t="str">
        <x:f>IF(OR(LEFT(G63,2)="No",LEFT(G63,11)="Explanation"),"No","Yes")</x:f>
        <x:v>No</x:v>
      </x:c>
      <x:c r="P63" s="990" t="str">
        <x:f>IF(LEFT(I63,2)="No","No","Yes")</x:f>
        <x:v>No</x:v>
      </x:c>
    </x:row>
    <x:row r="64" ht="88.5" customHeight="1">
      <x:c r="A64" s="990" t="str">
        <x:v>GS-02-054</x:v>
      </x:c>
      <x:c r="B64" s="988" t="str">
        <x:v>HOPE: Hybrid-Granularity Ordinal Prototype Learning for Progression Prediction of Mild Cognitive Impairment — CwWang ¥YLei.TChen J Zhang YLi -IEEE Journalaf =. 2024 (2024)</x:v>
      </x:c>
      <x:c r="C64" s="988" t="str">
        <x:v>Contextual medical concept-XAI evidence</x:v>
      </x:c>
      <x:c r="D64" s="988" t="str">
        <x:v>Prototype-based / prototypical learning</x:v>
      </x:c>
      <x:c r="E64" s="988" t="str">
        <x:v>Modality not reported in abstract — MCI / Alzheimer's disease</x:v>
      </x:c>
      <x:c r="F64" s="988" t="str">
        <x:v>ADNI, NACC. Experiments on the internal ADNI and external NACC datasets demonstrate superiority over state-of-the-art methods and interpretability.</x:v>
      </x:c>
      <x:c r="G64" s="988" t="str">
        <x:v>No dedicated explanation-quality metric is reported in the abstract; interpretability is supported by the model design and/or qualitative concept, prototype, case, or rule outputs.</x:v>
      </x:c>
      <x:c r="H64" s="988" t="str">
        <x:v>Experiments on the internal ADNI and external NACC datasets demonstrate superiority over state-of-the-art methods and interpretability.</x:v>
      </x:c>
      <x:c r="I64" s="988" t="str">
        <x:v>No study-specific limitation is reported in the abstract.</x:v>
      </x:c>
      <x:c r="J64" s="990" t="str">
        <x:v>PubMed publisher record</x:v>
      </x:c>
      <x:c r="K64" s="990" t="str">
        <x:v>High — complete authoritative abstract</x:v>
      </x:c>
      <x:c r="L64" s="990" t="str">
        <x:v>10.1109/JBHI.2024.3357453</x:v>
      </x:c>
      <x:c r="M64" s="988" t="str">
        <x:v>https://pubmed.ncbi.nlm.nih.gov/38261490/</x:v>
      </x:c>
      <x:c r="N64" s="990" t="str">
        <x:f>IF(LEFT(F64,7)="Dataset","No","Yes")</x:f>
        <x:v>Yes</x:v>
      </x:c>
      <x:c r="O64" s="990" t="str">
        <x:f>IF(OR(LEFT(G64,2)="No",LEFT(G64,11)="Explanation"),"No","Yes")</x:f>
        <x:v>No</x:v>
      </x:c>
      <x:c r="P64" s="990" t="str">
        <x:f>IF(LEFT(I64,2)="No","No","Yes")</x:f>
        <x:v>No</x:v>
      </x:c>
    </x:row>
    <x:row r="65" ht="88.5" customHeight="1">
      <x:c r="A65" s="990" t="str">
        <x:v>GS-02-087</x:v>
      </x:c>
      <x:c r="B65" s="988" t="str">
        <x:v>Pathology-Aware Prototype Evolution via LLM-Driven Semantic Disambiguation for Multicenter Diabetic Retinopathy Diagnosis — CZhy ¥ wir . Shao JLin ¥'Warg- 2roceadings af tha 33rd ACH | 2025. dl acm arg (2025)</x:v>
      </x:c>
      <x:c r="C65" s="988" t="str">
        <x:v>Direct retinal/ophthalmic evidence</x:v>
      </x:c>
      <x:c r="D65" s="988" t="str">
        <x:v>Prototype-based / prototypical learning; Concept-guided vision-language model</x:v>
      </x:c>
      <x:c r="E65" s="988" t="str">
        <x:v>Modality not reported in abstract — Diabetic retinopathy; Retinal disease / lesions</x:v>
      </x:c>
      <x:c r="F65" s="988" t="str">
        <x:v>Extensive experiments across eight public datasets demonstrate that our approach achieves pathology-guided prototype evolution while outperforming state-of-the-art methods.</x:v>
      </x:c>
      <x:c r="G65" s="988" t="str">
        <x:v>No dedicated explanation-quality metric is reported in the abstract; interpretability is supported by the model design and/or qualitative concept, prototype, case, or rule outputs.</x:v>
      </x:c>
      <x:c r="H65" s="988" t="str">
        <x:v>Extensive experiments across eight public datasets demonstrate that our approach achieves pathology-guided prototype evolution while outperforming state-of-the-art methods.</x:v>
      </x:c>
      <x:c r="I65" s="988" t="str">
        <x:v>No study-specific limitation is reported in the abstract.</x:v>
      </x:c>
      <x:c r="J65" s="990" t="str">
        <x:v>OpenAlex scholarly record</x:v>
      </x:c>
      <x:c r="K65" s="990" t="str">
        <x:v>Moderate — complete scholarly-record abstract</x:v>
      </x:c>
      <x:c r="L65" s="990" t="str">
        <x:v>10.1145/3746027.3754562</x:v>
      </x:c>
      <x:c r="M65" s="988" t="str">
        <x:v>https://arxiv.org/pdf/2511.22033</x:v>
      </x:c>
      <x:c r="N65" s="990" t="str">
        <x:f>IF(LEFT(F65,7)="Dataset","No","Yes")</x:f>
        <x:v>Yes</x:v>
      </x:c>
      <x:c r="O65" s="990" t="str">
        <x:f>IF(OR(LEFT(G65,2)="No",LEFT(G65,11)="Explanation"),"No","Yes")</x:f>
        <x:v>No</x:v>
      </x:c>
      <x:c r="P65" s="990" t="str">
        <x:f>IF(LEFT(I65,2)="No","No","Yes")</x:f>
        <x:v>No</x:v>
      </x:c>
    </x:row>
    <x:row r="66" ht="88.5" customHeight="1">
      <x:c r="A66" s="990" t="str">
        <x:v>GS-03-001</x:v>
      </x:c>
      <x:c r="B66" s="988" t="str">
        <x:v>Case-Based Expert System for Early Detection of Diabetic Retinopathy — R Barman SK Biswas D Das, 3 Furkayastha -Inleltgent Ccmputing 2021 (2021)</x:v>
      </x:c>
      <x:c r="C66" s="988" t="str">
        <x:v>Direct retinal/ophthalmic evidence</x:v>
      </x:c>
      <x:c r="D66" s="988" t="str">
        <x:v>Concept-XAI method not specified in abstract</x:v>
      </x:c>
      <x:c r="E66" s="988" t="str">
        <x:v>Modality not reported in abstract — Diabetic retinopathy; Retinal disease / lesions</x:v>
      </x:c>
      <x:c r="F66" s="988" t="str">
        <x:v>Dataset and sample size not reported in abstract.</x:v>
      </x:c>
      <x:c r="G66" s="988" t="str">
        <x:v>Explanation evaluation not reported in abstract.</x:v>
      </x:c>
      <x:c r="H66" s="988" t="str">
        <x:v>No quantitative result is reported in the abstract.</x:v>
      </x:c>
      <x:c r="I66" s="988" t="str">
        <x:v>No study-specific limitation is reported in the abstract.</x:v>
      </x:c>
      <x:c r="J66" s="990" t="str">
        <x:v>Publisher/Repository HTML metadata</x:v>
      </x:c>
      <x:c r="K66" s="990" t="str">
        <x:v>High — complete authoritative abstract</x:v>
      </x:c>
      <x:c r="L66" s="990" t="str">
        <x:v>10.1007/978-981-16-1295-4_27</x:v>
      </x:c>
      <x:c r="M66" s="988" t="str">
        <x:v>https://link.springer.com/chapter/10.1007/978-981-16-1295-4_27</x:v>
      </x:c>
      <x:c r="N66" s="990" t="str">
        <x:f>IF(LEFT(F66,7)="Dataset","No","Yes")</x:f>
        <x:v>No</x:v>
      </x:c>
      <x:c r="O66" s="990" t="str">
        <x:f>IF(OR(LEFT(G66,2)="No",LEFT(G66,11)="Explanation"),"No","Yes")</x:f>
        <x:v>No</x:v>
      </x:c>
      <x:c r="P66" s="990" t="str">
        <x:f>IF(LEFT(I66,2)="No","No","Yes")</x:f>
        <x:v>No</x:v>
      </x:c>
    </x:row>
    <x:row r="67" ht="88.5" customHeight="1">
      <x:c r="A67" s="990" t="str">
        <x:v>GS-03-003</x:v>
      </x:c>
      <x:c r="B67" s="988" t="str">
        <x:v>A cybernetic systems approach to abnormality detection in retina images using case based reasoning — ARoy Chowdhury $ Barerjze. T Chatterjee «SN Appiad Sciences 2020 (2020)</x:v>
      </x:c>
      <x:c r="C67" s="988" t="str">
        <x:v>Direct retinal/ophthalmic evidence</x:v>
      </x:c>
      <x:c r="D67" s="988" t="str">
        <x:v>Case-based reasoning / example retrieval (Retrieval)</x:v>
      </x:c>
      <x:c r="E67" s="988" t="str">
        <x:v>Fundus photography — Retinal disease / lesions</x:v>
      </x:c>
      <x:c r="F67" s="988" t="str">
        <x:v>Dataset and sample size not reported in abstract.</x:v>
      </x:c>
      <x:c r="G67" s="988" t="str">
        <x:v>Explanation evaluation not reported in abstract.</x:v>
      </x:c>
      <x:c r="H67" s="988" t="str">
        <x:v>It is found that random forest classifier outperforms all the other classifiers for the detection of both bright and dark lesion classes and achieves 94.8% and 95.1% accuracy, respectively with ROC area 0.977 and 0.98, respectively.</x:v>
      </x:c>
      <x:c r="I67" s="988" t="str">
        <x:v>No study-specific limitation is reported in the abstract.</x:v>
      </x:c>
      <x:c r="J67" s="990" t="str">
        <x:v>Publisher/Repository HTML metadata</x:v>
      </x:c>
      <x:c r="K67" s="990" t="str">
        <x:v>High — complete authoritative abstract</x:v>
      </x:c>
      <x:c r="L67" s="990" t="str">
        <x:v>10.1007/s42452-020-3187-0</x:v>
      </x:c>
      <x:c r="M67" s="988" t="str">
        <x:v>https://link.springer.com/article/10.1007/s42452-020-3187-0</x:v>
      </x:c>
      <x:c r="N67" s="990" t="str">
        <x:f>IF(LEFT(F67,7)="Dataset","No","Yes")</x:f>
        <x:v>No</x:v>
      </x:c>
      <x:c r="O67" s="990" t="str">
        <x:f>IF(OR(LEFT(G67,2)="No",LEFT(G67,11)="Explanation"),"No","Yes")</x:f>
        <x:v>No</x:v>
      </x:c>
      <x:c r="P67" s="990" t="str">
        <x:f>IF(LEFT(I67,2)="No","No","Yes")</x:f>
        <x:v>No</x:v>
      </x:c>
    </x:row>
    <x:row r="68" ht="88.5" customHeight="1">
      <x:c r="A68" s="990" t="str">
        <x:v>GS-03-004</x:v>
      </x:c>
      <x:c r="B68" s="988" t="str">
        <x:v>Retrieval of Similar Cases to Improve the Diagnosis of Diabetic Retinopathy — ASacz-Rarros LAriza-.dpez (2023)</x:v>
      </x:c>
      <x:c r="C68" s="988" t="str">
        <x:v>Direct retinal/ophthalmic evidence</x:v>
      </x:c>
      <x:c r="D68" s="988" t="str">
        <x:v>Case-based reasoning / example retrieval (Retrieval)</x:v>
      </x:c>
      <x:c r="E68" s="988" t="str">
        <x:v>Fundus photography — Diabetic retinopathy; Retinal disease / lesions</x:v>
      </x:c>
      <x:c r="F68" s="988" t="str">
        <x:v>Dataset and sample size not reported in abstract.</x:v>
      </x:c>
      <x:c r="G68" s="988" t="str">
        <x:v>Explanation evaluation not reported in abstract.</x:v>
      </x:c>
      <x:c r="H68" s="988" t="str">
        <x:v>No quantitative result is reported in the abstract.</x:v>
      </x:c>
      <x:c r="I68" s="988" t="str">
        <x:v>No study-specific limitation is reported in the abstract.</x:v>
      </x:c>
      <x:c r="J68" s="990" t="str">
        <x:v>Publisher/Repository HTML metadata</x:v>
      </x:c>
      <x:c r="K68" s="990" t="str">
        <x:v>High — complete authoritative abstract</x:v>
      </x:c>
      <x:c r="L68" s="990" t="str">
        <x:v>10.1007/978-3-031-40177-0_26</x:v>
      </x:c>
      <x:c r="M68" s="988" t="str">
        <x:v>https://link.springer.com/chapter/10.1007/978-3-031-40177-0_26</x:v>
      </x:c>
      <x:c r="N68" s="990" t="str">
        <x:f>IF(LEFT(F68,7)="Dataset","No","Yes")</x:f>
        <x:v>No</x:v>
      </x:c>
      <x:c r="O68" s="990" t="str">
        <x:f>IF(OR(LEFT(G68,2)="No",LEFT(G68,11)="Explanation"),"No","Yes")</x:f>
        <x:v>No</x:v>
      </x:c>
      <x:c r="P68" s="990" t="str">
        <x:f>IF(LEFT(I68,2)="No","No","Yes")</x:f>
        <x:v>No</x:v>
      </x:c>
    </x:row>
    <x:row r="69" ht="88.5" customHeight="1">
      <x:c r="A69" s="990" t="str">
        <x:v>GS-03-005</x:v>
      </x:c>
      <x:c r="B69" s="988" t="str">
        <x:v>Case-Based Reasoning for Elderly Eye Disease Diagnosis Using Manhattan Distance and Dempster-Shafer — MMitusndavani LC Makcdompit -CoglTo Sra = 2026 (2026)</x:v>
      </x:c>
      <x:c r="C69" s="988" t="str">
        <x:v>Contextual medical concept-XAI evidence</x:v>
      </x:c>
      <x:c r="D69" s="988" t="str">
        <x:v>Case-based reasoning / example retrieval (Retrieval)</x:v>
      </x:c>
      <x:c r="E69" s="988" t="str">
        <x:v>Modality not reported in abstract — Ophthalmic disease</x:v>
      </x:c>
      <x:c r="F69" s="988" t="str">
        <x:v>The system covers six elderly eye diseases, namely ocular infection, cataract, glaucoma, presbyopia, dry eye disease, and retinopathy, represented by 22 symptoms and validated clinical cases from Klinik Mata Totabuan.</x:v>
      </x:c>
      <x:c r="G69" s="988" t="str">
        <x:v>No dedicated explanation-quality metric is reported in the abstract; interpretability is supported by the model design and/or qualitative concept, prototype, case, or rule outputs.</x:v>
      </x:c>
      <x:c r="H69" s="988" t="str">
        <x:v>The proposed system achieved an overall accuracy of 93%, with disease-specific performance ranging from 87.5% to 94.4%. These results indicate that the proposed integration can support faster, measurable, and interpretable early diagnosis of elderly eye diseases in resource-limited clinical settings.</x:v>
      </x:c>
      <x:c r="I69" s="988" t="str">
        <x:v>No study-specific limitation is reported in the abstract.</x:v>
      </x:c>
      <x:c r="J69" s="990" t="str">
        <x:v>OpenAlex scholarly record</x:v>
      </x:c>
      <x:c r="K69" s="990" t="str">
        <x:v>Moderate — complete scholarly-record abstract</x:v>
      </x:c>
      <x:c r="L69" s="990" t="str">
        <x:v>10.31154/cogito.v12i1.1050.43-56</x:v>
      </x:c>
      <x:c r="M69" s="988" t="str">
        <x:v>https://cogito.unklab.ac.id/index.php/cogito/article/download/1050/428/4268</x:v>
      </x:c>
      <x:c r="N69" s="990" t="str">
        <x:f>IF(LEFT(F69,7)="Dataset","No","Yes")</x:f>
        <x:v>Yes</x:v>
      </x:c>
      <x:c r="O69" s="990" t="str">
        <x:f>IF(OR(LEFT(G69,2)="No",LEFT(G69,11)="Explanation"),"No","Yes")</x:f>
        <x:v>No</x:v>
      </x:c>
      <x:c r="P69" s="990" t="str">
        <x:f>IF(LEFT(I69,2)="No","No","Yes")</x:f>
        <x:v>No</x:v>
      </x:c>
    </x:row>
    <x:row r="70" ht="88.5" customHeight="1">
      <x:c r="A70" s="990" t="str">
        <x:v>GS-03-010</x:v>
      </x:c>
      <x:c r="B70" s="988" t="str">
        <x:v>Interpretable Mammographic Image Classification using Case-Based Reasoning and Deep Learning — AlBamett FR Schware Cao CChen YRe&gt; -arXiv preprint arXiv, 2021 (2021)</x:v>
      </x:c>
      <x:c r="C70" s="988" t="str">
        <x:v>Contextual medical concept-XAI evidence</x:v>
      </x:c>
      <x:c r="D70" s="988" t="str">
        <x:v>Prototype-based / prototypical learning; Case-based reasoning / example retrieval; Self-explaining / interpretable-by-design model</x:v>
      </x:c>
      <x:c r="E70" s="988" t="str">
        <x:v>Mammography — Breast disease / cancer</x:v>
      </x:c>
      <x:c r="F70" s="988" t="str">
        <x:v>Dataset and sample size not reported in abstract.</x:v>
      </x:c>
      <x:c r="G70" s="988" t="str">
        <x:v>No dedicated explanation-quality metric is reported in the abstract; interpretability is supported by the model design and/or qualitative concept, prototype, case, or rule outputs.</x:v>
      </x:c>
      <x:c r="H70" s="988" t="str">
        <x:v>Inherently interpretable networks address this need by explaining the rationale behind each decision while maintaining equal or higher accuracy compared to black-box models. Compared to other methods, our model detects clinical features (mass margins) with equal or higher accuracy, provides a more detailed explanation of its prediction, and is better able to differentiate the classification-relevant parts of the image.</x:v>
      </x:c>
      <x:c r="I70" s="988" t="str">
        <x:v>No study-specific limitation is reported in the abstract.</x:v>
      </x:c>
      <x:c r="J70" s="990" t="str">
        <x:v>arXiv API record</x:v>
      </x:c>
      <x:c r="K70" s="990" t="str">
        <x:v>Moderate — complete preprint abstract</x:v>
      </x:c>
      <x:c r="L70" s="990" t="str"/>
      <x:c r="M70" s="988" t="str">
        <x:v>https://arxiv.org/abs/2107.05605</x:v>
      </x:c>
      <x:c r="N70" s="990" t="str">
        <x:f>IF(LEFT(F70,7)="Dataset","No","Yes")</x:f>
        <x:v>No</x:v>
      </x:c>
      <x:c r="O70" s="990" t="str">
        <x:f>IF(OR(LEFT(G70,2)="No",LEFT(G70,11)="Explanation"),"No","Yes")</x:f>
        <x:v>No</x:v>
      </x:c>
      <x:c r="P70" s="990" t="str">
        <x:f>IF(LEFT(I70,2)="No","No","Yes")</x:f>
        <x:v>No</x:v>
      </x:c>
    </x:row>
    <x:row r="71" ht="88.5" customHeight="1">
      <x:c r="A71" s="990" t="str">
        <x:v>GS-03-013</x:v>
      </x:c>
      <x:c r="B71" s="988" t="str">
        <x:v>Explainable Prediction of Chronic Renal Disease in the Colombian Population Using Neural Networks and Case-Based Reasoning — GR Vasquez-Morsles SM Marinez-Monterrubio -lsee =. 20:19</x:v>
      </x:c>
      <x:c r="C71" s="988" t="str">
        <x:v>Contextual medical concept-XAI evidence</x:v>
      </x:c>
      <x:c r="D71" s="988" t="str">
        <x:v>Case-based reasoning / example retrieval</x:v>
      </x:c>
      <x:c r="E71" s="988" t="str">
        <x:v>Modality not reported in abstract — Disease/task not reported in abstract</x:v>
      </x:c>
      <x:c r="F71" s="988" t="str">
        <x:v>Dataset and sample size not reported in abstract.</x:v>
      </x:c>
      <x:c r="G71" s="988" t="str">
        <x:v>No dedicated explanation-quality metric is reported in the abstract; interpretability is supported by the model design and/or qualitative concept, prototype, case, or rule outputs.</x:v>
      </x:c>
      <x:c r="H71" s="988" t="str">
        <x:v>Once the model is trained and evaluation metrics for classification algorithms are applied, the model achieves 95% accuracy in the test data set, making its application for disease prognosis feasible.</x:v>
      </x:c>
      <x:c r="I71" s="988" t="str">
        <x:v>No study-specific limitation is reported in the abstract.</x:v>
      </x:c>
      <x:c r="J71" s="990" t="str">
        <x:v>OpenAlex scholarly record</x:v>
      </x:c>
      <x:c r="K71" s="990" t="str">
        <x:v>Moderate — complete scholarly-record abstract</x:v>
      </x:c>
      <x:c r="L71" s="990" t="str">
        <x:v>10.1109/ACCESS.2019.2948430</x:v>
      </x:c>
      <x:c r="M71" s="988" t="str">
        <x:v>https://doi.org/10.1109/ACCESS.2019.2948430</x:v>
      </x:c>
      <x:c r="N71" s="990" t="str">
        <x:f>IF(LEFT(F71,7)="Dataset","No","Yes")</x:f>
        <x:v>No</x:v>
      </x:c>
      <x:c r="O71" s="990" t="str">
        <x:f>IF(OR(LEFT(G71,2)="No",LEFT(G71,11)="Explanation"),"No","Yes")</x:f>
        <x:v>No</x:v>
      </x:c>
      <x:c r="P71" s="990" t="str">
        <x:f>IF(LEFT(I71,2)="No","No","Yes")</x:f>
        <x:v>No</x:v>
      </x:c>
    </x:row>
    <x:row r="72" ht="88.5" customHeight="1">
      <x:c r="A72" s="990" t="str">
        <x:v>GS-03-038</x:v>
      </x:c>
      <x:c r="B72" s="988" t="str">
        <x:v>A Case-Based Reasoning Model Powered by Deep Learning for Radiology Report Recommendation. — EA Deminguez, E Se~ano. O Manriq.e =</x:v>
      </x:c>
      <x:c r="C72" s="988" t="str">
        <x:v>Contextual medical concept-XAI evidence</x:v>
      </x:c>
      <x:c r="D72" s="988" t="str">
        <x:v>Case-based reasoning / example retrieval</x:v>
      </x:c>
      <x:c r="E72" s="988" t="str">
        <x:v>Modality not reported in abstract — Disease/task not reported in abstract</x:v>
      </x:c>
      <x:c r="F72" s="988" t="str">
        <x:v>Dataset and sample size not reported in abstract.</x:v>
      </x:c>
      <x:c r="G72" s="988" t="str">
        <x:v>No dedicated explanation-quality metric is reported in the abstract; interpretability is supported by the model design and/or qualitative concept, prototype, case, or rule outputs.</x:v>
      </x:c>
      <x:c r="H72" s="988" t="str">
        <x:v>Additional tests on the optimization degree of the case base are also performed, evidencing how the proposed framework can optimize this base to achieve optimal performance.</x:v>
      </x:c>
      <x:c r="I72" s="988" t="str">
        <x:v>No study-specific limitation is reported in the abstract.</x:v>
      </x:c>
      <x:c r="J72" s="990" t="str">
        <x:v>OpenAlex scholarly record</x:v>
      </x:c>
      <x:c r="K72" s="990" t="str">
        <x:v>Moderate — complete scholarly-record abstract</x:v>
      </x:c>
      <x:c r="L72" s="990" t="str">
        <x:v>10.9781/ijimai.2021.08.011</x:v>
      </x:c>
      <x:c r="M72" s="988" t="str">
        <x:v>https://www.ijimai.org/index.php/ijimai/article/download/622/737/1115</x:v>
      </x:c>
      <x:c r="N72" s="990" t="str">
        <x:f>IF(LEFT(F72,7)="Dataset","No","Yes")</x:f>
        <x:v>No</x:v>
      </x:c>
      <x:c r="O72" s="990" t="str">
        <x:f>IF(OR(LEFT(G72,2)="No",LEFT(G72,11)="Explanation"),"No","Yes")</x:f>
        <x:v>No</x:v>
      </x:c>
      <x:c r="P72" s="990" t="str">
        <x:f>IF(LEFT(I72,2)="No","No","Yes")</x:f>
        <x:v>No</x:v>
      </x:c>
    </x:row>
    <x:row r="73" ht="88.5" customHeight="1">
      <x:c r="A73" s="990" t="str">
        <x:v>GS-03-078</x:v>
      </x:c>
      <x:c r="B73" s="988" t="str">
        <x:v>Optimized Hybrid Quantum–Classical GAN with Case-based Reasoning Feature Fusion for Multiclass Brain Tumor Classification — RV Krshna. P Snnivas</x:v>
      </x:c>
      <x:c r="C73" s="988" t="str">
        <x:v>Contextual medical concept-XAI evidence</x:v>
      </x:c>
      <x:c r="D73" s="988" t="str">
        <x:v>Case-based reasoning / example retrieval</x:v>
      </x:c>
      <x:c r="E73" s="988" t="str">
        <x:v>MRI — Brain tumour</x:v>
      </x:c>
      <x:c r="F73" s="988" t="str">
        <x:v>The model is proven to be effective as evidenced by experimental analysis of a publicly available MRI dataset, which attains 98.3% recall, 98% precision, 98.5% F-score, and 99.2% classification rate with an error rate of 0.8% which is superior to a number of conventional and deep learning-based models.</x:v>
      </x:c>
      <x:c r="G73" s="988" t="str">
        <x:v>No dedicated explanation-quality metric is reported in the abstract; interpretability is supported by the model design and/or qualitative concept, prototype, case, or rule outputs.</x:v>
      </x:c>
      <x:c r="H73" s="988" t="str">
        <x:v>The model is proven to be effective as evidenced by experimental analysis of a publicly available MRI dataset, which attains 98.3% recall, 98% precision, 98.5% F-score, and 99.2% classification rate with an error rate of 0.8% which is superior to a number of conventional and deep learning-based models.</x:v>
      </x:c>
      <x:c r="I73" s="988" t="str">
        <x:v>No study-specific limitation is reported in the abstract.</x:v>
      </x:c>
      <x:c r="J73" s="990" t="str">
        <x:v>OpenAlex scholarly record</x:v>
      </x:c>
      <x:c r="K73" s="990" t="str">
        <x:v>Moderate — complete scholarly-record abstract</x:v>
      </x:c>
      <x:c r="L73" s="990" t="str">
        <x:v>10.1080/03772063.2026.2660810</x:v>
      </x:c>
      <x:c r="M73" s="988" t="str">
        <x:v>https://www.tandfonline.com/doi/full/10.1080/03772063.2026.2660810</x:v>
      </x:c>
      <x:c r="N73" s="990" t="str">
        <x:f>IF(LEFT(F73,7)="Dataset","No","Yes")</x:f>
        <x:v>Yes</x:v>
      </x:c>
      <x:c r="O73" s="990" t="str">
        <x:f>IF(OR(LEFT(G73,2)="No",LEFT(G73,11)="Explanation"),"No","Yes")</x:f>
        <x:v>No</x:v>
      </x:c>
      <x:c r="P73" s="990" t="str">
        <x:f>IF(LEFT(I73,2)="No","No","Yes")</x:f>
        <x:v>No</x:v>
      </x:c>
    </x:row>
    <x:row r="74" ht="88.5" customHeight="1">
      <x:c r="A74" s="990" t="str">
        <x:v>GS-03-094</x:v>
      </x:c>
      <x:c r="B74" s="988" t="str">
        <x:v>Case-Based Reasoning of a Deep Learning Network for Prediction of Early-Stage Oesophageal Cancer — X Gao B Braden L Zhavg STsyor WRanj (2019)</x:v>
      </x:c>
      <x:c r="C74" s="988" t="str">
        <x:v>Contextual medical concept-XAI evidence</x:v>
      </x:c>
      <x:c r="D74" s="988" t="str">
        <x:v>Case-based reasoning / example retrieval</x:v>
      </x:c>
      <x:c r="E74" s="988" t="str">
        <x:v>Modality not reported in abstract — Disease/task not reported in abstract</x:v>
      </x:c>
      <x:c r="F74" s="988" t="str">
        <x:v>Dataset and sample size not reported in abstract.</x:v>
      </x:c>
      <x:c r="G74" s="988" t="str">
        <x:v>No dedicated explanation-quality metric is reported in the abstract; interpretability is supported by the model design and/or qualitative concept, prototype, case, or rule outputs.</x:v>
      </x:c>
      <x:c r="H74" s="988" t="str">
        <x:v>When training with 2000 samples for the two classes of ‘high grade’ and ‘suspicious’, the testing result delivers an accuracy of 77%, implying the impact of sample sizes. Future work includes collection of large annotated dataset and improving classification accuracy.</x:v>
      </x:c>
      <x:c r="I74" s="988" t="str">
        <x:v>Future work includes collection of large annotated dataset and improving classification accuracy.</x:v>
      </x:c>
      <x:c r="J74" s="990" t="str">
        <x:v>Full-text PDF (abstract section)</x:v>
      </x:c>
      <x:c r="K74" s="990" t="str">
        <x:v>High — complete authoritative abstract</x:v>
      </x:c>
      <x:c r="L74" s="990" t="str"/>
      <x:c r="M74" s="988" t="str">
        <x:v>https://www.bcs-sgai.org/expertupdate/papers/20-1/2019_paper_1.pdf</x:v>
      </x:c>
      <x:c r="N74" s="990" t="str">
        <x:f>IF(LEFT(F74,7)="Dataset","No","Yes")</x:f>
        <x:v>No</x:v>
      </x:c>
      <x:c r="O74" s="990" t="str">
        <x:f>IF(OR(LEFT(G74,2)="No",LEFT(G74,11)="Explanation"),"No","Yes")</x:f>
        <x:v>No</x:v>
      </x:c>
      <x:c r="P74" s="990" t="str">
        <x:f>IF(LEFT(I74,2)="No","No","Yes")</x:f>
        <x:v>Yes</x:v>
      </x:c>
    </x:row>
    <x:row r="75" ht="88.5" customHeight="1">
      <x:c r="A75" s="990" t="str">
        <x:v>GS-03-099</x:v>
      </x:c>
      <x:c r="B75" s="988" t="str">
        <x:v>Knowledge Amplification Using Randomization in Case-Based Reasoning — Case Study: Severity of Mammography Mass — MB Benaiba-Lagrid</x:v>
      </x:c>
      <x:c r="C75" s="988" t="str">
        <x:v>Contextual medical concept-XAI evidence</x:v>
      </x:c>
      <x:c r="D75" s="988" t="str">
        <x:v>Case-based reasoning / example retrieval</x:v>
      </x:c>
      <x:c r="E75" s="988" t="str">
        <x:v>Mammography — Breast disease / cancer</x:v>
      </x:c>
      <x:c r="F75" s="988" t="str">
        <x:v>Dataset and sample size not reported in abstract.</x:v>
      </x:c>
      <x:c r="G75" s="988" t="str">
        <x:v>No dedicated explanation-quality metric is reported in the abstract; interpretability is supported by the model design and/or qualitative concept, prototype, case, or rule outputs.</x:v>
      </x:c>
      <x:c r="H75" s="988" t="str">
        <x:v>Case-based reasoning solves new problems by reusing previous cases, but efficient knowledge-base expansion can generate invalid cases. Experiments predicting mammography-mass severity indicate that the approach can significantly improve the resolution efficiency of case-based reasoning.</x:v>
      </x:c>
      <x:c r="I75" s="988" t="str">
        <x:v>No study-specific limitation is reported in the abstract.</x:v>
      </x:c>
      <x:c r="J75" s="990" t="str">
        <x:v>Publisher PDF abstract</x:v>
      </x:c>
      <x:c r="K75" s="990" t="str">
        <x:v>High — complete authoritative abstract</x:v>
      </x:c>
      <x:c r="L75" s="990" t="str">
        <x:v>10.1109/IRI.2018.00031</x:v>
      </x:c>
      <x:c r="M75" s="988" t="str">
        <x:v>https://doi.org/10.1109/IRI.2018.00031</x:v>
      </x:c>
      <x:c r="N75" s="990" t="str">
        <x:f>IF(LEFT(F75,7)="Dataset","No","Yes")</x:f>
        <x:v>No</x:v>
      </x:c>
      <x:c r="O75" s="990" t="str">
        <x:f>IF(OR(LEFT(G75,2)="No",LEFT(G75,11)="Explanation"),"No","Yes")</x:f>
        <x:v>No</x:v>
      </x:c>
      <x:c r="P75" s="990" t="str">
        <x:f>IF(LEFT(I75,2)="No","No","Yes")</x:f>
        <x:v>No</x:v>
      </x:c>
    </x:row>
    <x:row r="76" ht="88.5" customHeight="1">
      <x:c r="A76" s="990" t="str">
        <x:v>GS-04-003</x:v>
      </x:c>
      <x:c r="B76" s="988" t="str">
        <x:v>Neurosymbolic AI Approach for Dry and Wet AMD Classification Using OCT Images — Atdilsdinowe 4 Biscontin. MAéevie AAccardo = (2025)</x:v>
      </x:c>
      <x:c r="C76" s="988" t="str">
        <x:v>Direct retinal/ophthalmic evidence</x:v>
      </x:c>
      <x:c r="D76" s="988" t="str">
        <x:v>Neuro-symbolic AI (CNN)</x:v>
      </x:c>
      <x:c r="E76" s="988" t="str">
        <x:v>OCT — Age-related macular degeneration</x:v>
      </x:c>
      <x:c r="F76" s="988" t="str">
        <x:v>Dataset and sample size not reported in abstract.</x:v>
      </x:c>
      <x:c r="G76" s="988" t="str">
        <x:v>Explanation evaluation not reported in abstract.</x:v>
      </x:c>
      <x:c r="H76" s="988" t="str">
        <x:v>Accurate classification between dry and wet age-related macular degeneration (AMD) is crucial for determining appropriate treatment strategies and improving patient outcomes.</x:v>
      </x:c>
      <x:c r="I76" s="988" t="str">
        <x:v>No study-specific limitation is reported in the abstract.</x:v>
      </x:c>
      <x:c r="J76" s="990" t="str">
        <x:v>Publisher/Repository HTML metadata</x:v>
      </x:c>
      <x:c r="K76" s="990" t="str">
        <x:v>High — complete authoritative abstract</x:v>
      </x:c>
      <x:c r="L76" s="990" t="str">
        <x:v>10.1007/978-3-031-96538-8_10</x:v>
      </x:c>
      <x:c r="M76" s="988" t="str">
        <x:v>https://link.springer.com/chapter/10.1007/978-3-031-96538-8_10</x:v>
      </x:c>
      <x:c r="N76" s="990" t="str">
        <x:f>IF(LEFT(F76,7)="Dataset","No","Yes")</x:f>
        <x:v>No</x:v>
      </x:c>
      <x:c r="O76" s="990" t="str">
        <x:f>IF(OR(LEFT(G76,2)="No",LEFT(G76,11)="Explanation"),"No","Yes")</x:f>
        <x:v>No</x:v>
      </x:c>
      <x:c r="P76" s="990" t="str">
        <x:f>IF(LEFT(I76,2)="No","No","Yes")</x:f>
        <x:v>No</x:v>
      </x:c>
    </x:row>
    <x:row r="77" ht="88.5" customHeight="1">
      <x:c r="A77" s="990" t="str">
        <x:v>GS-04-006</x:v>
      </x:c>
      <x:c r="B77" s="988" t="str">
        <x:v>KG-DG: Knowledge-Guided Domain Generalization via Neuro-Symbolic Fusion — M Jrsoj ABanetjae S Gupta</x:v>
      </x:c>
      <x:c r="C77" s="988" t="str">
        <x:v>Contextual medical concept-XAI evidence</x:v>
      </x:c>
      <x:c r="D77" s="988" t="str">
        <x:v>Neuro-symbolic AI; Ontology / knowledge-guided explanation (Vision Transformer, Transformer, Segmentation model)</x:v>
      </x:c>
      <x:c r="E77" s="988" t="str">
        <x:v>Modality not reported in abstract — Retinal disease / lesions</x:v>
      </x:c>
      <x:c r="F77" s="988" t="str">
        <x:v>APTOS, EyePACS, Messidor-1, Messidor-2</x:v>
      </x:c>
      <x:c r="G77" s="988" t="str">
        <x:v>No dedicated explanation-quality metric is reported in the abstract; interpretability is supported by the model design and/or qualitative concept, prototype, case, or rule outputs.</x:v>
      </x:c>
      <x:c r="H77" s="988" t="str">
        <x:v>Experiments on APTOS, EyePACS, Messidor-1 and Messidor-2 show up to 5.2% accuracy improvement in cross-domain settings and 6% over baseline vision transformers. Lesion-based symbolic features achieve 84.65% accuracy, supporting their role as clinical regularizers.</x:v>
      </x:c>
      <x:c r="I77" s="988" t="str">
        <x:v>No study-specific limitation is reported in the abstract.</x:v>
      </x:c>
      <x:c r="J77" s="990" t="str">
        <x:v>OpenReview abstract</x:v>
      </x:c>
      <x:c r="K77" s="990" t="str">
        <x:v>Moderate — abstract available</x:v>
      </x:c>
      <x:c r="L77" s="990" t="str"/>
      <x:c r="M77" s="988" t="str">
        <x:v>https://openreview.net/forum?id=xAtYHNe0Ey</x:v>
      </x:c>
      <x:c r="N77" s="990" t="str">
        <x:f>IF(LEFT(F77,7)="Dataset","No","Yes")</x:f>
        <x:v>Yes</x:v>
      </x:c>
      <x:c r="O77" s="990" t="str">
        <x:f>IF(OR(LEFT(G77,2)="No",LEFT(G77,11)="Explanation"),"No","Yes")</x:f>
        <x:v>No</x:v>
      </x:c>
      <x:c r="P77" s="990" t="str">
        <x:f>IF(LEFT(I77,2)="No","No","Yes")</x:f>
        <x:v>No</x:v>
      </x:c>
    </x:row>
    <x:row r="78" ht="88.5" customHeight="1">
      <x:c r="A78" s="990" t="str">
        <x:v>GS-04-023</x:v>
      </x:c>
      <x:c r="B78" s="988" t="str">
        <x:v>DeepInfusion: A Dynamic Infusion-Based Neuro-Symbolic AI Model for Segmentation of Intracranial Aneurysms — | Abduilah. A Javed KM Malik G Malik (2023)</x:v>
      </x:c>
      <x:c r="C78" s="988" t="str">
        <x:v>Contextual medical concept-XAI evidence</x:v>
      </x:c>
      <x:c r="D78" s="988" t="str">
        <x:v>Neuro-symbolic AI (Segmentation model)</x:v>
      </x:c>
      <x:c r="E78" s="988" t="str">
        <x:v>DSA — Intracranial aneurysm</x:v>
      </x:c>
      <x:c r="F78" s="988" t="str">
        <x:v>DRIVE, Kvasir-SEG. It is evaluated on 409 in-house DSA images, achieving 96.76% IoU and 94.15% F1 on unseen images.</x:v>
      </x:c>
      <x:c r="G78" s="988" t="str">
        <x:v>No dedicated explanation-quality metric is reported in the abstract; interpretability is supported by the model design and/or qualitative concept, prototype, case, or rule outputs.</x:v>
      </x:c>
      <x:c r="H78" s="988" t="str">
        <x:v>It is evaluated on 409 in-house DSA images, achieving 96.76% IoU and 94.15% F1 on unseen images. Tests on the public Kvasir-SEG polyp dataset and DRIVE retinal-vessel dataset show improvement over existing methods and indicate cross-task generalizability.</x:v>
      </x:c>
      <x:c r="I78" s="988" t="str">
        <x:v>No study-specific limitation is reported in the abstract.</x:v>
      </x:c>
      <x:c r="J78" s="990" t="str">
        <x:v>Publisher abstract</x:v>
      </x:c>
      <x:c r="K78" s="990" t="str">
        <x:v>High — complete authoritative abstract</x:v>
      </x:c>
      <x:c r="L78" s="990" t="str">
        <x:v>10.1016/j.neucom.2023.126510</x:v>
      </x:c>
      <x:c r="M78" s="988" t="str">
        <x:v>https://doi.org/10.1016/j.neucom.2023.126510</x:v>
      </x:c>
      <x:c r="N78" s="990" t="str">
        <x:f>IF(LEFT(F78,7)="Dataset","No","Yes")</x:f>
        <x:v>Yes</x:v>
      </x:c>
      <x:c r="O78" s="990" t="str">
        <x:f>IF(OR(LEFT(G78,2)="No",LEFT(G78,11)="Explanation"),"No","Yes")</x:f>
        <x:v>No</x:v>
      </x:c>
      <x:c r="P78" s="990" t="str">
        <x:f>IF(LEFT(I78,2)="No","No","Yes")</x:f>
        <x:v>No</x:v>
      </x:c>
    </x:row>
    <x:row r="79" ht="88.5" customHeight="1">
      <x:c r="A79" s="990" t="str">
        <x:v>GS-04-033</x:v>
      </x:c>
      <x:c r="B79" s="988" t="str">
        <x:v>Interpretable hybrid CNN–ViT framework with neuro-symbolic clinical decision support for early cervical cancer diagnosis — HT Halawani EM Seran EMAsen Othman .. (2026)</x:v>
      </x:c>
      <x:c r="C79" s="988" t="str">
        <x:v>Contextual medical concept-XAI evidence</x:v>
      </x:c>
      <x:c r="D79" s="988" t="str">
        <x:v>Neuro-symbolic AI; Ontology / knowledge-guided explanation (Vision Transformer, Transformer, CNN)</x:v>
      </x:c>
      <x:c r="E79" s="988" t="str">
        <x:v>Modality not reported in abstract — Disease/task not reported in abstract</x:v>
      </x:c>
      <x:c r="F79" s="988" t="str">
        <x:v>Experimental results showed that the proposed hybrid model achieved an average AUC of 99.23%, sensitivity of 98.86%, and accuracy of 98.80% on the SIPaKMeD dataset.</x:v>
      </x:c>
      <x:c r="G79" s="988" t="str">
        <x:v>No dedicated explanation-quality metric is reported in the abstract; interpretability is supported by the model design and/or qualitative concept, prototype, case, or rule outputs.</x:v>
      </x:c>
      <x:c r="H79" s="988" t="str">
        <x:v>In addition, an IoU-based Grad-CAM localization framework was introduced to quantify the spatial agreement between activation regions and morphology-guided biomarker reference masks. Experimental results showed that the proposed hybrid model achieved an average AUC of 99.23%, sensitivity of 98.86%, and accuracy of 98.80% on the SIPaKMeD dataset.</x:v>
      </x:c>
      <x:c r="I79" s="988" t="str">
        <x:v>No study-specific limitation is reported in the abstract.</x:v>
      </x:c>
      <x:c r="J79" s="990" t="str">
        <x:v>OpenAlex scholarly record</x:v>
      </x:c>
      <x:c r="K79" s="990" t="str">
        <x:v>Moderate — complete scholarly-record abstract</x:v>
      </x:c>
      <x:c r="L79" s="990" t="str">
        <x:v>10.1038/s41598-026-58334-z</x:v>
      </x:c>
      <x:c r="M79" s="988" t="str">
        <x:v>https://www.nature.com/articles/s41598-026-58334-z.pdf</x:v>
      </x:c>
      <x:c r="N79" s="990" t="str">
        <x:f>IF(LEFT(F79,7)="Dataset","No","Yes")</x:f>
        <x:v>Yes</x:v>
      </x:c>
      <x:c r="O79" s="990" t="str">
        <x:f>IF(OR(LEFT(G79,2)="No",LEFT(G79,11)="Explanation"),"No","Yes")</x:f>
        <x:v>No</x:v>
      </x:c>
      <x:c r="P79" s="990" t="str">
        <x:f>IF(LEFT(I79,2)="No","No","Yes")</x:f>
        <x:v>No</x:v>
      </x:c>
    </x:row>
    <x:row r="80" ht="88.5" customHeight="1">
      <x:c r="A80" s="990" t="str">
        <x:v>GS-04-034</x:v>
      </x:c>
      <x:c r="B80" s="988" t="str">
        <x:v>Trustworthy retinopathy of prematurity diagnosis using explainable vision-language model — HZ Netra RM Ghadban (2026)</x:v>
      </x:c>
      <x:c r="C80" s="988" t="str">
        <x:v>Contextual medical concept-XAI evidence</x:v>
      </x:c>
      <x:c r="D80" s="988" t="str">
        <x:v>Neuro-symbolic AI; Concept-guided vision-language model (Vision Transformer, Transformer)</x:v>
      </x:c>
      <x:c r="E80" s="988" t="str">
        <x:v>Fundus photography — Retinal disease / lesions</x:v>
      </x:c>
      <x:c r="F80" s="988" t="str">
        <x:v>Evaluations on benchmark ROP datasets, paired with semi-structured NICU reports, demonstrate that the multimodal system improves diagnostic AUC by 7-9 % compared to image-only baselines, and delivers dual explanations through Grad-CAM heatmaps and SHAP token-level attributions.</x:v>
      </x:c>
      <x:c r="G80" s="988" t="str">
        <x:v>No dedicated explanation-quality metric is reported in the abstract; interpretability is supported by the model design and/or qualitative concept, prototype, case, or rule outputs.</x:v>
      </x:c>
      <x:c r="H80" s="988" t="str">
        <x:v>Evaluations on benchmark ROP datasets, paired with semi-structured NICU reports, demonstrate that the multimodal system improves diagnostic AUC by 7-9 % compared to image-only baselines, and delivers dual explanations through Grad-CAM heatmaps and SHAP token-level attributions. Structured clinician feedback confirms that the system’s explanations align with expert annotations and improve interpretability and trust.</x:v>
      </x:c>
      <x:c r="I80" s="988" t="str">
        <x:v>No study-specific limitation is reported in the abstract.</x:v>
      </x:c>
      <x:c r="J80" s="990" t="str">
        <x:v>OpenAlex scholarly record</x:v>
      </x:c>
      <x:c r="K80" s="990" t="str">
        <x:v>Moderate — complete scholarly-record abstract</x:v>
      </x:c>
      <x:c r="L80" s="990" t="str">
        <x:v>10.6180/jase.2026.26030006</x:v>
      </x:c>
      <x:c r="M80" s="988" t="str">
        <x:v>https://classic.jase.tku.edu.tw/articles/jase-202607-30-006</x:v>
      </x:c>
      <x:c r="N80" s="990" t="str">
        <x:f>IF(LEFT(F80,7)="Dataset","No","Yes")</x:f>
        <x:v>Yes</x:v>
      </x:c>
      <x:c r="O80" s="990" t="str">
        <x:f>IF(OR(LEFT(G80,2)="No",LEFT(G80,11)="Explanation"),"No","Yes")</x:f>
        <x:v>No</x:v>
      </x:c>
      <x:c r="P80" s="990" t="str">
        <x:f>IF(LEFT(I80,2)="No","No","Yes")</x:f>
        <x:v>No</x:v>
      </x:c>
    </x:row>
    <x:row r="81" ht="88.5" customHeight="1">
      <x:c r="A81" s="990" t="str">
        <x:v>GS-04-099</x:v>
      </x:c>
      <x:c r="B81" s="988" t="str">
        <x:v>MedXAI: A Retrieval-Augmented and Self-Verifying Framework for Knowledge-Guided Medical Image Analysis — MJrsoj ABanerjae F Shaikh 9 (2025)</x:v>
      </x:c>
      <x:c r="C81" s="988" t="str">
        <x:v>Contextual medical concept-XAI evidence</x:v>
      </x:c>
      <x:c r="D81" s="988" t="str">
        <x:v>Concept-XAI method not specified in abstract (Retrieval)</x:v>
      </x:c>
      <x:c r="E81" s="988" t="str">
        <x:v>Modality not reported in abstract — Diabetic retinopathy; Retinal disease / lesions</x:v>
      </x:c>
      <x:c r="F81" s="988" t="str">
        <x:v>Ex periments on ten multicenter datasets show consistent gains, including a 3% improvement in cross-domain generalization and a 10% improvmnet in F1 score of rare class, substantially outperforming strong deep learning baselines.</x:v>
      </x:c>
      <x:c r="G81" s="988" t="str">
        <x:v>Ablations confirm that the symbolic components act as effective clinical priors and regularizers, improving robustness under distribution shift.</x:v>
      </x:c>
      <x:c r="H81" s="988" t="str">
        <x:v>Ablations confirm that the symbolic components act as effective clinical priors and regularizers, improving robustness under distribution shift. MedXAI delivers clinically aligned explanations while achieving superior in-domain and cross-domain performance, particularly for rare diseases in multimodal medical AI.</x:v>
      </x:c>
      <x:c r="I81" s="988" t="str">
        <x:v>No study-specific limitation is reported in the abstract.</x:v>
      </x:c>
      <x:c r="J81" s="990" t="str">
        <x:v>arXiv API record</x:v>
      </x:c>
      <x:c r="K81" s="990" t="str">
        <x:v>Moderate — complete preprint abstract</x:v>
      </x:c>
      <x:c r="L81" s="990" t="str"/>
      <x:c r="M81" s="988" t="str">
        <x:v>https://arxiv.org/abs/2512.10098</x:v>
      </x:c>
      <x:c r="N81" s="990" t="str">
        <x:f>IF(LEFT(F81,7)="Dataset","No","Yes")</x:f>
        <x:v>Yes</x:v>
      </x:c>
      <x:c r="O81" s="990" t="str">
        <x:f>IF(OR(LEFT(G81,2)="No",LEFT(G81,11)="Explanation"),"No","Yes")</x:f>
        <x:v>Yes</x:v>
      </x:c>
      <x:c r="P81" s="990" t="str">
        <x:f>IF(LEFT(I81,2)="No","No","Yes")</x:f>
        <x:v>No</x:v>
      </x:c>
    </x:row>
    <x:row r="82" ht="88.5" customHeight="1">
      <x:c r="A82" s="990" t="str">
        <x:v>GS-05-093</x:v>
      </x:c>
      <x:c r="B82" s="988" t="str">
        <x:v>Diagnose Like a Radiologist: Hybrid Neuro-Probabilistic Reasoning for Attribute-Based Medical Image Diagnosis — G Zhao, DFang C Chen Z2hou = (2021)</x:v>
      </x:c>
      <x:c r="C82" s="988" t="str">
        <x:v>Contextual medical concept-XAI evidence</x:v>
      </x:c>
      <x:c r="D82" s="988" t="str">
        <x:v>Concept-XAI method not specified in abstract (CNN)</x:v>
      </x:c>
      <x:c r="E82" s="988" t="str">
        <x:v>CT; X-ray — Disease/task not reported in abstract</x:v>
      </x:c>
      <x:c r="F82" s="988" t="str">
        <x:v>LIDC-IDRI. On the LIDC-IDRI benchmark dataset for benign-malignant classification of pulmonary nodules in CT images, our method achieves a new state-of-the-art accuracy of 95.36% and an AUC of 96.54%.</x:v>
      </x:c>
      <x:c r="G82" s="988" t="str">
        <x:v>Our ablation study indicates that our hybrid algorithm achieves a much better generalization performance than a pure neural network architecture under very limited training data.</x:v>
      </x:c>
      <x:c r="H82" s="988" t="str">
        <x:v>Our method also achieves a 3.24% accuracy improvement on an in-house chest X-ray image dataset for tuberculosis diagnosis. Our ablation study indicates that our hybrid algorithm achieves a much better generalization performance than a pure neural network architecture under very limited training data.</x:v>
      </x:c>
      <x:c r="I82" s="988" t="str">
        <x:v>No study-specific limitation is reported in the abstract.</x:v>
      </x:c>
      <x:c r="J82" s="990" t="str">
        <x:v>OpenAlex scholarly record</x:v>
      </x:c>
      <x:c r="K82" s="990" t="str">
        <x:v>Moderate — complete scholarly-record abstract</x:v>
      </x:c>
      <x:c r="L82" s="990" t="str">
        <x:v>10.1109/TPAMI.2021.3130759</x:v>
      </x:c>
      <x:c r="M82" s="988" t="str">
        <x:v>https://arxiv.org/pdf/2208.09282</x:v>
      </x:c>
      <x:c r="N82" s="990" t="str">
        <x:f>IF(LEFT(F82,7)="Dataset","No","Yes")</x:f>
        <x:v>Yes</x:v>
      </x:c>
      <x:c r="O82" s="990" t="str">
        <x:f>IF(OR(LEFT(G82,2)="No",LEFT(G82,11)="Explanation"),"No","Yes")</x:f>
        <x:v>Yes</x:v>
      </x:c>
      <x:c r="P82" s="990" t="str">
        <x:f>IF(LEFT(I82,2)="No","No","Yes")</x:f>
        <x:v>No</x:v>
      </x:c>
    </x:row>
    <x:row r="83" ht="88.5" customHeight="1">
      <x:c r="A83" s="990" t="str">
        <x:v>GS-06-002</x:v>
      </x:c>
      <x:c r="B83" s="988" t="str">
        <x:v>Interpretability Beyond Feature Attribution: Quantitative Testing with Concept Activation Vectors (TCAV) — Bim. M\Watlenbsrg J Silme: C Cai (2018)</x:v>
      </x:c>
      <x:c r="C83" s="988" t="str">
        <x:v>Contextual medical concept-XAI evidence</x:v>
      </x:c>
      <x:c r="D83" s="988" t="str">
        <x:v>Concept activation vectors / TCAV</x:v>
      </x:c>
      <x:c r="E83" s="988" t="str">
        <x:v>Modality not reported in abstract — Disease/task not reported in abstract</x:v>
      </x:c>
      <x:c r="F83" s="988" t="str">
        <x:v>Dataset and sample size not reported in abstract.</x:v>
      </x:c>
      <x:c r="G83" s="988" t="str">
        <x:v>No dedicated explanation-quality metric is reported in the abstract; interpretability is supported by the model design and/or qualitative concept, prototype, case, or rule outputs.</x:v>
      </x:c>
      <x:c r="H83" s="988" t="str">
        <x:v>No quantitative result is reported in the abstract.</x:v>
      </x:c>
      <x:c r="I83" s="988" t="str">
        <x:v>No study-specific limitation is reported in the abstract.</x:v>
      </x:c>
      <x:c r="J83" s="990" t="str">
        <x:v>arXiv API record</x:v>
      </x:c>
      <x:c r="K83" s="990" t="str">
        <x:v>Moderate — complete preprint abstract</x:v>
      </x:c>
      <x:c r="L83" s="990" t="str"/>
      <x:c r="M83" s="988" t="str">
        <x:v>https://arxiv.org/abs/1711.11279</x:v>
      </x:c>
      <x:c r="N83" s="990" t="str">
        <x:f>IF(LEFT(F83,7)="Dataset","No","Yes")</x:f>
        <x:v>No</x:v>
      </x:c>
      <x:c r="O83" s="990" t="str">
        <x:f>IF(OR(LEFT(G83,2)="No",LEFT(G83,11)="Explanation"),"No","Yes")</x:f>
        <x:v>No</x:v>
      </x:c>
      <x:c r="P83" s="990" t="str">
        <x:f>IF(LEFT(I83,2)="No","No","Yes")</x:f>
        <x:v>No</x:v>
      </x:c>
    </x:row>
    <x:row r="84" ht="88.5" customHeight="1">
      <x:c r="A84" s="990" t="str">
        <x:v>GS-06-003</x:v>
      </x:c>
      <x:c r="B84" s="988" t="str">
        <x:v>AI based Deep Radiomics for Quantification of Macular Edema: A Continuous, Non-categorical, Numerical Score for Personalized Medicine — APurl, R Krueger (2024)</x:v>
      </x:c>
      <x:c r="C84" s="988" t="str">
        <x:v>Direct retinal/ophthalmic evidence</x:v>
      </x:c>
      <x:c r="D84" s="988" t="str">
        <x:v>Concept-XAI method not specified in abstract (CNN)</x:v>
      </x:c>
      <x:c r="E84" s="988" t="str">
        <x:v>OCT — Disease/task not reported in abstract</x:v>
      </x:c>
      <x:c r="F84" s="988" t="str">
        <x:v>It captured complex nonlinear relationships from edema features in an image, that correlated well with the disease severity, response to treatment, the prognostically significant internal pattern of edema, and its invisible spread into the surrounding regions.</x:v>
      </x:c>
      <x:c r="G84" s="988" t="str">
        <x:v>No dedicated explanation-quality metric is reported in the abstract; interpretability is supported by the model design and/or qualitative concept, prototype, case, or rule outputs.</x:v>
      </x:c>
      <x:c r="H84" s="988" t="str">
        <x:v>No quantitative result is reported in the abstract.</x:v>
      </x:c>
      <x:c r="I84" s="988" t="str">
        <x:v>No study-specific limitation is reported in the abstract.</x:v>
      </x:c>
      <x:c r="J84" s="990" t="str">
        <x:v>Crossref publisher metadata</x:v>
      </x:c>
      <x:c r="K84" s="990" t="str">
        <x:v>High — complete authoritative abstract</x:v>
      </x:c>
      <x:c r="L84" s="990" t="str">
        <x:v>10.21203/rs.3.rs-4854925/v1</x:v>
      </x:c>
      <x:c r="M84" s="988" t="str">
        <x:v>https://doi.org/10.21203/rs.3.rs-4854925/v1</x:v>
      </x:c>
      <x:c r="N84" s="990" t="str">
        <x:f>IF(LEFT(F84,7)="Dataset","No","Yes")</x:f>
        <x:v>Yes</x:v>
      </x:c>
      <x:c r="O84" s="990" t="str">
        <x:f>IF(OR(LEFT(G84,2)="No",LEFT(G84,11)="Explanation"),"No","Yes")</x:f>
        <x:v>No</x:v>
      </x:c>
      <x:c r="P84" s="990" t="str">
        <x:f>IF(LEFT(I84,2)="No","No","Yes")</x:f>
        <x:v>No</x:v>
      </x:c>
    </x:row>
    <x:row r="85" ht="88.5" customHeight="1">
      <x:c r="A85" s="990" t="str">
        <x:v>GS-06-014</x:v>
      </x:c>
      <x:c r="B85" s="988" t="str">
        <x:v>Developing Explainable Machine Learning Model using Augmented Concept Activation Vector — R Hassanpcur K Ozlaprak MN Netlen, TBusker = (2024)</x:v>
      </x:c>
      <x:c r="C85" s="988" t="str">
        <x:v>Contextual medical concept-XAI evidence</x:v>
      </x:c>
      <x:c r="D85" s="988" t="str">
        <x:v>Concept activation vectors / TCAV</x:v>
      </x:c>
      <x:c r="E85" s="988" t="str">
        <x:v>Fundus photography — Disease/task not reported in abstract</x:v>
      </x:c>
      <x:c r="F85" s="988" t="str">
        <x:v>Dataset and sample size not reported in abstract.</x:v>
      </x:c>
      <x:c r="G85" s="988" t="str">
        <x:v>No dedicated explanation-quality metric is reported in the abstract; interpretability is supported by the model design and/or qualitative concept, prototype, case, or rule outputs.</x:v>
      </x:c>
      <x:c r="H85" s="988" t="str">
        <x:v>No quantitative result is reported in the abstract.</x:v>
      </x:c>
      <x:c r="I85" s="988" t="str">
        <x:v>No study-specific limitation is reported in the abstract.</x:v>
      </x:c>
      <x:c r="J85" s="990" t="str">
        <x:v>OpenAlex scholarly record</x:v>
      </x:c>
      <x:c r="K85" s="990" t="str">
        <x:v>Moderate — complete scholarly-record abstract</x:v>
      </x:c>
      <x:c r="L85" s="990" t="str">
        <x:v>10.7494/csci.2025.26.3.6563</x:v>
      </x:c>
      <x:c r="M85" s="988" t="str">
        <x:v>https://arxiv.org/pdf/2412.19208</x:v>
      </x:c>
      <x:c r="N85" s="990" t="str">
        <x:f>IF(LEFT(F85,7)="Dataset","No","Yes")</x:f>
        <x:v>No</x:v>
      </x:c>
      <x:c r="O85" s="990" t="str">
        <x:f>IF(OR(LEFT(G85,2)="No",LEFT(G85,11)="Explanation"),"No","Yes")</x:f>
        <x:v>No</x:v>
      </x:c>
      <x:c r="P85" s="990" t="str">
        <x:f>IF(LEFT(I85,2)="No","No","Yes")</x:f>
        <x:v>No</x:v>
      </x:c>
    </x:row>
    <x:row r="86" ht="88.5" customHeight="1">
      <x:c r="A86" s="990" t="str">
        <x:v>GS-06-015</x:v>
      </x:c>
      <x:c r="B86" s="988" t="str">
        <x:v>ExAID: A Multimodal Explanation Framework for Computer-Aided Diagnosis of Skin Lesions — Aluceri WIN Bapyva SABraun MI Malik -Compuler Mathads and | 2022. Elsev-er (2022)</x:v>
      </x:c>
      <x:c r="C86" s="988" t="str">
        <x:v>Contextual medical concept-XAI evidence</x:v>
      </x:c>
      <x:c r="D86" s="988" t="str">
        <x:v>Concept activation vectors / TCAV; Other concept-based model</x:v>
      </x:c>
      <x:c r="E86" s="988" t="str">
        <x:v>Dermoscopy / skin imaging — Skin lesions / melanoma</x:v>
      </x:c>
      <x:c r="F86" s="988" t="str">
        <x:v>Dataset and sample size not reported in abstract.</x:v>
      </x:c>
      <x:c r="G86" s="988" t="str">
        <x:v>No dedicated explanation-quality metric is reported in the abstract; interpretability is supported by the model design and/or qualitative concept, prototype, case, or rule outputs.</x:v>
      </x:c>
      <x:c r="H86" s="988" t="str">
        <x:v>No quantitative result is reported in the abstract.</x:v>
      </x:c>
      <x:c r="I86" s="988" t="str">
        <x:v>No study-specific limitation is reported in the abstract.</x:v>
      </x:c>
      <x:c r="J86" s="990" t="str">
        <x:v>arXiv API record</x:v>
      </x:c>
      <x:c r="K86" s="990" t="str">
        <x:v>Moderate — complete preprint abstract</x:v>
      </x:c>
      <x:c r="L86" s="990" t="str">
        <x:v>10.1016/j.cmpb.2022.106620</x:v>
      </x:c>
      <x:c r="M86" s="988" t="str">
        <x:v>https://arxiv.org/abs/2201.01249</x:v>
      </x:c>
      <x:c r="N86" s="990" t="str">
        <x:f>IF(LEFT(F86,7)="Dataset","No","Yes")</x:f>
        <x:v>No</x:v>
      </x:c>
      <x:c r="O86" s="990" t="str">
        <x:f>IF(OR(LEFT(G86,2)="No",LEFT(G86,11)="Explanation"),"No","Yes")</x:f>
        <x:v>No</x:v>
      </x:c>
      <x:c r="P86" s="990" t="str">
        <x:f>IF(LEFT(I86,2)="No","No","Yes")</x:f>
        <x:v>No</x:v>
      </x:c>
    </x:row>
    <x:row r="87" ht="88.5" customHeight="1">
      <x:c r="A87" s="990" t="str">
        <x:v>GS-06-017</x:v>
      </x:c>
      <x:c r="B87" s="988" t="str">
        <x:v>Robust and Interpretable Chest X-ray Classification via Diffusion Purification and Concept-Based Adversarial Detection — AK Alj (2025)</x:v>
      </x:c>
      <x:c r="C87" s="988" t="str">
        <x:v>Contextual medical concept-XAI evidence</x:v>
      </x:c>
      <x:c r="D87" s="988" t="str">
        <x:v>Other concept-based model (Retrieval)</x:v>
      </x:c>
      <x:c r="E87" s="988" t="str">
        <x:v>X-ray — Disease/task not reported in abstract</x:v>
      </x:c>
      <x:c r="F87" s="988" t="str">
        <x:v>Furthermore, a Random Forest model classifies the features obtained from the ResNet18 model into harmful and non-harmful image.</x:v>
      </x:c>
      <x:c r="G87" s="988" t="str">
        <x:v>Explanation evaluation not reported in abstract.</x:v>
      </x:c>
      <x:c r="H87" s="988" t="str">
        <x:v>The experimental results show that the proposed framework can detect more than 99% of adversarial samples.</x:v>
      </x:c>
      <x:c r="I87" s="988" t="str">
        <x:v>No study-specific limitation is reported in the abstract.</x:v>
      </x:c>
      <x:c r="J87" s="990" t="str">
        <x:v>OpenAlex scholarly record</x:v>
      </x:c>
      <x:c r="K87" s="990" t="str">
        <x:v>Moderate — complete scholarly-record abstract</x:v>
      </x:c>
      <x:c r="L87" s="990" t="str">
        <x:v>10.56714/bjrs.51.2.19</x:v>
      </x:c>
      <x:c r="M87" s="988" t="str">
        <x:v>https://jou.jobrs.edu.iq/index.php/home/article/view/375/147</x:v>
      </x:c>
      <x:c r="N87" s="990" t="str">
        <x:f>IF(LEFT(F87,7)="Dataset","No","Yes")</x:f>
        <x:v>Yes</x:v>
      </x:c>
      <x:c r="O87" s="990" t="str">
        <x:f>IF(OR(LEFT(G87,2)="No",LEFT(G87,11)="Explanation"),"No","Yes")</x:f>
        <x:v>No</x:v>
      </x:c>
      <x:c r="P87" s="990" t="str">
        <x:f>IF(LEFT(I87,2)="No","No","Yes")</x:f>
        <x:v>No</x:v>
      </x:c>
    </x:row>
    <x:row r="88" ht="88.5" customHeight="1">
      <x:c r="A88" s="990" t="str">
        <x:v>GS-06-026</x:v>
      </x:c>
      <x:c r="B88" s="988" t="str">
        <x:v>Robust, Interpretable, and Portable Deep Learning Systems for Detection of Ophthalmic Diseases — K4é Thakoor</x:v>
      </x:c>
      <x:c r="C88" s="988" t="str">
        <x:v>Direct retinal/ophthalmic evidence</x:v>
      </x:c>
      <x:c r="D88" s="988" t="str">
        <x:v>Concept-XAI method not specified in abstract</x:v>
      </x:c>
      <x:c r="E88" s="988" t="str">
        <x:v>OCT — Ophthalmic disease</x:v>
      </x:c>
      <x:c r="F88" s="988" t="str">
        <x:v>Dataset and sample size not reported in abstract.</x:v>
      </x:c>
      <x:c r="G88" s="988" t="str">
        <x:v>No dedicated explanation-quality metric is reported in the abstract; interpretability is supported by the model design and/or qualitative concept, prototype, case, or rule outputs.</x:v>
      </x:c>
      <x:c r="H88" s="988" t="str">
        <x:v>The indexed abstract summary focuses on robust, interpretable and portable deep-learning systems for detecting ophthalmic diseases, particularly glaucoma and age-related macular degeneration, using ophthalmic imaging including optical coherence tomography.</x:v>
      </x:c>
      <x:c r="I88" s="988" t="str">
        <x:v>No study-specific limitation is reported in the abstract.</x:v>
      </x:c>
      <x:c r="J88" s="990" t="str">
        <x:v>Search-indexed dissertation abstract summary</x:v>
      </x:c>
      <x:c r="K88" s="990" t="str">
        <x:v>Low — indexed summary only</x:v>
      </x:c>
      <x:c r="L88" s="990" t="str">
        <x:v>10.7916/7gz3-xy09</x:v>
      </x:c>
      <x:c r="M88" s="988" t="str">
        <x:v>https://academiccommons.columbia.edu/doi/10.7916/7gz3-xy09/download</x:v>
      </x:c>
      <x:c r="N88" s="990" t="str">
        <x:f>IF(LEFT(F88,7)="Dataset","No","Yes")</x:f>
        <x:v>No</x:v>
      </x:c>
      <x:c r="O88" s="990" t="str">
        <x:f>IF(OR(LEFT(G88,2)="No",LEFT(G88,11)="Explanation"),"No","Yes")</x:f>
        <x:v>No</x:v>
      </x:c>
      <x:c r="P88" s="990" t="str">
        <x:f>IF(LEFT(I88,2)="No","No","Yes")</x:f>
        <x:v>No</x:v>
      </x:c>
    </x:row>
    <x:row r="89" ht="88.5" customHeight="1">
      <x:c r="A89" s="990" t="str">
        <x:v>GS-08-005</x:v>
      </x:c>
      <x:c r="B89" s="988" t="str">
        <x:v>Translating theory into practice: assessing the privacy implications of concept-based explanations for biomedical AI — Aluceri ADe-ge. S Ahmed (2023)</x:v>
      </x:c>
      <x:c r="C89" s="988" t="str">
        <x:v>Contextual medical concept-XAI evidence</x:v>
      </x:c>
      <x:c r="D89" s="988" t="str">
        <x:v>Other concept-based model</x:v>
      </x:c>
      <x:c r="E89" s="988" t="str">
        <x:v>Modality not reported in abstract — Disease/task not reported in abstract</x:v>
      </x:c>
      <x:c r="F89" s="988" t="str">
        <x:v>EyePACS, ISIC. An extensive privacy benchmark is conducted on three different state-of-the-art model architectures (ResNet50, NFNet, ConvNeXt) trained on two biomedical (ISIC and EyePACS) and one synthetic dataset (SCDB).</x:v>
      </x:c>
      <x:c r="G89" s="988" t="str">
        <x:v>No dedicated explanation-quality metric is reported in the abstract; interpretability is supported by the model design and/or qualitative concept, prototype, case, or rule outputs.</x:v>
      </x:c>
      <x:c r="H89" s="988" t="str">
        <x:v>Artificial Intelligence (AI) has achieved remarkable success in image generation, image analysis, and language modeling, making data-driven techniques increasingly relevant in practical real-world applications, promising enhanced creativity and efficiency for human users. An extensive privacy benchmark is conducted on three different state-of-the-art model architectures (ResNet50, NFNet, ConvNeXt) trained on two biomedical (ISIC and EyePACS) and one synthetic dataset (SCDB).</x:v>
      </x:c>
      <x:c r="I89" s="988" t="str">
        <x:v>No study-specific limitation is reported in the abstract.</x:v>
      </x:c>
      <x:c r="J89" s="990" t="str">
        <x:v>OpenAlex scholarly record</x:v>
      </x:c>
      <x:c r="K89" s="990" t="str">
        <x:v>Moderate — complete scholarly-record abstract</x:v>
      </x:c>
      <x:c r="L89" s="990" t="str">
        <x:v>10.3389/fbinf.2023.1194993</x:v>
      </x:c>
      <x:c r="M89" s="988" t="str">
        <x:v>https://www.frontiersin.org/journals/bioinformatics/articles/10.3389/fbinf.2023.1194993/full</x:v>
      </x:c>
      <x:c r="N89" s="990" t="str">
        <x:f>IF(LEFT(F89,7)="Dataset","No","Yes")</x:f>
        <x:v>Yes</x:v>
      </x:c>
      <x:c r="O89" s="990" t="str">
        <x:f>IF(OR(LEFT(G89,2)="No",LEFT(G89,11)="Explanation"),"No","Yes")</x:f>
        <x:v>No</x:v>
      </x:c>
      <x:c r="P89" s="990" t="str">
        <x:f>IF(LEFT(I89,2)="No","No","Yes")</x:f>
        <x:v>No</x:v>
      </x:c>
    </x:row>
    <x:row r="90" ht="88.5" customHeight="1">
      <x:c r="A90" s="990" t="str">
        <x:v>GS-08-010</x:v>
      </x:c>
      <x:c r="B90" s="988" t="str">
        <x:v>Towards Automatic Concept-based Explanations — AGhorbani JiYexier JY Zou -Advances nveural 2019 (2019)</x:v>
      </x:c>
      <x:c r="C90" s="988" t="str">
        <x:v>Contextual medical concept-XAI evidence</x:v>
      </x:c>
      <x:c r="D90" s="988" t="str">
        <x:v>Other concept-based model</x:v>
      </x:c>
      <x:c r="E90" s="988" t="str">
        <x:v>Modality not reported in abstract — Disease/task not reported in abstract</x:v>
      </x:c>
      <x:c r="F90" s="988" t="str">
        <x:v>Dataset and sample size not reported in abstract.</x:v>
      </x:c>
      <x:c r="G90" s="988" t="str">
        <x:v>No dedicated explanation-quality metric is reported in the abstract; interpretability is supported by the model design and/or qualitative concept, prototype, case, or rule outputs.</x:v>
      </x:c>
      <x:c r="H90" s="988" t="str">
        <x:v>No quantitative result is reported in the abstract.</x:v>
      </x:c>
      <x:c r="I90" s="988" t="str">
        <x:v>No study-specific limitation is reported in the abstract.</x:v>
      </x:c>
      <x:c r="J90" s="990" t="str">
        <x:v>OpenAlex scholarly record</x:v>
      </x:c>
      <x:c r="K90" s="990" t="str">
        <x:v>Moderate — complete scholarly-record abstract</x:v>
      </x:c>
      <x:c r="L90" s="990" t="str">
        <x:v>10.48550/arxiv.1902.03129</x:v>
      </x:c>
      <x:c r="M90" s="988" t="str">
        <x:v>https://proceedings.neurips.cc/paper_files/paper/9126-towards-automatic-concept-based-explanations.pdf</x:v>
      </x:c>
      <x:c r="N90" s="990" t="str">
        <x:f>IF(LEFT(F90,7)="Dataset","No","Yes")</x:f>
        <x:v>No</x:v>
      </x:c>
      <x:c r="O90" s="990" t="str">
        <x:f>IF(OR(LEFT(G90,2)="No",LEFT(G90,11)="Explanation"),"No","Yes")</x:f>
        <x:v>No</x:v>
      </x:c>
      <x:c r="P90" s="990" t="str">
        <x:f>IF(LEFT(I90,2)="No","No","Yes")</x:f>
        <x:v>No</x:v>
      </x:c>
    </x:row>
    <x:row r="91" ht="88.5" customHeight="1">
      <x:c r="A91" s="990" t="str">
        <x:v>GS-08-016</x:v>
      </x:c>
      <x:c r="B91" s="988" t="str">
        <x:v>Concept-based Explanation for Fine-grained Images and Its Application in Infectious Keratitis Classification — 2Fang. « Kuang ¥ Ln F Wu YF Yas (2020)</x:v>
      </x:c>
      <x:c r="C91" s="988" t="str">
        <x:v>Contextual medical concept-XAI evidence</x:v>
      </x:c>
      <x:c r="D91" s="988" t="str">
        <x:v>Other concept-based model</x:v>
      </x:c>
      <x:c r="E91" s="988" t="str">
        <x:v>Modality not reported in abstract — Disease/task not reported in abstract</x:v>
      </x:c>
      <x:c r="F91" s="988" t="str">
        <x:v>Dataset and sample size not reported in abstract.</x:v>
      </x:c>
      <x:c r="G91" s="988" t="str">
        <x:v>No dedicated explanation-quality metric is reported in the abstract; interpretability is supported by the model design and/or qualitative concept, prototype, case, or rule outputs.</x:v>
      </x:c>
      <x:c r="H91" s="988" t="str">
        <x:v>Based on our discovered explainable visual concepts, we further propose a visual concept enhanced framework for infectious keratitis classification. Extensive empirical experiments demonstrate that (i) our discovered visual concepts are highly coherent with the physicians? understanding and interpretation, and (ii) our visual concept enhanced model achieves significant improvement on the performance of infectious keratitis classification.</x:v>
      </x:c>
      <x:c r="I91" s="988" t="str">
        <x:v>No study-specific limitation is reported in the abstract.</x:v>
      </x:c>
      <x:c r="J91" s="990" t="str">
        <x:v>OpenAlex scholarly record</x:v>
      </x:c>
      <x:c r="K91" s="990" t="str">
        <x:v>Moderate — complete scholarly-record abstract</x:v>
      </x:c>
      <x:c r="L91" s="990" t="str">
        <x:v>10.1145/3394171.3413557</x:v>
      </x:c>
      <x:c r="M91" s="988" t="str">
        <x:v>https://kunkuang.github.io/papers/MM20-concept.pdf</x:v>
      </x:c>
      <x:c r="N91" s="990" t="str">
        <x:f>IF(LEFT(F91,7)="Dataset","No","Yes")</x:f>
        <x:v>No</x:v>
      </x:c>
      <x:c r="O91" s="990" t="str">
        <x:f>IF(OR(LEFT(G91,2)="No",LEFT(G91,11)="Explanation"),"No","Yes")</x:f>
        <x:v>No</x:v>
      </x:c>
      <x:c r="P91" s="990" t="str">
        <x:f>IF(LEFT(I91,2)="No","No","Yes")</x:f>
        <x:v>No</x:v>
      </x:c>
    </x:row>
    <x:row r="92" ht="88.5" customHeight="1">
      <x:c r="A92" s="990" t="str">
        <x:v>ARXIV-01-001</x:v>
      </x:c>
      <x:c r="B92" s="988" t="str">
        <x:v>Looking into Concept Explanation Methods for Diabetic Retinopathy Classification (2024)</x:v>
      </x:c>
      <x:c r="C92" s="988" t="str">
        <x:v>Direct retinal/ophthalmic evidence</x:v>
      </x:c>
      <x:c r="D92" s="988" t="str">
        <x:v>Concept bottleneck model; Concept activation vectors / TCAV; Other concept-based model</x:v>
      </x:c>
      <x:c r="E92" s="988" t="str">
        <x:v>Fundus photography — Diabetic retinopathy; Retinal disease / lesions</x:v>
      </x:c>
      <x:c r="F92" s="988" t="str">
        <x:v>Dataset and sample size not reported in abstract.</x:v>
      </x:c>
      <x:c r="G92" s="988" t="str">
        <x:v>No dedicated explanation-quality metric is reported in the abstract; interpretability is supported by the model design and/or qualitative concept, prototype, case, or rule outputs.</x:v>
      </x:c>
      <x:c r="H92" s="988" t="str">
        <x:v>No quantitative result is reported in the abstract.</x:v>
      </x:c>
      <x:c r="I92" s="988" t="str">
        <x:v>No study-specific limitation is reported in the abstract.</x:v>
      </x:c>
      <x:c r="J92" s="990" t="str">
        <x:v>OpenAlex scholarly record</x:v>
      </x:c>
      <x:c r="K92" s="990" t="str">
        <x:v>Moderate — complete scholarly-record abstract</x:v>
      </x:c>
      <x:c r="L92" s="990" t="str">
        <x:v>10.59275/j.melba.2024-e7fd</x:v>
      </x:c>
      <x:c r="M92" s="988" t="str">
        <x:v>https://arxiv.org/pdf/2410.03188</x:v>
      </x:c>
      <x:c r="N92" s="990" t="str">
        <x:f>IF(LEFT(F92,7)="Dataset","No","Yes")</x:f>
        <x:v>No</x:v>
      </x:c>
      <x:c r="O92" s="990" t="str">
        <x:f>IF(OR(LEFT(G92,2)="No",LEFT(G92,11)="Explanation"),"No","Yes")</x:f>
        <x:v>No</x:v>
      </x:c>
      <x:c r="P92" s="990" t="str">
        <x:f>IF(LEFT(I92,2)="No","No","Yes")</x:f>
        <x:v>No</x:v>
      </x:c>
    </x:row>
    <x:row r="93" ht="88.5" customHeight="1">
      <x:c r="A93" s="990" t="str">
        <x:v>ARXIV-02-006</x:v>
      </x:c>
      <x:c r="B93" s="988" t="str">
        <x:v>Prototype-Guided and Lightweight Adapters for Inherent Interpretation and Generalisation in Federated Learning — Samuel Ofosu mensah, Kerol Djoumessi Philgp Berens Abstract fextorsted learning 1) provides a promicing paradigm fhe colluber ately traning machine... © ave ‘astemseenl iy, 2 eeggety mercury 2S Caenomante: pages 4 Npseee, materoed'ne MKCAL ALP and ten ders nee 7. e0hte2906. 10609 (pel ps, other GB at PIPVIT: Patch-based Visual Interpretable Prototypes for Retinal Image Analysis</x:v>
      </x:c>
      <x:c r="C93" s="988" t="str">
        <x:v>Contextual medical concept-XAI evidence</x:v>
      </x:c>
      <x:c r="D93" s="988" t="str">
        <x:v>Prototype-based / prototypical learning; Self-explaining / interpretable-by-design model (Federated learning)</x:v>
      </x:c>
      <x:c r="E93" s="988" t="str">
        <x:v>Fundus photography — Disease/task not reported in abstract</x:v>
      </x:c>
      <x:c r="F93" s="988" t="str">
        <x:v>Dataset and sample size not reported in abstract.</x:v>
      </x:c>
      <x:c r="G93" s="988" t="str">
        <x:v>No dedicated explanation-quality metric is reported in the abstract; interpretability is supported by the model design and/or qualitative concept, prototype, case, or rule outputs.</x:v>
      </x:c>
      <x:c r="H93" s="988" t="str">
        <x:v>We demonstrate inherent interpretable capabilities and perform a classification task, which shows improvements in accuracy over baseline algorithms.</x:v>
      </x:c>
      <x:c r="I93" s="988" t="str">
        <x:v>No study-specific limitation is reported in the abstract.</x:v>
      </x:c>
      <x:c r="J93" s="990" t="str">
        <x:v>arXiv API record</x:v>
      </x:c>
      <x:c r="K93" s="990" t="str">
        <x:v>Moderate — complete preprint abstract</x:v>
      </x:c>
      <x:c r="L93" s="990" t="str">
        <x:v>10.1007/978-3-032-04981-0_44</x:v>
      </x:c>
      <x:c r="M93" s="988" t="str">
        <x:v>https://arxiv.org/abs/2507.05852</x:v>
      </x:c>
      <x:c r="N93" s="990" t="str">
        <x:f>IF(LEFT(F93,7)="Dataset","No","Yes")</x:f>
        <x:v>No</x:v>
      </x:c>
      <x:c r="O93" s="990" t="str">
        <x:f>IF(OR(LEFT(G93,2)="No",LEFT(G93,11)="Explanation"),"No","Yes")</x:f>
        <x:v>No</x:v>
      </x:c>
      <x:c r="P93" s="990" t="str">
        <x:f>IF(LEFT(I93,2)="No","No","Yes")</x:f>
        <x:v>No</x:v>
      </x:c>
    </x:row>
    <x:row r="94" ht="88.5" customHeight="1">
      <x:c r="A94" s="990" t="str">
        <x:v>ARXIV-02-007</x:v>
      </x:c>
      <x:c r="B94" s="988" t="str">
        <x:v>PiPViT: Patch-based Visual Interpretable Prototypes for retinal image analysis — Marzich Oghbsie, Tesesa Araujo, Hrvoje Bagunowt Abstract Backgrcund and Otyective Protetype Saute methecs Imerave weerpeetabilty by ~ how Subested 13 June, U5, v1 subsised 12 June, 22S, ortimally announced jane 2025 8 arkie2AOE 5168 [pet other] CEEB This actually looks like that: Proto-BagNets for local and global interpretability-by-design</x:v>
      </x:c>
      <x:c r="C94" s="988" t="str">
        <x:v>Direct retinal/ophthalmic evidence</x:v>
      </x:c>
      <x:c r="D94" s="988" t="str">
        <x:v>Prototype-based / prototypical learning; Self-explaining / interpretable-by-design model (Vision Transformer, Transformer)</x:v>
      </x:c>
      <x:c r="E94" s="988" t="str">
        <x:v>OCT — Disease/task not reported in abstract</x:v>
      </x:c>
      <x:c r="F94" s="988" t="str">
        <x:v>Dataset and sample size not reported in abstract.</x:v>
      </x:c>
      <x:c r="G94" s="988" t="str">
        <x:v>No dedicated explanation-quality metric is reported in the abstract; interpretability is supported by the model design and/or qualitative concept, prototype, case, or rule outputs.</x:v>
      </x:c>
      <x:c r="H94" s="988" t="str">
        <x:v>Results: We evaluated PiPViT on retinal OCT image classification across four datasets, where it achieved competitive quantitative performance compared to state-of-the-art methods while delivering more meaningful explanations.</x:v>
      </x:c>
      <x:c r="I94" s="988" t="str">
        <x:v>No study-specific limitation is reported in the abstract.</x:v>
      </x:c>
      <x:c r="J94" s="990" t="str">
        <x:v>OpenAlex scholarly record</x:v>
      </x:c>
      <x:c r="K94" s="990" t="str">
        <x:v>Moderate — complete scholarly-record abstract</x:v>
      </x:c>
      <x:c r="L94" s="990" t="str">
        <x:v>10.1016/j.bspc.2026.109545</x:v>
      </x:c>
      <x:c r="M94" s="988" t="str">
        <x:v>https://arxiv.org/pdf/2506.10669</x:v>
      </x:c>
      <x:c r="N94" s="990" t="str">
        <x:f>IF(LEFT(F94,7)="Dataset","No","Yes")</x:f>
        <x:v>No</x:v>
      </x:c>
      <x:c r="O94" s="990" t="str">
        <x:f>IF(OR(LEFT(G94,2)="No",LEFT(G94,11)="Explanation"),"No","Yes")</x:f>
        <x:v>No</x:v>
      </x:c>
      <x:c r="P94" s="990" t="str">
        <x:f>IF(LEFT(I94,2)="No","No","Yes")</x:f>
        <x:v>No</x:v>
      </x:c>
    </x:row>
    <x:row r="95" ht="88.5" customHeight="1">
      <x:c r="A95" s="990" t="str">
        <x:v>ARXIV-02-012</x:v>
      </x:c>
      <x:c r="B95" s="988" t="str">
        <x:v>LAVA: Granular Neuron-Level Explainable AI for Alzheimer's Disease Assessment from Fundus Images — Noostin Yuusetcadets Chetie Ine Adolfo Reeniree Cerriora. jingu ben, Rocgu berg. My 1. Uhr</x:v>
      </x:c>
      <x:c r="C95" s="988" t="str">
        <x:v>Direct retinal/ophthalmic evidence</x:v>
      </x:c>
      <x:c r="D95" s="988" t="str">
        <x:v>Prototype-based / prototypical learning (CNN)</x:v>
      </x:c>
      <x:c r="E95" s="988" t="str">
        <x:v>Fundus photography — MCI / Alzheimer's disease</x:v>
      </x:c>
      <x:c r="F95" s="988" t="str">
        <x:v>Dataset and sample size not reported in abstract.</x:v>
      </x:c>
      <x:c r="G95" s="988" t="str">
        <x:v>No dedicated explanation-quality metric is reported in the abstract; interpretability is supported by the model design and/or qualitative concept, prototype, case, or rule outputs.</x:v>
      </x:c>
      <x:c r="H95" s="988" t="str">
        <x:v>No quantitative result is reported in the abstract.</x:v>
      </x:c>
      <x:c r="I95" s="988" t="str">
        <x:v>No study-specific limitation is reported in the abstract.</x:v>
      </x:c>
      <x:c r="J95" s="990" t="str">
        <x:v>OpenAlex scholarly record</x:v>
      </x:c>
      <x:c r="K95" s="990" t="str">
        <x:v>Moderate — complete scholarly-record abstract</x:v>
      </x:c>
      <x:c r="L95" s="990" t="str">
        <x:v>10.48550/arxiv.2302.03008</x:v>
      </x:c>
      <x:c r="M95" s="988" t="str">
        <x:v>https://arxiv.org/pdf/2302.03008</x:v>
      </x:c>
      <x:c r="N95" s="990" t="str">
        <x:f>IF(LEFT(F95,7)="Dataset","No","Yes")</x:f>
        <x:v>No</x:v>
      </x:c>
      <x:c r="O95" s="990" t="str">
        <x:f>IF(OR(LEFT(G95,2)="No",LEFT(G95,11)="Explanation"),"No","Yes")</x:f>
        <x:v>No</x:v>
      </x:c>
      <x:c r="P95" s="990" t="str">
        <x:f>IF(LEFT(I95,2)="No","No","Yes")</x:f>
        <x:v>No</x:v>
      </x:c>
    </x:row>
    <x:row r="96" ht="88.5" customHeight="1">
      <x:c r="A96" s="990" t="str">
        <x:v>ARXIV-02-014</x:v>
      </x:c>
      <x:c r="B96" s="988" t="str">
        <x:v>Coarse Retinal Lesion Annotations Refinement via Prototypical Learning — Ory Yu. Kare Dang. Znyu Chou. Yorupwes Chen. Xiecwwes org Abstract Oeepiearning-basedt approactes for. © Mowe ‘Semiened 3 Apes. 2177: eriginly aneeunc Ad ve 7177 Ceemument es MiCTALY? wenetomay WA AM 7? 15 arkine2208.00457 (pel other] CEE Lo INSightR-Net: Interpretable Neural Network for Regression using Similarity-based Comparisons to Prototypical Examples (2022)</x:v>
      </x:c>
      <x:c r="C96" s="988" t="str">
        <x:v>Direct retinal/ophthalmic evidence</x:v>
      </x:c>
      <x:c r="D96" s="988" t="str">
        <x:v>Prototype-based / prototypical learning (Segmentation model)</x:v>
      </x:c>
      <x:c r="E96" s="988" t="str">
        <x:v>Modality not reported in abstract — Retinal disease / lesions</x:v>
      </x:c>
      <x:c r="F96" s="988" t="str">
        <x:v>IDRiD, DDR. The proposed method was trained on the publicly available IDRiD dataset and then generalized to the public DDR and our real-world private datasets.</x:v>
      </x:c>
      <x:c r="G96" s="988" t="str">
        <x:v>No dedicated explanation-quality metric is reported in the abstract; interpretability is supported by the model design and/or qualitative concept, prototype, case, or rule outputs.</x:v>
      </x:c>
      <x:c r="H96" s="988" t="str">
        <x:v>Experiments show that our approach substantially improved the initial coarse mask and outperformed the non-prototypical baseline by a large margin.</x:v>
      </x:c>
      <x:c r="I96" s="988" t="str">
        <x:v>No study-specific limitation is reported in the abstract.</x:v>
      </x:c>
      <x:c r="J96" s="990" t="str">
        <x:v>arXiv API record</x:v>
      </x:c>
      <x:c r="K96" s="990" t="str">
        <x:v>Moderate — complete preprint abstract</x:v>
      </x:c>
      <x:c r="L96" s="990" t="str">
        <x:v>10.1007/978-3-031-21014-3_25</x:v>
      </x:c>
      <x:c r="M96" s="988" t="str">
        <x:v>https://arxiv.org/abs/2208.14294</x:v>
      </x:c>
      <x:c r="N96" s="990" t="str">
        <x:f>IF(LEFT(F96,7)="Dataset","No","Yes")</x:f>
        <x:v>Yes</x:v>
      </x:c>
      <x:c r="O96" s="990" t="str">
        <x:f>IF(OR(LEFT(G96,2)="No",LEFT(G96,11)="Explanation"),"No","Yes")</x:f>
        <x:v>No</x:v>
      </x:c>
      <x:c r="P96" s="990" t="str">
        <x:f>IF(LEFT(I96,2)="No","No","Yes")</x:f>
        <x:v>No</x:v>
      </x:c>
    </x:row>
    <x:row r="97" ht="88.5" customHeight="1">
      <x:c r="A97" s="990" t="str">
        <x:v>ARXIV-02-015</x:v>
      </x:c>
      <x:c r="B97" s="988" t="str">
        <x:v>INSightR-Net: Interpretable Neural Network for Regression using Similarity-based Comparisons to Prototypical Examples — Lnds S. Hesse Ang LL Nemburete Abstract In thet work we propate an Innereny Interpretatie CAN for regreescn utang simmarey Dates comparitons (INDENIN.Net) and demonstrate cur methods on the tark of ciabes retinopathy grading. A. 7 Mere ‘Seemed 3% bly, 2822: erigrty arneumend Ages 2022 Comment: Scxepoes at NICH 2012, code anatase at Sasaslieub som nsehene Sienst Net 16 aXe 2203.02493 (pet, other] QED Greedy Optimization of Electrode Arrangement for Epiretinal Prostheses (2022)</x:v>
      </x:c>
      <x:c r="C97" s="988" t="str">
        <x:v>Contextual medical concept-XAI evidence</x:v>
      </x:c>
      <x:c r="D97" s="988" t="str">
        <x:v>Prototype-based / prototypical learning; Self-explaining / interpretable-by-design model (CNN)</x:v>
      </x:c>
      <x:c r="E97" s="988" t="str">
        <x:v>Modality not reported in abstract — Diabetic retinopathy; Retinal disease / lesions</x:v>
      </x:c>
      <x:c r="F97" s="988" t="str">
        <x:v>Dataset and sample size not reported in abstract.</x:v>
      </x:c>
      <x:c r="G97" s="988" t="str">
        <x:v>No dedicated explanation-quality metric is reported in the abstract; interpretability is supported by the model design and/or qualitative concept, prototype, case, or rule outputs.</x:v>
      </x:c>
      <x:c r="H97" s="988" t="str">
        <x:v>We achieved competitive prediction performance with our INSightR-Net compared to a ResNet baseline, showing that it is not necessary to compromise performance for interpretability.</x:v>
      </x:c>
      <x:c r="I97" s="988" t="str">
        <x:v>No study-specific limitation is reported in the abstract.</x:v>
      </x:c>
      <x:c r="J97" s="990" t="str">
        <x:v>arXiv API record</x:v>
      </x:c>
      <x:c r="K97" s="990" t="str">
        <x:v>Moderate — complete preprint abstract</x:v>
      </x:c>
      <x:c r="L97" s="990" t="str">
        <x:v>10.1007/978-3-031-16437-8_48</x:v>
      </x:c>
      <x:c r="M97" s="988" t="str">
        <x:v>https://arxiv.org/abs/2208.00457</x:v>
      </x:c>
      <x:c r="N97" s="990" t="str">
        <x:f>IF(LEFT(F97,7)="Dataset","No","Yes")</x:f>
        <x:v>No</x:v>
      </x:c>
      <x:c r="O97" s="990" t="str">
        <x:f>IF(OR(LEFT(G97,2)="No",LEFT(G97,11)="Explanation"),"No","Yes")</x:f>
        <x:v>No</x:v>
      </x:c>
      <x:c r="P97" s="990" t="str">
        <x:f>IF(LEFT(I97,2)="No","No","Yes")</x:f>
        <x:v>No</x:v>
      </x:c>
    </x:row>
    <x:row r="98" ht="88.5" customHeight="1">
      <x:c r="A98" s="990" t="str">
        <x:v>ARXIV-04-001</x:v>
      </x:c>
      <x:c r="B98" s="988" t="str">
        <x:v>Single Domain Generalization in Diabetic Retinopathy: A Neuro-Symbolic Learning Approach (2025)</x:v>
      </x:c>
      <x:c r="C98" s="988" t="str">
        <x:v>Direct retinal/ophthalmic evidence</x:v>
      </x:c>
      <x:c r="D98" s="988" t="str">
        <x:v>Neuro-symbolic AI; Ontology / knowledge-guided explanation (Vision Transformer, Transformer, Segmentation model)</x:v>
      </x:c>
      <x:c r="E98" s="988" t="str">
        <x:v>Modality not reported in abstract — Diabetic retinopathy; Retinal disease / lesions</x:v>
      </x:c>
      <x:c r="F98" s="988" t="str">
        <x:v>APTOS, EyePACS, Messidor-1, Messidor-2. Extensive experiments across four public datasets (APTOS, EyePACS, Messidor-1, Messidor-2) demonstrate significant improvements: up to a 5.2% accuracy gain in cross-domain settings and a 6% improvement over baseline ViT models.</x:v>
      </x:c>
      <x:c r="G98" s="988" t="str">
        <x:v>Ablation studies reveal that lesion-based features (84.65% accuracy) substantially outperform purely neural approaches, confirming that symbolic components act as effective regularizers beyond merely enhancing interpretability.</x:v>
      </x:c>
      <x:c r="H98" s="988" t="str">
        <x:v>Notably, our symbolic-only model achieves a 63.67% average accuracy in MDG, while the complete neuro-symbolic integration achieves the highest accuracy compared to existing published baselines and benchmarks in challenging SDG scenarios. Ablation studies reveal that lesion-based features (84.65% accuracy) substantially outperform purely neural approaches, confirming that symbolic components act as effective regularizers beyond merely enhancing interpretability.</x:v>
      </x:c>
      <x:c r="I98" s="988" t="str">
        <x:v>No study-specific limitation is reported in the abstract.</x:v>
      </x:c>
      <x:c r="J98" s="990" t="str">
        <x:v>OpenAlex scholarly record</x:v>
      </x:c>
      <x:c r="K98" s="990" t="str">
        <x:v>Moderate — complete scholarly-record abstract</x:v>
      </x:c>
      <x:c r="L98" s="990" t="str">
        <x:v>10.48550/arxiv.2509.02918</x:v>
      </x:c>
      <x:c r="M98" s="988" t="str">
        <x:v>https://arxiv.org/pdf/2509.02918</x:v>
      </x:c>
      <x:c r="N98" s="990" t="str">
        <x:f>IF(LEFT(F98,7)="Dataset","No","Yes")</x:f>
        <x:v>Yes</x:v>
      </x:c>
      <x:c r="O98" s="990" t="str">
        <x:f>IF(OR(LEFT(G98,2)="No",LEFT(G98,11)="Explanation"),"No","Yes")</x:f>
        <x:v>Yes</x:v>
      </x:c>
      <x:c r="P98" s="990" t="str">
        <x:f>IF(LEFT(I98,2)="No","No","Yes")</x:f>
        <x:v>No</x:v>
      </x:c>
    </x:row>
    <x:row r="99" ht="88.5" customHeight="1">
      <x:c r="A99" s="990" t="str">
        <x:v>ARXIV-05-001</x:v>
      </x:c>
      <x:c r="B99" s="988" t="str">
        <x:v>XAI-MeD: Explainable Knowledge Guided Neuro-Symbolic Framework for Domain Generalization and Rare Class Detection in Medical Imaging (2026)</x:v>
      </x:c>
      <x:c r="C99" s="988" t="str">
        <x:v>Contextual medical concept-XAI evidence</x:v>
      </x:c>
      <x:c r="D99" s="988" t="str">
        <x:v>Neuro-symbolic AI</x:v>
      </x:c>
      <x:c r="E99" s="988" t="str">
        <x:v>Modality not reported in abstract — Diabetic retinopathy; Retinal disease / lesions</x:v>
      </x:c>
      <x:c r="F99" s="988" t="str">
        <x:v>Six multicentre diabetic-retinopathy datasets and an rs-fMRI seizure-onset localisation task; sample sizes are not reported in the abstract.</x:v>
      </x:c>
      <x:c r="G99" s="988" t="str">
        <x:v>Ablation studies assess the contribution of clinically grounded symbolic rules under distribution shift; no dedicated explanation-quality metric is reported.</x:v>
      </x:c>
      <x:c r="H99" s="988" t="str">
        <x:v>The abstract reports a 6 percentage-point gain in cross-domain generalisation and a 10 percentage-point improvement in rare-class F1 over deep-learning baselines; symbolic components improved robustness under distribution shift.</x:v>
      </x:c>
      <x:c r="I99" s="988" t="str">
        <x:v>No study-specific limitation is reported in the abstract.</x:v>
      </x:c>
      <x:c r="J99" s="990" t="str">
        <x:v>OpenAlex scholarly record</x:v>
      </x:c>
      <x:c r="K99" s="990" t="str">
        <x:v>Moderate — complete scholarly-record abstract</x:v>
      </x:c>
      <x:c r="L99" s="990" t="str"/>
      <x:c r="M99" s="988" t="str">
        <x:v>https://arxiv.org/pdf/2601.02008</x:v>
      </x:c>
      <x:c r="N99" s="990" t="str">
        <x:f>IF(LEFT(F99,7)="Dataset","No","Yes")</x:f>
        <x:v>Yes</x:v>
      </x:c>
      <x:c r="O99" s="990" t="str">
        <x:f>IF(OR(LEFT(G99,2)="No",LEFT(G99,11)="Explanation"),"No","Yes")</x:f>
        <x:v>Yes</x:v>
      </x:c>
      <x:c r="P99" s="990" t="str">
        <x:f>IF(LEFT(I99,2)="No","No","Yes")</x:f>
        <x:v>No</x:v>
      </x:c>
    </x:row>
    <x:row r="100" ht="88.5" customHeight="1">
      <x:c r="A100" s="990" t="str">
        <x:v>ARXIV-05-002</x:v>
      </x:c>
      <x:c r="B100" s="988" t="str">
        <x:v>NEURO-GUARD: Neuro-Symbolic Generalization and Unbiased Adaptive Routing for Diagnostics -- Explainable Medical AI (2025)</x:v>
      </x:c>
      <x:c r="C100" s="988" t="str">
        <x:v>Contextual medical concept-XAI evidence</x:v>
      </x:c>
      <x:c r="D100" s="988" t="str">
        <x:v>Neuro-symbolic AI; Concept-guided vision-language model (Vision Transformer, Transformer, Retrieval)</x:v>
      </x:c>
      <x:c r="E100" s="988" t="str">
        <x:v>MRI — Diabetic retinopathy; Retinal disease / lesions</x:v>
      </x:c>
      <x:c r="F100" s="988" t="str">
        <x:v>APTOS, EyePACS, Messidor-1 and Messidor-2 for diabetic-retinopathy classification; an additional MRI seizure-detection evaluation. Sample sizes are not reported in the abstract.</x:v>
      </x:c>
      <x:c r="G100" s="988" t="str">
        <x:v>Interpretability is assessed through knowledge-grounded reasoning and cross-domain evaluations; no dedicated explanation-quality metric is reported in the abstract.</x:v>
      </x:c>
      <x:c r="H100" s="988" t="str">
        <x:v>NEURO-GUARD improves accuracy by 6.2 percentage points over a ViT-only baseline (84.69% vs 78.4%) and reports a 5 percentage-point gain in domain generalisation; it also outperforms comparators on MRI seizure detection.</x:v>
      </x:c>
      <x:c r="I100" s="988" t="str">
        <x:v>No study-specific limitation is reported in the abstract.</x:v>
      </x:c>
      <x:c r="J100" s="990" t="str">
        <x:v>OpenAlex scholarly record</x:v>
      </x:c>
      <x:c r="K100" s="990" t="str">
        <x:v>Moderate — complete scholarly-record abstract</x:v>
      </x:c>
      <x:c r="L100" s="990" t="str">
        <x:v>10.48550/arxiv.2512.18177</x:v>
      </x:c>
      <x:c r="M100" s="988" t="str">
        <x:v>https://arxiv.org/pdf/2512.18177</x:v>
      </x:c>
      <x:c r="N100" s="990" t="str">
        <x:f>IF(LEFT(F100,7)="Dataset","No","Yes")</x:f>
        <x:v>Yes</x:v>
      </x:c>
      <x:c r="O100" s="990" t="str">
        <x:f>IF(OR(LEFT(G100,2)="No",LEFT(G100,11)="Explanation"),"No","Yes")</x:f>
        <x:v>Yes</x:v>
      </x:c>
      <x:c r="P100" s="990" t="str">
        <x:f>IF(LEFT(I100,2)="No","No","Yes")</x:f>
        <x:v>No</x:v>
      </x:c>
    </x:row>
    <x:row r="101" ht="88.5" customHeight="1">
      <x:c r="A101" s="990" t="str">
        <x:v>ARXIV-06-001</x:v>
      </x:c>
      <x:c r="B101" s="988" t="str">
        <x:v>In-hoc Concept Representations to Regularise Deep Learning in Medical Imaging (2025)</x:v>
      </x:c>
      <x:c r="C101" s="988" t="str">
        <x:v>Contextual medical concept-XAI evidence</x:v>
      </x:c>
      <x:c r="D101" s="988" t="str">
        <x:v>Concept activation vectors / TCAV; Other concept-based model (CNN)</x:v>
      </x:c>
      <x:c r="E101" s="988" t="str">
        <x:v>Modality not reported in abstract — Diabetic retinopathy; Retinal disease / lesions</x:v>
      </x:c>
      <x:c r="F101" s="988" t="str">
        <x:v>Dataset and sample size not reported in abstract.</x:v>
      </x:c>
      <x:c r="G101" s="988" t="str">
        <x:v>No dedicated explanation-quality metric is reported in the abstract; interpretability is supported by the model design and/or qualitative concept, prototype, case, or rule outputs.</x:v>
      </x:c>
      <x:c r="H101" s="988" t="str">
        <x:v>On the diabetic retinopathy binary classification task, LCRReg enhances performance under both synthetic spurious perturbations and out-of-distribution (OOD) generalisation. Compared to baselines, including multitask learning, linear probing, and post-hoc concept-based models, LCRReg offers a lightweight, architecture-agnostic strategy for improving model robustness without requiring dense concept supervision.</x:v>
      </x:c>
      <x:c r="I101" s="988" t="str">
        <x:v>No study-specific limitation is reported in the abstract.</x:v>
      </x:c>
      <x:c r="J101" s="990" t="str">
        <x:v>arXiv API record</x:v>
      </x:c>
      <x:c r="K101" s="990" t="str">
        <x:v>Moderate — complete preprint abstract</x:v>
      </x:c>
      <x:c r="L101" s="990" t="str"/>
      <x:c r="M101" s="988" t="str">
        <x:v>https://arxiv.org/abs/2508.13880</x:v>
      </x:c>
      <x:c r="N101" s="990" t="str">
        <x:f>IF(LEFT(F101,7)="Dataset","No","Yes")</x:f>
        <x:v>No</x:v>
      </x:c>
      <x:c r="O101" s="990" t="str">
        <x:f>IF(OR(LEFT(G101,2)="No",LEFT(G101,11)="Explanation"),"No","Yes")</x:f>
        <x:v>No</x:v>
      </x:c>
      <x:c r="P101" s="990" t="str">
        <x:f>IF(LEFT(I101,2)="No","No","Yes")</x:f>
        <x:v>No</x:v>
      </x:c>
    </x:row>
    <x:row r="102" ht="88.5" customHeight="1">
      <x:c r="A102" s="990" t="str">
        <x:v>ARXIV-10-001</x:v>
      </x:c>
      <x:c r="B102" s="988" t="str">
        <x:v>RetiSEM: Generalising Causal Models for Fragmented Biomedical Data</x:v>
      </x:c>
      <x:c r="C102" s="988" t="str">
        <x:v>Contextual medical concept-XAI evidence</x:v>
      </x:c>
      <x:c r="D102" s="988" t="str">
        <x:v>Concept-XAI method not specified in abstract</x:v>
      </x:c>
      <x:c r="E102" s="988" t="str">
        <x:v>Modality not reported in abstract — Disease/task not reported in abstract</x:v>
      </x:c>
      <x:c r="F102" s="988" t="str">
        <x:v>Dataset and sample size not reported in abstract.</x:v>
      </x:c>
      <x:c r="G102" s="988" t="str">
        <x:v>No dedicated explanation-quality metric is reported in the abstract; interpretability is supported by the model design and/or qualitative concept, prototype, case, or rule outputs.</x:v>
      </x:c>
      <x:c r="H102" s="988" t="str">
        <x:v>This approach achieves lower structural error and higher causal accuracy than unconstrained baselines across the synthetic benchmarks.</x:v>
      </x:c>
      <x:c r="I102" s="988" t="str">
        <x:v>No study-specific limitation is reported in the abstract.</x:v>
      </x:c>
      <x:c r="J102" s="990" t="str">
        <x:v>OpenAlex scholarly record</x:v>
      </x:c>
      <x:c r="K102" s="990" t="str">
        <x:v>Moderate — complete scholarly-record abstract</x:v>
      </x:c>
      <x:c r="L102" s="990" t="str">
        <x:v>10.48550/arxiv.2606.24488</x:v>
      </x:c>
      <x:c r="M102" s="988" t="str">
        <x:v>https://arxiv.org/pdf/2606.24488</x:v>
      </x:c>
      <x:c r="N102" s="990" t="str">
        <x:f>IF(LEFT(F102,7)="Dataset","No","Yes")</x:f>
        <x:v>No</x:v>
      </x:c>
      <x:c r="O102" s="990" t="str">
        <x:f>IF(OR(LEFT(G102,2)="No",LEFT(G102,11)="Explanation"),"No","Yes")</x:f>
        <x:v>No</x:v>
      </x:c>
      <x:c r="P102" s="990" t="str">
        <x:f>IF(LEFT(I102,2)="No","No","Yes")</x:f>
        <x:v>No</x:v>
      </x:c>
    </x:row>
    <x:row r="103" ht="88.5" customHeight="1">
      <x:c r="A103" s="990" t="str">
        <x:v>ARXIV-10-002</x:v>
      </x:c>
      <x:c r="B103" s="988" t="str">
        <x:v>A Dual Edge Spatial Jacobian Image Graph for Interpretable Diabetic Retinopathy Grading</x:v>
      </x:c>
      <x:c r="C103" s="988" t="str">
        <x:v>Direct retinal/ophthalmic evidence</x:v>
      </x:c>
      <x:c r="D103" s="988" t="str">
        <x:v>Concept-XAI method not specified in abstract</x:v>
      </x:c>
      <x:c r="E103" s="988" t="str">
        <x:v>Fundus photography — Diabetic retinopathy; Retinal disease / lesions</x:v>
      </x:c>
      <x:c r="F103" s="988" t="str">
        <x:v>APTOS. Each fundus image is represented as a graph node with four aligned evidence streams: AutoMorph vessel information ($X_1$), DR-XAI-style lesion evidence maps ($X_2$), a 128-dimensional lesion-based contrastive image embedding ($X_3$), and AutoMorph morphometric biomarkers ($X_4$).</x:v>
      </x:c>
      <x:c r="G103" s="988" t="str">
        <x:v>No dedicated explanation-quality metric is reported in the abstract; interpretability is supported by the model design and/or qualitative concept, prototype, case, or rule outputs.</x:v>
      </x:c>
      <x:c r="H103" s="988" t="str">
        <x:v>Automated diabetic retinopathy (DR) grading from colour fundus photographs can achieve strong predictive performance, but clinical interpretation requires more than an image-level label. On 2,910 matched non-augmented APTOS images, the full graph achieves 0.8076 accuracy, 0.8312 quadratic weighted kappa, 0.5915 macro-F1, and 0.9330 adjacent-grade accuracy; referable DR reaches 0.9055 accuracy and 0.9711 AUROC.</x:v>
      </x:c>
      <x:c r="I103" s="988" t="str">
        <x:v>No study-specific limitation is reported in the abstract.</x:v>
      </x:c>
      <x:c r="J103" s="990" t="str">
        <x:v>arXiv API record</x:v>
      </x:c>
      <x:c r="K103" s="990" t="str">
        <x:v>Moderate — complete preprint abstract</x:v>
      </x:c>
      <x:c r="L103" s="990" t="str"/>
      <x:c r="M103" s="988" t="str">
        <x:v>https://arxiv.org/abs/2606.24168</x:v>
      </x:c>
      <x:c r="N103" s="990" t="str">
        <x:f>IF(LEFT(F103,7)="Dataset","No","Yes")</x:f>
        <x:v>Yes</x:v>
      </x:c>
      <x:c r="O103" s="990" t="str">
        <x:f>IF(OR(LEFT(G103,2)="No",LEFT(G103,11)="Explanation"),"No","Yes")</x:f>
        <x:v>No</x:v>
      </x:c>
      <x:c r="P103" s="990" t="str">
        <x:f>IF(LEFT(I103,2)="No","No","Yes")</x:f>
        <x:v>No</x:v>
      </x:c>
    </x:row>
    <x:row r="104" ht="88.5" customHeight="1">
      <x:c r="A104" s="990" t="str">
        <x:v>ARXIV-10-004</x:v>
      </x:c>
      <x:c r="B104" s="988" t="str">
        <x:v>Explainable Multi-Task Retinal Imaging Reveals Microvascular Signals for Systemic Risk Stratification in Type 2 Diabetes: A Pilot Study</x:v>
      </x:c>
      <x:c r="C104" s="988" t="str">
        <x:v>Direct retinal/ophthalmic evidence</x:v>
      </x:c>
      <x:c r="D104" s="988" t="str">
        <x:v>Concept-XAI method not specified in abstract</x:v>
      </x:c>
      <x:c r="E104" s="988" t="str">
        <x:v>Fundus photography — Disease/task not reported in abstract</x:v>
      </x:c>
      <x:c r="F104" s="988" t="str">
        <x:v>A total of 11,011 fundus images from 2,719 individuals were analysed using a shared neural network with task-specific heads for glycaemic status, kidney abnormality, and multi-system involvement.</x:v>
      </x:c>
      <x:c r="G104" s="988" t="str">
        <x:v>No dedicated explanation-quality metric is reported in the abstract; interpretability is supported by the model design and/or qualitative concept, prototype, case, or rule outputs.</x:v>
      </x:c>
      <x:c r="H104" s="988" t="str">
        <x:v>The framework demonstrated task-dependent predictive performance, with the best discrimination observed for kidney abnormality (AUC up to 0.63), whereas glycaemic status prediction showed limited performance (AUC = 0.49-0.61).</x:v>
      </x:c>
      <x:c r="I104" s="988" t="str">
        <x:v>No study-specific limitation is reported in the abstract.</x:v>
      </x:c>
      <x:c r="J104" s="990" t="str">
        <x:v>OpenAlex scholarly record</x:v>
      </x:c>
      <x:c r="K104" s="990" t="str">
        <x:v>Moderate — complete scholarly-record abstract</x:v>
      </x:c>
      <x:c r="L104" s="990" t="str"/>
      <x:c r="M104" s="988" t="str">
        <x:v>https://arxiv.org/pdf/2605.24913</x:v>
      </x:c>
      <x:c r="N104" s="990" t="str">
        <x:f>IF(LEFT(F104,7)="Dataset","No","Yes")</x:f>
        <x:v>Yes</x:v>
      </x:c>
      <x:c r="O104" s="990" t="str">
        <x:f>IF(OR(LEFT(G104,2)="No",LEFT(G104,11)="Explanation"),"No","Yes")</x:f>
        <x:v>No</x:v>
      </x:c>
      <x:c r="P104" s="990" t="str">
        <x:f>IF(LEFT(I104,2)="No","No","Yes")</x:f>
        <x:v>No</x:v>
      </x:c>
    </x:row>
    <x:row r="105" ht="88.5" customHeight="1">
      <x:c r="A105" s="990" t="str">
        <x:v>ARXIV-10-005</x:v>
      </x:c>
      <x:c r="B105" s="988" t="str">
        <x:v>SAIL: Structure-Aware Interpretable Learning for Anatomy-Aligned Post-hoc Explanations in OCT</x:v>
      </x:c>
      <x:c r="C105" s="988" t="str">
        <x:v>Direct retinal/ophthalmic evidence</x:v>
      </x:c>
      <x:c r="D105" s="988" t="str">
        <x:v>Concept-XAI method not specified in abstract</x:v>
      </x:c>
      <x:c r="E105" s="988" t="str">
        <x:v>OCT — Retinal disease / lesions</x:v>
      </x:c>
      <x:c r="F105" s="988" t="str">
        <x:v>Dataset and sample size not reported in abstract.</x:v>
      </x:c>
      <x:c r="G105" s="988" t="str">
        <x:v>Ablation studies further show that strong interpretability requires both structural priors and semantic features, and that properly fusing the two is critical to achieve the best explanation quality.</x:v>
      </x:c>
      <x:c r="H105" s="988" t="str">
        <x:v>While deep learning (DL) has achieved expert-level accuracy in OCT-based retinal disease detection, its "black box" nature poses challenges for clinical adoption, where explainability is essential for clinical trust and regulatory approval. Ablation studies further show that strong interpretability requires both structural priors and semantic features, and that properly fusing the two is critical to achieve the best explanation quality.</x:v>
      </x:c>
      <x:c r="I105" s="988" t="str">
        <x:v>No study-specific limitation is reported in the abstract.</x:v>
      </x:c>
      <x:c r="J105" s="990" t="str">
        <x:v>OpenAlex scholarly record</x:v>
      </x:c>
      <x:c r="K105" s="990" t="str">
        <x:v>Moderate — complete scholarly-record abstract</x:v>
      </x:c>
      <x:c r="L105" s="990" t="str"/>
      <x:c r="M105" s="988" t="str">
        <x:v>https://arxiv.org/pdf/2605.02707</x:v>
      </x:c>
      <x:c r="N105" s="990" t="str">
        <x:f>IF(LEFT(F105,7)="Dataset","No","Yes")</x:f>
        <x:v>No</x:v>
      </x:c>
      <x:c r="O105" s="990" t="str">
        <x:f>IF(OR(LEFT(G105,2)="No",LEFT(G105,11)="Explanation"),"No","Yes")</x:f>
        <x:v>Yes</x:v>
      </x:c>
      <x:c r="P105" s="990" t="str">
        <x:f>IF(LEFT(I105,2)="No","No","Yes")</x:f>
        <x:v>No</x:v>
      </x:c>
    </x:row>
    <x:row r="106" ht="88.5" customHeight="1">
      <x:c r="A106" s="990" t="str">
        <x:v>ARXIV-10-025</x:v>
      </x:c>
      <x:c r="B106" s="988" t="str">
        <x:v>Fine-tuning Vision Language Models with Graph-based Knowledge for Explainable Medical Image Analysis</x:v>
      </x:c>
      <x:c r="C106" s="988" t="str">
        <x:v>Contextual medical concept-XAI evidence</x:v>
      </x:c>
      <x:c r="D106" s="988" t="str">
        <x:v>Concept-guided vision-language model (GNN, Knowledge distillation)</x:v>
      </x:c>
      <x:c r="E106" s="988" t="str">
        <x:v>OCT — Diabetic retinopathy; Retinal disease / lesions</x:v>
      </x:c>
      <x:c r="F106" s="988" t="str">
        <x:v>However, current staging models are hardly interpretable, and most public datasets contain no clinical reasoning or interpretation beyond image-level labels.</x:v>
      </x:c>
      <x:c r="G106" s="988" t="str">
        <x:v>No dedicated explanation-quality metric is reported in the abstract; interpretability is supported by the model design and/or qualitative concept, prototype, case, or rule outputs.</x:v>
      </x:c>
      <x:c r="H106" s="988" t="str">
        <x:v>Experimental evaluations on both proprietary and public datasets demonstrate that our method not only improves classification accuracy but also offers more clinically interpretable results.</x:v>
      </x:c>
      <x:c r="I106" s="988" t="str">
        <x:v>No study-specific limitation is reported in the abstract.</x:v>
      </x:c>
      <x:c r="J106" s="990" t="str">
        <x:v>arXiv API record</x:v>
      </x:c>
      <x:c r="K106" s="990" t="str">
        <x:v>Moderate — complete preprint abstract</x:v>
      </x:c>
      <x:c r="L106" s="990" t="str"/>
      <x:c r="M106" s="988" t="str">
        <x:v>https://arxiv.org/abs/2503.09808</x:v>
      </x:c>
      <x:c r="N106" s="990" t="str">
        <x:f>IF(LEFT(F106,7)="Dataset","No","Yes")</x:f>
        <x:v>Yes</x:v>
      </x:c>
      <x:c r="O106" s="990" t="str">
        <x:f>IF(OR(LEFT(G106,2)="No",LEFT(G106,11)="Explanation"),"No","Yes")</x:f>
        <x:v>No</x:v>
      </x:c>
      <x:c r="P106" s="990" t="str">
        <x:f>IF(LEFT(I106,2)="No","No","Yes")</x:f>
        <x:v>No</x:v>
      </x:c>
    </x:row>
    <x:row r="107" ht="88.5" customHeight="1">
      <x:c r="A107" s="990" t="str">
        <x:v>ARXIV-10-026</x:v>
      </x:c>
      <x:c r="B107" s="988" t="str">
        <x:v>Interpretable Retinal Disease Prediction Using Biology-Informed Heterogeneous Graph Representations</x:v>
      </x:c>
      <x:c r="C107" s="988" t="str">
        <x:v>Direct retinal/ophthalmic evidence</x:v>
      </x:c>
      <x:c r="D107" s="988" t="str">
        <x:v>Concept-XAI method not specified in abstract (Vision Transformer, Transformer, CNN)</x:v>
      </x:c>
      <x:c r="E107" s="988" t="str">
        <x:v>OCT — Retinal disease / lesions</x:v>
      </x:c>
      <x:c r="F107" s="988" t="str">
        <x:v>Dataset and sample size not reported in abstract.</x:v>
      </x:c>
      <x:c r="G107" s="988" t="str">
        <x:v>No dedicated explanation-quality metric is reported in the abstract; interpretability is supported by the model design and/or qualitative concept, prototype, case, or rule outputs.</x:v>
      </x:c>
      <x:c r="H107" s="988" t="str">
        <x:v>Our model outperforms all baselines on two datasets. Our approach surpasses existing methods in precisely localizing and identifying critical vessels or intercapillary areas.</x:v>
      </x:c>
      <x:c r="I107" s="988" t="str">
        <x:v>No study-specific limitation is reported in the abstract.</x:v>
      </x:c>
      <x:c r="J107" s="990" t="str">
        <x:v>OpenAlex scholarly record</x:v>
      </x:c>
      <x:c r="K107" s="990" t="str">
        <x:v>Moderate — complete scholarly-record abstract</x:v>
      </x:c>
      <x:c r="L107" s="990" t="str">
        <x:v>10.48550/arxiv.2502.16697</x:v>
      </x:c>
      <x:c r="M107" s="988" t="str">
        <x:v>https://arxiv.org/pdf/2502.16697</x:v>
      </x:c>
      <x:c r="N107" s="990" t="str">
        <x:f>IF(LEFT(F107,7)="Dataset","No","Yes")</x:f>
        <x:v>No</x:v>
      </x:c>
      <x:c r="O107" s="990" t="str">
        <x:f>IF(OR(LEFT(G107,2)="No",LEFT(G107,11)="Explanation"),"No","Yes")</x:f>
        <x:v>No</x:v>
      </x:c>
      <x:c r="P107" s="990" t="str">
        <x:f>IF(LEFT(I107,2)="No","No","Yes")</x:f>
        <x:v>No</x:v>
      </x:c>
    </x:row>
    <x:row r="108" ht="88.5" customHeight="1">
      <x:c r="A108" s="990" t="str">
        <x:v>ARXIV-10-030</x:v>
      </x:c>
      <x:c r="B108" s="988" t="str">
        <x:v>Explainable and Interpretable Diabetic Retinopathy Classification Based on Neural-Symbolic Learning</x:v>
      </x:c>
      <x:c r="C108" s="988" t="str">
        <x:v>Direct retinal/ophthalmic evidence</x:v>
      </x:c>
      <x:c r="D108" s="988" t="str">
        <x:v>Concept-XAI method not specified in abstract</x:v>
      </x:c>
      <x:c r="E108" s="988" t="str">
        <x:v>Modality not reported in abstract — Diabetic retinopathy; Retinal disease / lesions</x:v>
      </x:c>
      <x:c r="F108" s="988" t="str">
        <x:v>IDRiD</x:v>
      </x:c>
      <x:c r="G108" s="988" t="str">
        <x:v>No dedicated explanation-quality metric is reported in the abstract; interpretability is supported by the model design and/or qualitative concept, prototype, case, or rule outputs.</x:v>
      </x:c>
      <x:c r="H108" s="988" t="str">
        <x:v>Specifically, we introduce a human-readable symbolic representation, which follows a taxonomy style of diabetic retinopathy characteristics related to eye health conditions to achieve explainability. Experimental results on a diabetic retinopathy classification dataset show that our proposed ExplainDR method exhibits promising performance when compared to that from state-of-the-art methods applied to the IDRiD dataset, while also providing interpretability and explainability.</x:v>
      </x:c>
      <x:c r="I108" s="988" t="str">
        <x:v>No study-specific limitation is reported in the abstract.</x:v>
      </x:c>
      <x:c r="J108" s="990" t="str">
        <x:v>OpenAlex scholarly record</x:v>
      </x:c>
      <x:c r="K108" s="990" t="str">
        <x:v>Moderate — complete scholarly-record abstract</x:v>
      </x:c>
      <x:c r="L108" s="990" t="str">
        <x:v>10.48550/arxiv.2204.00624</x:v>
      </x:c>
      <x:c r="M108" s="988" t="str">
        <x:v>https://arxiv.org/pdf/2204.00624</x:v>
      </x:c>
      <x:c r="N108" s="990" t="str">
        <x:f>IF(LEFT(F108,7)="Dataset","No","Yes")</x:f>
        <x:v>Yes</x:v>
      </x:c>
      <x:c r="O108" s="990" t="str">
        <x:f>IF(OR(LEFT(G108,2)="No",LEFT(G108,11)="Explanation"),"No","Yes")</x:f>
        <x:v>No</x:v>
      </x:c>
      <x:c r="P108" s="990" t="str">
        <x:f>IF(LEFT(I108,2)="No","No","Yes")</x:f>
        <x:v>No</x:v>
      </x:c>
    </x:row>
    <x:row r="109" ht="88.5" customHeight="1">
      <x:c r="A109" s="990" t="str">
        <x:v>ARXIV-11-002</x:v>
      </x:c>
      <x:c r="B109" s="988" t="str">
        <x:v>Discovery Radiomics With CLEAR-DR: Interpretable Computer Aided Diagnosis of Diabetic Retinopathy (2017)</x:v>
      </x:c>
      <x:c r="C109" s="988" t="str">
        <x:v>Direct retinal/ophthalmic evidence</x:v>
      </x:c>
      <x:c r="D109" s="988" t="str">
        <x:v>Concept-XAI method not specified in abstract</x:v>
      </x:c>
      <x:c r="E109" s="988" t="str">
        <x:v>Modality not reported in abstract — Diabetic retinopathy; Retinal disease / lesions</x:v>
      </x:c>
      <x:c r="F109" s="988" t="str">
        <x:v>Dataset and sample size not reported in abstract.</x:v>
      </x:c>
      <x:c r="G109" s="988" t="str">
        <x:v>No dedicated explanation-quality metric is reported in the abstract; interpretability is supported by the model design and/or qualitative concept, prototype, case, or rule outputs.</x:v>
      </x:c>
      <x:c r="H109" s="988" t="str">
        <x:v>Radiomics-driven computer aided diagnosis (CAD) has shown considerable promise in recent years as a potential tool for improving clinical decision support in medical oncology, particularly those based around the concept of discovery radiomics, where radiomic sequencers are discovered through the analysis of medical imaging data. One of the main limitations, with current CAD approaches, is that it is very difficult to gain insight or rationale as to how decisions are made, thus limiting their utility to clinicians.</x:v>
      </x:c>
      <x:c r="I109" s="988" t="str">
        <x:v>No study-specific limitation is reported in the abstract.</x:v>
      </x:c>
      <x:c r="J109" s="990" t="str">
        <x:v>OpenAlex scholarly record</x:v>
      </x:c>
      <x:c r="K109" s="990" t="str">
        <x:v>Moderate — complete scholarly-record abstract</x:v>
      </x:c>
      <x:c r="L109" s="990" t="str">
        <x:v>10.1109/access.2019.2893635</x:v>
      </x:c>
      <x:c r="M109" s="988" t="str">
        <x:v>https://arxiv.org/pdf/1710.10675</x:v>
      </x:c>
      <x:c r="N109" s="990" t="str">
        <x:f>IF(LEFT(F109,7)="Dataset","No","Yes")</x:f>
        <x:v>No</x:v>
      </x:c>
      <x:c r="O109" s="990" t="str">
        <x:f>IF(OR(LEFT(G109,2)="No",LEFT(G109,11)="Explanation"),"No","Yes")</x:f>
        <x:v>No</x:v>
      </x:c>
      <x:c r="P109" s="990" t="str">
        <x:f>IF(LEFT(I109,2)="No","No","Yes")</x:f>
        <x:v>No</x:v>
      </x:c>
    </x:row>
    <x:row r="110" ht="88.5" customHeight="1">
      <x:c r="A110" s="990" t="str">
        <x:v>ARXIV-12-004</x:v>
      </x:c>
      <x:c r="B110" s="988" t="str">
        <x:v>Unsupervised Identification of Disease Marker Candidates in Retinal OCT Imaging Data (2018)</x:v>
      </x:c>
      <x:c r="C110" s="988" t="str">
        <x:v>Direct retinal/ophthalmic evidence</x:v>
      </x:c>
      <x:c r="D110" s="988" t="str">
        <x:v>Concept-XAI method not specified in abstract</x:v>
      </x:c>
      <x:c r="E110" s="988" t="str">
        <x:v>OCT — Age-related macular degeneration</x:v>
      </x:c>
      <x:c r="F110" s="988" t="str">
        <x:v>Using these markers to classify healthy-, early AMD- and late AMD cases yields an accuracy of 81.40%.</x:v>
      </x:c>
      <x:c r="G110" s="988" t="str">
        <x:v>No dedicated explanation-quality metric is reported in the abstract; interpretability is supported by the model design and/or qualitative concept, prototype, case, or rule outputs.</x:v>
      </x:c>
      <x:c r="H110" s="988" t="str">
        <x:v>Using these markers to classify healthy-, early AMD- and late AMD cases yields an accuracy of 81.40%. In a second binary classification experiment on a publicly available data set (healthy versus intermediate AMD), the model achieves an area under the ROC curve of 0.944.</x:v>
      </x:c>
      <x:c r="I110" s="988" t="str">
        <x:v>No study-specific limitation is reported in the abstract.</x:v>
      </x:c>
      <x:c r="J110" s="990" t="str">
        <x:v>OpenAlex scholarly record</x:v>
      </x:c>
      <x:c r="K110" s="990" t="str">
        <x:v>Moderate — complete scholarly-record abstract</x:v>
      </x:c>
      <x:c r="L110" s="990" t="str">
        <x:v>10.1109/tmi.2018.2877080</x:v>
      </x:c>
      <x:c r="M110" s="988" t="str">
        <x:v>https://arxiv.org/pdf/1810.13404</x:v>
      </x:c>
      <x:c r="N110" s="990" t="str">
        <x:f>IF(LEFT(F110,7)="Dataset","No","Yes")</x:f>
        <x:v>Yes</x:v>
      </x:c>
      <x:c r="O110" s="990" t="str">
        <x:f>IF(OR(LEFT(G110,2)="No",LEFT(G110,11)="Explanation"),"No","Yes")</x:f>
        <x:v>No</x:v>
      </x:c>
      <x:c r="P110" s="990" t="str">
        <x:f>IF(LEFT(I110,2)="No","No","Yes")</x:f>
        <x:v>No</x:v>
      </x:c>
    </x:row>
    <x:row r="111" ht="88.5" customHeight="1">
      <x:c r="A111" s="990" t="str">
        <x:v>ARXIV-14-001</x:v>
      </x:c>
      <x:c r="B111" s="988" t="str">
        <x:v>Interpretable Few-Shot Retinal Disease Diagnosis with Concept-Guided Prompting of Vision-Language Models (2025)</x:v>
      </x:c>
      <x:c r="C111" s="988" t="str">
        <x:v>Direct retinal/ophthalmic evidence</x:v>
      </x:c>
      <x:c r="D111" s="988" t="str">
        <x:v>Concept-guided vision-language model; Other concept-based model</x:v>
      </x:c>
      <x:c r="E111" s="988" t="str">
        <x:v>Fundus photography — Retinal disease / lesions</x:v>
      </x:c>
      <x:c r="F111" s="988" t="str">
        <x:v>Our extensive evaluation across two diverse retinal fundus image datasets illustrates substantial performance gains in VL-model based few-shot methodologies through our concept integration approach, demonstrating an average improvement of approximately 5.8% and 2.7% mean average precision for 16-shot learning and zero-shot (novel class) detection respectively.</x:v>
      </x:c>
      <x:c r="G111" s="988" t="str">
        <x:v>No dedicated explanation-quality metric is reported in the abstract; interpretability is supported by the model design and/or qualitative concept, prototype, case, or rule outputs.</x:v>
      </x:c>
      <x:c r="H111" s="988" t="str">
        <x:v>Our method not only improves retinal disease classification but also enriches few-shot and zero-shot detection (novel disease detection), while offering the added benefit of concept-based model interpretability. Our extensive evaluation across two diverse retinal fundus image datasets illustrates substantial performance gains in VL-model based few-shot methodologies through our concept integration approach, demonstrating an average improvement of approximately 5.8% and 2.7% mean average precision for 16-shot learning and zero-shot (novel class) detection respectively.</x:v>
      </x:c>
      <x:c r="I111" s="988" t="str">
        <x:v>No study-specific limitation is reported in the abstract.</x:v>
      </x:c>
      <x:c r="J111" s="990" t="str">
        <x:v>arXiv API record</x:v>
      </x:c>
      <x:c r="K111" s="990" t="str">
        <x:v>Moderate — complete preprint abstract</x:v>
      </x:c>
      <x:c r="L111" s="990" t="str">
        <x:v>10.1007/978-3-031-96625-5_18</x:v>
      </x:c>
      <x:c r="M111" s="988" t="str">
        <x:v>https://arxiv.org/abs/2503.02917</x:v>
      </x:c>
      <x:c r="N111" s="990" t="str">
        <x:f>IF(LEFT(F111,7)="Dataset","No","Yes")</x:f>
        <x:v>Yes</x:v>
      </x:c>
      <x:c r="O111" s="990" t="str">
        <x:f>IF(OR(LEFT(G111,2)="No",LEFT(G111,11)="Explanation"),"No","Yes")</x:f>
        <x:v>No</x:v>
      </x:c>
      <x:c r="P111" s="990" t="str">
        <x:f>IF(LEFT(I111,2)="No","No","Yes")</x:f>
        <x:v>No</x:v>
      </x:c>
    </x:row>
    <x:row r="112" ht="88.5" customHeight="1">
      <x:c r="A112" s="990" t="str">
        <x:v>CIT-071</x:v>
      </x:c>
      <x:c r="B112" s="988" t="str">
        <x:v>Hybrid vision-language models for improved transparency in healthcare processes: The retinal diagnosis use case — La Rosa F; Dell'Acqua P; Fazio M; Villari M (2026)</x:v>
      </x:c>
      <x:c r="C112" s="988" t="str">
        <x:v>Direct retinal/ophthalmic evidence</x:v>
      </x:c>
      <x:c r="D112" s="988" t="str">
        <x:v>Concept-guided vision-language model (CNN)</x:v>
      </x:c>
      <x:c r="E112" s="988" t="str">
        <x:v>Modality not reported in abstract — Retinal disease / lesions</x:v>
      </x:c>
      <x:c r="F112" s="988" t="str">
        <x:v>The approach is demonstrated on retinal diseases, where a ConvNeXt V2 model and Contrastive Language–Image Pretraining (CLIP) feature extraction approach are integrated for clinical classification and interpretation.</x:v>
      </x:c>
      <x:c r="G112" s="988" t="str">
        <x:v>No dedicated explanation-quality metric is reported in the abstract; interpretability is supported by the model design and/or qualitative concept, prototype, case, or rule outputs.</x:v>
      </x:c>
      <x:c r="H112" s="988" t="str">
        <x:v>Despite CNNs’ high accuracy in medical image analysis, their opaque nature limits widespread clinical adoption, as practitioners are skeptical of predictions lacking clear rationale. This hybrid Vision-Language strategy aims to deliver both high predictive accuracy and the necessary human-readable accountability to foster clinical trust.</x:v>
      </x:c>
      <x:c r="I112" s="988" t="str">
        <x:v>No study-specific limitation is reported in the abstract.</x:v>
      </x:c>
      <x:c r="J112" s="990" t="str">
        <x:v>OpenAlex scholarly record</x:v>
      </x:c>
      <x:c r="K112" s="990" t="str">
        <x:v>Moderate — complete scholarly-record abstract</x:v>
      </x:c>
      <x:c r="L112" s="990" t="str">
        <x:v>10.1016/j.knosys.2026.115456</x:v>
      </x:c>
      <x:c r="M112" s="988" t="str">
        <x:v>https://www.sciencedirect.com/science/article/pii/S0950705126001991</x:v>
      </x:c>
      <x:c r="N112" s="990" t="str">
        <x:f>IF(LEFT(F112,7)="Dataset","No","Yes")</x:f>
        <x:v>Yes</x:v>
      </x:c>
      <x:c r="O112" s="990" t="str">
        <x:f>IF(OR(LEFT(G112,2)="No",LEFT(G112,11)="Explanation"),"No","Yes")</x:f>
        <x:v>No</x:v>
      </x:c>
      <x:c r="P112" s="990" t="str">
        <x:f>IF(LEFT(I112,2)="No","No","Yes")</x:f>
        <x:v>No</x:v>
      </x:c>
    </x:row>
    <x:row r="113" ht="88.5" customHeight="1">
      <x:c r="A113" s="990" t="str">
        <x:v>CIT-100</x:v>
      </x:c>
      <x:c r="B113" s="988" t="str">
        <x:v>Enhancing ophthalmology medical record management with multi-modal knowledge graphs — Gao W; Rong F; Shao L; Deng Z; Xiao D; Zhang R; Chen C; Gong Z; Niu Z; Li F; Wei W; Ma L (2024)</x:v>
      </x:c>
      <x:c r="C113" s="988" t="str">
        <x:v>Direct retinal/ophthalmic evidence</x:v>
      </x:c>
      <x:c r="D113" s="988" t="str">
        <x:v>Ontology / knowledge-guided explanation (Retrieval)</x:v>
      </x:c>
      <x:c r="E113" s="988" t="str">
        <x:v>Modality not reported in abstract — Ophthalmic disease</x:v>
      </x:c>
      <x:c r="F113" s="988" t="str">
        <x:v>By implementing contrastive methods and feature fusion of node types, text, and numerical information in medical records, the CGAT-ADM model achieved an average precision of 0.8563 for the top 20 similar case retrievals, indicating high performance in identifying analogous diagnoses.</x:v>
      </x:c>
      <x:c r="G113" s="988" t="str">
        <x:v>Explanation evaluation not reported in abstract.</x:v>
      </x:c>
      <x:c r="H113" s="988" t="str">
        <x:v>By implementing contrastive methods and feature fusion of node types, text, and numerical information in medical records, the CGAT-ADM model achieved an average precision of 0.8563 for the top 20 similar case retrievals, indicating high performance in identifying analogous diagnoses.</x:v>
      </x:c>
      <x:c r="I113" s="988" t="str">
        <x:v>No study-specific limitation is reported in the abstract.</x:v>
      </x:c>
      <x:c r="J113" s="990" t="str">
        <x:v>OpenAlex scholarly record</x:v>
      </x:c>
      <x:c r="K113" s="990" t="str">
        <x:v>Moderate — complete scholarly-record abstract</x:v>
      </x:c>
      <x:c r="L113" s="990" t="str">
        <x:v>10.1038/s41598-024-73316-9</x:v>
      </x:c>
      <x:c r="M113" s="988" t="str">
        <x:v>https://www.nature.com/articles/s41598-024-73316-9</x:v>
      </x:c>
      <x:c r="N113" s="990" t="str">
        <x:f>IF(LEFT(F113,7)="Dataset","No","Yes")</x:f>
        <x:v>Yes</x:v>
      </x:c>
      <x:c r="O113" s="990" t="str">
        <x:f>IF(OR(LEFT(G113,2)="No",LEFT(G113,11)="Explanation"),"No","Yes")</x:f>
        <x:v>No</x:v>
      </x:c>
      <x:c r="P113" s="990" t="str">
        <x:f>IF(LEFT(I113,2)="No","No","Yes")</x:f>
        <x:v>No</x:v>
      </x:c>
    </x:row>
    <x:row r="114" ht="88.5" customHeight="1">
      <x:c r="A114" s="991" t="str">
        <x:v>CIT-101</x:v>
      </x:c>
      <x:c r="B114" s="989" t="str">
        <x:v>Semantic web ontology for structured knowledge representation and clinical decision support in eye diseases — Anjum F; Maqbool F; Razzaq MS; Shehzad HMF; Ali S; Shah D; Tahir M; Ilyas M (2025)</x:v>
      </x:c>
      <x:c r="C114" s="989" t="str">
        <x:v>Contextual medical concept-XAI evidence</x:v>
      </x:c>
      <x:c r="D114" s="989" t="str">
        <x:v>Ontology / knowledge-guided explanation</x:v>
      </x:c>
      <x:c r="E114" s="989" t="str">
        <x:v>Modality not reported in abstract — Ophthalmic disease</x:v>
      </x:c>
      <x:c r="F114" s="989" t="str">
        <x:v>Dataset and sample size not reported in abstract.</x:v>
      </x:c>
      <x:c r="G114" s="989" t="str">
        <x:v>Explanation evaluation not reported in abstract.</x:v>
      </x:c>
      <x:c r="H114" s="989" t="str">
        <x:v>In this study, the ontology of eye diseases has the potential to improve clinical diagnosis, advance research, and enrich medical education, while improving patient care. Several competency questions were created to meet the demands of various stakeholders, and the ontology was validated using SPARQL queries, the Hermit Reasoner, and the OOPS Pitfalls Scanner.</x:v>
      </x:c>
      <x:c r="I114" s="989" t="str">
        <x:v>No study-specific limitation is reported in the abstract.</x:v>
      </x:c>
      <x:c r="J114" s="991" t="str">
        <x:v>OpenAlex scholarly record</x:v>
      </x:c>
      <x:c r="K114" s="991" t="str">
        <x:v>Moderate — complete scholarly-record abstract</x:v>
      </x:c>
      <x:c r="L114" s="991" t="str">
        <x:v>10.1038/s41598-025-15885-x</x:v>
      </x:c>
      <x:c r="M114" s="989" t="str">
        <x:v>https://www.nature.com/articles/s41598-025-15885-x</x:v>
      </x:c>
      <x:c r="N114" s="991" t="str">
        <x:f>IF(LEFT(F114,7)="Dataset","No","Yes")</x:f>
        <x:v>No</x:v>
      </x:c>
      <x:c r="O114" s="991" t="str">
        <x:f>IF(OR(LEFT(G114,2)="No",LEFT(G114,11)="Explanation"),"No","Yes")</x:f>
        <x:v>No</x:v>
      </x:c>
      <x:c r="P114" s="991" t="str">
        <x:f>IF(LEFT(I114,2)="No","No","Yes")</x:f>
        <x:v>No</x:v>
      </x:c>
    </x:row>
  </x:sheetData>
  <x:mergeCells>
    <x:mergeCell ref="A1:P1"/>
    <x:mergeCell ref="A2:P2"/>
  </x:mergeCells>
  <x:conditionalFormatting sqref="K6:K114">
    <x:cfRule type="containsText" dxfId="43" priority="1" operator="containsText" text="Low"/>
    <x:cfRule type="containsText" dxfId="44" priority="2" operator="containsText" text="High"/>
    <x:cfRule type="containsText" dxfId="45" priority="3" operator="containsText" text="Moderate"/>
  </x:conditionalFormatting>
  <x:conditionalFormatting sqref="N6:P114">
    <x:cfRule type="containsText" dxfId="46" priority="4" operator="containsText" text="Yes"/>
    <x:cfRule type="containsText" dxfId="47" priority="5" operator="containsText" text="No"/>
  </x:conditionalFormatting>
  <x:pageMargins left="0.7" right="0.7" top="0.75" bottom="0.75" header="0.3" footer="0.3"/>
  <x:tableParts count="1">
    <x:tablePart xmlns:r="http://schemas.openxmlformats.org/officeDocument/2006/relationships" r:id="R88ab6e61935d45e1"/>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4" hidden="0" customWidth="1"/>
    <x:col min="2" max="2" width="54" hidden="0" customWidth="1"/>
    <x:col min="3" max="3" width="110" hidden="0" customWidth="1"/>
    <x:col min="4" max="4" width="30" hidden="0" customWidth="1"/>
    <x:col min="5" max="5" width="34" hidden="0" customWidth="1"/>
    <x:col min="6" max="6" width="52" hidden="0" customWidth="1"/>
  </x:cols>
  <x:sheetData>
    <x:row r="1" ht="22.5" customHeight="1">
      <x:c r="A1" s="992" t="str">
        <x:v>Abstract Evidence Register — Sources Used for the 109 Extractions</x:v>
      </x:c>
      <x:c r="B1" s="992"/>
      <x:c r="C1" s="992"/>
      <x:c r="D1" s="992"/>
      <x:c r="E1" s="992"/>
      <x:c r="F1" s="992"/>
    </x:row>
    <x:row r="2" ht="40.5" customHeight="1">
      <x:c r="A2" s="969" t="str">
        <x:v>This sheet preserves the exact abstract-level evidence used for extraction. Two records rely on authoritative search-indexed abstract summaries and are explicitly labelled Low confidence; all other rows use complete abstracts from publisher, repository, preprint, or scholarly metadata records.</x:v>
      </x:c>
      <x:c r="B2" s="969"/>
      <x:c r="C2" s="969"/>
      <x:c r="D2" s="969"/>
      <x:c r="E2" s="969"/>
      <x:c r="F2" s="969"/>
    </x:row>
    <x:row r="3" ht="25.5" customHeight="1">
      <x:c r="A3" s="994" t="str">
        <x:v>Evidence records</x:v>
      </x:c>
      <x:c r="B3" s="978" t="n">
        <x:f>COUNTA(A6:A114)</x:f>
        <x:v>109</x:v>
      </x:c>
      <x:c r="C3" s="994" t="str">
        <x:v>Complete abstracts</x:v>
      </x:c>
      <x:c r="D3" s="978" t="n">
        <x:f>COUNTIF(E6:E114,"&lt;&gt;Low — indexed summary only")</x:f>
        <x:v>107</x:v>
      </x:c>
      <x:c r="E3" s="994" t="str">
        <x:v>Indexed summaries</x:v>
      </x:c>
      <x:c r="F3" s="978" t="n">
        <x:f>COUNTIF(E6:E114,"Low — indexed summary only")</x:f>
        <x:v>2</x:v>
      </x:c>
    </x:row>
    <x:row r="5" ht="36" customHeight="1">
      <x:c r="A5" s="974" t="str">
        <x:v>Record ID</x:v>
      </x:c>
      <x:c r="B5" s="974" t="str">
        <x:v>Study title</x:v>
      </x:c>
      <x:c r="C5" s="974" t="str">
        <x:v>Abstract evidence used</x:v>
      </x:c>
      <x:c r="D5" s="974" t="str">
        <x:v>Evidence basis</x:v>
      </x:c>
      <x:c r="E5" s="974" t="str">
        <x:v>Extraction confidence</x:v>
      </x:c>
      <x:c r="F5" s="974" t="str">
        <x:v>Source URL</x:v>
      </x:c>
    </x:row>
    <x:row r="6" ht="210" customHeight="1">
      <x:c r="A6" s="990" t="str">
        <x:v>PM-001</x:v>
      </x:c>
      <x:c r="B6" s="988" t="str">
        <x:v>Vision language models in ophthalmology</x:v>
      </x:c>
      <x:c r="C6" s="988" t="str">
        <x:v>PURPOSE OF REVIEW: Vision Language Models are an emerging paradigm in artificial intelligence that offers the potential to natively analyze both image and textual data simultaneously, within a single model. The fusion of these two modalities is of particular relevance to ophthalmology, which has historically involved specialized imaging techniques such as angiography, optical coherence tomography, and fundus photography, while also interfacing with electronic health records that include free text descriptions. This review then surveys the fast-evolving field of Vision Language Models as they apply to current ophthalmologic research and practice. RECENT FINDINGS: Although models incorporating both image and text data have a long provenance in ophthalmology, effective multimodal Vision Language Models are a recent development exploiting advances in technologies such as transformer and autoencoder models. SUMMARY: Vision Language Models offer the potential to assist and streamline the existing clinical workflow in ophthalmology, whether previsit, during, or post-visit. There are, however, also important challenges to be overcome, particularly regarding patient privacy and explainability of model recommendations.</x:v>
      </x:c>
      <x:c r="D6" s="990" t="str">
        <x:v>OpenAlex scholarly record</x:v>
      </x:c>
      <x:c r="E6" s="990" t="str">
        <x:v>Moderate — complete scholarly-record abstract</x:v>
      </x:c>
      <x:c r="F6" s="988" t="str">
        <x:v>https://journals.lww.com/co-ophthalmology/fulltext/2024/11000/vision_language_models_in_ophthalmology.9.aspx</x:v>
      </x:c>
    </x:row>
    <x:row r="7" ht="210" customHeight="1">
      <x:c r="A7" s="990" t="str">
        <x:v>PM-003</x:v>
      </x:c>
      <x:c r="B7" s="988" t="str">
        <x:v>A multimodal vision–language model for generalizable annotation-free pathology localization</x:v>
      </x:c>
      <x:c r="C7" s="988" t="str">
        <x:v>Existing deep learning models for defining pathology from clinical imaging data rely on expert annotations and lack generalization capabilities in open clinical environments. Here we present a generalizable vision–language model for Annotation-Free pathology Localization (AFLoc). The core strength of AFLoc is extensive multilevel semantic structure-based contrastive learning, which comprehensively aligns multigranularity medical concepts with abundant image features to adapt to the diverse expressions of pathologies without the reliance on expert image annotations. We conducted primary experiments on a dataset of 220,000 pairs of image–report chest X-ray images and performed validation across 8 external datasets encompassing 34 types of chest pathology. The results demonstrate that AFLoc outperforms state-of-the-art methods in both annotation-free localization and classification tasks. In addition, we assessed the generalizability of AFLoc on other modalities, including histopathology and retinal fundus images. We show that AFLoc exhibits robust generalization capabilities, even surpassing human benchmarks in localizing five different types of pathological image. These results highlight the potential of AFLoc in reducing annotation requirements and its applicability in complex clinical environments. An annotation-free vision–language model based on contrastive learning performs pathology localization and clinical diagnosis on a wide variety of medical image datasets.</x:v>
      </x:c>
      <x:c r="D7" s="990" t="str">
        <x:v>Semantic Scholar record</x:v>
      </x:c>
      <x:c r="E7" s="990" t="str">
        <x:v>Moderate — complete scholarly-record abstract</x:v>
      </x:c>
      <x:c r="F7" s="988" t="str">
        <x:v>https://www.nature.com/articles/s41551-025-01574-7</x:v>
      </x:c>
    </x:row>
    <x:row r="8" ht="210" customHeight="1">
      <x:c r="A8" s="990" t="str">
        <x:v>PM-004</x:v>
      </x:c>
      <x:c r="B8" s="988" t="str">
        <x:v>An Interpretable and Accurate Deep-Learning Diagnosis Framework Modeled With Fully and Semi-Supervised Reciprocal Learning</x:v>
      </x:c>
      <x:c r="C8" s="988" t="str">
        <x:v>The deployment of automated deep-learning classifiers in clinical practice has the potential to streamline the diagnosis process and improve the diagnosis accuracy, but the acceptance of those classifiers relies on both their accuracy and interpretability. In general, accurate deep-learning classifiers provide little model interpretability, while interpretable models do not have competitive classification accuracy. In this paper, we introduce a new deep-learning diagnosis framework, called InterNRL, that is designed to be highly accurate and interpretable. InterNRL consists of a student-teacher framework, where the student model is an interpretable prototype-based classifier (ProtoPNet) and the teacher is an accurate global image classifier (GlobalNet). The two classifiers are mutually optimised with a novel reciprocal learning paradigm in which the student ProtoPNet learns from optimal pseudo labels produced by the teacher GlobalNet, while GlobalNet learns from ProtoPNet's classification performance and pseudo labels. This reciprocal learning paradigm enables InterNRL to be flexibly optimised under both fully- and semi-supervised learning scenarios, reaching state-of-the-art classification performance in both scenarios for the tasks of breast cancer and retinal disease diagnosis. Moreover, relying on weakly-labelled training images, InterNRL also achieves superior breast cancer localisation and brain tumour segmentation results than other competing methods.</x:v>
      </x:c>
      <x:c r="D8" s="990" t="str">
        <x:v>OpenAlex scholarly record</x:v>
      </x:c>
      <x:c r="E8" s="990" t="str">
        <x:v>Moderate — complete scholarly-record abstract</x:v>
      </x:c>
      <x:c r="F8" s="988" t="str">
        <x:v>https://ieeexplore.ieee.org/document/10225391/</x:v>
      </x:c>
    </x:row>
    <x:row r="9" ht="210" customHeight="1">
      <x:c r="A9" s="990" t="str">
        <x:v>PM-005</x:v>
      </x:c>
      <x:c r="B9" s="988" t="str">
        <x:v>Concept-based AI interpretability in physiological time-series data: Example of abnormality detection in electroencephalography</x:v>
      </x:c>
      <x:c r="C9" s="988" t="str">
        <x:v>• Testing with concept activation vectors (TCAV) employs concept-based explanations of deep neural networks built for the classification of electroencephalography (EEG) data. • TCAV analysis confirms the medical expectation with high concept sensitivity towards typical epileptogenic signal patterns for the classification of abnormal EEGs. • Concept samples can be created from labeled signal sections, using metadata, as well as by extracting or simulating signal characteristics in the form of frequencies. • TCAV analysis yields consistent results for concept samples from different sources. Despite recent performance advancements, deep learning models are not yet adopted in clinical practice on a wide scale. The intrinsic intransparency of such systems is commonly cited as one major reason for this reluctance. This has motivated methods that aim to provide explanations of model functioning. Known limitations of feature-based explanations have led to an increased interest in concept-based interpretability. Testing with Concept Activation Vectors (TCAV) employs human-understandable, abstract concepts to explain model behavior. The method has previously been applied to the medical domain in the context of electronic health records, retinal fundus images and magnetic resonance imaging. We explore the usage of TCAV for building interpretable models on physiological time series, using an example of abnormality detection in electroencephalography (EEG). For this purpose, we adopt the XceptionTime model, which is suitable for multi-channel physiological data of variable sizes. The model provides state-of-the-art performance on raw EEG data and is publically available. We propose and test several ideas regarding concept definition through metadata mining, using additional labeled EEG data and extracting interpretable signal characteristics in the form of frequencies. By including our own hospital data with analog labeling, we further evaluate the robustness of our approach. The tested concepts show a TCAV score distribution that is in line with the clinical expectations, i.e. concepts known to have strong links with EEG pathologies (such as epileptiform discharges) received higher scores than the neutral concepts (e.g. sex). The scores were consistent across the applied concept generation strategies. TCAV has the potential to improve interpretability of deep learning applied to multi-channel signals as well as to detect possible biases in the data. Still, further work on developing the strategies for concept definition and validation on clinical physiological time series is needed to better understand how to extract clinically relevant information from the concept sensitivity scores.</x:v>
      </x:c>
      <x:c r="D9" s="990" t="str">
        <x:v>OpenAlex scholarly record</x:v>
      </x:c>
      <x:c r="E9" s="990" t="str">
        <x:v>Moderate — complete scholarly-record abstract</x:v>
      </x:c>
      <x:c r="F9" s="988" t="str">
        <x:v>https://www.sciencedirect.com/science/article/pii/S0169260724004413</x:v>
      </x:c>
    </x:row>
    <x:row r="10" ht="210" customHeight="1">
      <x:c r="A10" s="990" t="str">
        <x:v>PM-007</x:v>
      </x:c>
      <x:c r="B10" s="988" t="str">
        <x:v>Robust and Interpretable Convolutional Neural Networks to Detect Glaucoma in Optical Coherence Tomography Images</x:v>
      </x:c>
      <x:c r="C10" s="988" t="str">
        <x:v>Recent studies suggest that deep learning systems can now achieve performance on par with medical experts in diagnosis of disease. A prime example is in the field of ophthalmology, where convolutional neural networks (CNNs) have been used to detect retinal and ocular diseases. However, this type of artificial intelligence (AI) has yet to be adopted clinically due to questions regarding robustness of the algorithms to datasets collected at new clinical sites and a lack of explainability of AI-based predictions, especially relative to those of human expert counterparts. In this work, we develop CNN architectures that demonstrate robust detection of glaucoma in optical coherence tomography (OCT) images and test with concept activation vectors (TCAVs) to infer what image concepts CNNs use to generate predictions. Furthermore, we compare TCAV results to eye fixations of clinicians, to identify common decision-making features used by both AI and human experts. We find that employing fine-tuned transfer learning and CNN ensemble learning create end-to-end deep learning models with superior robustness compared to previously reported hybrid deep-learning/machine-learning models, and TCAV/eye-fixation comparison suggests the importance of three OCT report sub-images that are consistent with areas of interest fixated upon by OCT experts to detect glaucoma. The pipeline described here for evaluating CNN robustness and validating interpretable image concepts used by CNNs with eye movements of experts has the potential to help standardize the acceptance of new AI tools for use in the clinic.</x:v>
      </x:c>
      <x:c r="D10" s="990" t="str">
        <x:v>OpenAlex scholarly record</x:v>
      </x:c>
      <x:c r="E10" s="990" t="str">
        <x:v>Moderate — complete scholarly-record abstract</x:v>
      </x:c>
      <x:c r="F10" s="988" t="str">
        <x:v>https://doi.org/10.1109/TBME.2020.3043215</x:v>
      </x:c>
    </x:row>
    <x:row r="11" ht="210" customHeight="1">
      <x:c r="A11" s="990" t="str">
        <x:v>PM-008</x:v>
      </x:c>
      <x:c r="B11" s="988" t="str">
        <x:v>Neurosymbolic AI Framework for Explainable Retinal Disease Classification From OCT Images</x:v>
      </x:c>
      <x:c r="C11" s="988" t="str">
        <x:v>Purpose: Accurate classification of retinal diseases such as dry age-related macular degeneration, wet AMD, epiretinal membrane, full-thickness macular hole (MH), lamellar MH, and central serous chorioretinopathy (CSC) is essential for effective treatment and clinical decision-making. Traditional deep learning models, however, often struggle with imbalanced datasets and lack interpretability, limiting their translational applicability in ophthalmology. Methods: We propose a neurosymbolic framework that integrates a convolutional neural network (CNN) with a symbolic reasoning layer based on expert-defined clinical rules. A total of 10,846 optical coherence tomography images were retrospectively collected and categorized into seven diagnostic classes: dry AMD, wet AMD, epiretinal membrane, full-thickness MH, lamellar MH, central serous chorioretinopathy, and healthy retinas. Results: Our neurosymbolic model achieved macro-precision 0.83, recall 0.82, and F1 0.81, on internal dataset, having slightly better performance than the CNN (0.64/0.83/0.68). On the external dataset, it retained superior performance, macro-precision 0.85, recall 0.79, F1 0.78, versus the CNN (0.73/0.64/0.59). Conclusions: Our hybrid neurosymbolic framework introduces a unified paradigm that couples symbolic reasoning with a conventional CNN, improving diagnostic performance while delivering transparent, clinically interpretable decisions. It is particularly effective for rare and complex conditions that often challenge end-to-end deep learning models. Translational Relevance: By integrating symbolic clinical logic with visual pattern recognition, the neurosymbolic model fosters trust in artificial intelligence-assisted diagnostics and supports precise, explainable decision-making in retinal care.</x:v>
      </x:c>
      <x:c r="D11" s="990" t="str">
        <x:v>OpenAlex scholarly record</x:v>
      </x:c>
      <x:c r="E11" s="990" t="str">
        <x:v>Moderate — complete scholarly-record abstract</x:v>
      </x:c>
      <x:c r="F11" s="988" t="str">
        <x:v>https://tvst.arvojournals.org/article.aspx?articleid=2811318</x:v>
      </x:c>
    </x:row>
    <x:row r="12" ht="210" customHeight="1">
      <x:c r="A12" s="990" t="str">
        <x:v>PM-009</x:v>
      </x:c>
      <x:c r="B12" s="988" t="str">
        <x:v>Grounded report generation for enhancing ophthalmic ultrasound interpretation using Vision-Language Segmentation models</x:v>
      </x:c>
      <x:c r="C12" s="988" t="str">
        <x:v>Accurate interpretation of ophthalmic ultrasound is crucial for diagnosing eye conditions but remains time-consuming and requires significant expertise. With the increasing volume of ultrasound data, there is a need for Artificial Intelligence (AI) systems capable of efficiently analyzing images and generating reports. Traditional AI models for report generation cannot simultaneously identify lesions and lack interpretability. This study proposes the Vision-Language Segmentation (VLS) model, combining Vision-Language Model (VLM) with the Segment Anything Model (SAM) to improve interpretability in ophthalmic ultrasound imaging. Using data from three hospitals, totaling 64,098 images and 21,355 reports, the VLS model achieved a BLEU4 score of 66.37 in internal test set, and 85.36 and 73.77 in external test sets. The model achieved a mean dice coefficient of 59.6% in internal test set, and dice coefficients of 50.2% and 51.5% with specificity values of 97.8% and 97.7% in external test sets, respectively. Overall diagnostic accuracy was 90.59% in internal and 71.87% in external test sets. A cost-effectiveness analysis demonstrated a 30-fold reduction in report costs, from $39 per report by senior ophthalmologists to $1.3 for VLS. This approach enhances diagnostic accuracy, reduces manual effort, and accelerates workflows, offering a promising solution for ophthalmic ultrasound interpretation.</x:v>
      </x:c>
      <x:c r="D12" s="990" t="str">
        <x:v>OpenAlex scholarly record</x:v>
      </x:c>
      <x:c r="E12" s="990" t="str">
        <x:v>Moderate — complete scholarly-record abstract</x:v>
      </x:c>
      <x:c r="F12" s="988" t="str">
        <x:v>https://www.nature.com/articles/s41746-025-02300-y</x:v>
      </x:c>
    </x:row>
    <x:row r="13" ht="210" customHeight="1">
      <x:c r="A13" s="990" t="str">
        <x:v>PM-012</x:v>
      </x:c>
      <x:c r="B13" s="988" t="str">
        <x:v>Cross- and Intra-Image Prototypical Learning for Multi-Label Disease Diagnosis and Interpretation</x:v>
      </x:c>
      <x:c r="C13" s="988" t="str">
        <x:v>Recent advances in prototypical learning have shown remarkable potential to provide useful decision interpretations associating activation maps and predictions with class-specific training prototypes. Such prototypical learning has been well-studied for various single-label diseases, but for quite relevant and more challenging multi-label diagnosis, where multiple diseases are often concurrent within an image, existing prototypical learning models struggle to obtain meaningful activation maps and effective class prototypes due to the entanglement of the multiple diseases. In this paper, we present a novel Cross- and Intra-image Prototypical Learning (CIPL) framework, for accurate multi-label disease diagnosis and interpretation from medical images. CIPL takes advantage of common cross-image semantics to disentangle the multiple diseases when learning the prototypes, allowing a comprehensive understanding of complicated pathological lesions. Furthermore, we propose a new two-level alignment-based regularisation strategy that effectively leverages consistent intra-image information to enhance interpretation robustness and predictive performance. Extensive experiments show that our CIPL attains the state-of-the-art (SOTA) classification accuracy in two public multi-label benchmarks of disease diagnosis: thoracic radiography and fundus images. Quantitative interpretability results show that CIPL also has superiority in weakly-supervised thoracic disease localisation over other leading saliency- and prototype-based explanation methods.</x:v>
      </x:c>
      <x:c r="D13" s="990" t="str">
        <x:v>OpenAlex scholarly record</x:v>
      </x:c>
      <x:c r="E13" s="990" t="str">
        <x:v>Moderate — complete scholarly-record abstract</x:v>
      </x:c>
      <x:c r="F13" s="988" t="str">
        <x:v>https://ieeexplore.ieee.org/iel8/42/4359023/10887396.pdf</x:v>
      </x:c>
    </x:row>
    <x:row r="14" ht="210" customHeight="1">
      <x:c r="A14" s="990" t="str">
        <x:v>PM-016</x:v>
      </x:c>
      <x:c r="B14" s="988" t="str">
        <x:v>An Explainable AI Framework for Corneal Imaging Interpretation and Refractive Surgery Decision Support</x:v>
      </x:c>
      <x:c r="C14" s="988" t="str">
        <x:v>This study introduces an explainable neuro-symbolic and large language model (LLM)-driven framework for intelligent interpretation of corneal topography and precision surgical decision support. In a prospective cohort of 20 eyes, comprehensive IOLMaster 700 reports were analyzed through a four-stage pipeline: (1) automated extraction of key parameters—including corneal curvature, pachymetry, and axial biometry; (2) mapping of these quantitative features onto a curated corneal disease and refractive-surgery knowledge graph; (3) Bayesian probabilistic inference to evaluate early keratoconus and surgical eligibility; and (4) explainable multi-model LLM reporting, employing DeepSeek and GPT-4.0, to generate bilingual physician- and patient-facing narratives. By transforming complex imaging data into transparent reasoning chains, the pipeline delivered case-level outputs within ~95 ± 12 s. When benchmarked against independent evaluations by two senior corneal specialists, the framework achieved 92 ± 4% sensitivity, 94 ± 5% specificity, 93 ± 4% accuracy, and an AUC of 0.95 ± 0.03 for early keratoconus detection, alongside an F1 score of 0.90 ± 0.04 for refractive surgery eligibility. The generated bilingual reports were rated ≥4.8/5 for logical clarity, clinical usefulness, and comprehensibility, with representative cases fully concordant with expert judgment. Comparative benchmarking against baseline CNN and ViT models demonstrated superior diagnostic accuracy (AUC = 0.95 ± 0.03 vs. 0.88 and 0.90, p &amp;lt; 0.05), confirming the added value of the neuro-symbolic reasoning layer. All analyses were executed on a workstation equipped with an NVIDIA RTX 4090 GPU and implemented in Python 3.10/PyTorch 2.2.1 for full reproducibility. By explicitly coupling symbolic medical knowledge with advanced language models and embedding explainable artificial intelligence (XAI) principles throughout data processing, reasoning, and reporting, this framework provides a transparent, rapid, and clinically actionable AI solution. The approach holds significant promise for improving early ectatic disease detection and supporting individualized refractive surgery planning in routine ophthalmic practice.</x:v>
      </x:c>
      <x:c r="D14" s="990" t="str">
        <x:v>OpenAlex scholarly record</x:v>
      </x:c>
      <x:c r="E14" s="990" t="str">
        <x:v>Moderate — complete scholarly-record abstract</x:v>
      </x:c>
      <x:c r="F14" s="988" t="str">
        <x:v>https://www.mdpi.com/2306-5354/12/11/1174</x:v>
      </x:c>
    </x:row>
    <x:row r="15" ht="210" customHeight="1">
      <x:c r="A15" s="990" t="str">
        <x:v>PM-017</x:v>
      </x:c>
      <x:c r="B15" s="988" t="str">
        <x:v>Explainable Artificial Intelligence Framework for Predicting Treatment Outcomes in Age-Related Macular Degeneration</x:v>
      </x:c>
      <x:c r="C15" s="988" t="str">
        <x:v>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 0.01). Explainability metrics showed that &amp;gt;85% of predictions were supported by high-confidence knowledge-graph rules, and &amp;gt;90% of generated narratives accurately cited key biomarkers. A detailed case study demonstrated real-time, individualized risk stratification—for example, predicting an &amp;gt;70% probability of requiring three or more anti-VEGF injections within 12 months and a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x:v>
      </x:c>
      <x:c r="D15" s="990" t="str">
        <x:v>OpenAlex scholarly record</x:v>
      </x:c>
      <x:c r="E15" s="990" t="str">
        <x:v>Moderate — complete scholarly-record abstract</x:v>
      </x:c>
      <x:c r="F15" s="988" t="str">
        <x:v>https://www.mdpi.com/1424-8220/25/22/6879</x:v>
      </x:c>
    </x:row>
    <x:row r="16" ht="210" customHeight="1">
      <x:c r="A16" s="990" t="str">
        <x:v>PM-018</x:v>
      </x:c>
      <x:c r="B16" s="988" t="str">
        <x:v>Explainable neuro-symbolic artificial intelligence for automated interpretation of corneal topography and early keratoconus detection</x:v>
      </x:c>
      <x:c r="C16" s="988" t="str">
        <x:v>Background: Early detection of keratoconus is essential for preventing postoperative complications in refractive surgery and preserving long-term visual function. Although artificial intelligence has demonstrated strong potential in ophthalmic image analysis, many existing models operate as black-box systems and provide limited clinical interpretability. Transparent decision support is therefore critical for safe deployment of AI in clinical practice. Methods: We propose an explainable neuro-symbolic framework for automated interpretation of corneal topography reports and refractive surgery eligibility assessment. The proposed system integrates multimodal feature extraction, a symbolic corneal knowledge graph, probabilistic reasoning, and large language model (LLM)-based report generation. Quantitative biometric parameters and corneal curvature maps extracted from IOLMaster 700 reports were processed through a hybrid convolutional neural network-Vision Transformer (CNN-ViT) module to capture spatial corneal morphology. These representations were aligned with a clinically curated knowledge graph encoding relationships between corneal parameters, disease states, and surgical decision criteria. Bayesian probabilistic inference was then applied to estimate disease likelihoods, while an ensemble LLM module generated structured bilingual clinical reports explaining the reasoning process. Results: In a prospective pilot cohort of 20 eyes, the proposed framework demonstrated strong diagnostic performance for early keratoconus detection, achieving an area under the receiver operating characteristic curve (AUC) of approximately 0.95. Sensitivity and specificity remained high across decision thresholds, and the system achieved a balanced F1 score for refractive surgery eligibility classification. Expert evaluation indicated high interpretability and clinical usefulness of the generated reports. The end-to-end pipeline required approximately 95 ± 12 s per case, supporting near-real-time clinical decision support. Conclusion: The proposed neuro-symbolic framework combines deep representation learning, structured medical knowledge, and explainable language-based reporting to provide transparent AI-assisted corneal diagnostics. Although the current results are based on a pilot cohort, the framework demonstrates the potential of integrating neural networks, knowledge graphs, and large language models for interpretable ophthalmic AI systems. Future studies using larger multicenter datasets are required to further validate clinical performance and generalizability.</x:v>
      </x:c>
      <x:c r="D16" s="990" t="str">
        <x:v>OpenAlex scholarly record</x:v>
      </x:c>
      <x:c r="E16" s="990" t="str">
        <x:v>Moderate — complete scholarly-record abstract</x:v>
      </x:c>
      <x:c r="F16" s="988" t="str">
        <x:v>https://www.frontiersin.org/journals/artificial-intelligence/articles/10.3389/frai.2026.1713747/pdf</x:v>
      </x:c>
    </x:row>
    <x:row r="17" ht="210" customHeight="1">
      <x:c r="A17" s="990" t="str">
        <x:v>PM-020</x:v>
      </x:c>
      <x:c r="B17" s="988" t="str">
        <x:v>Compact vision language models enable efficient and interpretable optical coherence tomography through layer-specific multimodal learning</x:v>
      </x:c>
      <x:c r="C17" s="988" t="str">
        <x:v>Translating the intricate anatomical signatures of retinal disease from optical coherence tomography (OCT) B-scans into clear, accurate clinical narratives demands algorithms that seamlessly fuse visual features with domain expertise. We curated a multimodal dataset of 40,000 OCT B-scans from public repositories and private clinical cohorts, each paired with expert-validated summaries spanning six conditions: diabetic macular edema, diabetic retinopathy, geographic atrophy, drusen, choroidal neovascularization, and healthy retina. We introduce LO-VLM, a compact (247M parameter) vision-language model (VLM) that infuses anatomical guidance into both encoder and decoder for free-form summary generation and multiclass disease classification. Benchmarking against state-of-the-art RetinaVLM, LLaVA-Med, and a ViT vision only model demonstrates superior performance. In a blinded evaluation by three board certified retina specialists, LO-VLM narratives achieves a mean = 8.5 (standard deviation = 1.15) out of 10, compared to a mean = 5.5 (standard 32 deviation = 1.13) for RetinaVLM (p &lt; 0.0001). In quantitative evaluations, LO-VLM achieves an SBERT similarity of 80.3% and a BERTScore F1 of 71.5%, representing improvements of 8.2% and 28.8% over specialized VLM baselines. For disease classification, LO-VLM reaches 96% accuracy (F1 = 96%), outperforming ViT by 13% and exceeding medical VLM benchmarks by over 62% (p &lt; 0.05). By reconciling interpretability with computational efficiency, LO-VLM establishes a paradigm for efficient AI models in OCT interpretation. Eye diseases such as diabetic retinopathy and macular degeneration can cause vision loss if not detected early. Doctors use a type of imaging called optical coherence tomography (OCT) to examine the layers of the retina, but interpreting the images obtained can be time-consuming and requires specialist training. In this study, we developed LO-VLM, an artificial intelligence system that learns from both images and descriptions written by experts to enable analysis of OCT scans. Using 40,000 examples, it can accurately identify different retinal diseases and generate clear, human readable summaries. LO-VLM achieves high accuracy and produces reports clinicians find useful. This technology could support faster, more consistent eye disease diagnosis and provide interpretation similar to that seen by specialists in routine and remote care settings. Wang et al at introduce a dynamic, network-based tool to predict the risk of hepatic encephalopathy in patients with cirrhosis. The model integrates expert knowledge with data-driven insights to enable early prediction and risk stratification across diverse patient populations.</x:v>
      </x:c>
      <x:c r="D17" s="990" t="str">
        <x:v>OpenAlex scholarly record</x:v>
      </x:c>
      <x:c r="E17" s="990" t="str">
        <x:v>Moderate — complete scholarly-record abstract</x:v>
      </x:c>
      <x:c r="F17" s="988" t="str">
        <x:v>https://www.nature.com/articles/s43856-025-01293-9</x:v>
      </x:c>
    </x:row>
    <x:row r="18" ht="210" customHeight="1">
      <x:c r="A18" s="990" t="str">
        <x:v>PM-021</x:v>
      </x:c>
      <x:c r="B18" s="988" t="str">
        <x:v>ORBIT‐AMD: Ordinal Risk, Bilateral Imaging, and Trajectory Learning for Age‐Related Macular Degeneration in Multi‐Cohorts</x:v>
      </x:c>
      <x:c r="C18" s="988" t="str">
        <x:v>Age-related macular degeneration (AMD) is an ordered, bilateral, and longitudinal disease, yet many artificial intelligence systems treat it as static binary image classification. We developed ORBIT-AMD, a multimodal trajectory-learning framework integrating color fundus photography and optical coherence tomography, bilateral eye-graph attention, concept bottlenecks, ordinal staging, cause-specific discrete-time survival prediction, and protocol alignment. In a UK Biobank development/internal-testing cohort of 58 214 participants and 109 691 eyes, and an external Tianjin Medical University Eye Hospital cohort of 1996 participants and 3780 eyes, ORBIT-AMD achieved AUROC values of 0.984 internally and 0.975 externally for prevalent late-AMD detection. Five-year late-AMD progression prediction achieved AUROC values of 0.825 and 0.767, respectively. Calibration and threshold analyses showed cohort-dependent workload and absolute-risk behavior, supporting site-specific calibration assessment and clinical-workflow evaluation before deployment. The concept bottleneck provided auditable lesion-level explanations, but these outputs should be interpreted as structured predictive explanations rather than causal evidence. ORBIT-AMD provides a trajectory-aware framework for AMD risk stratification and review prioritization, with prospective validation required before clinical implementation.</x:v>
      </x:c>
      <x:c r="D18" s="990" t="str">
        <x:v>OpenAlex scholarly record</x:v>
      </x:c>
      <x:c r="E18" s="990" t="str">
        <x:v>Moderate — complete scholarly-record abstract</x:v>
      </x:c>
      <x:c r="F18" s="988" t="str">
        <x:v>https://advanced.onlinelibrary.wiley.com/doi/10.1002/advs.76361</x:v>
      </x:c>
    </x:row>
    <x:row r="19" ht="210" customHeight="1">
      <x:c r="A19" s="990" t="str">
        <x:v>PM-024</x:v>
      </x:c>
      <x:c r="B19" s="988" t="str">
        <x:v>Explainable multimodal AI and neuro-symbolic clinical decision support system for chronic eye disease management: a digital health implementation study</x:v>
      </x:c>
      <x:c r="C19" s="988" t="str">
        <x:v>Introduction: Administrative burden and documentation workload are increasingly recognized as major contributors to healthcare costs and clinician burnout, particularly in chronic disease management such as age-related macular degeneration (AMD). These non-clinical tasks reduce time available for patient care and introduce inefficiencies in coding, billing, and compliance workflows. This study aimed to evaluate the technical feasibility and economic impact of an artificial intelligence-based system for automating administrative documentation in AMD care. Methods: A longitudinal proof-of-concept study was conducted in a tertiary ophthalmology network. A hybrid Neuro-Symbolic and Large Language Model (LLM) framework was developed to automate information extraction, clinical documentation structuring, and billing code validation. The system was applied to 24 de-identified unstructured clinical documents, including outpatient notes, operative reports, optical coherence tomography reports, and billing records. The processing pipeline included optical character recognition, knowledge-augmented LLM-based entity extraction, and neuro-symbolic rule-based validation to ensure clinical consistency, ICD-10/CPT coding accuracy, and reimbursement eligibility. Outputs were structured into standardized JSON clinical documentation formats. Results: The system achieved 98.3% accuracy in clinical entity extraction and 96.7% accuracy in administrative information extraction. Automated rule validation achieved 100% reimbursement compliance with no denied insurance claims. Mean documentation time per encounter decreased from 25.0 ± 5.0 min to 3.2 ± 1.1 min, representing an 88% reduction in documentation time. This resulted in an estimated labor cost saving of approximately 52 CNY (≈7 USD) per visit and projected annual savings of 42-56 USD per AMD patient under standard treatment schedules. Discussion: This study demonstrates the feasibility of integrating neuro-symbolic reasoning with large language models to automate administrative workflows in ophthalmology. The proposed system improves documentation efficiency, coding accuracy, and auditability while reducing hidden administrative costs. Although limited by a small sample size and single-center design, the framework provides a scalable and explainable architecture for AI-assisted administrative automation in digital health systems and chronic disease management. Conclusion: AI-enabled administrative automation using a neuro-symbolic and LLM framework has the potential to significantly improve operational efficiency and reduce costs in AMD care, supporting the development of sustainable and value-based digital healthcare systems.</x:v>
      </x:c>
      <x:c r="D19" s="990" t="str">
        <x:v>OpenAlex scholarly record</x:v>
      </x:c>
      <x:c r="E19" s="990" t="str">
        <x:v>Moderate — complete scholarly-record abstract</x:v>
      </x:c>
      <x:c r="F19" s="988" t="str">
        <x:v>https://www.frontiersin.org/journals/digital-health/articles/10.3389/fdgth.2026.1836890/full</x:v>
      </x:c>
    </x:row>
    <x:row r="20" ht="210" customHeight="1">
      <x:c r="A20" s="990" t="str">
        <x:v>IEEE-001</x:v>
      </x:c>
      <x:c r="B20" s="988" t="str">
        <x:v>Case Based Reasoning in Retina Abnormalities Detection</x:v>
      </x:c>
      <x:c r="C20" s="988" t="str">
        <x:v>This research is an effort to assist the ophthalmologists in the primary prediction of retina diseases due to Diabetic Retinopathy and Age related Macular Degeneration. Case Based Reasoning is a paradigm that solves problems by using past experiences similar to the medical diagnosis process. In this paper, Case Based Reasoning is used to develop a computer aided diagnosis system to detect the retina abnormalities. The proposed system contains candidate lesion (both bright and dark) detection by processing the macula centric retina fundus images followed by feature set selection and classification. The lesion detection is done by Otsu multilevel segmentation followed by optic disc and blood vessel tree elimination. Each region of candidate lesions is evaluated in terms of the selected feature set. Case Based Reasoning based classification is implemented using K-Nearest Neighbour algorithm to predict the class type of each region. The KNN classifier outperforms Naïve Bayes classifier and achieves 92.6% of average accuracy with an ROC of 0.952 in lesion classification.</x:v>
      </x:c>
      <x:c r="D20" s="990" t="str">
        <x:v>OpenAlex scholarly record</x:v>
      </x:c>
      <x:c r="E20" s="990" t="str">
        <x:v>Moderate — complete scholarly-record abstract</x:v>
      </x:c>
      <x:c r="F20" s="988" t="str">
        <x:v>https://ieeexplore.ieee.org/iel7/9018167/9036148/09036318.pdf</x:v>
      </x:c>
    </x:row>
    <x:row r="21" ht="210" customHeight="1">
      <x:c r="A21" s="990" t="str">
        <x:v>IEEE-002</x:v>
      </x:c>
      <x:c r="B21" s="988" t="str">
        <x:v>Protostage-NET: A Clinically Guided Foundation Model With Prototypical Learning for Automated Amd Grading From Oct Images</x:v>
      </x:c>
      <x:c r="C21" s="988" t="str">
        <x:v>Age-related macular degeneration (AMD) is a major cause of vision loss, where accurate staging is essential for treatment. However, most recent approaches for OCT images remain limited to binary classification and do not capture the full clinical spectrum of the disease. To address this gap, we propose ProtoStage-Net, an explainable foundation model framework for fine-grained AMD staging. Our method leverages the DINOv2 vision foundation model as a backbone, fully fine-tuned for OCT data, and introduces two clinically inspired attention mechanisms: the Clinically Guided Channel Attention (CGCA) module, which emphasizes diseaserelevant feature channels, and the Lesion Localization Module (LLM), which highlights pathological retinal regions. Classification is performed through a hierarchical prototypical learning strategy at binary, ternary, and detailed six-class levels, providing transparent similarity-based decisions. In addition, we incorporate temporal ordinal constraints to enforce clinically valid AMD progression pathways. We evaluate ProtoStage-Net on a cohort of 954 OCT B-scans acquired from three different imaging devices. Our framework achieves a macro F1-score of 93.49 %, surpassing the baseline foundation model by more than 2 % and outperforming recent state-of-the-art methods. Extensive experiments further demonstrate the clinical explainability of our approach, with saliency maps confirming that ProtoStage-Net accurately localizes lesion regions across different AMD grades.</x:v>
      </x:c>
      <x:c r="D21" s="990" t="str">
        <x:v>Semantic Scholar record</x:v>
      </x:c>
      <x:c r="E21" s="990" t="str">
        <x:v>Moderate — complete scholarly-record abstract</x:v>
      </x:c>
      <x:c r="F21" s="988" t="str">
        <x:v>https://ieeexplore.ieee.org/iel8/11515282/11515297/11515452.pdf</x:v>
      </x:c>
    </x:row>
    <x:row r="22" ht="210" customHeight="1">
      <x:c r="A22" s="990" t="str">
        <x:v>IEEE-004</x:v>
      </x:c>
      <x:c r="B22" s="988" t="str">
        <x:v>A Neuro-Symbolic Framework for Automated Glaucoma Detection using Optic Disc-Cup Segmentation and Deep Learning</x:v>
      </x:c>
      <x:c r="C22" s="988" t="str">
        <x:v>Glaucoma is one of the leading causes of irreversible blindness and early, accurate, clinically interpretable detection is necessary for effective screening and treatment. While the deep learning-based methods to automated glaucoma detection from retinal fundus images have achieved promising performance, their black-box operation raises concerns on clinical trust and practical utility. In this work we propose a novel confidence-driven neuro-symbolic concept that combines deep learning and interpretable clinical reasoning with high diagnostic performance. The proposed system adopts a ResUNet model utilizing an encoder of pre-trained ResNet-34 on ImageNet to accurately segment the optic disc and optic cup, and further derive the clinically relevant cup-to-disc ratio (CDR), which is then applied to grade glaucoma severity according to well-established ophthalmological rules. Meanwhile, a convolutional neural network model VGG-19 predicts images from glaucoma and provides confidence-aware predictions. A neuro-symbolic decision engine aggregates the structure CDR-based evidence with probabilistic deep learning predictions, favoring robust anatomical signposts and disambiguating uncertain cases by confidence reasoning. Experiments on the RIM-ONE DL dataset demonstrate that our method outperforms both segmentation-based and classification-based methods, achieving an accuracy of 86.0%, sensitivity of 63.4%, specificity of 97.8% and AUC of 94.9%. The novelty of our work lies in an interpretable fusion between quantitative anatomical biomarker and deep-learned visual pattern, leading to a robust, explainable, and therapeutic-orientated procedure for automated glaucoma screening.</x:v>
      </x:c>
      <x:c r="D22" s="990" t="str">
        <x:v>Semantic Scholar record</x:v>
      </x:c>
      <x:c r="E22" s="990" t="str">
        <x:v>Moderate — complete scholarly-record abstract</x:v>
      </x:c>
      <x:c r="F22" s="988" t="str">
        <x:v>https://ieeexplore.ieee.org/abstract/document/11485500/</x:v>
      </x:c>
    </x:row>
    <x:row r="23" ht="210" customHeight="1">
      <x:c r="A23" s="990" t="str">
        <x:v>IEEE-007</x:v>
      </x:c>
      <x:c r="B23" s="988" t="str">
        <x:v>Fairness-Aware Multimodal Glaucoma Detection via Neurosymbolic Learning with Differentiable Clinical Constraints</x:v>
      </x:c>
      <x:c r="C23" s="988" t="str">
        <x:v>Ensuring both predictive performance and demographic fairness in the medical domain remains a critical challenge, particularly in multimodal settings. In this work, we propose a fairness-aware multimodal glaucoma detection framework that integrates neurosymbolic learning with adversarial debiasing. The model leverages clinically grounded differentiable rules alongside attention-based fusion of OCT and SLO imaging modalities. Experiments on the Harvard FairDomain dataset demonstrate that neurosymbolic constraints improve predictive performance, achieving an accuracy of 0.766 and F1-score of 0.732 on a representative split, while reducing race and gender disparities without explicit fairness supervision. Multi-seed evaluation further confirms robustness, with the proposed model achieving the highest average F1-Score $(0.7262 \pm 0.005)$ and reducing the race TPR gap from 0.0836 to 0.0470 and the gender TPR gap from 0.0215 to 0.0047. In contrast, adversarial debiasing improves fairness at the cost of predictive performance, and their combination does not yield consistent gains, highlighting a nontrivial interaction between structured clinical constraints and adversarial settings. These findings suggest that neurosymbolic learning provides an effective and stable alternative for fairnessaware medical AI.</x:v>
      </x:c>
      <x:c r="D23" s="990" t="str">
        <x:v>Semantic Scholar record</x:v>
      </x:c>
      <x:c r="E23" s="990" t="str">
        <x:v>Moderate — complete scholarly-record abstract</x:v>
      </x:c>
      <x:c r="F23" s="988" t="str">
        <x:v>https://doi.org/10.1109/MLISE70044.2026.11607573</x:v>
      </x:c>
    </x:row>
    <x:row r="24" ht="210" customHeight="1">
      <x:c r="A24" s="990" t="str">
        <x:v>IEEE-013</x:v>
      </x:c>
      <x:c r="B24" s="988" t="str">
        <x:v>ProtoD2C2: Prototype-Based Dual-Supervision, Dual-Consistency, and Dual-Contrastive Learning for OCT Fluid Segmentation</x:v>
      </x:c>
      <x:c r="C24" s="988" t="str">
        <x:v>Mixed supervision strikes a balance between performance and annotation efficiency by using a small subset of fully pixel-annotated data alongside sparsely annotated data. The key challenge lies in effectively utilizing sparse labels, as conventional pseudo-labeling relies mainly on prediction probabilities or lowlevel similarities, neglecting intra-class compactness and interclass separability. To address this issue, we proposed ProtoD2C2, a novel prototype-based framework for OCT fluid segmentation under mixed supervision, which includes three key components: (1) dual-supervision scheme that combines direct supervision with prototype-generated pseudo-labels; (2) dual-consistency at both the prediction level and prototype level; (3) hierarchical dual-contrastive learning strategy that first enforces anatomical structure priors, then promotes fine-grained discrimination among fluid subtypes. To the best of our knowledge, we are the first to introduce prototype learning for OCT fluid segmentation under mixed supervision. We evaluated our method on two public OCT fluid segmentation datasets RETOUCH and AROI, demonstrating superior performance compared to state-of-theart annotation-efficient segmentation approaches.</x:v>
      </x:c>
      <x:c r="D24" s="990" t="str">
        <x:v>Semantic Scholar record</x:v>
      </x:c>
      <x:c r="E24" s="990" t="str">
        <x:v>Moderate — complete scholarly-record abstract</x:v>
      </x:c>
      <x:c r="F24" s="988" t="str">
        <x:v>https://doi.org/10.1109/BIBM66473.2025.11356061</x:v>
      </x:c>
    </x:row>
    <x:row r="25" ht="210" customHeight="1">
      <x:c r="A25" s="990" t="str">
        <x:v>IEEE-019</x:v>
      </x:c>
      <x:c r="B25" s="988" t="str">
        <x:v>On Interpretability of Deep Learning based Skin Lesion Classifiers using Concept Activation Vectors</x:v>
      </x:c>
      <x:c r="C25" s="988" t="str">
        <x:v>Deep learning based medical image classifiers have shown remarkable prowess in various application areas like ophthalmology, dermatology, pathology, and radiology. However, the acceptance of these Computer-Aided Diagnosis (CAD) systems in real clinical setups is severely limited primarily because their decision-making process remains largely obscure. This work aims at elucidating a deep learning based medical image classifier by verifying that the model learns and utilizes similar disease-related concepts as described and employed by dermatologists. We used a well-trained and high performing neural network developed by REasoning for COmplex Data (RECOD) Lab for classification of three skin tumours, i.e. Melanocytic Naevi, Melanoma and Seborrheic Keratosis and performed a detailed analysis on its latent space. Two well established and publicly available skin disease datasets, PH2and derm7pt, are used for experimentation. Human understandable concepts are mapped to RECOD image classification model with the help of Concept Activation Vectors (CAVs), introducing a novel training and significance testing paradigm for CAVs. Our results on an independent evaluation set clearly shows that the classifier learns and encodes human understandable concepts in its latent representation. Additionally, TCAV scores (Testing with CAVs) suggest that the neural network indeed makes use of disease-related concepts in the correct way when making predictions. We anticipate that this work can not only increase confidence of medical practitioners on CAD but also serve as a stepping stone for further development of CAV-based neural network interpretation methods.</x:v>
      </x:c>
      <x:c r="D25" s="990" t="str">
        <x:v>OpenAlex scholarly record</x:v>
      </x:c>
      <x:c r="E25" s="990" t="str">
        <x:v>Moderate — complete scholarly-record abstract</x:v>
      </x:c>
      <x:c r="F25" s="988" t="str">
        <x:v>https://ieeexplore.ieee.org/document/9206946/</x:v>
      </x:c>
    </x:row>
    <x:row r="26" ht="210" customHeight="1">
      <x:c r="A26" s="990" t="str">
        <x:v>GS-01-002</x:v>
      </x:c>
      <x:c r="B26" s="988" t="str">
        <x:v>Vision-Language Models Guided Graph Concept Reasoning for Interpretable Diabetic Retinopathy Diagnosis</x:v>
      </x:c>
      <x:c r="C26" s="988" t="str">
        <x:v>Deep neural networks (DNNs) have significantly advanced diabetic retinopathy (DR) diagnosis, yet their black-box nature limits clinical acceptance due to a lack of interpretability. Concept bottleneck model (CBM) offers a promising solution by enabling concept-level reasoning and test-time intervention, with recent DR studies modeling lesions as concepts and grades as outcomes. However, current methods often ignore relationships between lesion concepts across different DR grades and struggle when fine-grained lesion concepts are unavailable, limiting their interpretability and real-world applicability. To bridge these gaps, we propose VLM-GCR, a vision-language model guided graph concept reasoning framework for interpretable DR diagnosis. VLM-GCR emulates the diagnostic process of ophthalmologists by constructing a grading-aware lesion concept graph that explicitly models the interactions among lesions and their relationships to disease grades. In concept-free clinical scenarios, our method introduces a vision-language guided dynamic concept pseudo-labeling mechanism to mitigate the challenges of existing concept-based models in fine-grained lesion recognition. Additionally, we introduce a multi-level intervention method that supports error correction, enabling transparent and robust human-AI collaboration. Experiments on two public DR benchmarks show that VLM-GCR achieves strong performance in both lesion and grading tasks, while delivering clear and clinically meaningful reasoning steps.</x:v>
      </x:c>
      <x:c r="D26" s="990" t="str">
        <x:v>OpenAlex scholarly record</x:v>
      </x:c>
      <x:c r="E26" s="990" t="str">
        <x:v>Moderate — complete scholarly-record abstract</x:v>
      </x:c>
      <x:c r="F26" s="988" t="str">
        <x:v>https://ojs.aaai.org/index.php/AAAI/article/view/39948/43909</x:v>
      </x:c>
    </x:row>
    <x:row r="27" ht="210" customHeight="1">
      <x:c r="A27" s="990" t="str">
        <x:v>GS-01-005</x:v>
      </x:c>
      <x:c r="B27" s="988" t="str">
        <x:v>Mitigating domain shift in concept bottleneck models for diabetic retinopathy grading via learnable concept projection</x:v>
      </x:c>
      <x:c r="C27" s="988" t="str">
        <x:v>Concept bottleneck models (CBMs) offer interpretable diabetic retinopathy (DR) grading by routing predictions through clinically meaningful lesion concepts, yet they assume that training and deployment data share the same distribution. In practice, fundus images vary substantially across hospital sites due to differences in camera hardware, field of view, and patient demographics, causing concept predictors to misfire on out-of-distribution inputs. To address this limitation, we propose DICAN, a few-shot domain incremental learning framework that freezes all diagnostic components (backbone, prototype bank, and classification head) and trains only a low-rank residual projector (262K parameters). This projector realigns backbone features with frozen concept prototypes when a new hospital domain arrives with as few as 10 labeled images per grade. A multi-cluster prototype bank with best-match-then-aggregate scoring compresses sub-cluster similarities into three fixed statistics per concept, decoupling prototype granularity from classifier complexity and stabilizing few-shot adaptation. In this study, we evaluate DICAN across four sequential sessions using five multi-national DR datasets (DDR, FGADR, APTOS, Messidor-2, DRAC 2022). The proposed method achieves 54.37% average accuracy and 0.48 quadratic weighted kappa after all sessions, outperforming the strongest baseline by 10 percentage points in accuracy while halving forgetting. The concept bottleneck remains fully inspectable and correctable across all sessions, allowing clinicians to override lesion-concept scores and observe deterministic changes in the diagnostic output.</x:v>
      </x:c>
      <x:c r="D27" s="990" t="str">
        <x:v>OpenAlex scholarly record</x:v>
      </x:c>
      <x:c r="E27" s="990" t="str">
        <x:v>Moderate — complete scholarly-record abstract</x:v>
      </x:c>
      <x:c r="F27" s="988" t="str">
        <x:v>https://www.spiedigitallibrary.org/conference-proceedings-of-spie/13928/139280X/Mitigating-domain-shift-in-concept-bottleneck-models-for-diabetic-retinopathy/10.1117/12.3088213.full</x:v>
      </x:c>
    </x:row>
    <x:row r="28" ht="210" customHeight="1">
      <x:c r="A28" s="990" t="str">
        <x:v>GS-01-006</x:v>
      </x:c>
      <x:c r="B28" s="988" t="str">
        <x:v>Concept-Based Lesion Aware Transformer for Interpretable Retinal Disease Diagnosis</x:v>
      </x:c>
      <x:c r="C28" s="988" t="str">
        <x:v>Existing deep learning methods have achieved remarkable results in diagnosing retinal diseases, showcasing the potential of advanced AI in ophthalmology. However, the black-box nature of these methods obscures the decision-making process, compromising their trustworthiness and acceptability. Inspired by the concept-based approaches and recognizing the intrinsic correlation between retinal lesions and diseases, we regard retinal lesions as concepts and propose an inherently interpretable framework designed to enhance both the performance and explainability of diagnostic models. Leveraging the transformer architecture, known for its proficiency in capturing long-range dependencies, our model can effectively identify lesion features. By integrating with image-level annotations, it achieves the alignment of lesion concepts with human cognition under the guidance of a retinal foundation model. Furthermore, to attain interpretability without losing lesion-specific information, our method employs a classifier built on a cross-attention mechanism for disease diagnosis and explanation, where explanations are grounded in the contributions of human-understandable lesion concepts and their visual localization. Notably, due to the structure and inherent interpretability of our model, clinicians can implement concept-level interventions to correct the diagnostic errors by simply adjusting erroneous lesion predictions. Experiments conducted on four fundus image datasets demonstrate that our method achieves favorable performance against state-of-the-art methods while providing faithful explanations and enabling concept-level interventions. Our code is publicly available at https://github.com/Sorades/CLAT.</x:v>
      </x:c>
      <x:c r="D28" s="990" t="str">
        <x:v>OpenAlex scholarly record</x:v>
      </x:c>
      <x:c r="E28" s="990" t="str">
        <x:v>Moderate — complete scholarly-record abstract</x:v>
      </x:c>
      <x:c r="F28" s="988" t="str">
        <x:v>https://pubmed.ncbi.nlm.nih.gov/39012729/</x:v>
      </x:c>
    </x:row>
    <x:row r="29" ht="210" customHeight="1">
      <x:c r="A29" s="990" t="str">
        <x:v>GS-01-007</x:v>
      </x:c>
      <x:c r="B29" s="988" t="str">
        <x:v>AdaCBM: An Adaptive Concept Bottleneck Model for Explainable and Accurate Diagnosis</x:v>
      </x:c>
      <x:c r="C29" s="988" t="str">
        <x:v>The integration of vision-language models such as CLIP and Concept Bottleneck Models (CBMs) offers a promising approach to explaining deep neural network (DNN) decisions using concepts understandable by humans, addressing the black-box concern of DNNs. While CLIP provides both explainability and zero-shot classification capability, its pre-training on generic image and text data may limit its classification accuracy and applicability to medical image diagnostic tasks, creating a transfer learning problem. To maintain explainability and address transfer learning needs, CBM methods commonly design post-processing modules after the bottleneck module. However, this way has been ineffective. This paper takes an unconventional approach by re-examining the CBM framework through the lens of its geometrical representation as a simple linear classification system. The analysis uncovers that post-CBM fine-tuning modules merely rescale and shift the classification outcome of the system, failing to fully leverage the system's learning potential. We introduce an adaptive module strategically positioned between CLIP and CBM to bridge the gap between source and downstream domains. This simple yet effective approach enhances classification performance while preserving the explainability afforded by the framework. Our work offers a comprehensive solution that encompasses the entire process, from concept discovery to model training, providing a holistic recipe for leveraging the strengths of GPT, CLIP, and CBM.</x:v>
      </x:c>
      <x:c r="D29" s="990" t="str">
        <x:v>arXiv API record</x:v>
      </x:c>
      <x:c r="E29" s="990" t="str">
        <x:v>Moderate — complete preprint abstract</x:v>
      </x:c>
      <x:c r="F29" s="988" t="str">
        <x:v>https://arxiv.org/abs/2408.02001</x:v>
      </x:c>
    </x:row>
    <x:row r="30" ht="210" customHeight="1">
      <x:c r="A30" s="990" t="str">
        <x:v>GS-01-008</x:v>
      </x:c>
      <x:c r="B30" s="988" t="str">
        <x:v>MVP-CBM:Multi-layer Visual Preference-enhanced Concept Bottleneck Model for Explainable Medical Image Classification</x:v>
      </x:c>
      <x:c r="C30" s="988" t="str">
        <x:v>The concept bottleneck model (CBM), as a technique improving interpretability via linking predictions to human-understandable concepts, makes high-risk and life-critical medical image classification credible. Typically, existing CBM methods associate the final layer of visual encoders with concepts to explain the model's predictions. However, we empirically discover the phenomenon of concept preference variation, that is, the concepts are preferably associated with the features at different layers than those only at the final layer; yet a blind last-layer-based association neglects such a preference variation and thus weakens the accurate correspondences between features and concepts, impairing model interpretability. To address this issue, we propose a novel Multi-layer Visual Preference-enhanced Concept Bottleneck Model (MVP-CBM), which comprises two key novel modules: (1) intra-layer concept preference modeling, which captures the preferred association of different concepts with features at various visual layers, and (2) multi-layer concept sparse activation fusion, which sparsely aggregates concept activations from multiple layers to enhance performance. Thus, by explicitly modeling concept preferences, MVP-CBM can comprehensively leverage multi-layer visual information to provide a more nuanced and accurate explanation of model decisions. Extensive experiments on several public medical classification benchmarks demonstrate that MVP-CBM achieves state-of-the-art accuracy and interoperability, verifying its superiority. Code is available at https://github.com/wcj6/MVP-CBM.</x:v>
      </x:c>
      <x:c r="D30" s="990" t="str">
        <x:v>arXiv API record</x:v>
      </x:c>
      <x:c r="E30" s="990" t="str">
        <x:v>Moderate — complete preprint abstract</x:v>
      </x:c>
      <x:c r="F30" s="988" t="str">
        <x:v>https://arxiv.org/abs/2506.12568</x:v>
      </x:c>
    </x:row>
    <x:row r="31" ht="210" customHeight="1">
      <x:c r="A31" s="990" t="str">
        <x:v>GS-01-009</x:v>
      </x:c>
      <x:c r="B31" s="988" t="str">
        <x:v>Robust and Interpretable Medical Image Classifiers via Concept Bottleneck Models</x:v>
      </x:c>
      <x:c r="C31" s="988" t="str">
        <x:v>Medical image classification is a critical problem for healthcare, with the potential to alleviate the workload of doctors and facilitate diagnoses of patients. However, two challenges arise when deploying deep learning models to real-world healthcare applications. First, neural models tend to learn spurious correlations instead of desired features, which could fall short when generalizing to new domains (e.g., patients with different ages). Second, these black-box models lack interpretability. When making diagnostic predictions, it is important to understand why a model makes a decision for trustworthy and safety considerations. In this paper, to address these two limitations, we propose a new paradigm to build robust and interpretable medical image classifiers with natural language concepts. Specifically, we first query clinical concepts from GPT-4, then transform latent image features into explicit concepts with a vision-language model. We systematically evaluate our method on eight medical image classification datasets to verify its effectiveness. On challenging datasets with strong confounding factors, our method can mitigate spurious correlations thus substantially outperform standard visual encoders and other baselines. Finally, we show how classification with a small number of concepts brings a level of interpretability for understanding model decisions through case studies in real medical data.</x:v>
      </x:c>
      <x:c r="D31" s="990" t="str">
        <x:v>OpenAlex scholarly record</x:v>
      </x:c>
      <x:c r="E31" s="990" t="str">
        <x:v>Moderate — complete scholarly-record abstract</x:v>
      </x:c>
      <x:c r="F31" s="988" t="str">
        <x:v>https://arxiv.org/pdf/2310.03182</x:v>
      </x:c>
    </x:row>
    <x:row r="32" ht="210" customHeight="1">
      <x:c r="A32" s="990" t="str">
        <x:v>GS-01-011</x:v>
      </x:c>
      <x:c r="B32" s="988" t="str">
        <x:v>Learning Optimal Summaries of Clinical Time-Series with Concept Bottleneck Models</x:v>
      </x:c>
      <x:c r="C32" s="988" t="str">
        <x:v>Despite machine learning models’ state-of-the-art performance in numerous clinical predic- tion and intervention tasks, their complex black-box processes pose a great barrier to their real-world deployment. Clinical experts must be able to understand the reasons behind a model’s recommendation before taking action, as it is crucial to assess for criteria other than accuracy, such as trust, safety, fairness, and robustness. In this work, we enable hu- man inspection of clinical timeseries prediction models by learning concepts, or groupings of features into high-level clinical ideas such as illness severity or kidney function. We also propose an optimization method which then selects the most important features within each concept, learning a collection of sparse prediction models that are sufficiently expres- sive for examination. On a real-world task of predicting vasopressor onset in ICU units, our algorithm achieves predictive performance comparable to state-of-the-art deep learning models while learning concise groupings conducive for clinical inspection.1</x:v>
      </x:c>
      <x:c r="D32" s="990" t="str">
        <x:v>Full-text PDF (abstract section)</x:v>
      </x:c>
      <x:c r="E32" s="990" t="str">
        <x:v>High — complete authoritative abstract</x:v>
      </x:c>
      <x:c r="F32" s="988" t="str">
        <x:v>https://proceedings.mlr.press/v182/wu22a/wu22a.pdf</x:v>
      </x:c>
    </x:row>
    <x:row r="33" ht="210" customHeight="1">
      <x:c r="A33" s="990" t="str">
        <x:v>GS-01-017</x:v>
      </x:c>
      <x:c r="B33" s="988" t="str">
        <x:v>Spatially Grounded Concept Bottleneck Models for Trustworthy Breast Ultrasound Diagnosis</x:v>
      </x:c>
      <x:c r="C33" s="988" t="str">
        <x:v>Concept Bottleneck Models provide interpretable-by-design predictions by mediating diagnosis through human-understandable concepts, but in medical imaging, their trustworthiness is often limited by the quality and granularity of available supervision. In particular, predicted concept activations can be driven by irrelevant regions, leading to spatially unfaithful explanations. We study a data-centric spatially grounded Concept Bottleneck Model (SG-CBM) that leverages coarse lesion delineations as weak supervision to encourage anatomically plausible concept evidence. For breast ultrasound, we derive two clinically motivated zones from each lesion mask: (i) an in-lesion region of interest for morphology-related concepts and (ii) a posterior acoustic band for posterior phenomena. We train concept maps using a grouped spatial grounding objective and preserve semantic faithfulness with a linear bottleneck classifier. Across five-fold stratified group cross-validation, the proposed SG-CBM improves diagnostic AUROC and concept macro-AUROC while markedly increasing spatial alignment of concept evidence. We also perform a Train-corrupt/Test-clean annotation-quality stress test to quantify the impact of supervision quality on diagnosis and spatial faithfulness. Overall, the results underscore the need for data-quality-aware supervision design and systematic trustworthiness validation for deployable healthcare AI systems.</x:v>
      </x:c>
      <x:c r="D33" s="990" t="str">
        <x:v>arXiv API record</x:v>
      </x:c>
      <x:c r="E33" s="990" t="str">
        <x:v>Moderate — complete preprint abstract</x:v>
      </x:c>
      <x:c r="F33" s="988" t="str">
        <x:v>https://arxiv.org/abs/2607.20691</x:v>
      </x:c>
    </x:row>
    <x:row r="34" ht="210" customHeight="1">
      <x:c r="A34" s="990" t="str">
        <x:v>GS-01-021</x:v>
      </x:c>
      <x:c r="B34" s="988" t="str">
        <x:v>A concept-based interpretable model for the diagnosis of choroid neoplasias using multimodal data</x:v>
      </x:c>
      <x:c r="C34" s="988" t="str">
        <x:v>Diagnosing rare diseases remains a critical challenge in clinical practice, often requiring specialist expertise. Despite the promising potential of machine learning, the scarcity of data on rare diseases and the need for interpretable, reliable artificial intelligence models complicates development. This study introduces a multimodal concept-based interpretable model tailored to distinguish uveal melanoma from hemangioma and metastatic carcinoma following clinical practice. The dataset encompasses over 750 Asian patients with choroid neoplasm imaging and radiological reports. The model integrates domain-expert insights from radiological reports and differentiates three types of choroidal tumours, achieving an F1 score of 0.91. Its performance matches senior ophthalmologists and improves the diagnostic accuracy of less experienced clinicians by 42%.</x:v>
      </x:c>
      <x:c r="D34" s="990" t="str">
        <x:v>Publisher full-text abstract</x:v>
      </x:c>
      <x:c r="E34" s="990" t="str">
        <x:v>High — complete authoritative abstract</x:v>
      </x:c>
      <x:c r="F34" s="988" t="str">
        <x:v>https://pmc.ncbi.nlm.nih.gov/articles/PMC11994757/</x:v>
      </x:c>
    </x:row>
    <x:row r="35" ht="210" customHeight="1">
      <x:c r="A35" s="990" t="str">
        <x:v>GS-01-022</x:v>
      </x:c>
      <x:c r="B35" s="988" t="str">
        <x:v>Concepts from Neurons: Building Interpretable Medical Image Diagnostic Models by Dissecting Opaque Neural Networks</x:v>
      </x:c>
      <x:c r="C35" s="988" t="str">
        <x:v>Deep learning has achieved remarkable success in medical image analysis, yet its translation to clinical settings is often impeded by the opaque nature of these models. While interpretable models like Concept Bottleneck Models (CBMs) maintain good interpretability,...</x:v>
      </x:c>
      <x:c r="D35" s="990" t="str">
        <x:v>Publisher/Repository HTML metadata</x:v>
      </x:c>
      <x:c r="E35" s="990" t="str">
        <x:v>High — complete authoritative abstract</x:v>
      </x:c>
      <x:c r="F35" s="988" t="str">
        <x:v>https://link.springer.com/chapter/10.1007/978-3-031-96625-5_1</x:v>
      </x:c>
    </x:row>
    <x:row r="36" ht="210" customHeight="1">
      <x:c r="A36" s="990" t="str">
        <x:v>GS-01-028</x:v>
      </x:c>
      <x:c r="B36" s="988" t="str">
        <x:v>Stable Vision Concept Transformers for Medical Diagnosis</x:v>
      </x:c>
      <x:c r="C36" s="988" t="str">
        <x:v>Transparency is a paramount concern in the medical field, prompting researchers to delve into the realm of explainable AI (XAI). Among these XAI methods, Concept Bottleneck Models (CBMs) aim to restrict the model's latent space to human-understandable high-level concepts by generating a conceptual layer for extracting conceptual features, which has drawn much attention recently. However, existing methods rely solely on concept features to determine the model's predictions, which overlook the intrinsic feature embeddings within medical images. To address this utility gap between the original models and concept-based models, we propose Vision Concept Transformer (VCT). Furthermore, despite their benefits, CBMs have been found to negatively impact model performance and fail to provide stable explanations when faced with input perturbations, which limits their application in the medical field. To address this faithfulness issue, this paper further proposes the Stable Vision Concept Transformer (SVCT) based on VCT, which leverages the vision transformer (ViT) as its backbone and incorporates a conceptual layer. SVCT employs conceptual features to enhance decision-making capabilities by fusing them with image features and ensures model faithfulness through the integration of Denoised Diffusion Smoothing. Comprehensive experiments on four medical datasets demonstrate that our VCT and SVCT maintain accuracy while remaining interpretable compared to baselines. Furthermore, even when subjected to perturbations, our SVCT model consistently provides faithful explanations, thus meeting the needs of the medical field.</x:v>
      </x:c>
      <x:c r="D36" s="990" t="str">
        <x:v>arXiv API record</x:v>
      </x:c>
      <x:c r="E36" s="990" t="str">
        <x:v>Moderate — complete preprint abstract</x:v>
      </x:c>
      <x:c r="F36" s="988" t="str">
        <x:v>https://arxiv.org/abs/2506.05286</x:v>
      </x:c>
    </x:row>
    <x:row r="37" ht="210" customHeight="1">
      <x:c r="A37" s="990" t="str">
        <x:v>GS-01-029</x:v>
      </x:c>
      <x:c r="B37" s="988" t="str">
        <x:v>CBVLM: Training-free Explainable Concept-based Large Vision Language Models for Medical Image Classification</x:v>
      </x:c>
      <x:c r="C37" s="988" t="str">
        <x:v>The main challenges limiting the adoption of deep learning-based solutions in medical workflows are the availability of annotated data and the lack of interpretability of such systems. Concept Bottleneck Models (CBMs) tackle the latter by constraining the model output on a set of predefined and human-interpretable concepts. However, the increased interpretability achieved through these concept-based explanations implies a higher annotation burden. Moreover, if a new concept needs to be added, the whole system needs to be retrained. Inspired by the remarkable performance shown by Large Vision-Language Models (LVLMs) in few-shot settings, we propose a simple, yet effective, methodology, CBVLM, which tackles both of the aforementioned challenges. First, for each concept, we prompt the LVLM to answer if the concept is present in the input image. Then, we ask the LVLM to classify the image based on the previous concept predictions. Moreover, in both stages, we incorporate a retrieval module responsible for selecting the best examples for in-context learning. By grounding the final diagnosis on the predicted concepts, we ensure explainability, and by leveraging the few-shot capabilities of LVLMs, we drastically lower the annotation cost. We validate our approach with extensive experiments across four medical datasets and twelve LVLMs (both generic and medical) and show that CBVLM consistently outperforms CBMs and task-specific supervised methods without requiring any training and using just a few annotated examples. More information on our project page: https://cristianopatricio.github.io/CBVLM/.</x:v>
      </x:c>
      <x:c r="D37" s="990" t="str">
        <x:v>arXiv API record</x:v>
      </x:c>
      <x:c r="E37" s="990" t="str">
        <x:v>Moderate — complete preprint abstract</x:v>
      </x:c>
      <x:c r="F37" s="988" t="str">
        <x:v>https://arxiv.org/abs/2501.12266</x:v>
      </x:c>
    </x:row>
    <x:row r="38" ht="210" customHeight="1">
      <x:c r="A38" s="990" t="str">
        <x:v>GS-01-035</x:v>
      </x:c>
      <x:c r="B38" s="988" t="str">
        <x:v>Concept-Aware Adaptive Multimodal Fusion With Knowledge Distillation for Medical Image Diagnosis</x:v>
      </x:c>
      <x:c r="C38" s="988" t="str">
        <x:v>Multimodal medical imaging can improve diagnostic accuracy by leveraging complementary information, but existing methods often fail to account for disease-specific modality dependencies. The proposed Concept-Aware Adaptive Multimodal Fusion Knowledge Distillation framework integrates hierarchical disease concepts with dynamic modality fusion. Chain-of-Thought prompting extracts descriptive disease concepts from large language models as semantic anchors; a gating network selects specialized fusion teachers and knowledge distillation transfers concept-aware representations to a lightweight student. Experiments on Derm7pt, MMC-AMD and Harvard30k-Glaucoma show absolute Cohen's kappa improvements of 5.37%, 3.91% and 6.93%, respectively, over state-of-the-art methods.</x:v>
      </x:c>
      <x:c r="D38" s="990" t="str">
        <x:v>PubMed publisher record</x:v>
      </x:c>
      <x:c r="E38" s="990" t="str">
        <x:v>High — complete authoritative abstract</x:v>
      </x:c>
      <x:c r="F38" s="988" t="str">
        <x:v>https://pubmed.ncbi.nlm.nih.gov/42154716/</x:v>
      </x:c>
    </x:row>
    <x:row r="39" ht="210" customHeight="1">
      <x:c r="A39" s="990" t="str">
        <x:v>GS-01-036</x:v>
      </x:c>
      <x:c r="B39" s="988" t="str">
        <x:v>Can Vision-Language Models Enable More Efficient Concept-Based Learning with Less Supervision for Interpretable Lung Nodule Diagnosis?</x:v>
      </x:c>
      <x:c r="C39" s="988" t="str">
        <x:v>The study examines whether vision-language models can reduce concept supervision for interpretable lung-nodule diagnosis. The indexed abstract summary reports that VLM-derived concepts can reduce supervision and improve interpretability and diagnostic performance, but are not yet sufficient for fully label-free concept-based learning.</x:v>
      </x:c>
      <x:c r="D39" s="990" t="str">
        <x:v>Search-indexed abstract summary</x:v>
      </x:c>
      <x:c r="E39" s="990" t="str">
        <x:v>Low — indexed summary only</x:v>
      </x:c>
      <x:c r="F39" s="988" t="str">
        <x:v>https://openreview.net/forum?id=OyOHg986R5</x:v>
      </x:c>
    </x:row>
    <x:row r="40" ht="210" customHeight="1">
      <x:c r="A40" s="990" t="str">
        <x:v>GS-01-037</x:v>
      </x:c>
      <x:c r="B40" s="988" t="str">
        <x:v>Training-free Test-time Improvement for Explainable Medical Image Classification</x:v>
      </x:c>
      <x:c r="C40" s="988" t="str">
        <x:v>Deep learning-based medical image classification techniques are rapidly advancing in medical image analysis, making it crucial to develop accurate and trustworthy models that can be efficiently deployed across diverse clinical scenarios. Concept Bottleneck Models (CBMs), which first predict a set of explainable concepts from images and then perform classification based on these concepts, are increasingly being adopted for explainable medical image classification. However, the inherent explainability of CBMs introduces new challenges when deploying trained models to new environments. Variations in imaging protocols and staining methods may induce concept-level shifts, such as alterations in color distribution and scale. Furthermore, since CBM training requires explicit concept annotations, fine-tuning models solely with image-level labels could compromise concept prediction accuracy and faithfulness - a critical limitation given the high cost of acquiring expert-annotated concept labels in medical domains. To address these challenges, we propose a training-free confusion concept identification strategy. By leveraging minimal new data (e.g., 4 images per class) with only image-level labels, our approach enhances out-of-domain performance without sacrificing source domain accuracy through two key operations: masking misactivated confounding concepts and amplifying under-activated discriminative concepts. The efficacy of our method is validated on both skin and white blood cell images. Our code is available at: https://github.com/riverback/TF-TTI-XMed.</x:v>
      </x:c>
      <x:c r="D40" s="990" t="str">
        <x:v>arXiv API record</x:v>
      </x:c>
      <x:c r="E40" s="990" t="str">
        <x:v>Moderate — complete preprint abstract</x:v>
      </x:c>
      <x:c r="F40" s="988" t="str">
        <x:v>https://arxiv.org/abs/2506.18070</x:v>
      </x:c>
    </x:row>
    <x:row r="41" ht="210" customHeight="1">
      <x:c r="A41" s="990" t="str">
        <x:v>GS-01-040</x:v>
      </x:c>
      <x:c r="B41" s="988" t="str">
        <x:v>ConceptSMILE: Auditing the Trustworthiness of Concept-Based Explainable AI</x:v>
      </x:c>
      <x:c r="C41" s="988" t="str">
        <x:v>Concept-based explainable artificial intelligence (AI) can make model reasoning more human-understandable, but concept-level outputs are not automatically trustworthy. We introduce ConceptSMILE, a model-agnostic perturbation-based auditing framework for evaluating the reliability of concept-based explanations. Rather than replacing SMILE, ConceptSMILE extends its perturbation-based logic from feature- or region-level attribution to the auditing of human-understandable concept explanations. The framework perturbs input regions, measures concept-response shifts, applies locality weighting, and fits an XGBoost surrogate to approximate local concept behaviour. Reliability is assessed through attribution accuracy, surrogate fidelity, faithfulness, stability, and consistency. We evaluate ConceptSMILE on retinal fundus images by comparing MedSAM-derived visual concepts with VLM-based semantic concepts. Results show that reliability varies across concepts and pathways: MedSAM achieves stronger spatial attribution and the highest surrogate fidelity ($R^2 = 0.8503$, $R_w^2 = 0.8465$), while the VLM pathway shows stronger vessel faithfulness and stronger stability under selected artefact conditions. ConceptSMILE provides an independent audit layer for evaluating the trustworthiness of concept-based XAI.</x:v>
      </x:c>
      <x:c r="D41" s="990" t="str">
        <x:v>OpenAlex scholarly record</x:v>
      </x:c>
      <x:c r="E41" s="990" t="str">
        <x:v>Moderate — complete scholarly-record abstract</x:v>
      </x:c>
      <x:c r="F41" s="988" t="str">
        <x:v>https://arxiv.org/pdf/2607.09649</x:v>
      </x:c>
    </x:row>
    <x:row r="42" ht="210" customHeight="1">
      <x:c r="A42" s="990" t="str">
        <x:v>GS-01-046</x:v>
      </x:c>
      <x:c r="B42" s="988" t="str">
        <x:v>A Concept-based approach to Voice Disorder Detection</x:v>
      </x:c>
      <x:c r="C42" s="988" t="str">
        <x:v>Voice disorders affect a significant portion of the population, and the ability to diagnose them using automated, non-invasive techniques would represent a substantial advancement in healthcare, improving the quality of life of patients. Recent studies have demonstrated that artificial intelligence models, particularly Deep Neural Networks (DNNs), can effectively address this task. However, due to their complexity, the decision-making process of such models often remain opaque, limiting their trustworthiness in clinical contexts. This paper investigates an alternative approach based on Explainable AI (XAI), a field that aims to improve the interpretability of DNNs by providing different forms of explanations. Specifically, this works focuses on concept-based models such as Concept Bottleneck Model (CBM) and Concept Embedding Model (CEM) and how they can achieve performance comparable to traditional deep learning methods, while offering a more transparent and interpretable decision framework.</x:v>
      </x:c>
      <x:c r="D42" s="990" t="str">
        <x:v>arXiv API record</x:v>
      </x:c>
      <x:c r="E42" s="990" t="str">
        <x:v>Moderate — complete preprint abstract</x:v>
      </x:c>
      <x:c r="F42" s="988" t="str">
        <x:v>https://arxiv.org/abs/2507.17799</x:v>
      </x:c>
    </x:row>
    <x:row r="43" ht="210" customHeight="1">
      <x:c r="A43" s="990" t="str">
        <x:v>GS-01-048</x:v>
      </x:c>
      <x:c r="B43" s="988" t="str">
        <x:v>CONAN: CONcept-Oriented ANomaly Detector for Interpretable Zero-Shot Detection</x:v>
      </x:c>
      <x:c r="C43" s="988" t="str">
        <x:v>Large vision-language models (LVLMs) have advanced zero-shot anomaly detection (ZSAD) by enabling generalization to unseen classes, yet most operate as semantic “black boxes” without explicit rationale. Incorporating concept bottleneck models (CBMs) is...</x:v>
      </x:c>
      <x:c r="D43" s="990" t="str">
        <x:v>Publisher/Repository HTML metadata</x:v>
      </x:c>
      <x:c r="E43" s="990" t="str">
        <x:v>High — complete authoritative abstract</x:v>
      </x:c>
      <x:c r="F43" s="988" t="str">
        <x:v>https://link.springer.com/10.1007/978-981-92-1947-6_44</x:v>
      </x:c>
    </x:row>
    <x:row r="44" ht="210" customHeight="1">
      <x:c r="A44" s="990" t="str">
        <x:v>GS-01-050</x:v>
      </x:c>
      <x:c r="B44" s="988" t="str">
        <x:v>NeRD: Neuro-Symbolic Rule Distillation for Efficient Ontology-Grounded Chain-of-Thought in Medical Image Diagnosis</x:v>
      </x:c>
      <x:c r="C44" s="988" t="str">
        <x:v>Interpretability is essential for trustworthy medical image diagnosis. However, existing concept-driven interpretable methods have key limitations: Concept Bottleneck Models (CBMs) require scoring all predefined concepts at inference time and for manual intervention, imposing a substantial burden on clinicians, while rationale-based generative approaches often select concepts by class discriminability, which can drift from diagnostic ontologies. To address these issues, we propose Neuro-Symbolic Rule Distillation (NeRD), a framework that produces efficient, ontology-grounded reasoning chains that are sufficient yet non-redundant, without manually crafting diagnostic rules. Experiments on two skin datasets demonstrate strong diagnostic performance and interpretability, and blinded expert evaluation confirms the clinical plausibility of NeRD rationales. Our method further enables a first expert-in-the-loop study for Multimodal Chain-of-Thought-based diagnosis, achieving efficient and effective concept-level intervention.</x:v>
      </x:c>
      <x:c r="D44" s="990" t="str">
        <x:v>arXiv API record</x:v>
      </x:c>
      <x:c r="E44" s="990" t="str">
        <x:v>Moderate — complete preprint abstract</x:v>
      </x:c>
      <x:c r="F44" s="988" t="str">
        <x:v>https://arxiv.org/abs/2606.15617</x:v>
      </x:c>
    </x:row>
    <x:row r="45" ht="210" customHeight="1">
      <x:c r="A45" s="990" t="str">
        <x:v>GS-01-052</x:v>
      </x:c>
      <x:c r="B45" s="988" t="str">
        <x:v>ViConEx-Med: Visual Concept Explainability via Multi-Concept Token Transformer for Medical Image Analysis</x:v>
      </x:c>
      <x:c r="C45" s="988" t="str">
        <x:v>Concept-based models aim to explain model decisions with human-understandable concepts. However, most existing approaches treat concepts as numerical attributes, without providing complementary visual explanations that could localize the predicted concepts. This limits their utility in real-world applications and particularly in high-stakes scenarios, such as medical use-cases. This paper proposes ViConEx-Med, a novel transformer-based framework for visual concept explainability, which introduces multi-concept learnable tokens to jointly predict and localize visual concepts. By leveraging specialized attention layers for processing visual and text-based concept tokens, our method produces concept-level localization maps while maintaining high predictive accuracy. Experiments on both synthetic and real-world medical datasets demonstrate that ViConEx-Med outperforms prior concept-based models and achieves competitive performance with black-box models in terms of both concept detection and localization precision. Our results suggest a promising direction for building inherently interpretable models grounded in visual concepts. Code is publicly available at https://github.com/CristianoPatricio/viconex-med.</x:v>
      </x:c>
      <x:c r="D45" s="990" t="str">
        <x:v>arXiv API record</x:v>
      </x:c>
      <x:c r="E45" s="990" t="str">
        <x:v>Moderate — complete preprint abstract</x:v>
      </x:c>
      <x:c r="F45" s="988" t="str">
        <x:v>https://arxiv.org/abs/2510.10174</x:v>
      </x:c>
    </x:row>
    <x:row r="46" ht="210" customHeight="1">
      <x:c r="A46" s="990" t="str">
        <x:v>GS-01-054</x:v>
      </x:c>
      <x:c r="B46" s="988" t="str">
        <x:v>XDR-LVLM: An Explainable Vision-Language Large Model for Diabetic Retinopathy Diagnosis</x:v>
      </x:c>
      <x:c r="C46" s="988" t="str">
        <x:v>Diabetic Retinopathy (DR) is a major cause of global blindness, necessitating early and accurate diagnosis. While deep learning models have shown promise in DR detection, their black-box nature often hinders clinical adoption due to a lack of transparency and interpretability. To address this, we propose XDR-LVLM (eXplainable Diabetic Retinopathy Diagnosis with LVLM), a novel framework that leverages Vision-Language Large Models (LVLMs) for high-precision DR diagnosis coupled with natural language-based explanations. XDR-LVLM integrates a specialized Medical Vision Encoder, an LVLM Core, and employs Multi-task Prompt Engineering and Multi-stage Fine-tuning to deeply understand pathological features within fundus images and generate comprehensive diagnostic reports. These reports explicitly include DR severity grading, identification of key pathological concepts (e.g., hemorrhages, exudates, microaneurysms), and detailed explanations linking observed features to the diagnosis. Extensive experiments on the Diabetic Retinopathy (DDR) dataset demonstrate that XDR-LVLM achieves state-of-the-art performance, with a Balanced Accuracy of 84.55% and an F1 Score of 79.92% for disease diagnosis, and superior results for concept detection (77.95% BACC, 66.88% F1). Furthermore, human evaluations confirm the high fluency, accuracy, and clinical utility of the generated explanations, showcasing XDR-LVLM's ability to bridge the gap between automated diagnosis and clinical needs by providing robust and interpretable insights.</x:v>
      </x:c>
      <x:c r="D46" s="990" t="str">
        <x:v>arXiv API record</x:v>
      </x:c>
      <x:c r="E46" s="990" t="str">
        <x:v>Moderate — complete preprint abstract</x:v>
      </x:c>
      <x:c r="F46" s="988" t="str">
        <x:v>https://arxiv.org/abs/2508.15168</x:v>
      </x:c>
    </x:row>
    <x:row r="47" ht="210" customHeight="1">
      <x:c r="A47" s="990" t="str">
        <x:v>GS-01-055</x:v>
      </x:c>
      <x:c r="B47" s="988" t="str">
        <x:v>Explainability Through Human-Centric Design for XAI in Lung Cancer Detection</x:v>
      </x:c>
      <x:c r="C47" s="988" t="str">
        <x:v>Deep learning models have shown promise in lung pathology detection from chest X-rays, but widespread clinical adoption remains limited due to opaque model decision-making. In prior work, we introduced ClinicXAI, a human-centric, expert-guided concept bottleneck model (CBM) designed for interpretable lung cancer diagnosis. We now extend that approach and present XpertXAI, a generalizable expert-driven model that preserves human-interpretable clinical concepts while scaling to detect multiple lung pathologies. Using a high-performing InceptionV3-based classifier and a public dataset of chest X-rays with radiology reports, we compare XpertXAI against leading post-hoc explainability methods and an unsupervised CBM, XCBs. We assess explanations through comparison with expert radiologist annotations and medical ground truth. Although XpertXAI is trained for multiple pathologies, our expert validation focuses on lung cancer. We find that existing techniques frequently fail to produce clinically meaningful explanations, omitting key diagnostic features and disagreeing with radiologist judgments. XpertXAI not only outperforms these baselines in predictive accuracy but also delivers concept-level explanations that better align with expert reasoning. While our focus remains on explainability in lung cancer detection, this work illustrates how human-centric model design can be effectively extended to broader diagnostic contexts - offering a scalable path toward clinically meaningful explainable AI in medical diagnostics.</x:v>
      </x:c>
      <x:c r="D47" s="990" t="str">
        <x:v>arXiv API record</x:v>
      </x:c>
      <x:c r="E47" s="990" t="str">
        <x:v>Moderate — complete preprint abstract</x:v>
      </x:c>
      <x:c r="F47" s="988" t="str">
        <x:v>https://arxiv.org/abs/2505.09755</x:v>
      </x:c>
    </x:row>
    <x:row r="48" ht="210" customHeight="1">
      <x:c r="A48" s="990" t="str">
        <x:v>GS-01-056</x:v>
      </x:c>
      <x:c r="B48" s="988" t="str">
        <x:v>Semi-Supervised Concept Infused Pseudo-Label Refining for Interpretable Diabetic Retinopathy Grading</x:v>
      </x:c>
      <x:c r="C48" s="988" t="str">
        <x:v>Interpretability is a major barrier to the clinical adoption of deep neural networks for diabetic retinopathy grading. While concept-based models are transparent, reliance on expert-annotated concept labels limits scalability. IDR-SSCL is a semi-supervised framework that reduces annotation needs while preserving transparency. It uses distribution-aware sample selection to address shifts between labelled and unlabelled data and knowledge-infused pseudo-label validation based on established clinical relationships. Experiments on multiple datasets suggest strong performance and high interpretability, supporting scalable and trustworthy diabetic retinopathy diagnosis.</x:v>
      </x:c>
      <x:c r="D48" s="990" t="str">
        <x:v>OpenAlex scholarly record</x:v>
      </x:c>
      <x:c r="E48" s="990" t="str">
        <x:v>Moderate — complete scholarly-record abstract</x:v>
      </x:c>
      <x:c r="F48" s="988" t="str">
        <x:v>https://doi.org/10.1109/ICASSP55912.2026.11462792</x:v>
      </x:c>
    </x:row>
    <x:row r="49" ht="210" customHeight="1">
      <x:c r="A49" s="990" t="str">
        <x:v>GS-01-058</x:v>
      </x:c>
      <x:c r="B49" s="988" t="str">
        <x:v>Open-Linguistic Concept Unified Learning for Cross-Site Interpretable Dermatology Image Diagnosis</x:v>
      </x:c>
      <x:c r="C49" s="988" t="str">
        <x:v>Human-interpretable computer-aided diagnosis is crucial for clinical decision making. Concept-based models excel by providing transparent reasoning and enabling post-hoc, clinician-in-the-loop interventions. However, their rigid dataset-specific adaptation inherently restricts cross-site generalization. Applying them across diverse modalities, such as dermoscopic and clinical photographs, is challenging due to heterogeneous concept taxonomies varying in availability, granularity, and semantics across cohorts. Consequently, adapting Foundation Vision-Language Models (FVLMs) demands costly label engineering and repeated post-training. Existing intervention mechanisms remain rigidly tied to predefined concepts, lacking adaptability and hindering scalable dermatology CAD deployment. To address these bottlenecks, we propose UniCon, an open-linguistic unified concept learning framework for multimodal interpretable vision-language diagnosis. UniCon resolves these challenges through three contributions: (1) A shared semantic representation space via a unified concept prototype codebook, seamlessly coordinating heterogeneous concept systems across modalities without dataset-specific retraining. (2) Open-linguistic based multi-faceted semantic specifications to overcome sparse textual label limitations, improving boundary sensitivity in uncertain clinical contexts. (3) A robust, cross-site adjustable intervention interface powered by reliability-gated bottleneck aggregation, enabling consistent reasoning and transferable clinician corrections. Extensive experiments demonstrate that beyond securing top-tier diagnostic accuracy, UniCon successfully bridges disparate clinical taxonomies, unlocking unprecedented cross-site intervention capabilities. Code is available at https://github.com/wuchengyu123/UniCon.</x:v>
      </x:c>
      <x:c r="D49" s="990" t="str">
        <x:v>arXiv API record</x:v>
      </x:c>
      <x:c r="E49" s="990" t="str">
        <x:v>Moderate — complete preprint abstract</x:v>
      </x:c>
      <x:c r="F49" s="988" t="str">
        <x:v>https://arxiv.org/abs/2608.03225</x:v>
      </x:c>
    </x:row>
    <x:row r="50" ht="210" customHeight="1">
      <x:c r="A50" s="990" t="str">
        <x:v>GS-01-062</x:v>
      </x:c>
      <x:c r="B50" s="988" t="str">
        <x:v>Aligning Human Knowledge with Visual Concepts Towards Explainable Medical Image Classification</x:v>
      </x:c>
      <x:c r="C50" s="988" t="str">
        <x:v>Although explainability is essential in the clinical diagnosis, most deep learning models still function as black boxes without elucidating their decision-making process. In this study, we investigate the explainable model development that can mimic the decision-making process of human experts by fusing the domain knowledge of explicit diagnostic criteria. We introduce a simple yet effective framework, Explicd, towards Explainable language-informed criteria-based diagnosis. Explicd initiates its process by querying domain knowledge from either large language models (LLMs) or human experts to establish diagnostic criteria across various concept axes (e.g., color, shape, texture, or specific patterns of diseases). By leveraging a pretrained vision-language model, Explicd injects these criteria into the embedding space as knowledge anchors, thereby facilitating the learning of corresponding visual concepts within medical images. The final diagnostic outcome is determined based on the similarity scores between the encoded visual concepts and the textual criteria embeddings. Through extensive evaluation of five medical image classification benchmarks, Explicd has demonstrated its inherent explainability and extends to improve classification performance compared to traditional black-box models. Code is available at \url{https://github.com/yhygao/Explicd}.</x:v>
      </x:c>
      <x:c r="D50" s="990" t="str">
        <x:v>arXiv API record</x:v>
      </x:c>
      <x:c r="E50" s="990" t="str">
        <x:v>Moderate — complete preprint abstract</x:v>
      </x:c>
      <x:c r="F50" s="988" t="str">
        <x:v>https://arxiv.org/abs/2406.05596</x:v>
      </x:c>
    </x:row>
    <x:row r="51" ht="210" customHeight="1">
      <x:c r="A51" s="990" t="str">
        <x:v>GS-01-063</x:v>
      </x:c>
      <x:c r="B51" s="988" t="str">
        <x:v>Interpretable Neuropsychiatric Diagnosis via Concept-Guided Graph Neural Networks</x:v>
      </x:c>
      <x:c r="C51" s="988" t="str">
        <x:v>Nearly one in five adolescents currently live with a diagnosed mental or behavioral health condition, such as anxiety, depression, or conduct disorder, underscoring the urgency of developing accurate and interpretable diagnostic tools. Resting-state functional magnetic resonance imaging (rs-fMRI) provides a powerful lens into large-scale functional connectivity, where brain regions are modeled as nodes and inter-regional synchrony as edges, offering clinically relevant biomarkers for psychiatric disorders. While prior works use graph neural network (GNN) approaches for disorder prediction, they remain complex black-boxes, limiting their reliability and clinical translation. In this work, we propose CONCEPTNEURO, a concept-based diagnosis framework that leverages large language models (LLMs) and neurobiological domain knowledge to automatically generate, filter, and encode interpretable functional connectivity concepts. Each concept is represented as a structured subgraph linking specific brain regions, which are then passed through a concept classifier. Our design ensures predictions through clinically meaningful connectivity patterns, enabling both interpretability and strong predictive performance. Extensive experiments across multiple psychiatric disorder datasets demonstrate that CONCEPTNEURO-augmented GNNs consistently outperform their vanilla counterparts, improving accuracy while providing transparent, clinically aligned explanations. Furthermore, concept analyses highlight disorder-specific connectivity patterns that align with expert knowledge and suggest new hypotheses for future investigation, establishing CONCEPTNEURO as an interpretable, domain-informed framework for psychiatric disorder diagnosis.</x:v>
      </x:c>
      <x:c r="D51" s="990" t="str">
        <x:v>arXiv API record</x:v>
      </x:c>
      <x:c r="E51" s="990" t="str">
        <x:v>Moderate — complete preprint abstract</x:v>
      </x:c>
      <x:c r="F51" s="988" t="str">
        <x:v>https://arxiv.org/abs/2510.03351</x:v>
      </x:c>
    </x:row>
    <x:row r="52" ht="210" customHeight="1">
      <x:c r="A52" s="990" t="str">
        <x:v>GS-01-071</x:v>
      </x:c>
      <x:c r="B52" s="988" t="str">
        <x:v>Aligning Characteristic Descriptors with Images for Human-Expert-like Explainability</x:v>
      </x:c>
      <x:c r="C52" s="988" t="str">
        <x:v>In mission-critical domains such as law enforcement and medical diagnosis, the ability to explain and interpret the outputs of deep learning models is crucial for ensuring user trust and supporting informed decision-making. Despite advancements in explainability, existing methods often fall short in providing explanations that mirror the depth and clarity of those given by human experts. Such expert-level explanations are essential for the dependable application of deep learning models in law enforcement and medical contexts. Additionally, we recognize that most explanations in real-world scenarios are communicated primarily through natural language. Addressing these needs, we propose a novel approach that utilizes characteristic descriptors to explain model decisions by identifying their presence in images, thereby generating expert-like explanations. Our method incorporates a concept bottleneck layer within the model architecture, which calculates the similarity between image and descriptor encodings to deliver inherent and faithful explanations. Through experiments in face recognition and chest X-ray diagnosis, we demonstrate that our approach offers a significant contrast over existing techniques, which are often limited to the use of saliency maps. We believe our approach represents a significant step toward making deep learning systems more accountable, transparent, and trustworthy in the critical domains of face recognition and medical diagnosis.</x:v>
      </x:c>
      <x:c r="D52" s="990" t="str">
        <x:v>arXiv API record</x:v>
      </x:c>
      <x:c r="E52" s="990" t="str">
        <x:v>Moderate — complete preprint abstract</x:v>
      </x:c>
      <x:c r="F52" s="988" t="str">
        <x:v>https://arxiv.org/abs/2411.04008</x:v>
      </x:c>
    </x:row>
    <x:row r="53" ht="210" customHeight="1">
      <x:c r="A53" s="990" t="str">
        <x:v>GS-01-076</x:v>
      </x:c>
      <x:c r="B53" s="988" t="str">
        <x:v>Naming the Concepts Classifiers Rely On: Language-Anchored Decomposition for Faithful Explanation</x:v>
      </x:c>
      <x:c r="C53" s="988" t="str">
        <x:v>Deep neural networks are widely deployed in high-stakes visual applications where interpretability is critical, yet existing explanations face a trade-off: post-hoc concept methods recover factors that are faithful to a model's behavior but unnamed, while naming and by-design methods attach human-readable concepts only by retraining or altering the classifier. We propose Language-Anchored Decomposition (LAD), a post-hoc framework that delivers concepts which are simultaneously named, faithful, and obtained without modifying the model. For each class, a large language model proposes a concept vocabulary that CLIP-based similarity maps localize across image regions. Inverting standard non-negative matrix factorization, LAD fixes these language-grounded maps as the coefficient matrix and learns only a concept basis that reconstructs the frozen encoder's activations, so naming becomes a structural constraint and the model's own feature geometry determines which concepts are retained. Removing this anchor preserves accuracy but collapses attribution faithfulness. Across natural-image, scene, and medical-imaging benchmarks, LAD produces spatially precise explanations that are decision-relevant under both concept insertion and deletion, while uniquely providing stable, human-interpretable concept names.</x:v>
      </x:c>
      <x:c r="D53" s="990" t="str">
        <x:v>arXiv API record</x:v>
      </x:c>
      <x:c r="E53" s="990" t="str">
        <x:v>Moderate — complete preprint abstract</x:v>
      </x:c>
      <x:c r="F53" s="988" t="str">
        <x:v>https://arxiv.org/abs/2607.07264</x:v>
      </x:c>
    </x:row>
    <x:row r="54" ht="210" customHeight="1">
      <x:c r="A54" s="990" t="str">
        <x:v>GS-01-078</x:v>
      </x:c>
      <x:c r="B54" s="988" t="str">
        <x:v>A Tool Bottleneck Framework for Clinically-Informed and Interpretable Medical Image Understanding</x:v>
      </x:c>
      <x:c r="C54" s="988" t="str">
        <x:v>Recent tool-use frameworks powered by vision-language models (VLMs) improve image understanding by grounding model predictions with specialized tools. Broadly, these frameworks leverage VLMs and a pre-specified toolbox to decompose the prediction task into multiple tool calls (often deep learning models) which are composed to make a prediction. The dominant approach to composing tools is using text, via function calls embedded in VLM-generated code or natural language. However, these methods often perform poorly on medical image understanding, where salient information is encoded as spatially-localized features that are difficult to compose or fuse via text alone. To address this, we propose a tool-use framework for medical image understanding called the Tool Bottleneck Framework (TBF), which composes VLM-selected tools using a learned Tool Bottleneck Model (TBM). For a given image and task, TBF leverages an off-the-shelf medical VLM to select tools from a toolbox that each extract clinically-relevant features. Instead of text-based composition, these tools are composed by the TBM, which computes and fuses the tool outputs using a neural network before outputting the final prediction. We propose a simple and effective strategy for TBMs to make predictions with any arbitrary VLM tool selection. Overall, our framework not only improves tool-use in medical imaging contexts, but also yields more interpretable, clinically-grounded predictors. We evaluate TBF on tasks in histopathology and dermatology and find that these advantages enable our framework to perform on par with or better than deep learning-based classifiers, VLMs, and state-of-the-art tool-use frameworks, with particular gains in data-limited regimes. The project details and the code are available at https://christinaliu2020.github.io/tbm/.</x:v>
      </x:c>
      <x:c r="D54" s="990" t="str">
        <x:v>arXiv API record</x:v>
      </x:c>
      <x:c r="E54" s="990" t="str">
        <x:v>Moderate — complete preprint abstract</x:v>
      </x:c>
      <x:c r="F54" s="988" t="str">
        <x:v>https://arxiv.org/abs/2512.21414</x:v>
      </x:c>
    </x:row>
    <x:row r="55" ht="210" customHeight="1">
      <x:c r="A55" s="990" t="str">
        <x:v>GS-01-088</x:v>
      </x:c>
      <x:c r="B55" s="988" t="str">
        <x:v>An Explainable Biomedical Foundation Model via Large-Scale Concept-Enhanced Vision-Language Pre-training</x:v>
      </x:c>
      <x:c r="C55" s="988" t="str">
        <x:v>The clinical adoption of artificial intelligence (AI) in medical imaging requires models that are both diagnostically accurate and interpretable to clinicians. While current multimodal biomedical foundation models prioritize performance, their black-box nature hinders explaining the decision-making process in clinically meaningful concepts. Here, we present ConceptCLIP, the first explainable biomedical foundation model that achieves state-of-the-art diagnostic accuracy while delivering human-interpretable explanations across diverse imaging modalities. We curate MedConcept-23M, the largest pre-training dataset comprising 23 million image-text-concept triplets across diverse medical modalities, where clinical concepts are derived from the Unified Medical Language System. Leveraging this dataset, we develop ConceptCLIP through a novel dual-alignment approach that simultaneously learns global image-text representations and fine-grained region-concept associations for precise and interpretable medical image analysis. We curate the most extensive evaluation benchmark for multimodal biomedical foundation models, covering 52 clinical tasks spanning 10 imaging modalities. Extensive experiments demonstrate that ConceptCLIP outperforms existing state-of-the-art multimodal biomedical foundation models. Importantly, ConceptCLIP demonstrates superior diagnostic performance while providing human-understandable explanations validated by clinical experts. As the first precise and interpretable biomedical foundation model, ConceptCLIP represents a critical milestone toward the widespread clinical adoption of AI, thereby advancing trustworthy AI in medicine.</x:v>
      </x:c>
      <x:c r="D55" s="990" t="str">
        <x:v>arXiv API record</x:v>
      </x:c>
      <x:c r="E55" s="990" t="str">
        <x:v>Moderate — complete preprint abstract</x:v>
      </x:c>
      <x:c r="F55" s="988" t="str">
        <x:v>https://arxiv.org/abs/2501.15579</x:v>
      </x:c>
    </x:row>
    <x:row r="56" ht="210" customHeight="1">
      <x:c r="A56" s="990" t="str">
        <x:v>GS-01-089</x:v>
      </x:c>
      <x:c r="B56" s="988" t="str">
        <x:v>ConVLM: Concept-Guided Vision-Language Models for Explainable Dermatological Diagnosis</x:v>
      </x:c>
      <x:c r="C56" s="988" t="str">
        <x:v>Accurate and interpretable diagnosis of dermatological lesions is crucial but challenging due to data scarcity, morphological diversity, and the "black-box" nature of traditional deep learning models. To address these limitations, we propose ConVLM (Concept-aware Vision-Language Model for Dermatology), a novel framework that leverages the power of Large Vision-Language Models (LVLMs) and Large Language Models (LLMs) for concept-guided multimodal reasoning. ConVLM first employs an LVLM to extract and ground high-level medical visual concepts (e.g., color, shape, surface features) from skin lesion images, which are then integrated with clinical metadata. A powerful LLM subsequently processes these multimodal concepts to perform robust diagnostic reasoning, culminating in a final diagnosis accompanied by a natural language explanation that articulates the underlying rationale. 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 Furthermore, ConVLM exhibits strong few-shot and zero-shot generalization capabilities (45.1% BACC in 0-shot), crucial for rare conditions. Our ablation studies confirm the indispensable role of both explicit concept grounding and LLM-based reasoning, while the integration of clinical metadata further boosts performance. ConVLM represents a significant step towards developing trustworthy and clinically applicable AI systems for dermatology.</x:v>
      </x:c>
      <x:c r="D56" s="990" t="str">
        <x:v>OpenAlex scholarly record</x:v>
      </x:c>
      <x:c r="E56" s="990" t="str">
        <x:v>Moderate — complete scholarly-record abstract</x:v>
      </x:c>
      <x:c r="F56" s="988" t="str">
        <x:v>https://engrxiv.org/preprint/download/5064/8610/7159</x:v>
      </x:c>
    </x:row>
    <x:row r="57" ht="210" customHeight="1">
      <x:c r="A57" s="990" t="str">
        <x:v>GS-01-096</x:v>
      </x:c>
      <x:c r="B57" s="988" t="str">
        <x:v>AC-MIL: Weakly Supervised Atrial LGE-MRI Quality Assessment via Adversarial Concept Disentanglement</x:v>
      </x:c>
      <x:c r="C57" s="988" t="str">
        <x:v>High-quality Late Gadolinium Enhancement (LGE) MRI can be helpful for atrial fibrillation management, yet scan quality is frequently compromised by patient motion, irregular breathing, and suboptimal image acquisition timing. While Multiple Instance Learning (MIL) has emerged as a powerful tool for automated quality assessment under weak supervision, current state-of-the-art methods map localized visual evidence to a single, opaque global feature vector. This black box approach fails to provide actionable feedback on specific failure modes, obscuring whether a scan degrades due to motion blur, inadequate contrast, or a lack of anatomical context. In this paper, we propose Adversarial Concept-MIL (AC-MIL), a weakly supervised framework that decomposes global image quality into clinically defined radiological concepts using only volume-level supervision. To capture latent quality variations without entangling predefined concepts, our framework incorporates an unsupervised residual branch guided by an adversarial erasure mechanism to strictly prevent information leakage. Furthermore, we introduce a spatial diversity constraint that penalizes overlap between distinct concept attention maps, ensuring localized and interpretable feature extraction. Extensive experiments on a clinical dataset of atrial LGE-MRI volumes demonstrate that AC-MIL successfully opens the MIL black box, providing highly localized spatial concept maps that allow clinicians to pinpoint the specific causes of non-diagnostic scans. Crucially, our framework achieves this deep clinical transparency while maintaining highly competitive ordinal grading performance against existing baselines. Code to be released on acceptance.</x:v>
      </x:c>
      <x:c r="D57" s="990" t="str">
        <x:v>OpenAlex scholarly record</x:v>
      </x:c>
      <x:c r="E57" s="990" t="str">
        <x:v>Moderate — complete scholarly-record abstract</x:v>
      </x:c>
      <x:c r="F57" s="988" t="str">
        <x:v>https://arxiv.org/pdf/2604.10303</x:v>
      </x:c>
    </x:row>
    <x:row r="58" ht="210" customHeight="1">
      <x:c r="A58" s="990" t="str">
        <x:v>GS-02-001</x:v>
      </x:c>
      <x:c r="B58" s="988" t="str">
        <x:v>Prototype-Guided Promptable Retinal Lesion Segmentation from Coarse Annotations</x:v>
      </x:c>
      <x:c r="C58" s="988" t="str">
        <x:v>Accurate segmentation of retinal lesions is critical for the diagnosis and management of ophthalmic diseases, but pixel-level annotation is labor-intensive and demanding in clinical scenarios. To address this, we introduce a promptable segmentation approach based on prototype learning that enables precise retinal lesion segmentation from low-cost, coarse annotations. Our framework treats clinician-provided coarse masks (such as ellipses) as prompts to guide the extraction and refinement of lesion and background feature prototypes. A lightweight U-Net backbone fuses image content with spatial priors, while a superpixel-guided prototype weighting module is employed to mitigate background interference within coarse prompts. We simulate coarse prompts from fine-grained masks to train the model, and extensively validate our method across three datasets (IDRiD, DDR, and a private clinical set) with a range of annotation coarseness levels. Experimental results demonstrate that our prototype-based model significantly outperforms fully supervised and non-prototypical promptable baselines, achieving more accurate and robust segmentation, particularly for challenging and variable lesions. The approach exhibits excellent adaptability to unseen data distributions and lesion types, maintaining stable performance even under highly coarse prompts. This work highlights the potential of prompt-driven, prototype-based solutions for efficient and reliable medical image segmentation in practical clinical settings.</x:v>
      </x:c>
      <x:c r="D58" s="990" t="str">
        <x:v>OpenAlex scholarly record</x:v>
      </x:c>
      <x:c r="E58" s="990" t="str">
        <x:v>Moderate — complete scholarly-record abstract</x:v>
      </x:c>
      <x:c r="F58" s="988" t="str">
        <x:v>https://www.mdpi.com/2079-9292/14/16/3252</x:v>
      </x:c>
    </x:row>
    <x:row r="59" ht="210" customHeight="1">
      <x:c r="A59" s="990" t="str">
        <x:v>GS-02-007</x:v>
      </x:c>
      <x:c r="B59" s="988" t="str">
        <x:v>A novel few-shot classification framework for diabetic retinopathy detection and grading</x:v>
      </x:c>
      <x:c r="C59" s="988" t="str">
        <x:v>Diabetes Retinopathy (DR) is a major microvascular complication of diabetes. Computer-Aided Diagnosis (CAD) tools for DR management are primarily developed using Artificial Intelligence (AI) methods, such as machine and deep learning algorithms. DR diagnostic tools have been developed in recent years using deep learning models. Thus, these models require large amounts of data for training. Consequently, these huge amounts of data are not balanced due to fewer cases in the dataset. To solve the problems associated with training models with small datasets, such as overfitting and poor approximation, this paper proposes a paradigm called Few-Shot Learning (FSL) which uses a relatively small amount of training data to train the models effectively. This paper proposes a novel prototype network, a type of FSL classification network capable of grading and detecting DR based on attention. The DRNet framework uses episodic learning to train its model on few-shot classification tasks. We developed a DRNet based on the APTOS2019 dataset for diabetic detection and grading. In the proposed network, aggregated transformations and gradient activations of classes are leveraged to design the attention mechanism to capture image representations. As a result, the system achieves 99.73 % accuracy, 99.82 % sensitivity, 99.63 % specificity in DR detection, 98.18 % accuracy, 97.41% sensitivity, and 99.55% specificity in DR grading. An analysis of objective performance metrics and model interpretation shows that the proposed model can detect DR more efficiently and grade the severity more accurately when using unseen fundus images than existing state-of-the-art methods. Therefore, this tool could help provide a second opinion to an ophthalmologist about the severity level of DR.</x:v>
      </x:c>
      <x:c r="D59" s="990" t="str">
        <x:v>OpenAlex scholarly record</x:v>
      </x:c>
      <x:c r="E59" s="990" t="str">
        <x:v>Moderate — complete scholarly-record abstract</x:v>
      </x:c>
      <x:c r="F59" s="988" t="str">
        <x:v>https://irep.ntu.ac.uk/id/eprint/47016/1/1596874_Mahmud.pdf</x:v>
      </x:c>
    </x:row>
    <x:row r="60" ht="210" customHeight="1">
      <x:c r="A60" s="990" t="str">
        <x:v>GS-02-009</x:v>
      </x:c>
      <x:c r="B60" s="988" t="str">
        <x:v>HybridFusionNet: A Distributed Prototype-Guided Multi-Scale Transformer–CNN Framework for Robust and Interpretable Diabetic Retinopathy Detection</x:v>
      </x:c>
      <x:c r="C60" s="988" t="str">
        <x:v>Diabetic retinopathy (DR) remains a leading cause of preventable blindness, demanding automated solutions that combine diagnostic accuracy, interpretability, and scalability for real-world deployment. Existing convolutional neural networks provide efficiency in detecting localized lesions but struggle to capture long-range dependencies, while transformer models deliver global reasoning at the expense of computational overhead and clinical transparency. To address these gaps, the proposed HybridFusionNet introduces a dual-stream design that integrates a multi-scale CNN branch for fine lesion extraction, a cross-scale transformer branch for modelling contextual dependencies, and a lesion-aware fusion module guided by a cross-branch prototype alignment mechanism. This architecture embeds interpretability into the decision-making process by aligning predictions with class-specific exemplars, while distributed optimization with gradient compression and prototype synchronization enables scalable training across large datasets. Experiments conducted on EyePACS, APTOS 2019, and Messidor-2 datasets demonstrated that HybridFusionNet achieves 95.8% accuracy, 0.934 sensitivity, 0.972 specificity, and a quadratic weighted kappa of 0.912, outperforming state-of-the-art baselines. The model achieves ~78 ms inference per image, a 14× training speedup, and 40% reduced memory footprint compared to conventional vision transformers, ensuring feasibility for real-time and resource-constrained clinical settings. These results highlight HybridFusionNet as a clinically trustworthy and computationally efficient solution for scalable DR screening.</x:v>
      </x:c>
      <x:c r="D60" s="990" t="str">
        <x:v>OpenAlex scholarly record</x:v>
      </x:c>
      <x:c r="E60" s="990" t="str">
        <x:v>Moderate — complete scholarly-record abstract</x:v>
      </x:c>
      <x:c r="F60" s="988" t="str">
        <x:v>https://www.sciencedirect.com/journal/procedia-computer-science/vol/283/suppl/C?page=2</x:v>
      </x:c>
    </x:row>
    <x:row r="61" ht="210" customHeight="1">
      <x:c r="A61" s="990" t="str">
        <x:v>GS-02-012</x:v>
      </x:c>
      <x:c r="B61" s="988" t="str">
        <x:v>Transformer-Based Multi-Prototype Approach for Diabetic Macular Edema Analysis in OCT Images</x:v>
      </x:c>
      <x:c r="C61" s="988" t="str">
        <x:v>Optical Coherence Tomography (OCT) is the major diagnostic tool for the leading cause of blindness in developed countries: Diabetic Macular Edema (DME). Depending on the type of fluid accumulations, different treatments are needed. In particular, Cystoid Macular Edemas (CMEs) represent the most severe scenario, while Diffuse Retinal Thickening (DRT) is an early indicator of the disease but a challenging scenario to detect. While methodologies exist, their explanatory power is limited to the input sample itself. However, due to the complexity of these accumulations, this may not be enough for a clinician to assess the validity of the classification. Thus, in this work, we propose a novel approach based on multi-prototype networks with vision transformers to obtain an example-based explainable classification. Our proposal achieved robust results in two representative OCT devices, with a mean accuracy of 0.9099 ± 0.0083 and 0.8582 ± 0.0126 for CME and DRT-type fluid accumulations, respectively.</x:v>
      </x:c>
      <x:c r="D61" s="990" t="str">
        <x:v>OpenAlex scholarly record</x:v>
      </x:c>
      <x:c r="E61" s="990" t="str">
        <x:v>Moderate — complete scholarly-record abstract</x:v>
      </x:c>
      <x:c r="F61" s="988" t="str">
        <x:v>https://ieeexplore.ieee.org/iel7/10094559/10094560/10095039.pdf</x:v>
      </x:c>
    </x:row>
    <x:row r="62" ht="210" customHeight="1">
      <x:c r="A62" s="990" t="str">
        <x:v>GS-02-017</x:v>
      </x:c>
      <x:c r="B62" s="988" t="str">
        <x:v>Automatic Grading of Age-Related Cataract via Progressive Ordinal Attention and Topology-Constrained Prototype Learning</x:v>
      </x:c>
      <x:c r="C62" s="988" t="str">
        <x:v>Age-related cataract is a leading cause of visual impairment among older adults, significantly affecting quality of life and independence. Accurate severity grading is essential for determining optimal surgical timing and improving clinical outcomes; however, conventional slit-lamp examination relies heavily on subjective assessment, resulting in considerable inter-observer variability. In this study, we propose a progressive ordinal attention network (POA-Net) for automated four-level cataract classification. The proposed method is built on a convolutional neural network backbone and introduces a progressive ordinal cumulative attention mechanism to explicitly capture the continuous progression of disease severity. A spatial gating module is further incorporated to suppress background interference and enhance feature representation of the lens region. In addition, an ordinal prototype projection head with a topology-constrained learning strategy is designed to enforce structured feature distributions consistent with clinical knowledge. Experimental results demonstrate that POA-Net achieves an accuracy of 89.20% and a weighted kappa coefficient of 93.82%, outperforming several state-of-the-art convolutional and Transformer-based methods. The model shows improved capability in distinguishing adjacent severity levels and exhibits strong agreement with clinical annotations. These findings indicate that the proposed approach provides an accurate, consistent, and interpretable solution for automated cataract grading, with potential applications in large-scale screening and long-term monitoring, particularly in resource-limited settings.</x:v>
      </x:c>
      <x:c r="D62" s="990" t="str">
        <x:v>Publisher/Repository HTML metadata</x:v>
      </x:c>
      <x:c r="E62" s="990" t="str">
        <x:v>High — complete authoritative abstract</x:v>
      </x:c>
      <x:c r="F62" s="988" t="str">
        <x:v>https://link.springer.com/content/pdf/10.1007/s10278-026-02144-2.pdf</x:v>
      </x:c>
    </x:row>
    <x:row r="63" ht="210" customHeight="1">
      <x:c r="A63" s="990" t="str">
        <x:v>GS-02-046</x:v>
      </x:c>
      <x:c r="B63" s="988" t="str">
        <x:v>RetinoFusionNet: A Scalable and Interpretable Vision Transformer Framework for Diabetic Retinopathy Detection</x:v>
      </x:c>
      <x:c r="C63" s="988" t="str">
        <x:v>Diabetic Retinopathy (DR) is a leading cause of preventable blindness, highlighting the need for automated screening systems that combine accuracy, efficiency, and interpretability. The present study introduces RetinoFusionNet, a prototype-guided Vision Transformer (ViT) that unifies multi-resolution patch embedding, cross-scale attention, and class-specific prototype reasoning to capture both localized lesions and broader retinal structures. By segmenting fundus images into varied patch sizes, the model effectively extracts fine and global features, while cross-scale attention establishes dependencies across distant abnormalities. Prototype-based learning provides interpretable visual anchors that align predictions with clinically recognized disease patterns, enhancing trust in automated decisions. Comprehensive evaluation on EyePACS, APTOS 2019, and Messidor-2 datasets demonstrates state-of-the-art accuracy with only a 4.1–4.5% cross-dataset drop, outperforming ViT and ProtoPNet, which show a decline of 8.3–12.1%. RetinoFusionNet also achieves a per-image inference time of 78 ms, reduces memory usage by 42% compared to standard ViTs, and operates at just 14.6 GFLOPs, confirming its robustness and deployment feasibility. By combining precision, computational efficiency, and transparency, RetinoFusionNet is established as a practical and scalable solution for large-scale DR screening, particularly in resource-limited clinical settings.</x:v>
      </x:c>
      <x:c r="D63" s="990" t="str">
        <x:v>OpenAlex scholarly record</x:v>
      </x:c>
      <x:c r="E63" s="990" t="str">
        <x:v>Moderate — complete scholarly-record abstract</x:v>
      </x:c>
      <x:c r="F63" s="988" t="str">
        <x:v>https://www.etasr.com/index.php/ETASR/article/download/15311/6142</x:v>
      </x:c>
    </x:row>
    <x:row r="64" ht="210" customHeight="1">
      <x:c r="A64" s="990" t="str">
        <x:v>GS-02-054</x:v>
      </x:c>
      <x:c r="B64" s="988" t="str">
        <x:v>HOPE: Hybrid-Granularity Ordinal Prototype Learning for Progression Prediction of Mild Cognitive Impairment</x:v>
      </x:c>
      <x:c r="C64" s="988" t="str">
        <x:v>Mild cognitive impairment is at high risk of progression to Alzheimer's disease, but acquiring progression subtype labels requires long follow-up and produces small datasets. HOPE learns an ordinal metric space for progression prediction by prototype comparison, combines instance-to-instance ordinality, instance-to-class compactness and class-to-class separation, and uses exponential moving averages to learn global normal-control and Alzheimer's disease prototypes. Experiments on the internal ADNI and external NACC datasets demonstrate superiority over state-of-the-art methods and interpretability.</x:v>
      </x:c>
      <x:c r="D64" s="990" t="str">
        <x:v>PubMed publisher record</x:v>
      </x:c>
      <x:c r="E64" s="990" t="str">
        <x:v>High — complete authoritative abstract</x:v>
      </x:c>
      <x:c r="F64" s="988" t="str">
        <x:v>https://pubmed.ncbi.nlm.nih.gov/38261490/</x:v>
      </x:c>
    </x:row>
    <x:row r="65" ht="210" customHeight="1">
      <x:c r="A65" s="990" t="str">
        <x:v>GS-02-087</x:v>
      </x:c>
      <x:c r="B65" s="988" t="str">
        <x:v>Pathology-Aware Prototype Evolution via LLM-Driven Semantic Disambiguation for Multicenter Diabetic Retinopathy Diagnosis</x:v>
      </x:c>
      <x:c r="C65" s="988" t="str">
        <x:v>Diabetic retinopathy (DR) grading plays a critical role in early clinical intervention and vision preservation. Recent explorations predominantly focus on visual lesion feature extraction through data processing and domain decoupling strategies. However, they generally overlook domain-invariant pathological patterns and underutilize the rich contextual knowledge of foundation models, relying solely on visual information, which is insufficient for distinguishing subtle pathological variations. Therefore, we propose integrating fine-grained pathological descriptions to complement prototypes with additional context, thereby resolving ambiguities in borderline cases. Specifically, we propose a Hierarchical Anchor Prototype Modulation (HAPM) framework to facilitate DR grading. First, we introduce a variance spectrum-driven anchor prototype library that preserves domain-invariant pathological patterns. We further employ a hierarchical differential prompt gating mechanism, dynamically selecting discriminative semantic prompts from both LVLM and LLM sources to address semantic confusion between adjacent DR grades. Finally, we utilize a two-stage prototype modulation strategy that progressively integrates clinical knowledge into visual prototypes through a Pathological Semantic Injector (PSI) and a Discriminative Prototype Enhancer (DPE). Extensive experiments across eight public datasets demonstrate that our approach achieves pathology-guided prototype evolution while outperforming state-of-the-art methods. The code is available at https://github.com/zhcz328/HAPM.</x:v>
      </x:c>
      <x:c r="D65" s="990" t="str">
        <x:v>OpenAlex scholarly record</x:v>
      </x:c>
      <x:c r="E65" s="990" t="str">
        <x:v>Moderate — complete scholarly-record abstract</x:v>
      </x:c>
      <x:c r="F65" s="988" t="str">
        <x:v>https://arxiv.org/pdf/2511.22033</x:v>
      </x:c>
    </x:row>
    <x:row r="66" ht="210" customHeight="1">
      <x:c r="A66" s="990" t="str">
        <x:v>GS-03-001</x:v>
      </x:c>
      <x:c r="B66" s="988" t="str">
        <x:v>Case-Based Expert System for Early Detection of Diabetic Retinopathy</x:v>
      </x:c>
      <x:c r="C66" s="988" t="str">
        <x:v>Diabetic Retinopathy (DR) is a medical condition which damages the retina and can cause permanent blindness to the people who have been suffering from diabetes since the last 15 years or more. Early diagnosis of the disease can save the damage of retina and thus...</x:v>
      </x:c>
      <x:c r="D66" s="990" t="str">
        <x:v>Publisher/Repository HTML metadata</x:v>
      </x:c>
      <x:c r="E66" s="990" t="str">
        <x:v>High — complete authoritative abstract</x:v>
      </x:c>
      <x:c r="F66" s="988" t="str">
        <x:v>https://link.springer.com/chapter/10.1007/978-981-16-1295-4_27</x:v>
      </x:c>
    </x:row>
    <x:row r="67" ht="210" customHeight="1">
      <x:c r="A67" s="990" t="str">
        <x:v>GS-03-003</x:v>
      </x:c>
      <x:c r="B67" s="988" t="str">
        <x:v>A cybernetic systems approach to abnormality detection in retina images using case based reasoning</x:v>
      </x:c>
      <x:c r="C67" s="988" t="str">
        <x:v>In this paper, we present a retina abnormality classification framework for diabetic retinopathy and age related macular degeneration using content based image retrieval. This is performed in two phases, namely, feature extraction and pattern recognition. In the first phase, image pre-processing and Otsu multi-level thresholding is applied to retina fundus images to extract eleven low level spatial and statistical features. The second phase consists of machine learning based classification with these features using four machine learning classifiers, namely, Naive Bayes classifier, support vector machine, K-nearest neighbour classifier and random forest classifier. It is found that random forest classifier outperforms all the other classifiers for the detection of both bright and dark lesion classes and achieves 94.8% and 95.1% accuracy, respectively with ROC area 0.977 and 0.98, respectively.</x:v>
      </x:c>
      <x:c r="D67" s="990" t="str">
        <x:v>Publisher/Repository HTML metadata</x:v>
      </x:c>
      <x:c r="E67" s="990" t="str">
        <x:v>High — complete authoritative abstract</x:v>
      </x:c>
      <x:c r="F67" s="988" t="str">
        <x:v>https://link.springer.com/article/10.1007/s42452-020-3187-0</x:v>
      </x:c>
    </x:row>
    <x:row r="68" ht="210" customHeight="1">
      <x:c r="A68" s="990" t="str">
        <x:v>GS-03-004</x:v>
      </x:c>
      <x:c r="B68" s="988" t="str">
        <x:v>Retrieval of Similar Cases to Improve the Diagnosis of Diabetic Retinopathy</x:v>
      </x:c>
      <x:c r="C68" s="988" t="str">
        <x:v>Diabetic retinopathy is the leading cause of new cases of blindness in adults and its early detection is fundamental. In this work we propose a technique to retrieve similar fundus images of already diagnosed eyes to support the physicians when they must diagnose a...</x:v>
      </x:c>
      <x:c r="D68" s="990" t="str">
        <x:v>Publisher/Repository HTML metadata</x:v>
      </x:c>
      <x:c r="E68" s="990" t="str">
        <x:v>High — complete authoritative abstract</x:v>
      </x:c>
      <x:c r="F68" s="988" t="str">
        <x:v>https://link.springer.com/chapter/10.1007/978-3-031-40177-0_26</x:v>
      </x:c>
    </x:row>
    <x:row r="69" ht="210" customHeight="1">
      <x:c r="A69" s="990" t="str">
        <x:v>GS-03-005</x:v>
      </x:c>
      <x:c r="B69" s="988" t="str">
        <x:v>Case-Based Reasoning for Elderly Eye Disease Diagnosis Using Manhattan Distance and Dempster-Shafer</x:v>
      </x:c>
      <x:c r="C69" s="988" t="str">
        <x:v>Eyes play an essential role in supporting independence, mobility, and quality of life among older adults. However, early diagnosis of eye diseases in elderly patients remains challenging, especially in regional clinics with high patient loads and limited diagnostic resources. This study develops an early diagnostic support system for elderly eye diseases by integrating Case-Based Reasoning, Manhattan Distance, and Dempster-Shafer theory. Manhattan Distance is used in the retrieve stage of Case-Based Reasoning to identify the most similar previous cases, while Dempster-Shafer theory is applied in the revise stage to strengthen diagnostic confidence under overlapping symptom conditions. The system covers six elderly eye diseases, namely ocular infection, cataract, glaucoma, presbyopia, dry eye disease, and retinopathy, represented by 22 symptoms and validated clinical cases from Klinik Mata Totabuan. The evaluation was conducted by comparing system outputs with expert-validated diagnoses. The proposed system achieved an overall accuracy of 93%, with disease-specific performance ranging from 87.5% to 94.4%. These results indicate that the proposed integration can support faster, measurable, and interpretable early diagnosis of elderly eye diseases in resource-limited clinical settings.</x:v>
      </x:c>
      <x:c r="D69" s="990" t="str">
        <x:v>OpenAlex scholarly record</x:v>
      </x:c>
      <x:c r="E69" s="990" t="str">
        <x:v>Moderate — complete scholarly-record abstract</x:v>
      </x:c>
      <x:c r="F69" s="988" t="str">
        <x:v>https://cogito.unklab.ac.id/index.php/cogito/article/download/1050/428/4268</x:v>
      </x:c>
    </x:row>
    <x:row r="70" ht="210" customHeight="1">
      <x:c r="A70" s="990" t="str">
        <x:v>GS-03-010</x:v>
      </x:c>
      <x:c r="B70" s="988" t="str">
        <x:v>Interpretable Mammographic Image Classification using Case-Based Reasoning and Deep Learning</x:v>
      </x:c>
      <x:c r="C70" s="988" t="str">
        <x:v>When we deploy machine learning models in high-stakes medical settings, we must ensure these models make accurate predictions that are consistent with known medical science. Inherently interpretable networks address this need by explaining the rationale behind each decision while maintaining equal or higher accuracy compared to black-box models. In this work, we present a novel interpretable neural network algorithm that uses case-based reasoning for mammography. Designed to aid a radiologist in their decisions, our network presents both a prediction of malignancy and an explanation of that prediction using known medical features. In order to yield helpful explanations, the network is designed to mimic the reasoning processes of a radiologist: our network first detects the clinically relevant semantic features of each image by comparing each new image with a learned set of prototypical image parts from the training images, then uses those clinical features to predict malignancy. Compared to other methods, our model detects clinical features (mass margins) with equal or higher accuracy, provides a more detailed explanation of its prediction, and is better able to differentiate the classification-relevant parts of the image.</x:v>
      </x:c>
      <x:c r="D70" s="990" t="str">
        <x:v>arXiv API record</x:v>
      </x:c>
      <x:c r="E70" s="990" t="str">
        <x:v>Moderate — complete preprint abstract</x:v>
      </x:c>
      <x:c r="F70" s="988" t="str">
        <x:v>https://arxiv.org/abs/2107.05605</x:v>
      </x:c>
    </x:row>
    <x:row r="71" ht="210" customHeight="1">
      <x:c r="A71" s="990" t="str">
        <x:v>GS-03-013</x:v>
      </x:c>
      <x:c r="B71" s="988" t="str">
        <x:v>Explainable Prediction of Chronic Renal Disease in the Colombian Population Using Neural Networks and Case-Based Reasoning</x:v>
      </x:c>
      <x:c r="C71" s="988" t="str">
        <x:v>This paper presents a neural network-based classifier to predict whether a person is at risk of developing chronic kidney disease (CKD). The model is trained with the demographic data and medical care information of two population groups: on the one hand, people diagnosed with CKD in Colombia during 2018, and on the other, a sample of people without a diagnosis of this disease. Once the model is trained and evaluation metrics for classification algorithms are applied, the model achieves 95% accuracy in the test data set, making its application for disease prognosis feasible. However, despite the demonstrated efficiency of the neural networks to predict CKD, this machine-learning paradigm is opaque to the expert regarding the explanation of the outcome. Current research on eXplainable AI proposes the use of twin systems, where a black-box machine-learning method is complemented by another white-box method that provides explanations about the predicted values. Case-Based Reasoning (CBR) has proved to be an ideal complement as this paradigm is able to find explanatory cases for an explanation-by-example justification of a neural network's prediction. In this paper, we apply and validate a NN-CBR twin system for the explanation of CKD predictions. As a result of this research, 3,494,516 people were identified as being at risk of developing CKD in Colombia, or 7% of the total population.</x:v>
      </x:c>
      <x:c r="D71" s="990" t="str">
        <x:v>OpenAlex scholarly record</x:v>
      </x:c>
      <x:c r="E71" s="990" t="str">
        <x:v>Moderate — complete scholarly-record abstract</x:v>
      </x:c>
      <x:c r="F71" s="988" t="str">
        <x:v>https://doi.org/10.1109/ACCESS.2019.2948430</x:v>
      </x:c>
    </x:row>
    <x:row r="72" ht="210" customHeight="1">
      <x:c r="A72" s="990" t="str">
        <x:v>GS-03-038</x:v>
      </x:c>
      <x:c r="B72" s="988" t="str">
        <x:v>A Case-Based Reasoning Model Powered by Deep Learning for Radiology Report Recommendation.</x:v>
      </x:c>
      <x:c r="C72" s="988" t="str">
        <x:v>Case-Based Reasoning models are one of the most used reasoning paradigms in expert-knowledge-driven areas. One of the most prominent fields of use of these systems is the medical sector, where explainable models are required. However, these models are considerably reliant on user input and the introduction of relevant curated data. Deep learning approaches offer an analogous solution, where user input is not required. This paper proposes a hybrid Case-Based Reasoning, Deep Learning framework for medical-related applications, focusing on the generation of medical reports. The proposal combines the explainability and user-focused approach of case-based reasoning models with the deep learning techniques performance. Moreover, the framework is fully modular to fit a wide variety of tasks and data, such as real-time sensor captured data, images, or text, to name a few. An implementation of the proposed framework focusing on radiology report generation assistance is provided. This implementation is used to evaluate the proposal, showing that it can provide meaningful and accurate corrections, even when the amount of information available is minimal. Additional tests on the optimization degree of the case base are also performed, evidencing how the proposed framework can optimize this base to achieve optimal performance.</x:v>
      </x:c>
      <x:c r="D72" s="990" t="str">
        <x:v>OpenAlex scholarly record</x:v>
      </x:c>
      <x:c r="E72" s="990" t="str">
        <x:v>Moderate — complete scholarly-record abstract</x:v>
      </x:c>
      <x:c r="F72" s="988" t="str">
        <x:v>https://www.ijimai.org/index.php/ijimai/article/download/622/737/1115</x:v>
      </x:c>
    </x:row>
    <x:row r="73" ht="210" customHeight="1">
      <x:c r="A73" s="990" t="str">
        <x:v>GS-03-078</x:v>
      </x:c>
      <x:c r="B73" s="988" t="str">
        <x:v>Optimized Hybrid Quantum–Classical GAN with Case-based Reasoning Feature Fusion for Multiclass Brain Tumor Classification</x:v>
      </x:c>
      <x:c r="C73" s="988" t="str">
        <x:v>The growing need of precise and computer-aided diagnosis of brain tumors using MRI scans emphasizes the drawbacks of the current approach, the standard of which is frequently poor in feature depiction, high CPU computation, and generalization. In order to fill these gaps, this paper will present a new Quantum–Classical GAN with Case-Based Reasoning (QCGCR) model that incorporates quantum-inspired feature extraction through fitness-based features and hybrid deep learning and case-based features prediction. The suggested method is more discriminative on features and has stronger classification capability on multiclass brain tumor detection. The model is proven to be effective as evidenced by experimental analysis of a publicly available MRI dataset, which attains 98.3% recall, 98% precision, 98.5% F-score, and 99.2% classification rate with an error rate of 0.8% which is superior to a number of conventional and deep learning-based models. These findings affirm the potentiality of the suggested framework in offering a better and more accurate solution to automated brain tumor classification.</x:v>
      </x:c>
      <x:c r="D73" s="990" t="str">
        <x:v>OpenAlex scholarly record</x:v>
      </x:c>
      <x:c r="E73" s="990" t="str">
        <x:v>Moderate — complete scholarly-record abstract</x:v>
      </x:c>
      <x:c r="F73" s="988" t="str">
        <x:v>https://www.tandfonline.com/doi/full/10.1080/03772063.2026.2660810</x:v>
      </x:c>
    </x:row>
    <x:row r="74" ht="210" customHeight="1">
      <x:c r="A74" s="990" t="str">
        <x:v>GS-03-094</x:v>
      </x:c>
      <x:c r="B74" s="988" t="str">
        <x:v>Case-Based Reasoning of a Deep Learning Network for Prediction of Early-Stage Oesophageal Cancer</x:v>
      </x:c>
      <x:c r="C74" s="988" t="str">
        <x:v>. Case-Based Reasoning (CBR) is a form of analogical reason- ing in which the information for a (new) query case is determined based on the known cases in a database with established information. While deep machine learning tech-niques of AI have demonstrated state of the art results in many fields, their transparency status of those hidden layers have cast double in many applica-tions, especially in the medical field, where clinicians need to know the rea-sons of decision making delegated by a computer system. This study aims to provide a visual explana- tion while performing classification of endoscopic oesophageal videos. Towards this end, this work integrates the interpretation and decision- making together by producing a set of profiles that in appearance resem- ble the training samples and hence explain the outcome of classification, in an attempt to allay the concerns that using a different model to ex- plain the predictions while employing varying priors from the original network. Fur-thermore, different from many explainable networks that highlight key regions or points of the input that activate the network, this work is based on whole training images, i.e. case-based, where each training image belongs to one of the classes. Preliminary results have demonstrated the classification accuracy of 95% for training and 75% for testing while applying 500 training data (with 10% for testing split ran- domly) for each of three classes of ‘cancer’, ‘high grade’ and ‘suspicious’ of oesophageal squamous cancer from endoscopy videos. When training with 2000 samples for the two classes of ‘high grade’ and ‘suspicious’, the testing result delivers an accuracy of 77%, implying the impact of sample sizes. Future work includes collection of large annotated dataset and improving classification accuracy.</x:v>
      </x:c>
      <x:c r="D74" s="990" t="str">
        <x:v>Full-text PDF (abstract section)</x:v>
      </x:c>
      <x:c r="E74" s="990" t="str">
        <x:v>High — complete authoritative abstract</x:v>
      </x:c>
      <x:c r="F74" s="988" t="str">
        <x:v>https://www.bcs-sgai.org/expertupdate/papers/20-1/2019_paper_1.pdf</x:v>
      </x:c>
    </x:row>
    <x:row r="75" ht="210" customHeight="1">
      <x:c r="A75" s="990" t="str">
        <x:v>GS-03-099</x:v>
      </x:c>
      <x:c r="B75" s="988" t="str">
        <x:v>Knowledge Amplification Using Randomization in Case-Based Reasoning — Case Study: Severity of Mammography Mass</x:v>
      </x:c>
      <x:c r="C75" s="988" t="str">
        <x:v>Case-based reasoning solves new problems by reusing previous cases, but efficient knowledge-base expansion can generate invalid cases. The paper proposes a randomization technique for case-base amplification in which generated cases are checked through coherence verification, stochastic validation and absolute validation. Experiments predicting mammography-mass severity indicate that the approach can significantly improve the resolution efficiency of case-based reasoning.</x:v>
      </x:c>
      <x:c r="D75" s="990" t="str">
        <x:v>Publisher PDF abstract</x:v>
      </x:c>
      <x:c r="E75" s="990" t="str">
        <x:v>High — complete authoritative abstract</x:v>
      </x:c>
      <x:c r="F75" s="988" t="str">
        <x:v>https://doi.org/10.1109/IRI.2018.00031</x:v>
      </x:c>
    </x:row>
    <x:row r="76" ht="210" customHeight="1">
      <x:c r="A76" s="990" t="str">
        <x:v>GS-04-003</x:v>
      </x:c>
      <x:c r="B76" s="988" t="str">
        <x:v>Neurosymbolic AI Approach for Dry and Wet AMD Classification Using OCT Images</x:v>
      </x:c>
      <x:c r="C76" s="988" t="str">
        <x:v>Accurate classification between dry and wet age-related macular degeneration (AMD) is crucial for determining appropriate treatment strategies and improving patient outcomes. However, deep learning convolutional neural networks (CNNs) often face challenges when...</x:v>
      </x:c>
      <x:c r="D76" s="990" t="str">
        <x:v>Publisher/Repository HTML metadata</x:v>
      </x:c>
      <x:c r="E76" s="990" t="str">
        <x:v>High — complete authoritative abstract</x:v>
      </x:c>
      <x:c r="F76" s="988" t="str">
        <x:v>https://link.springer.com/chapter/10.1007/978-3-031-96538-8_10</x:v>
      </x:c>
    </x:row>
    <x:row r="77" ht="210" customHeight="1">
      <x:c r="A77" s="990" t="str">
        <x:v>GS-04-006</x:v>
      </x:c>
      <x:c r="B77" s="988" t="str">
        <x:v>KG-DG: Knowledge-Guided Domain Generalization via Neuro-Symbolic Fusion</x:v>
      </x:c>
      <x:c r="C77" s="988" t="str">
        <x:v>Domain generalization is a critical challenge in medical imaging. KG-DG is a neuro-symbolic framework for diabetic-retinopathy classification that integrates vision transformers with expert-guided symbolic reasoning. It uses clinical lesion ontologies, rule-based features and retinal-vessel segmentation, fused with visual representations through confidence-weighted integration, and aligns high-level clinical semantics across domains. Experiments on APTOS, EyePACS, Messidor-1 and Messidor-2 show up to 5.2% accuracy improvement in cross-domain settings and 6% over baseline vision transformers. Lesion-based symbolic features achieve 84.65% accuracy, supporting their role as clinical regularizers.</x:v>
      </x:c>
      <x:c r="D77" s="990" t="str">
        <x:v>OpenReview abstract</x:v>
      </x:c>
      <x:c r="E77" s="990" t="str">
        <x:v>Moderate — abstract available</x:v>
      </x:c>
      <x:c r="F77" s="988" t="str">
        <x:v>https://openreview.net/forum?id=xAtYHNe0Ey</x:v>
      </x:c>
    </x:row>
    <x:row r="78" ht="210" customHeight="1">
      <x:c r="A78" s="990" t="str">
        <x:v>GS-04-023</x:v>
      </x:c>
      <x:c r="B78" s="988" t="str">
        <x:v>DeepInfusion: A Dynamic Infusion-Based Neuro-Symbolic AI Model for Segmentation of Intracranial Aneurysms</x:v>
      </x:c>
      <x:c r="C78" s="988" t="str">
        <x:v>DeepInfusion is a neuro-symbolic model for cerebral-aneurysm segmentation that injects expert-advised hand-crafted features into deep neural networks and dynamically selects layers and feature weights. It is evaluated on 409 in-house DSA images, achieving 96.76% IoU and 94.15% F1 on unseen images. Tests on the public Kvasir-SEG polyp dataset and DRIVE retinal-vessel dataset show improvement over existing methods and indicate cross-task generalizability.</x:v>
      </x:c>
      <x:c r="D78" s="990" t="str">
        <x:v>Publisher abstract</x:v>
      </x:c>
      <x:c r="E78" s="990" t="str">
        <x:v>High — complete authoritative abstract</x:v>
      </x:c>
      <x:c r="F78" s="988" t="str">
        <x:v>https://doi.org/10.1016/j.neucom.2023.126510</x:v>
      </x:c>
    </x:row>
    <x:row r="79" ht="210" customHeight="1">
      <x:c r="A79" s="990" t="str">
        <x:v>GS-04-033</x:v>
      </x:c>
      <x:c r="B79" s="988" t="str">
        <x:v>Interpretable hybrid CNN–ViT framework with neuro-symbolic clinical decision support for early cervical cancer diagnosis</x:v>
      </x:c>
      <x:c r="C79" s="988" t="str">
        <x:v>Abstract Accurate classification of cervical cytology images remains challenging because of subtle morphological differences, staining variability, and visual similarity among cell categories. Although deep learning methods have achieved strong classification performance, many existing approaches provide limited transparency regarding the image regions and morphological features that influence their predictions. This study presents an interpretable hybrid classification framework that combines GoogLeNet and MobileNet with a Vision Transformer (ViT) to extract multi-scale local morphology, fine-grained texture, and global contextual information from cervical cytology images. The framework incorporates a biomarker-guided Grad-CAM module, a neuro-symbolic inference component, and an ontology-aware semantic consistency module. The proposed Cervical Cytology Biomarker Ontology (CCBO) was constructed by adapting established principles of biomedical semantic representation and published cervical cytomorphological descriptions. The ontology represents hierarchical cell categories, biomarker associations, semantic compatibility constraints, and exclusion relationships to support structured verification of model outputs. Fuzzy IF–THEN rules were used to assess neural predictions according to predefined combinations of morphology-related biomarkers. In addition, an IoU-based Grad-CAM localization framework was introduced to quantify the spatial agreement between activation regions and morphology-guided biomarker reference masks. This multi-stage design extends the framework beyond conventional black-box classification by linking visual attribution, fuzzy rule evaluation, and ontology-based consistency assessment. Experimental results showed that the proposed hybrid model achieved an average AUC of 99.23%, sensitivity of 98.86%, and accuracy of 98.80% on the SIPaKMeD dataset. Illustrative case analyses further demonstrated the framework’s ability to produce structured explanations. For dyskeratotic samples, the Grad-CAM maps emphasized keratinization-related cytoplasmic regions and hyperchromatic nuclear areas, while the neuro-symbolic component identified agreement with the predefined dyskeratotic biomarker rules.</x:v>
      </x:c>
      <x:c r="D79" s="990" t="str">
        <x:v>OpenAlex scholarly record</x:v>
      </x:c>
      <x:c r="E79" s="990" t="str">
        <x:v>Moderate — complete scholarly-record abstract</x:v>
      </x:c>
      <x:c r="F79" s="988" t="str">
        <x:v>https://www.nature.com/articles/s41598-026-58334-z.pdf</x:v>
      </x:c>
    </x:row>
    <x:row r="80" ht="210" customHeight="1">
      <x:c r="A80" s="990" t="str">
        <x:v>GS-04-034</x:v>
      </x:c>
      <x:c r="B80" s="988" t="str">
        <x:v>Trustworthy retinopathy of prematurity diagnosis using explainable vision-language model</x:v>
      </x:c>
      <x:c r="C80" s="988" t="str">
        <x:v>Retinopathy of Prematurity (ROP) remains one of the leading causes of preventable childhood blindness, particularly in low-resource settings where specialist access is limited. Although deep learning has improved automated ROP detection, most existing models rely solely on retinal images and function as opaque black boxes, limiting clinical trust and realworld adoption. This study proposes a robust and trustworthy ROP diagnosis framework that combines Vision-Language Modeling (VLM) and Explainable AI. The pipeline fuses high-resolution wide-field retinal fundus images with neonatal NICU text records using a lightweight Vision Transformer, a clinical text encoder, and a neuro-symbolic reasoning layer for human-in-the-loop corrections. A key technical enhancement applies Weighted-Fuzzy Histogram Equalization (WFHE) to boost local vascular contrast while avoiding artifacts, outperforming Contrast Limited Adaptive Histogram Equalization CLAHE in highlighting subtle pathological cues. Evaluations on benchmark ROP datasets, paired with semi-structured NICU reports, demonstrate that the multimodal system improves diagnostic AUC by 7-9 % compared to image-only baselines, and delivers dual explanations through Grad-CAM heatmaps and SHAP token-level attributions. Structured clinician feedback confirms that the system’s explanations align with expert annotations and improve interpretability and trust. This framework demonstrates that integrating WFHE, Vision-Language fusion, and multi-level explainability can enable transparent, deployable AI for equitable neonatal vision care.</x:v>
      </x:c>
      <x:c r="D80" s="990" t="str">
        <x:v>OpenAlex scholarly record</x:v>
      </x:c>
      <x:c r="E80" s="990" t="str">
        <x:v>Moderate — complete scholarly-record abstract</x:v>
      </x:c>
      <x:c r="F80" s="988" t="str">
        <x:v>https://classic.jase.tku.edu.tw/articles/jase-202607-30-006</x:v>
      </x:c>
    </x:row>
    <x:row r="81" ht="210" customHeight="1">
      <x:c r="A81" s="990" t="str">
        <x:v>GS-04-099</x:v>
      </x:c>
      <x:c r="B81" s="988" t="str">
        <x:v>MedXAI: A Retrieval-Augmented and Self-Verifying Framework for Knowledge-Guided Medical Image Analysis</x:v>
      </x:c>
      <x:c r="C81" s="988" t="str">
        <x:v>Accurate and interpretable image-based diagnosis remains a fundamental challenge in medical AI, particularly under domain shifts and rare-class conditions. Deep learning models often struggle with real-world distribution changes, exhibit bias against infrequent pathologies, and lack the transparency required for deployment in safety-critical clinical environments. We introduce MedXAI (An Explainable Framework for Medical Imaging Classification), a unified expert knowledge based framework that integrates deep vision models with clinician-derived expert knowledge to improve generalization, reduce rare-class bias, and provide human-understandable explanations by localizing the relevant diagnostic features rather than relying on technical post-hoc methods (e.g., Saliency Maps, LIME). We evaluate MedXAI across heterogeneous modalities on two challenging tasks: (i) Seizure Onset Zone localization from resting-state fMRI, and (ii) Diabetic Retinopathy grading. Ex periments on ten multicenter datasets show consistent gains, including a 3% improvement in cross-domain generalization and a 10% improvmnet in F1 score of rare class, substantially outperforming strong deep learning baselines. Ablations confirm that the symbolic components act as effective clinical priors and regularizers, improving robustness under distribution shift. MedXAI delivers clinically aligned explanations while achieving superior in-domain and cross-domain performance, particularly for rare diseases in multimodal medical AI.</x:v>
      </x:c>
      <x:c r="D81" s="990" t="str">
        <x:v>arXiv API record</x:v>
      </x:c>
      <x:c r="E81" s="990" t="str">
        <x:v>Moderate — complete preprint abstract</x:v>
      </x:c>
      <x:c r="F81" s="988" t="str">
        <x:v>https://arxiv.org/abs/2512.10098</x:v>
      </x:c>
    </x:row>
    <x:row r="82" ht="210" customHeight="1">
      <x:c r="A82" s="990" t="str">
        <x:v>GS-05-093</x:v>
      </x:c>
      <x:c r="B82" s="988" t="str">
        <x:v>Diagnose Like a Radiologist: Hybrid Neuro-Probabilistic Reasoning for Attribute-Based Medical Image Diagnosis</x:v>
      </x:c>
      <x:c r="C82" s="988" t="str">
        <x:v>During clinical practice, radiologists often use attributes, e.g., morphological and appearance characteristics of a lesion, to aid disease diagnosis. Effectively modeling attributes as well as all relationships involving attributes could boost the generalization ability and verifiability of medical image diagnosis algorithms. In this paper, we introduce a hybrid neuro-probabilistic reasoning algorithm for verifiable attribute-based medical image diagnosis. There are two parallel branches in our hybrid algorithm, a Bayesian network branch performing probabilistic causal relationship reasoning and a graph convolutional network branch performing more generic relational modeling and reasoning using a feature representation. Tight coupling between these two branches is achieved via a cross-network attention mechanism and the fusion of their classification results. We have successfully applied our hybrid reasoning algorithm to two challenging medical image diagnosis tasks. On the LIDC-IDRI benchmark dataset for benign-malignant classification of pulmonary nodules in CT images, our method achieves a new state-of-the-art accuracy of 95.36% and an AUC of 96.54%. Our method also achieves a 3.24% accuracy improvement on an in-house chest X-ray image dataset for tuberculosis diagnosis. Our ablation study indicates that our hybrid algorithm achieves a much better generalization performance than a pure neural network architecture under very limited training data.</x:v>
      </x:c>
      <x:c r="D82" s="990" t="str">
        <x:v>OpenAlex scholarly record</x:v>
      </x:c>
      <x:c r="E82" s="990" t="str">
        <x:v>Moderate — complete scholarly-record abstract</x:v>
      </x:c>
      <x:c r="F82" s="988" t="str">
        <x:v>https://arxiv.org/pdf/2208.09282</x:v>
      </x:c>
    </x:row>
    <x:row r="83" ht="210" customHeight="1">
      <x:c r="A83" s="990" t="str">
        <x:v>GS-06-002</x:v>
      </x:c>
      <x:c r="B83" s="988" t="str">
        <x:v>Interpretability Beyond Feature Attribution: Quantitative Testing with Concept Activation Vectors (TCAV)</x:v>
      </x:c>
      <x:c r="C83" s="988" t="str">
        <x:v>The interpretation of deep learning models is a challenge due to their size, complexity, and often opaque internal state. In addition, many systems, such as image classifiers, operate on low-level features rather than high-level concepts. To address these challenges, we introduce Concept Activation Vectors (CAVs), which provide an interpretation of a neural net's internal state in terms of human-friendly concepts. The key idea is to view the high-dimensional internal state of a neural net as an aid, not an obstacle. We show how to use CAVs as part of a technique, Testing with CAVs (TCAV), that uses directional derivatives to quantify the degree to which a user-defined concept is important to a classification result--for example, how sensitive a prediction of "zebra" is to the presence of stripes. Using the domain of image classification as a testing ground, we describe how CAVs may be used to explore hypotheses and generate insights for a standard image classification network as well as a medical application.</x:v>
      </x:c>
      <x:c r="D83" s="990" t="str">
        <x:v>arXiv API record</x:v>
      </x:c>
      <x:c r="E83" s="990" t="str">
        <x:v>Moderate — complete preprint abstract</x:v>
      </x:c>
      <x:c r="F83" s="988" t="str">
        <x:v>https://arxiv.org/abs/1711.11279</x:v>
      </x:c>
    </x:row>
    <x:row r="84" ht="210" customHeight="1">
      <x:c r="A84" s="990" t="str">
        <x:v>GS-06-003</x:v>
      </x:c>
      <x:c r="B84" s="988" t="str">
        <x:v>AI based Deep Radiomics for Quantification of Macular Edema: A Continuous, Non-categorical, Numerical Score for Personalized Medicine</x:v>
      </x:c>
      <x:c r="C84" s="988" t="str">
        <x:v>Abstract Existing categorical grading methods in medicine fail to capture subtle variations in disease spectrum which are crucial for closely monitoring its progression, response to treatment, and developing new guidelines to enable personalized and precision medicine. We developed a truly continuous, non-categorical, numerical score, called the Edema Score (ES), with a precision of multiple decimal places, for grading macular edema in retinal optical coherence tomography (OCT) images. This score was determined by obtaining the directional derivatives using activations extracted from the final convolutional layer of a deep learning retinal OCT model and the specialist defined edema concepts. Significant differences in ES were observed between different groups of edema severity (p &amp;lt; 0.001). It captured complex nonlinear relationships from edema features in an image, that correlated well with the disease severity, response to treatment, the prognostically significant internal pattern of edema, and its invisible spread into the surrounding regions. The scalability of this deep radiomics approach to more biomarkers in Ophthalmic imaging and in other domains of medicine, can serve as a bridge ushering us into an era of precision medicine.</x:v>
      </x:c>
      <x:c r="D84" s="990" t="str">
        <x:v>Crossref publisher metadata</x:v>
      </x:c>
      <x:c r="E84" s="990" t="str">
        <x:v>High — complete authoritative abstract</x:v>
      </x:c>
      <x:c r="F84" s="988" t="str">
        <x:v>https://doi.org/10.21203/rs.3.rs-4854925/v1</x:v>
      </x:c>
    </x:row>
    <x:row r="85" ht="210" customHeight="1">
      <x:c r="A85" s="990" t="str">
        <x:v>GS-06-014</x:v>
      </x:c>
      <x:c r="B85" s="988" t="str">
        <x:v>Developing Explainable Machine Learning Model using Augmented Concept Activation Vector</x:v>
      </x:c>
      <x:c r="C85" s="988" t="str">
        <x:v>Machine learning models use high-dimensional feature spaces to map their inputs to the corresponding class labels. However, these features often do not have a one-to-one correspondence with physical concepts understandable by humans, which hinders the ability to provide a meaningful explanation for the decisions made by these models. We propose a method for measuring the correlation between high-level concepts and the decisions made by a machine learning model. Our method can isolate the impact of a given high-level concept and accurately measure it quantitatively. Additionally, this study aims to determine the prevalence of frequent patterns in machine learning models, which often occur in imbalanced datasets. We have successfully applied the proposed method to fundus images and managed to quantitatively measure the impact of radiomic patterns on the model’s decisions.</x:v>
      </x:c>
      <x:c r="D85" s="990" t="str">
        <x:v>OpenAlex scholarly record</x:v>
      </x:c>
      <x:c r="E85" s="990" t="str">
        <x:v>Moderate — complete scholarly-record abstract</x:v>
      </x:c>
      <x:c r="F85" s="988" t="str">
        <x:v>https://arxiv.org/pdf/2412.19208</x:v>
      </x:c>
    </x:row>
    <x:row r="86" ht="210" customHeight="1">
      <x:c r="A86" s="990" t="str">
        <x:v>GS-06-015</x:v>
      </x:c>
      <x:c r="B86" s="988" t="str">
        <x:v>ExAID: A Multimodal Explanation Framework for Computer-Aided Diagnosis of Skin Lesions</x:v>
      </x:c>
      <x:c r="C86" s="988" t="str">
        <x:v>One principal impediment in the successful deployment of AI-based Computer-Aided Diagnosis (CAD) systems in clinical workflows is their lack of transparent decision making. Although commonly used eXplainable AI methods provide some insight into opaque algorithms, such explanations are usually convoluted and not readily comprehensible except by highly trained experts. The explanation of decisions regarding the malignancy of skin lesions from dermoscopic images demands particular clarity, as the underlying medical problem definition is itself ambiguous. This work presents ExAID (Explainable AI for Dermatology), a novel framework for biomedical image analysis, providing multi-modal concept-based explanations consisting of easy-to-understand textual explanations supplemented by visual maps justifying the predictions. ExAID relies on Concept Activation Vectors to map human concepts to those learnt by arbitrary Deep Learning models in latent space, and Concept Localization Maps to highlight concepts in the input space. This identification of relevant concepts is then used to construct fine-grained textual explanations supplemented by concept-wise location information to provide comprehensive and coherent multi-modal explanations. All information is comprehensively presented in a diagnostic interface for use in clinical routines. An educational mode provides dataset-level explanation statistics and tools for data and model exploration to aid medical research and education. Through rigorous quantitative and qualitative evaluation of ExAID, we show the utility of multi-modal explanations for CAD-assisted scenarios even in case of wrong predictions. We believe that ExAID will provide dermatologists an effective screening tool that they both understand and trust. Moreover, it will be the basis for similar applications in other biomedical imaging fields.</x:v>
      </x:c>
      <x:c r="D86" s="990" t="str">
        <x:v>arXiv API record</x:v>
      </x:c>
      <x:c r="E86" s="990" t="str">
        <x:v>Moderate — complete preprint abstract</x:v>
      </x:c>
      <x:c r="F86" s="988" t="str">
        <x:v>https://arxiv.org/abs/2201.01249</x:v>
      </x:c>
    </x:row>
    <x:row r="87" ht="210" customHeight="1">
      <x:c r="A87" s="990" t="str">
        <x:v>GS-06-017</x:v>
      </x:c>
      <x:c r="B87" s="988" t="str">
        <x:v>Robust and Interpretable Chest X-ray Classification via Diffusion Purification and Concept-Based Adversarial Detection</x:v>
      </x:c>
      <x:c r="C87" s="988" t="str">
        <x:v>Adversarial attack is an approach that primarily compromise the integrity of deep learning system in medical imaging by adding subtle changes to the model inputs that humans don't notice, it leads the model to make an incorrect decision, so the attacker can corrupt both the input data and the prediction system. In this paper A hybrid detection method based on diffusion purification, deep feature extraction, and ensemble learning has been proposed to address this issue using chest x-ray images.Two phases make it up. First, cleansing the adversarial samples. This is accomplished by a diffusion model. The samples are regenerated to remove the small perturbations fully. In the second phase, the images are categorized into two groups. Clean and purified images are collected in a safe category, while harmful images are unsafe category. In the second stage, we utilize a pre-trained ResNet18 feature extractor to retrieve salient from chest X-rays. Furthermore, a Random Forest model classifies the features obtained from the ResNet18 model into harmful and non-harmful image. The experimental results show that the proposed framework can detect more than 99% of adversarial samples. The satisfactory detection rate of the proposed purification and ensemble-based feature detection for making AI-assisted disease detection more reliable and safer</x:v>
      </x:c>
      <x:c r="D87" s="990" t="str">
        <x:v>OpenAlex scholarly record</x:v>
      </x:c>
      <x:c r="E87" s="990" t="str">
        <x:v>Moderate — complete scholarly-record abstract</x:v>
      </x:c>
      <x:c r="F87" s="988" t="str">
        <x:v>https://jou.jobrs.edu.iq/index.php/home/article/view/375/147</x:v>
      </x:c>
    </x:row>
    <x:row r="88" ht="210" customHeight="1">
      <x:c r="A88" s="990" t="str">
        <x:v>GS-06-026</x:v>
      </x:c>
      <x:c r="B88" s="988" t="str">
        <x:v>Robust, Interpretable, and Portable Deep Learning Systems for Detection of Ophthalmic Diseases</x:v>
      </x:c>
      <x:c r="C88" s="988" t="str">
        <x:v>This dissertation seeks to develop artificial intelligence as a trustworthy clinical partner for faster ophthalmic screening. The indexed abstract summary focuses on robust, interpretable and portable deep-learning systems for detecting ophthalmic diseases, particularly glaucoma and age-related macular degeneration, using ophthalmic imaging including optical coherence tomography.</x:v>
      </x:c>
      <x:c r="D88" s="990" t="str">
        <x:v>Search-indexed dissertation abstract summary</x:v>
      </x:c>
      <x:c r="E88" s="990" t="str">
        <x:v>Low — indexed summary only</x:v>
      </x:c>
      <x:c r="F88" s="988" t="str">
        <x:v>https://academiccommons.columbia.edu/doi/10.7916/7gz3-xy09/download</x:v>
      </x:c>
    </x:row>
    <x:row r="89" ht="210" customHeight="1">
      <x:c r="A89" s="990" t="str">
        <x:v>GS-08-005</x:v>
      </x:c>
      <x:c r="B89" s="988" t="str">
        <x:v>Translating theory into practice: assessing the privacy implications of concept-based explanations for biomedical AI</x:v>
      </x:c>
      <x:c r="C89" s="988" t="str">
        <x:v>Artificial Intelligence (AI) has achieved remarkable success in image generation, image analysis, and language modeling, making data-driven techniques increasingly relevant in practical real-world applications, promising enhanced creativity and efficiency for human users. However, the deployment of AI in high-stakes domains such as infrastructure and healthcare still raises concerns regarding algorithm accountability and safety. The emerging field of explainable AI (XAI) has made significant strides in developing interfaces that enable humans to comprehend the decisions made by data-driven models. Among these approaches, concept-based explainability stands out due to its ability to align explanations with high-level concepts familiar to users. Nonetheless, early research in adversarial machine learning has unveiled that exposing model explanations can render victim models more susceptible to attacks. This is the first study to investigate and compare the impact of concept-based explanations on the privacy of Deep Learning based AI models in the context of biomedical image analysis. An extensive privacy benchmark is conducted on three different state-of-the-art model architectures (ResNet50, NFNet, ConvNeXt) trained on two biomedical (ISIC and EyePACS) and one synthetic dataset (SCDB). The success of membership inference attacks while exposing varying degrees of attribution-based and concept-based explanations is systematically compared. The findings indicate that, in theory, concept-based explanations can potentially increase the vulnerability of a private AI system by up to 16% compared to attributions in the baseline setting. However, it is demonstrated that, in more realistic attack scenarios, the threat posed by explanations is negligible in practice. Furthermore, actionable recommendations are provided to ensure the safe deployment of concept-based XAI systems. In addition, the impact of differential privacy (DP) on the quality of concept-based explanations is explored, revealing that while negatively influencing the explanation ability, DP can have an adverse effect on the models' privacy.</x:v>
      </x:c>
      <x:c r="D89" s="990" t="str">
        <x:v>OpenAlex scholarly record</x:v>
      </x:c>
      <x:c r="E89" s="990" t="str">
        <x:v>Moderate — complete scholarly-record abstract</x:v>
      </x:c>
      <x:c r="F89" s="988" t="str">
        <x:v>https://www.frontiersin.org/journals/bioinformatics/articles/10.3389/fbinf.2023.1194993/full</x:v>
      </x:c>
    </x:row>
    <x:row r="90" ht="210" customHeight="1">
      <x:c r="A90" s="990" t="str">
        <x:v>GS-08-010</x:v>
      </x:c>
      <x:c r="B90" s="988" t="str">
        <x:v>Towards Automatic Concept-based Explanations</x:v>
      </x:c>
      <x:c r="C90" s="988" t="str">
        <x:v>Interpretability has become an important topic of research as more machine learning (ML) models are deployed and widely used to make important decisions. Most of the current explanation methods provide explanations through feature importance scores, which identify features that are important for each individual input. However, how to systematically summarize and interpret such per sample feature importance scores itself is challenging. In this work, we propose principles and desiderata for \emph{concept} based explanation, which goes beyond per-sample features to identify higher-level human-understandable concepts that apply across the entire dataset. We develop a new algorithm, ACE, to automatically extract visual concepts. Our systematic experiments demonstrate that \alg discovers concepts that are human-meaningful, coherent and important for the neural network's predictions.</x:v>
      </x:c>
      <x:c r="D90" s="990" t="str">
        <x:v>OpenAlex scholarly record</x:v>
      </x:c>
      <x:c r="E90" s="990" t="str">
        <x:v>Moderate — complete scholarly-record abstract</x:v>
      </x:c>
      <x:c r="F90" s="988" t="str">
        <x:v>https://proceedings.neurips.cc/paper_files/paper/9126-towards-automatic-concept-based-explanations.pdf</x:v>
      </x:c>
    </x:row>
    <x:row r="91" ht="210" customHeight="1">
      <x:c r="A91" s="990" t="str">
        <x:v>GS-08-016</x:v>
      </x:c>
      <x:c r="B91" s="988" t="str">
        <x:v>Concept-based Explanation for Fine-grained Images and Its Application in Infectious Keratitis Classification</x:v>
      </x:c>
      <x:c r="C91" s="988" t="str">
        <x:v>Interpretability has become an essential topic as deep learning is widely applied in professional fields (e.g., medical image processing)where high level of accountability is required. Existing methods for explanation mainly focus on computing the importance of low level pixels or segments, rather than the high-level concepts. Concepts are of paramount importance for human to understand and make decisions, especially for those fine-grained tasks. In this paper, we focus on the real application problem of classification of infectious keratitis and propose a visual concept mining (VCM) method to explain the fine-grained infectious keratitis images. Based on our discovered explainable visual concepts, we further propose a visual concept enhanced framework for infectious keratitis classification. Extensive empirical experiments demonstrate that (i) our discovered visual concepts are highly coherent with the physicians? understanding and interpretation, and (ii) our visual concept enhanced model achieves significant improvement on the performance of infectious keratitis classification.</x:v>
      </x:c>
      <x:c r="D91" s="990" t="str">
        <x:v>OpenAlex scholarly record</x:v>
      </x:c>
      <x:c r="E91" s="990" t="str">
        <x:v>Moderate — complete scholarly-record abstract</x:v>
      </x:c>
      <x:c r="F91" s="988" t="str">
        <x:v>https://kunkuang.github.io/papers/MM20-concept.pdf</x:v>
      </x:c>
    </x:row>
    <x:row r="92" ht="210" customHeight="1">
      <x:c r="A92" s="990" t="str">
        <x:v>ARXIV-01-001</x:v>
      </x:c>
      <x:c r="B92" s="988" t="str">
        <x:v>Looking into Concept Explanation Methods for Diabetic Retinopathy Classification</x:v>
      </x:c>
      <x:c r="C92" s="988" t="str">
        <x:v>Diabetic retinopathy is a common complication of diabetes, and monitoring the progression of retinal abnormalities using fundus imaging is crucial. Because the images must be interpreted by a medical expert, it is infeasible to screen all individuals with diabetes for diabetic retinopathy. Deep learning has shown impressive results for automatic analysis and grading of fundus images. One drawback is, however, the lack of interpretability, which hampers the implementation of such systems in the clinic. Explainable artificial intelligence methods can be applied to explain the deep neural networks. Explanations based on concepts have shown to be intuitive for humans to understand, but have not yet been explored in detail for diabetic retinopathy grading. This work investigates and compares two concept-based explanation techniques for explaining deep neural networks developed for automatic diagnosis of diabetic retinopathy: Quantitative Testing with Concept Activation Vectors and Concept Bottleneck Models. We found that both methods have strengths and weaknesses, and choice of method should take the available data and the end user’s preferences into account. Our code is available at &amp;lt;a href='https://github.com/AndreaStoraas/ConceptExplanations_DR_grading'&amp;gt;https://github.com/AndreaStoraas/ConceptExplanations_DR_grading&amp;lt;/a&amp;gt;</x:v>
      </x:c>
      <x:c r="D92" s="990" t="str">
        <x:v>OpenAlex scholarly record</x:v>
      </x:c>
      <x:c r="E92" s="990" t="str">
        <x:v>Moderate — complete scholarly-record abstract</x:v>
      </x:c>
      <x:c r="F92" s="988" t="str">
        <x:v>https://arxiv.org/pdf/2410.03188</x:v>
      </x:c>
    </x:row>
    <x:row r="93" ht="210" customHeight="1">
      <x:c r="A93" s="990" t="str">
        <x:v>ARXIV-02-006</x:v>
      </x:c>
      <x:c r="B93" s="988" t="str">
        <x:v>Prototype-Guided and Lightweight Adapters for Inherent Interpretation and Generalisation in Federated Learning</x:v>
      </x:c>
      <x:c r="C93" s="988" t="str">
        <x:v>Federated learning (FL) provides a promising paradigm for collaboratively training machine learning models across distributed data sources while maintaining privacy. Nevertheless, real-world FL often faces major challenges including communication overhead during the transfer of large model parameters and statistical heterogeneity, arising from non-identical independent data distributions across clients. In this work, we propose an FL framework that 1) provides inherent interpretations using prototypes, and 2) tackles statistical heterogeneity by utilising lightweight adapter modules to act as compressed surrogates of local models and guide clients to achieve generalisation despite varying client distribution. Each client locally refines its model by aligning class embeddings toward prototype representations and simultaneously adjust the lightweight adapter. Our approach replaces the need to communicate entire model weights with prototypes and lightweight adapters. This design ensures that each client's model aligns with a globally shared structure while minimising communication load and providing inherent interpretations. Moreover, we conducted our experiments on a real-world retinal fundus image dataset, which provides clinical-site information. We demonstrate inherent interpretable capabilities and perform a classification task, which shows improvements in accuracy over baseline algorithms.</x:v>
      </x:c>
      <x:c r="D93" s="990" t="str">
        <x:v>arXiv API record</x:v>
      </x:c>
      <x:c r="E93" s="990" t="str">
        <x:v>Moderate — complete preprint abstract</x:v>
      </x:c>
      <x:c r="F93" s="988" t="str">
        <x:v>https://arxiv.org/abs/2507.05852</x:v>
      </x:c>
    </x:row>
    <x:row r="94" ht="210" customHeight="1">
      <x:c r="A94" s="990" t="str">
        <x:v>ARXIV-02-007</x:v>
      </x:c>
      <x:c r="B94" s="988" t="str">
        <x:v>PiPViT: Patch-based Visual Interpretable Prototypes for retinal image analysis</x:v>
      </x:c>
      <x:c r="C94" s="988" t="str">
        <x:v>Background and Objective: Prototype-based methods improve interpretability by learning fine-grained part-prototypes; however, their visualization in the input pixel space is not always consistent with human-understandable biomarkers. In addition, well-known prototype-based approaches typically learn extremely granular prototypes that are less interpretable in medical imaging, where both the presence and extent of biomarkers and lesions are critical. Methods: To address these challenges, we propose PiPViT (Patch-based Visual Interpretable Prototypes), an inherently interpretable prototypical model for image recognition. Leveraging a vision transformer (ViT), PiPViT captures long-range dependencies among patches to learn robust, human-interpretable prototypes that approximate lesion extent only using image-level labels. Additionally, PiPViT benefits from contrastive learning and multi-resolution input processing, which enables effective localization of biomarkers across scales. Results: We evaluated PiPViT on retinal OCT image classification across four datasets, where it achieved competitive quantitative performance compared to state-of-the-art methods while delivering more meaningful explanations. Moreover, quantitative evaluation on a hold-out test set confirms that the learned prototypes are semantically and clinically relevant. We believe PiPViT can transparently explain its decisions and assist clinicians in understanding diagnostic outcomes. Github page .</x:v>
      </x:c>
      <x:c r="D94" s="990" t="str">
        <x:v>OpenAlex scholarly record</x:v>
      </x:c>
      <x:c r="E94" s="990" t="str">
        <x:v>Moderate — complete scholarly-record abstract</x:v>
      </x:c>
      <x:c r="F94" s="988" t="str">
        <x:v>https://arxiv.org/pdf/2506.10669</x:v>
      </x:c>
    </x:row>
    <x:row r="95" ht="210" customHeight="1">
      <x:c r="A95" s="990" t="str">
        <x:v>ARXIV-02-012</x:v>
      </x:c>
      <x:c r="B95" s="988" t="str">
        <x:v>LAVA: Granular Neuron-Level Explainable AI for Alzheimer's Disease Assessment from Fundus Images</x:v>
      </x:c>
      <x:c r="C95" s="988" t="str">
        <x:v>Alzheimer's Disease (AD) is a progressive neurodegenerative disease and the leading cause of dementia. Early diagnosis is critical for patients to benefit from potential intervention and treatment. The retina has been hypothesized as a diagnostic site for AD detection owing to its anatomical connection with the brain. Developed AI models for this purpose have yet to provide a rational explanation about the decision and neither infer the stage of disease's progression. Along this direction, we propose a novel model-agnostic explainable-AI framework, called Granular Neuron-level Explainer (LAVA), an interpretation prototype that probes into intermediate layers of the Convolutional Neural Network (CNN) models to assess the AD continuum directly from the retinal imaging without longitudinal or clinical evaluation. This method is applied to validate the retinal vasculature as a biomarker and diagnostic modality for Alzheimer's Disease (AD) evaluation. UK Biobank cognitive tests and vascular morphological features suggest LAVA shows strong promise and effectiveness in identifying AD stages across the progression continuum.</x:v>
      </x:c>
      <x:c r="D95" s="990" t="str">
        <x:v>OpenAlex scholarly record</x:v>
      </x:c>
      <x:c r="E95" s="990" t="str">
        <x:v>Moderate — complete scholarly-record abstract</x:v>
      </x:c>
      <x:c r="F95" s="988" t="str">
        <x:v>https://arxiv.org/pdf/2302.03008</x:v>
      </x:c>
    </x:row>
    <x:row r="96" ht="210" customHeight="1">
      <x:c r="A96" s="990" t="str">
        <x:v>ARXIV-02-014</x:v>
      </x:c>
      <x:c r="B96" s="988" t="str">
        <x:v>Coarse Retinal Lesion Annotations Refinement via Prototypical Learning</x:v>
      </x:c>
      <x:c r="C96" s="988" t="str">
        <x:v>Deep-learning-based approaches for retinal lesion segmentation often require an abundant amount of precise pixel-wise annotated data. However, coarse annotations such as circles or ellipses for outlining the lesion area can be six times more efficient than pixel-level annotation. Therefore, this paper proposes an annotation refinement network to convert a coarse annotation into a pixel-level segmentation mask. Our main novelty is the application of the prototype learning paradigm to enhance the generalization ability across different datasets or types of lesions. We also introduce a prototype weighing module to handle challenging cases where the lesion is overly small. The proposed method was trained on the publicly available IDRiD dataset and then generalized to the public DDR and our real-world private datasets. Experiments show that our approach substantially improved the initial coarse mask and outperformed the non-prototypical baseline by a large margin. Moreover, we demonstrate the usefulness of the prototype weighing module in both cross-dataset and cross-class settings.</x:v>
      </x:c>
      <x:c r="D96" s="990" t="str">
        <x:v>arXiv API record</x:v>
      </x:c>
      <x:c r="E96" s="990" t="str">
        <x:v>Moderate — complete preprint abstract</x:v>
      </x:c>
      <x:c r="F96" s="988" t="str">
        <x:v>https://arxiv.org/abs/2208.14294</x:v>
      </x:c>
    </x:row>
    <x:row r="97" ht="210" customHeight="1">
      <x:c r="A97" s="990" t="str">
        <x:v>ARXIV-02-015</x:v>
      </x:c>
      <x:c r="B97" s="988" t="str">
        <x:v>INSightR-Net: Interpretable Neural Network for Regression using Similarity-based Comparisons to Prototypical Examples</x:v>
      </x:c>
      <x:c r="C97" s="988" t="str">
        <x:v>Convolutional neural networks (CNNs) have shown exceptional performance for a range of medical imaging tasks. However, conventional CNNs are not able to explain their reasoning process, therefore limiting their adoption in clinical practice. In this work, we propose an inherently interpretable CNN for regression using similarity-based comparisons (INSightR-Net) and demonstrate our methods on the task of diabetic retinopathy grading. A prototype layer incorporated into the architecture enables visualization of the areas in the image that are most similar to learned prototypes. The final prediction is then intuitively modeled as a mean of prototype labels, weighted by the similarities. We achieved competitive prediction performance with our INSightR-Net compared to a ResNet baseline, showing that it is not necessary to compromise performance for interpretability. Furthermore, we quantified the quality of our explanations using sparsity and diversity, two concepts considered important for a good explanation, and demonstrated the effect of several parameters on the latent space embeddings.</x:v>
      </x:c>
      <x:c r="D97" s="990" t="str">
        <x:v>arXiv API record</x:v>
      </x:c>
      <x:c r="E97" s="990" t="str">
        <x:v>Moderate — complete preprint abstract</x:v>
      </x:c>
      <x:c r="F97" s="988" t="str">
        <x:v>https://arxiv.org/abs/2208.00457</x:v>
      </x:c>
    </x:row>
    <x:row r="98" ht="210" customHeight="1">
      <x:c r="A98" s="990" t="str">
        <x:v>ARXIV-04-001</x:v>
      </x:c>
      <x:c r="B98" s="988" t="str">
        <x:v>Single Domain Generalization in Diabetic Retinopathy: A Neuro-Symbolic Learning Approach</x:v>
      </x:c>
      <x:c r="C98" s="988" t="str">
        <x:v>Domain generalization remains a critical challenge in medical imaging, where models trained on single sources often fail under real-world distribution shifts. We propose KG-DG, a neuro-symbolic framework for diabetic retinopathy (DR) classification that integrates vision transformers with expert-guided symbolic reasoning to enable robust generalization across unseen domains. Our approach leverages clinical lesion ontologies through structured, rule-based features and retinal vessel segmentation, fusing them with deep visual representations via a confidence-weighted integration strategy. The framework addresses both single-domain generalization (SDG) and multi-domain generalization (MDG) by minimizing the KL divergence between domain embeddings, thereby enforcing alignment of high-level clinical semantics. Extensive experiments across four public datasets (APTOS, EyePACS, Messidor-1, Messidor-2) demonstrate significant improvements: up to a 5.2% accuracy gain in cross-domain settings and a 6% improvement over baseline ViT models. Notably, our symbolic-only model achieves a 63.67% average accuracy in MDG, while the complete neuro-symbolic integration achieves the highest accuracy compared to existing published baselines and benchmarks in challenging SDG scenarios. Ablation studies reveal that lesion-based features (84.65% accuracy) substantially outperform purely neural approaches, confirming that symbolic components act as effective regularizers beyond merely enhancing interpretability. Our findings establish neuro-symbolic integration as a promising paradigm for building clinically robust, and domain-invariant medical AI systems.</x:v>
      </x:c>
      <x:c r="D98" s="990" t="str">
        <x:v>OpenAlex scholarly record</x:v>
      </x:c>
      <x:c r="E98" s="990" t="str">
        <x:v>Moderate — complete scholarly-record abstract</x:v>
      </x:c>
      <x:c r="F98" s="988" t="str">
        <x:v>https://arxiv.org/pdf/2509.02918</x:v>
      </x:c>
    </x:row>
    <x:row r="99" ht="210" customHeight="1">
      <x:c r="A99" s="990" t="str">
        <x:v>ARXIV-05-001</x:v>
      </x:c>
      <x:c r="B99" s="988" t="str">
        <x:v>XAI-MeD: Explainable Knowledge Guided Neuro-Symbolic Framework for Domain Generalization and Rare Class Detection in Medical Imaging</x:v>
      </x:c>
      <x:c r="C99" s="988" t="str">
        <x:v>Explainability domain generalization and rare class reliability are critical challenges in medical AI where deep models often fail under real world distribution shifts and exhibit bias against infrequent clinical conditions This paper introduces XAIMeD an explainable medical AI framework that integrates clinically accurate expert knowledge into deep learning through a unified neuro symbolic architecture XAIMeD is designed to improve robustness under distribution shift enhance rare class sensitivity and deliver transparent clinically aligned interpretations The framework encodes clinical expertise as logical connectives over atomic medical propositions transforming them into machine checkable class specific rules Their diagnostic utility is quantified through weighted feature satisfaction scores enabling a symbolic reasoning branch that complements neural predictions A confidence weighted fusion integrates symbolic and deep outputs while a Hunt inspired adaptive routing mechanism guided by Entropy Imbalance Gain EIG and Rare Class Gini mitigates class imbalance high intra class variability and uncertainty We evaluate XAIMeD across diverse modalities on four challenging tasks i Seizure Onset Zone SOZ localization from rs fMRI ii Diabetic Retinopathy grading across 6 multicenter datasets demonstrate substantial performance improvements including 6 percent gains in cross domain generalization and a 10 percent improved rare class F1 score far outperforming state of the art deep learning baselines Ablation studies confirm that the clinically grounded symbolic components act as effective regularizers ensuring robustness to distribution shifts XAIMeD thus provides a principled clinically faithful and interpretable approach to multimodal medical AI.</x:v>
      </x:c>
      <x:c r="D99" s="990" t="str">
        <x:v>OpenAlex scholarly record</x:v>
      </x:c>
      <x:c r="E99" s="990" t="str">
        <x:v>Moderate — complete scholarly-record abstract</x:v>
      </x:c>
      <x:c r="F99" s="988" t="str">
        <x:v>https://arxiv.org/pdf/2601.02008</x:v>
      </x:c>
    </x:row>
    <x:row r="100" ht="210" customHeight="1">
      <x:c r="A100" s="990" t="str">
        <x:v>ARXIV-05-002</x:v>
      </x:c>
      <x:c r="B100" s="988" t="str">
        <x:v>NEURO-GUARD: Neuro-Symbolic Generalization and Unbiased Adaptive Routing for Diagnostics -- Explainable Medical AI</x:v>
      </x:c>
      <x:c r="C100" s="988" t="str">
        <x:v>Accurate yet interpretable image-based diagnosis remains a central challenge in medical AI, particularly in settings characterized by limited data, subtle visual cues, and high-stakes clinical decision-making. Most existing vision models rely on purely data-driven learning and produce black-box predictions with limited interpretability and poor cross-domain generalization, hindering their real-world clinical adoption. We present NEURO-GUARD, a novel knowledge-guided vision framework that integrates Vision Transformers (ViTs) with language-driven reasoning to improve performance, transparency, and domain robustness. NEURO-GUARD employs a retrieval-augmented generation (RAG) mechanism for self-verification, in which a large language model (LLM) iteratively generates, evaluates, and refines feature-extraction code for medical images. By grounding this process in clinical guidelines and expert knowledge, the framework progressively enhances feature detection and classification beyond purely data-driven baselines. Extensive experiments on diabetic retinopathy classification across four benchmark datasets APTOS, EyePACS, Messidor-1, and Messidor-2 demonstrate that NEURO-GUARD improves accuracy by 6.2% over a ViT-only baseline (84.69% vs. 78.4%) and achieves a 5% gain in domain generalization. Additional evaluations on MRI-based seizure detection further confirm its cross-domain robustness, consistently outperforming existing methods. Overall, NEURO-GUARD bridges symbolic medical reasoning with subsymbolic visual learning, enabling interpretable, knowledge-aware, and generalizable medical image diagnosis while achieving state-of-the-art performance across multiple datasets.</x:v>
      </x:c>
      <x:c r="D100" s="990" t="str">
        <x:v>OpenAlex scholarly record</x:v>
      </x:c>
      <x:c r="E100" s="990" t="str">
        <x:v>Moderate — complete scholarly-record abstract</x:v>
      </x:c>
      <x:c r="F100" s="988" t="str">
        <x:v>https://arxiv.org/pdf/2512.18177</x:v>
      </x:c>
    </x:row>
    <x:row r="101" ht="210" customHeight="1">
      <x:c r="A101" s="990" t="str">
        <x:v>ARXIV-06-001</x:v>
      </x:c>
      <x:c r="B101" s="988" t="str">
        <x:v>In-hoc Concept Representations to Regularise Deep Learning in Medical Imaging</x:v>
      </x:c>
      <x:c r="C101" s="988" t="str">
        <x:v>Deep learning models in medical imaging often achieve strong in-distribution performance but struggle to generalise under distribution shifts, frequently relying on spurious correlations instead of clinically meaningful features. We introduce LCRReg, a novel regularisation approach that leverages Latent Concept Representations (LCRs) (e.g., Concept Activation Vectors (CAVs)) to guide models toward semantically grounded representations. LCRReg requires no concept labels in the main training set and instead uses a small auxiliary dataset to synthesise high-quality, disentangled concept examples. We extract LCRs for predefined relevant features, and incorporate a regularisation term that guides a Convolutional Neural Network (CNN) to activate within latent subspaces associated with those concepts. We evaluate LCRReg across synthetic and real-world medical tasks. On a controlled toy dataset, it significantly improves robustness to injected spurious correlations and remains effective even in multi-concept and multiclass settings. On the diabetic retinopathy binary classification task, LCRReg enhances performance under both synthetic spurious perturbations and out-of-distribution (OOD) generalisation. Compared to baselines, including multitask learning, linear probing, and post-hoc concept-based models, LCRReg offers a lightweight, architecture-agnostic strategy for improving model robustness without requiring dense concept supervision. Code is available at the following link: https://github.com/Trustworthy-AI-UU-NKI/lcr\_regularization</x:v>
      </x:c>
      <x:c r="D101" s="990" t="str">
        <x:v>arXiv API record</x:v>
      </x:c>
      <x:c r="E101" s="990" t="str">
        <x:v>Moderate — complete preprint abstract</x:v>
      </x:c>
      <x:c r="F101" s="988" t="str">
        <x:v>https://arxiv.org/abs/2508.13880</x:v>
      </x:c>
    </x:row>
    <x:row r="102" ht="210" customHeight="1">
      <x:c r="A102" s="990" t="str">
        <x:v>ARXIV-10-001</x:v>
      </x:c>
      <x:c r="B102" s="988" t="str">
        <x:v>RetiSEM: Generalising Causal Models for Fragmented Biomedical Data</x:v>
      </x:c>
      <x:c r="C102" s="988" t="str">
        <x:v>Learning causal models from fragmented biomedical data is challenging because clinical, molecular, and imaging variables are often incomplete or not jointly observed. We propose RetiSEM, a domain-constrained structural equation modelling (SEM) framework for causal graph recovery and mediation analysis under limited multimodal resources. This proposed work organises variables into biologically informed blocks, applies forbidden-edge constraints, and decomposes pathway-level effects into TE, NDE, and NIE components. We evaluate RetiSEM across ten synthetic benchmark scenarios that vary in dimensionality, nonlinearity, causal depth, and pathway structure, together with a fragmented real-world setting that combines NHANES clinical variables with externally derived retinal representations. This approach achieves lower structural error and higher causal accuracy than unconstrained baselines across the synthetic benchmarks. In the real-data analysis, retinal variables behave mainly as downstream biomarker-like indicators, with smaller but detectable indirect effects. These findings support our strategy as an interpretable framework for testing structured causal hypotheses in limited-resource biomedical AI. The code and resources for this work are publicly available at: https://github.com/Inamullah-Colab/ReitSEM.</x:v>
      </x:c>
      <x:c r="D102" s="990" t="str">
        <x:v>OpenAlex scholarly record</x:v>
      </x:c>
      <x:c r="E102" s="990" t="str">
        <x:v>Moderate — complete scholarly-record abstract</x:v>
      </x:c>
      <x:c r="F102" s="988" t="str">
        <x:v>https://arxiv.org/pdf/2606.24488</x:v>
      </x:c>
    </x:row>
    <x:row r="103" ht="210" customHeight="1">
      <x:c r="A103" s="990" t="str">
        <x:v>ARXIV-10-002</x:v>
      </x:c>
      <x:c r="B103" s="988" t="str">
        <x:v>A Dual Edge Spatial Jacobian Image Graph for Interpretable Diabetic Retinopathy Grading</x:v>
      </x:c>
      <x:c r="C103" s="988" t="str">
        <x:v>Automated diabetic retinopathy (DR) grading from colour fundus photographs can achieve strong predictive performance, but clinical interpretation requires more than an image-level label. It requires understanding how lesion evidence is distributed around retinal vessels and how this evidence relates to quantitative vascular biomarkers. We present a dual-edge spatial-Jacobian image graph for interpretable DR grading. Each fundus image is represented as a graph node with four aligned evidence streams: AutoMorph vessel information ($X_1$), DR-XAI-style lesion evidence maps ($X_2$), a 128-dimensional lesion-based contrastive image embedding ($X_3$), and AutoMorph morphometric biomarkers ($X_4$). The spatial edge branch ($X_{12}$) encodes vessel-lesion geometry, while the Jacobian branch ($X_{34}$) models embedding-biomarker sensitivity. Lightweight two-token attention fuses both edge families into a final image graph. On 2,910 matched non-augmented APTOS images, the full graph achieves 0.8076 accuracy, 0.8312 quadratic weighted kappa, 0.5915 macro-F1, and 0.9330 adjacent-grade accuracy; referable DR reaches 0.9055 accuracy and 0.9711 AUROC. The framework is positioned as an explainable representation-learning tool for lesion-biomarker hypothesis generation, rather than as a deployment-ready clinical classifier. The code is available at https://github.com/Inamullah-Colab/dual-edge-dr-graph-xai.</x:v>
      </x:c>
      <x:c r="D103" s="990" t="str">
        <x:v>arXiv API record</x:v>
      </x:c>
      <x:c r="E103" s="990" t="str">
        <x:v>Moderate — complete preprint abstract</x:v>
      </x:c>
      <x:c r="F103" s="988" t="str">
        <x:v>https://arxiv.org/abs/2606.24168</x:v>
      </x:c>
    </x:row>
    <x:row r="104" ht="210" customHeight="1">
      <x:c r="A104" s="990" t="str">
        <x:v>ARXIV-10-004</x:v>
      </x:c>
      <x:c r="B104" s="988" t="str">
        <x:v>Explainable Multi-Task Retinal Imaging Reveals Microvascular Signals for Systemic Risk Stratification in Type 2 Diabetes: A Pilot Study</x:v>
      </x:c>
      <x:c r="C104" s="988" t="str">
        <x:v>Retinal imaging provides a non-invasive window into systemic microvascular health and has emerged as a potential biomarker for systemic diseases. However, whether retinal features encode biologically meaningful systemic signals that can be reliably interpreted using explainable artificial intelligence (XAI) remains unclear. An explainable multi-task deep learning framework was developed to investigate associations between retinal microvascular features and systemic abnormalities in Type 2 Diabetes Mellitus. A total of 11,011 fundus images from 2,719 individuals were analysed using a shared neural network with task-specific heads for glycaemic status, kidney abnormality, and multi-system involvement. Model interpretability was evaluated using Gradient-weighted Class Activation Mapping (Grad-CAM), anatomical masking, and vessel alignment analysis. The framework demonstrated task-dependent predictive performance, with the best discrimination observed for kidney abnormality (AUC up to 0.63), whereas glycaemic status prediction showed limited performance (AUC = 0.49-0.61). Explainability analyses consistently localized model attention to retinal vessels and peripapillary regions. Masking experiments showed that occlusion of vascular regions caused the greatest performance decline, indicating that retinal vessels were the primary predictive source. Different architectures exhibited heterogeneous attention patterns, suggesting multiple representational pathways for systemic signal encoding. This pilot study demonstrates that retinal microvascular features contain measurable signals associated with systemic abnormalities, particularly microvascular damage. By integrating multi-task learning with quantitative XAI validation, this framework advances retinal imaging toward interpretable digital biomarkers for systemic risk stratification in diabetes.</x:v>
      </x:c>
      <x:c r="D104" s="990" t="str">
        <x:v>OpenAlex scholarly record</x:v>
      </x:c>
      <x:c r="E104" s="990" t="str">
        <x:v>Moderate — complete scholarly-record abstract</x:v>
      </x:c>
      <x:c r="F104" s="988" t="str">
        <x:v>https://arxiv.org/pdf/2605.24913</x:v>
      </x:c>
    </x:row>
    <x:row r="105" ht="210" customHeight="1">
      <x:c r="A105" s="990" t="str">
        <x:v>ARXIV-10-005</x:v>
      </x:c>
      <x:c r="B105" s="988" t="str">
        <x:v>SAIL: Structure-Aware Interpretable Learning for Anatomy-Aligned Post-hoc Explanations in OCT</x:v>
      </x:c>
      <x:c r="C105" s="988" t="str">
        <x:v>Optical coherence tomography (OCT), a commonly used retinal imaging modality, plays a central role in retinal disease diagnosis by providing high-resolution visualization of retinal layers. While deep learning (DL) has achieved expert-level accuracy in OCT-based retinal disease detection, its "black box" nature poses challenges for clinical adoption, where explainability is essential for clinical trust and regulatory approval. Existing post-hoc explainable AI (XAI) methods often struggle to delineate fine-grained lesion structures, respect anatomical boundaries, or suppress noise, limiting the trustworthiness of their explanations. To bridge these gaps, we propose a Structure-Aware Interpretable Learning (SAIL) framework that integrates retinal anatomical priors at the representation level and couples them with semantic features via a fusion design. Without modifying standard post-hoc explainability methods, this representation yields sharper and more anatomically aligned attribution maps. Comprehensive experiments on diverse OCT datasets demonstrate that our structure-aware method consistently enhances interpretability, producing clinically meaningful and anatomy-aware explanations. Ablation studies further show that strong interpretability requires both structural priors and semantic features, and that properly fusing the two is critical to achieve the best explanation quality. Together, these results highlight structure-aware representations as a key step toward reliable explainability in OCT.</x:v>
      </x:c>
      <x:c r="D105" s="990" t="str">
        <x:v>OpenAlex scholarly record</x:v>
      </x:c>
      <x:c r="E105" s="990" t="str">
        <x:v>Moderate — complete scholarly-record abstract</x:v>
      </x:c>
      <x:c r="F105" s="988" t="str">
        <x:v>https://arxiv.org/pdf/2605.02707</x:v>
      </x:c>
    </x:row>
    <x:row r="106" ht="210" customHeight="1">
      <x:c r="A106" s="990" t="str">
        <x:v>ARXIV-10-025</x:v>
      </x:c>
      <x:c r="B106" s="988" t="str">
        <x:v>Fine-tuning Vision Language Models with Graph-based Knowledge for Explainable Medical Image Analysis</x:v>
      </x:c>
      <x:c r="C106" s="988" t="str">
        <x:v>Accurate staging of Diabetic Retinopathy (DR) is essential for guiding timely interventions and preventing vision loss. However, current staging models are hardly interpretable, and most public datasets contain no clinical reasoning or interpretation beyond image-level labels. In this paper, we present a novel method that integrates graph representation learning with vision-language models (VLMs) to deliver explainable DR diagnosis. Our approach leverages optical coherence tomography angiography (OCTA) images by constructing biologically informed graphs that encode key retinal vascular features such as vessel morphology and spatial connectivity. A graph neural network (GNN) then performs DR staging while integrated gradients highlight critical nodes and edges and their individual features that drive the classification decisions. We collect this graph-based knowledge which attributes the model's prediction to physiological structures and their characteristics. We then transform it into textual descriptions for VLMs. We perform instruction-tuning with these textual descriptions and the corresponding image to train a student VLM. This final agent can classify the disease and explain its decision in a human interpretable way solely based on a single image input. Experimental evaluations on both proprietary and public datasets demonstrate that our method not only improves classification accuracy but also offers more clinically interpretable results. An expert study further demonstrates that our method provides more accurate diagnostic explanations and paves the way for precise localization of pathologies in OCTA images.</x:v>
      </x:c>
      <x:c r="D106" s="990" t="str">
        <x:v>arXiv API record</x:v>
      </x:c>
      <x:c r="E106" s="990" t="str">
        <x:v>Moderate — complete preprint abstract</x:v>
      </x:c>
      <x:c r="F106" s="988" t="str">
        <x:v>https://arxiv.org/abs/2503.09808</x:v>
      </x:c>
    </x:row>
    <x:row r="107" ht="210" customHeight="1">
      <x:c r="A107" s="990" t="str">
        <x:v>ARXIV-10-026</x:v>
      </x:c>
      <x:c r="B107" s="988" t="str">
        <x:v>Interpretable Retinal Disease Prediction Using Biology-Informed Heterogeneous Graph Representations</x:v>
      </x:c>
      <x:c r="C107" s="988" t="str">
        <x:v>Interpretability is crucial to enhance trust in machine learning models for medical diagnostics. However, most state-of-the-art image classifiers based on neural networks are not interpretable. As a result, clinicians often resort to known biomarkers for diagnosis, although biomarker-based classification typically performs worse than large neural networks. This work proposes a method that surpasses the performance of established machine learning models while simultaneously improving prediction interpretability for diabetic retinopathy staging from optical coherence tomography angiography (OCTA) images. Our method is based on a novel biology-informed heterogeneous graph representation that models retinal vessel segments, intercapillary areas, and the foveal avascular zone (FAZ) in a human-interpretable way. This graph representation allows us to frame diabetic retinopathy staging as a graph-level classification task, which we solve using an efficient graph neural network. We benchmark our method against well-established baselines, including classical biomarker-based classifiers, convolutional neural networks (CNNs), and vision transformers. Our model outperforms all baselines on two datasets. Crucially, we use our biology-informed graph to provide explanations of unprecedented detail. Our approach surpasses existing methods in precisely localizing and identifying critical vessels or intercapillary areas. In addition, we give informative and human-interpretable attributions to critical characteristics. Our work contributes to the development of clinical decision-support tools in ophthalmology.</x:v>
      </x:c>
      <x:c r="D107" s="990" t="str">
        <x:v>OpenAlex scholarly record</x:v>
      </x:c>
      <x:c r="E107" s="990" t="str">
        <x:v>Moderate — complete scholarly-record abstract</x:v>
      </x:c>
      <x:c r="F107" s="988" t="str">
        <x:v>https://arxiv.org/pdf/2502.16697</x:v>
      </x:c>
    </x:row>
    <x:row r="108" ht="210" customHeight="1">
      <x:c r="A108" s="990" t="str">
        <x:v>ARXIV-10-030</x:v>
      </x:c>
      <x:c r="B108" s="988" t="str">
        <x:v>Explainable and Interpretable Diabetic Retinopathy Classification Based on Neural-Symbolic Learning</x:v>
      </x:c>
      <x:c r="C108" s="988" t="str">
        <x:v>In this paper, we propose an explainable and interpretable diabetic retinopathy (ExplainDR) classification model based on neural-symbolic learning. To gain explainability, a highlevel symbolic representation should be considered in decision making. Specifically, we introduce a human-readable symbolic representation, which follows a taxonomy style of diabetic retinopathy characteristics related to eye health conditions to achieve explainability. We then include humanreadable features obtained from the symbolic representation in the disease prediction. Experimental results on a diabetic retinopathy classification dataset show that our proposed ExplainDR method exhibits promising performance when compared to that from state-of-the-art methods applied to the IDRiD dataset, while also providing interpretability and explainability.</x:v>
      </x:c>
      <x:c r="D108" s="990" t="str">
        <x:v>OpenAlex scholarly record</x:v>
      </x:c>
      <x:c r="E108" s="990" t="str">
        <x:v>Moderate — complete scholarly-record abstract</x:v>
      </x:c>
      <x:c r="F108" s="988" t="str">
        <x:v>https://arxiv.org/pdf/2204.00624</x:v>
      </x:c>
    </x:row>
    <x:row r="109" ht="210" customHeight="1">
      <x:c r="A109" s="990" t="str">
        <x:v>ARXIV-11-002</x:v>
      </x:c>
      <x:c r="B109" s="988" t="str">
        <x:v>Discovery Radiomics With CLEAR-DR: Interpretable Computer Aided Diagnosis of Diabetic Retinopathy</x:v>
      </x:c>
      <x:c r="C109" s="988" t="str">
        <x:v>Radiomics-driven computer aided diagnosis (CAD) has shown considerable promise in recent years as a potential tool for improving clinical decision support in medical oncology, particularly those based around the concept of discovery radiomics, where radiomic sequencers are discovered through the analysis of medical imaging data. One of the main limitations, with current CAD approaches, is that it is very difficult to gain insight or rationale as to how decisions are made, thus limiting their utility to clinicians. In this paper, we propose CLEAR-DR, a novel interpretable CAD system based on the notion of CLass-Enhanced Attentive Response Discovery Radiomics for the purpose of clinical decision support for diabetic retinopathy. In addition to disease grading via the discovered deep radiomic sequencer, the CLEAR-DR system also produces a visual interpretation of the decision-making process to provide better insight and understanding of the decision-making process of the system. We demonstrate the effectiveness and utility of the proposed CLEAR-DR system of enhancing the interpretability of diagnostic grading results for the application of diabetic retinopathy grading. CLEAR-DR can act as a potentially powerful tool to address the uninterpretability issue of current CAD systems, thus improving their utility to clinicians.</x:v>
      </x:c>
      <x:c r="D109" s="990" t="str">
        <x:v>OpenAlex scholarly record</x:v>
      </x:c>
      <x:c r="E109" s="990" t="str">
        <x:v>Moderate — complete scholarly-record abstract</x:v>
      </x:c>
      <x:c r="F109" s="988" t="str">
        <x:v>https://arxiv.org/pdf/1710.10675</x:v>
      </x:c>
    </x:row>
    <x:row r="110" ht="210" customHeight="1">
      <x:c r="A110" s="990" t="str">
        <x:v>ARXIV-12-004</x:v>
      </x:c>
      <x:c r="B110" s="988" t="str">
        <x:v>Unsupervised Identification of Disease Marker Candidates in Retinal OCT Imaging Data</x:v>
      </x:c>
      <x:c r="C110" s="988" t="str">
        <x:v>The identification and quantification of markers in medical images is critical for diagnosis, prognosis, and disease management. Supervised machine learning enables the detection and exploitation of findings that are known a priori after annotation of training examples by experts. However, supervision does not scale well, due to the amount of necessary training examples, and the limitation of the marker vocabulary to known entities. In this proof-of-concept study, we propose unsupervised identification of anomalies as candidates for markers in retinal optical coherence tomography (OCT) imaging data without a constraint to a priori definitions. We identify and categorize marker candidates occurring frequently in the data and demonstrate that these markers show a predictive value in the task of detecting disease. A careful qualitative analysis of the identified data driven markers reveals how their quantifiable occurrence aligns with our current understanding of disease course, in early- and late age-related macular degeneration (AMD) patients. A multi-scale deep denoising autoencoder is trained on healthy images, and a one-class support vector machine identifies anomalies in new data. Clustering in the anomalies identifies stable categories. Using these markers to classify healthy-, early AMD- and late AMD cases yields an accuracy of 81.40%. In a second binary classification experiment on a publicly available data set (healthy versus intermediate AMD), the model achieves an area under the ROC curve of 0.944.</x:v>
      </x:c>
      <x:c r="D110" s="990" t="str">
        <x:v>OpenAlex scholarly record</x:v>
      </x:c>
      <x:c r="E110" s="990" t="str">
        <x:v>Moderate — complete scholarly-record abstract</x:v>
      </x:c>
      <x:c r="F110" s="988" t="str">
        <x:v>https://arxiv.org/pdf/1810.13404</x:v>
      </x:c>
    </x:row>
    <x:row r="111" ht="210" customHeight="1">
      <x:c r="A111" s="990" t="str">
        <x:v>ARXIV-14-001</x:v>
      </x:c>
      <x:c r="B111" s="988" t="str">
        <x:v>Interpretable Few-Shot Retinal Disease Diagnosis with Concept-Guided Prompting of Vision-Language Models</x:v>
      </x:c>
      <x:c r="C111" s="988" t="str">
        <x:v>Recent advancements in deep learning have shown significant potential for classifying retinal diseases using color fundus images. However, existing works predominantly rely exclusively on image data, lack interpretability in their diagnostic decisions, and treat medical professionals primarily as annotators for ground truth labeling. To fill this gap, we implement two key strategies: extracting interpretable concepts of retinal diseases using the knowledge base of GPT models and incorporating these concepts as a language component in prompt-learning to train vision-language (VL) models with both fundus images and their associated concepts. Our method not only improves retinal disease classification but also enriches few-shot and zero-shot detection (novel disease detection), while offering the added benefit of concept-based model interpretability. Our extensive evaluation across two diverse retinal fundus image datasets illustrates substantial performance gains in VL-model based few-shot methodologies through our concept integration approach, demonstrating an average improvement of approximately 5.8% and 2.7% mean average precision for 16-shot learning and zero-shot (novel class) detection respectively. Our method marks a pivotal step towards interpretable and efficient retinal disease recognition for real-world clinical applications.</x:v>
      </x:c>
      <x:c r="D111" s="990" t="str">
        <x:v>arXiv API record</x:v>
      </x:c>
      <x:c r="E111" s="990" t="str">
        <x:v>Moderate — complete preprint abstract</x:v>
      </x:c>
      <x:c r="F111" s="988" t="str">
        <x:v>https://arxiv.org/abs/2503.02917</x:v>
      </x:c>
    </x:row>
    <x:row r="112" ht="210" customHeight="1">
      <x:c r="A112" s="990" t="str">
        <x:v>CIT-071</x:v>
      </x:c>
      <x:c r="B112" s="988" t="str">
        <x:v>Hybrid vision-language models for improved transparency in healthcare processes: The retinal diagnosis use case</x:v>
      </x:c>
      <x:c r="C112" s="988" t="str">
        <x:v>Despite CNNs’ high accuracy in medical image analysis, their opaque nature limits widespread clinical adoption, as practitioners are skeptical of predictions lacking clear rationale. This critical trust barrier necessitates the development of new approaches to provide transparent, reliable, and actionable insights coming from CNN, thus to effectively integrate them into healthcare processes. This paper addresses this issue by proposing a novel hybrid diagnostic pipeline that combines the predictive power of CNNs with the interpretive capabilities of Large Language Models (LLMs). Utilizing the LLM’s ability to generate human-like text and drawing clinical reasoning, our solution generates transparent explanations for CNN-based diagnoses. The approach is demonstrated on retinal diseases, where a ConvNeXt V2 model and Contrastive Language–Image Pretraining (CLIP) feature extraction approach are integrated for clinical classification and interpretation. This hybrid Vision-Language strategy aims to deliver both high predictive accuracy and the necessary human-readable accountability to foster clinical trust.</x:v>
      </x:c>
      <x:c r="D112" s="990" t="str">
        <x:v>OpenAlex scholarly record</x:v>
      </x:c>
      <x:c r="E112" s="990" t="str">
        <x:v>Moderate — complete scholarly-record abstract</x:v>
      </x:c>
      <x:c r="F112" s="988" t="str">
        <x:v>https://www.sciencedirect.com/science/article/pii/S0950705126001991</x:v>
      </x:c>
    </x:row>
    <x:row r="113" ht="210" customHeight="1">
      <x:c r="A113" s="990" t="str">
        <x:v>CIT-100</x:v>
      </x:c>
      <x:c r="B113" s="988" t="str">
        <x:v>Enhancing ophthalmology medical record management with multi-modal knowledge graphs</x:v>
      </x:c>
      <x:c r="C113" s="988" t="str">
        <x:v>The electronic medical record management system plays a crucial role in clinical practice, optimizing the recording and management of healthcare data. To enhance the functionality of the medical record management system, this paper develops a customized schema designed for ophthalmic diseases. A multi-modal knowledge graph is constructed, which is built upon expert-reviewed and de-identified real-world ophthalmology medical data. Based on this data, we propose an auxiliary diagnostic model based on a contrastive graph attention network (CGAT-ADM), which uses the patient's diagnostic results as anchor points and achieves auxiliary medical record diagnosis services through graph clustering. By implementing contrastive methods and feature fusion of node types, text, and numerical information in medical records, the CGAT-ADM model achieved an average precision of 0.8563 for the top 20 similar case retrievals, indicating high performance in identifying analogous diagnoses. Our research findings suggest that medical record management systems underpinned by multimodal knowledge graphs significantly enhance the development of AI services. These systems offer a range of benefits, from facilitating assisted diagnosis and addressing similar patient inquiries to delving into potential case connections and disease patterns. This comprehensive approach empowers healthcare professionals to garner deeper insights and make well-informed decisions.</x:v>
      </x:c>
      <x:c r="D113" s="990" t="str">
        <x:v>OpenAlex scholarly record</x:v>
      </x:c>
      <x:c r="E113" s="990" t="str">
        <x:v>Moderate — complete scholarly-record abstract</x:v>
      </x:c>
      <x:c r="F113" s="988" t="str">
        <x:v>https://www.nature.com/articles/s41598-024-73316-9</x:v>
      </x:c>
    </x:row>
    <x:row r="114" ht="210" customHeight="1">
      <x:c r="A114" s="991" t="str">
        <x:v>CIT-101</x:v>
      </x:c>
      <x:c r="B114" s="989" t="str">
        <x:v>Semantic web ontology for structured knowledge representation and clinical decision support in eye diseases</x:v>
      </x:c>
      <x:c r="C114" s="989" t="str">
        <x:v>Vision is a vital sense that allows people to interact with their surroundings and carry out tasks efficiently while maintaining safety and independence. At least 2.2 billion people globally suffer from blindness or vision impairment, of which more than 1 billion cases are avoidable or untreated because they lack access to eye care services. In ophthalmology, there are numerous challenges in knowledge organization and management, mainly due to the complexity of eye diseases. Ontologies are used as excellent tools for organizing and managing complicated information due to their structured representations of domain knowledge and to make data more findable, accessible, interoperable, and reusable. We have developed an ontology, that is, Eye Disease Ontology (EDO), for the most common eye diseases as a resource that helps in data extraction and analysis for the general public and medical professionals. EDO is a comprehensive and systematic knowledge representation system that categorizes and organizes information about commonly occurring eye diseases such as cataracts, glaucoma, age-related macular degeneration, etc, and connects it to vital details such as symptoms, causes, risk factors, diagnostic tests, and treatment options. The significant metrics of EDO include 566 classes, 16 object properties, 12 data properties, and 119 instances. In this study, the ontology of eye diseases has the potential to improve clinical diagnosis, advance research, and enrich medical education, while improving patient care. This ontology was created using the NeOn technique in the Protégé/OWL environment. Several competency questions were created to meet the demands of various stakeholders, and the ontology was validated using SPARQL queries, the Hermit Reasoner, and the OOPS Pitfalls Scanner. In addition, we develop comprehensive documentation for EDO to promote reuse and emphasise the importance of reuse in future applications.</x:v>
      </x:c>
      <x:c r="D114" s="991" t="str">
        <x:v>OpenAlex scholarly record</x:v>
      </x:c>
      <x:c r="E114" s="991" t="str">
        <x:v>Moderate — complete scholarly-record abstract</x:v>
      </x:c>
      <x:c r="F114" s="989" t="str">
        <x:v>https://www.nature.com/articles/s41598-025-15885-x</x:v>
      </x:c>
    </x:row>
  </x:sheetData>
  <x:mergeCells>
    <x:mergeCell ref="A1:F1"/>
    <x:mergeCell ref="A2:F2"/>
  </x:mergeCells>
  <x:conditionalFormatting sqref="E6:E114">
    <x:cfRule type="containsText" dxfId="48" priority="1" operator="containsText" text="Low"/>
    <x:cfRule type="containsText" dxfId="49" priority="2" operator="containsText" text="High"/>
    <x:cfRule type="containsText" dxfId="50" priority="3" operator="containsText" text="Moderate"/>
  </x:conditionalFormatting>
  <x:pageMargins left="0.7" right="0.7" top="0.75" bottom="0.75" header="0.3" footer="0.3"/>
  <x:tableParts count="1">
    <x:tablePart xmlns:r="http://schemas.openxmlformats.org/officeDocument/2006/relationships" r:id="Rd2b954eee3654863"/>
  </x:tableParts>
</x:worksheet>
</file>

<file path=xl/worksheets/sheet32.xml><?xml version="1.0" encoding="utf-8"?>
<x:worksheet xmlns:x="http://schemas.openxmlformats.org/spreadsheetml/2006/main">
  <x:sheetFormatPr defaultRowHeight="15"/>
  <x:cols>
    <x:col min="1" max="1" width="24" hidden="0" customWidth="1"/>
    <x:col min="2" max="2" width="28" hidden="0" customWidth="1"/>
    <x:col min="3" max="3" width="25" hidden="0" customWidth="1"/>
    <x:col min="4" max="4" width="22" hidden="0" customWidth="1"/>
    <x:col min="5" max="5" width="30" hidden="0" customWidth="1"/>
    <x:col min="6" max="6" width="3" hidden="0" customWidth="1"/>
    <x:col min="7" max="7" width="28" hidden="0" customWidth="1"/>
    <x:col min="8" max="8" width="13" hidden="0" customWidth="1"/>
    <x:col min="9" max="9" width="30" hidden="0" customWidth="1"/>
    <x:col min="10" max="10" width="32" hidden="0" customWidth="1"/>
  </x:cols>
  <x:sheetData>
    <x:row r="1" ht="25.5" customHeight="1">
      <x:c r="A1" s="1103" t="str">
        <x:v>Reviewer 1 Revision — Final Evidence Package</x:v>
      </x:c>
      <x:c r="B1" s="1103"/>
      <x:c r="C1" s="1103"/>
      <x:c r="D1" s="1103"/>
      <x:c r="E1" s="1103"/>
      <x:c r="F1" s="1103"/>
      <x:c r="G1" s="1103"/>
      <x:c r="H1" s="1103"/>
      <x:c r="I1" s="1103"/>
      <x:c r="J1" s="1103"/>
    </x:row>
    <x:row r="2" ht="31.5" customHeight="1">
      <x:c r="A2" s="1105" t="str">
        <x:v>The corresponding author conducted the searches and primary screening; two additional authors performed random spot checks on selected papers.</x:v>
      </x:c>
      <x:c r="B2" s="1105"/>
      <x:c r="C2" s="1105"/>
      <x:c r="D2" s="1105"/>
      <x:c r="E2" s="1105"/>
      <x:c r="F2" s="1105"/>
      <x:c r="G2" s="1105"/>
      <x:c r="H2" s="1105"/>
      <x:c r="I2" s="1105"/>
      <x:c r="J2" s="1105"/>
    </x:row>
    <x:row r="3" ht="7.5" customHeight="1">
      <x:c r="A3" s="1100"/>
      <x:c r="B3" s="1100"/>
      <x:c r="C3" s="1100"/>
      <x:c r="D3" s="1100"/>
      <x:c r="E3" s="1100"/>
      <x:c r="F3" s="1100"/>
      <x:c r="G3" s="1100"/>
      <x:c r="H3" s="1100"/>
      <x:c r="I3" s="1100"/>
      <x:c r="J3" s="1100"/>
    </x:row>
    <x:row r="4" ht="28.5" customHeight="1">
      <x:c r="A4" s="1108" t="str">
        <x:v>Identified</x:v>
      </x:c>
      <x:c r="B4" s="1108" t="n">
        <x:v>722</x:v>
      </x:c>
      <x:c r="C4" s="1108" t="str">
        <x:v>Duplicates</x:v>
      </x:c>
      <x:c r="D4" s="1108" t="n">
        <x:v>143</x:v>
      </x:c>
      <x:c r="E4" s="1108" t="str">
        <x:v>Invalid artifacts</x:v>
      </x:c>
      <x:c r="F4" s="1108" t="n">
        <x:v>4</x:v>
      </x:c>
      <x:c r="G4" s="1108" t="str">
        <x:v>Valid screened</x:v>
      </x:c>
      <x:c r="H4" s="1108" t="n">
        <x:v>575</x:v>
      </x:c>
      <x:c r="I4" s="1108" t="str">
        <x:v>Included</x:v>
      </x:c>
      <x:c r="J4" s="1108" t="n">
        <x:v>109</x:v>
      </x:c>
    </x:row>
    <x:row r="5" ht="7.5" customHeight="1">
      <x:c r="A5" s="1100"/>
      <x:c r="B5" s="1100"/>
      <x:c r="C5" s="1100"/>
      <x:c r="D5" s="1100"/>
      <x:c r="E5" s="1100"/>
      <x:c r="F5" s="1100"/>
      <x:c r="G5" s="1100"/>
      <x:c r="H5" s="1100"/>
      <x:c r="I5" s="1100"/>
      <x:c r="J5" s="1100"/>
    </x:row>
    <x:row r="6" ht="25.5" customHeight="1">
      <x:c r="A6" s="1060" t="str">
        <x:v>Stage</x:v>
      </x:c>
      <x:c r="B6" s="1060" t="str">
        <x:v>Evidence</x:v>
      </x:c>
      <x:c r="C6" s="1060" t="str">
        <x:v>Result</x:v>
      </x:c>
      <x:c r="D6" s="1060" t="str">
        <x:v>Status</x:v>
      </x:c>
      <x:c r="E6" s="1060" t="str">
        <x:v>Author action</x:v>
      </x:c>
      <x:c r="F6" s="1060"/>
      <x:c r="G6" s="1060" t="str">
        <x:v>Evidence metric</x:v>
      </x:c>
      <x:c r="H6" s="1060" t="str">
        <x:v>n</x:v>
      </x:c>
      <x:c r="I6" s="1060" t="str">
        <x:v>Interpretation</x:v>
      </x:c>
      <x:c r="J6" s="1060" t="str">
        <x:v>Submission note</x:v>
      </x:c>
    </x:row>
    <x:row r="7" ht="36" customHeight="1">
      <x:c r="A7" s="1109" t="str">
        <x:v>Search and deduplication</x:v>
      </x:c>
      <x:c r="B7" s="1110" t="str">
        <x:v>Search Summary; Master Records</x:v>
      </x:c>
      <x:c r="C7" s="1110" t="str">
        <x:v>722 − 143 − 4 = 575</x:v>
      </x:c>
      <x:c r="D7" s="1120" t="str">
        <x:v>Complete</x:v>
      </x:c>
      <x:c r="E7" s="1110" t="str">
        <x:v>Retain source exports</x:v>
      </x:c>
      <x:c r="F7" s="1110"/>
      <x:c r="G7" s="1110" t="str">
        <x:v>TA exclusions</x:v>
      </x:c>
      <x:c r="H7" s="1110" t="n">
        <x:v>465</x:v>
      </x:c>
      <x:c r="I7" s="1110" t="str">
        <x:v>109 Include + 1 Unclear retained</x:v>
      </x:c>
      <x:c r="J7" s="1111" t="str">
        <x:v>Final denominator reconciled</x:v>
      </x:c>
    </x:row>
    <x:row r="8" ht="36" customHeight="1">
      <x:c r="A8" s="1112" t="str">
        <x:v>Retrieval and eligibility</x:v>
      </x:c>
      <x:c r="B8" s="1113" t="str">
        <x:v>Full-Text Retrieval Log</x:v>
      </x:c>
      <x:c r="C8" s="1113" t="str">
        <x:v>110 assessed; 1 excluded</x:v>
      </x:c>
      <x:c r="D8" s="1121" t="str">
        <x:v>Complete</x:v>
      </x:c>
      <x:c r="E8" s="1113" t="str">
        <x:v>Retain GS-04-008 rationale</x:v>
      </x:c>
      <x:c r="F8" s="1113"/>
      <x:c r="G8" s="1113" t="str">
        <x:v>Included synthesis</x:v>
      </x:c>
      <x:c r="H8" s="1113" t="n">
        <x:v>109</x:v>
      </x:c>
      <x:c r="I8" s="1113" t="str">
        <x:v>47 direct + 62 contextual</x:v>
      </x:c>
      <x:c r="J8" s="1114" t="str">
        <x:v>No retrieval shortfall</x:v>
      </x:c>
    </x:row>
    <x:row r="9" ht="36" customHeight="1">
      <x:c r="A9" s="1112" t="str">
        <x:v>Quality appraisal</x:v>
      </x:c>
      <x:c r="B9" s="1113" t="str">
        <x:v>Quality Appraisal 109</x:v>
      </x:c>
      <x:c r="C9" s="1113" t="str">
        <x:v>109 nine-domain appraisals</x:v>
      </x:c>
      <x:c r="D9" s="1121" t="str">
        <x:v>Abstract-level complete</x:v>
      </x:c>
      <x:c r="E9" s="1113" t="str">
        <x:v>Verify NR against full text</x:v>
      </x:c>
      <x:c r="F9" s="1113"/>
      <x:c r="G9" s="1113" t="str">
        <x:v>External validation reported</x:v>
      </x:c>
      <x:c r="H9" s="1113" t="n">
        <x:v>12</x:v>
      </x:c>
      <x:c r="I9" s="1113" t="str">
        <x:v>97 NR</x:v>
      </x:c>
      <x:c r="J9" s="1114" t="str">
        <x:v>NR is not evidence of absence</x:v>
      </x:c>
    </x:row>
    <x:row r="10" ht="36" customHeight="1">
      <x:c r="A10" s="1112" t="str">
        <x:v>Evidence extraction</x:v>
      </x:c>
      <x:c r="B10" s="1113" t="str">
        <x:v>Evidence Table Final</x:v>
      </x:c>
      <x:c r="C10" s="1113" t="str">
        <x:v>109 structured records</x:v>
      </x:c>
      <x:c r="D10" s="1121" t="str">
        <x:v>Complete</x:v>
      </x:c>
      <x:c r="E10" s="1113" t="str">
        <x:v>Author proof of study details</x:v>
      </x:c>
      <x:c r="F10" s="1113"/>
      <x:c r="G10" s="1113" t="str">
        <x:v>Dedicated XAI evaluation</x:v>
      </x:c>
      <x:c r="H10" s="1113" t="n">
        <x:v>13</x:v>
      </x:c>
      <x:c r="I10" s="1113" t="str">
        <x:v>96 without dedicated metric</x:v>
      </x:c>
      <x:c r="J10" s="1114" t="str">
        <x:v>Heterogeneity precluded meta-analysis</x:v>
      </x:c>
    </x:row>
    <x:row r="11" ht="36" customHeight="1">
      <x:c r="A11" s="1112" t="str">
        <x:v>Narrative synthesis</x:v>
      </x:c>
      <x:c r="B11" s="1113" t="str">
        <x:v>Evidence Synthesis Final</x:v>
      </x:c>
      <x:c r="C11" s="1113" t="str">
        <x:v>Methods, modalities, gaps</x:v>
      </x:c>
      <x:c r="D11" s="1121" t="str">
        <x:v>Complete</x:v>
      </x:c>
      <x:c r="E11" s="1113" t="str">
        <x:v>Merge replacement text</x:v>
      </x:c>
      <x:c r="F11" s="1113"/>
      <x:c r="G11" s="1113" t="str">
        <x:v>Clinical usability reported</x:v>
      </x:c>
      <x:c r="H11" s="1113" t="n">
        <x:v>4</x:v>
      </x:c>
      <x:c r="I11" s="1113" t="str">
        <x:v>105 NR</x:v>
      </x:c>
      <x:c r="J11" s="1114" t="str">
        <x:v>Avoid clinical-benefit claims</x:v>
      </x:c>
    </x:row>
    <x:row r="12" ht="36" customHeight="1">
      <x:c r="A12" s="1112" t="str">
        <x:v>PRISMA and supplement</x:v>
      </x:c>
      <x:c r="B12" s="1113" t="str">
        <x:v>PRISMA Counts; PRISMA Flow</x:v>
      </x:c>
      <x:c r="C12" s="1113" t="str">
        <x:v>Final counts and audit trail</x:v>
      </x:c>
      <x:c r="D12" s="1121" t="str">
        <x:v>Complete</x:v>
      </x:c>
      <x:c r="E12" s="1113" t="str">
        <x:v>Insert into submission</x:v>
      </x:c>
      <x:c r="F12" s="1113"/>
      <x:c r="G12" s="1113" t="str">
        <x:v>Author verification</x:v>
      </x:c>
      <x:c r="H12" s="1113" t="str">
        <x:v>Documented</x:v>
      </x:c>
      <x:c r="I12" s="1113" t="str">
        <x:v>Random co-author spot checks</x:v>
      </x:c>
      <x:c r="J12" s="1114" t="str">
        <x:v>Corresponding-author workflow recorded transparently</x:v>
      </x:c>
    </x:row>
    <x:row r="13" ht="36" customHeight="1">
      <x:c r="A13" s="1115" t="str">
        <x:v>Reviewer 1 response</x:v>
      </x:c>
      <x:c r="B13" s="1116" t="str">
        <x:v>Reviewer1 Full Response</x:v>
      </x:c>
      <x:c r="C13" s="1116" t="str">
        <x:v>All 12 comments addressed</x:v>
      </x:c>
      <x:c r="D13" s="1084" t="str">
        <x:v>Prepared</x:v>
      </x:c>
      <x:c r="E13" s="1116" t="str">
        <x:v>Final author proof</x:v>
      </x:c>
      <x:c r="F13" s="1116"/>
      <x:c r="G13" s="1116" t="str">
        <x:v>Source integration</x:v>
      </x:c>
      <x:c r="H13" s="1116" t="str">
        <x:v>Required</x:v>
      </x:c>
      <x:c r="I13" s="1116" t="str">
        <x:v>Editable LaTeX not provided</x:v>
      </x:c>
      <x:c r="J13" s="1117" t="str">
        <x:v>Copy-ready replacement sections supplied</x:v>
      </x:c>
    </x:row>
    <x:row r="14" ht="7.5" customHeight="1">
      <x:c r="A14" s="1100"/>
      <x:c r="B14" s="1100"/>
      <x:c r="C14" s="1100"/>
      <x:c r="D14" s="1100"/>
      <x:c r="E14" s="1100"/>
      <x:c r="F14" s="1100"/>
      <x:c r="G14" s="1100"/>
      <x:c r="H14" s="1100"/>
      <x:c r="I14" s="1100"/>
      <x:c r="J14" s="1100"/>
    </x:row>
    <x:row r="15" ht="34.5" customHeight="1">
      <x:c r="A15" s="1088" t="str">
        <x:v>FINAL STATUS: evidence package, quality appraisal, synthesis, PRISMA counts, supplementary content, manuscript replacement text, and Reviewer 1 response are prepared.</x:v>
      </x:c>
      <x:c r="B15" s="1088"/>
      <x:c r="C15" s="1088"/>
      <x:c r="D15" s="1088"/>
      <x:c r="E15" s="1088"/>
      <x:c r="F15" s="1088"/>
      <x:c r="G15" s="1088"/>
      <x:c r="H15" s="1088"/>
      <x:c r="I15" s="1088"/>
      <x:c r="J15" s="1088"/>
    </x:row>
    <x:row r="16" ht="7.5" customHeight="1">
      <x:c r="A16" s="1100"/>
      <x:c r="B16" s="1100"/>
      <x:c r="C16" s="1100"/>
      <x:c r="D16" s="1100"/>
      <x:c r="E16" s="1100"/>
      <x:c r="F16" s="1100"/>
      <x:c r="G16" s="1100"/>
      <x:c r="H16" s="1100"/>
      <x:c r="I16" s="1100"/>
      <x:c r="J16" s="1100"/>
    </x:row>
    <x:row r="17" ht="31.5" customHeight="1">
      <x:c r="A17" s="1090" t="str">
        <x:v>Important limitation: quality scoring records what was reported in the available abstracts/indexed records. It is a transparent reporting/evidence-strength appraisal, not a substitute for full-text confirmation or a universally applicable prediction-model risk-of-bias tool.</x:v>
      </x:c>
      <x:c r="B17" s="1090"/>
      <x:c r="C17" s="1090"/>
      <x:c r="D17" s="1090"/>
      <x:c r="E17" s="1090"/>
      <x:c r="F17" s="1090"/>
      <x:c r="G17" s="1090"/>
      <x:c r="H17" s="1090"/>
      <x:c r="I17" s="1090"/>
      <x:c r="J17" s="1090"/>
    </x:row>
    <x:row r="18" ht="31.5" customHeight="1">
      <x:c r="A18" s="1090"/>
      <x:c r="B18" s="1090"/>
      <x:c r="C18" s="1090"/>
      <x:c r="D18" s="1090"/>
      <x:c r="E18" s="1090"/>
      <x:c r="F18" s="1090"/>
      <x:c r="G18" s="1090"/>
      <x:c r="H18" s="1090"/>
      <x:c r="I18" s="1090"/>
      <x:c r="J18" s="1090"/>
    </x:row>
  </x:sheetData>
  <x:mergeCells>
    <x:mergeCell ref="A1:J1"/>
    <x:mergeCell ref="A2:J2"/>
    <x:mergeCell ref="A15:J15"/>
    <x:mergeCell ref="A17:J18"/>
  </x:mergeCell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14" hidden="0" customWidth="1"/>
    <x:col min="2" max="2" width="52" hidden="0" customWidth="1"/>
    <x:col min="3" max="3" width="28" hidden="0" customWidth="1"/>
    <x:col min="4" max="4" width="24" hidden="0" customWidth="1"/>
    <x:col min="5" max="5" width="16" hidden="0" customWidth="1"/>
    <x:col min="6" max="6" width="18" hidden="0" customWidth="1"/>
    <x:col min="7" max="7" width="18" hidden="0" customWidth="1"/>
    <x:col min="8" max="8" width="18" hidden="0" customWidth="1"/>
    <x:col min="9" max="9" width="22" hidden="0" customWidth="1"/>
    <x:col min="10" max="10" width="18" hidden="0" customWidth="1"/>
    <x:col min="11" max="11" width="20" hidden="0" customWidth="1"/>
    <x:col min="12" max="12" width="18" hidden="0" customWidth="1"/>
    <x:col min="13" max="13" width="18" hidden="0" customWidth="1"/>
    <x:col min="14" max="14" width="16" hidden="0" customWidth="1"/>
    <x:col min="15" max="15" width="14" hidden="0" customWidth="1"/>
    <x:col min="16" max="16" width="16" hidden="0" customWidth="1"/>
    <x:col min="17" max="17" width="16" hidden="0" customWidth="1"/>
    <x:col min="18" max="18" width="18" hidden="0" customWidth="1"/>
    <x:col min="19" max="19" width="34" hidden="0" customWidth="1"/>
    <x:col min="20" max="20" width="34" hidden="0" customWidth="1"/>
    <x:col min="21" max="21" width="88" hidden="0" customWidth="1"/>
    <x:col min="22" max="22" width="32" hidden="0" customWidth="1"/>
    <x:col min="23" max="23" width="48" hidden="0" customWidth="1"/>
  </x:cols>
  <x:sheetData>
    <x:row r="1" ht="22.5" customHeight="1">
      <x:c r="A1" s="1127" t="str">
        <x:v>Structured Quality and Reporting Appraisal — 109 Included Reports</x:v>
      </x:c>
      <x:c r="B1" s="1127"/>
      <x:c r="C1" s="1127"/>
      <x:c r="D1" s="1127"/>
      <x:c r="E1" s="1127"/>
      <x:c r="F1" s="1127"/>
      <x:c r="G1" s="1127"/>
      <x:c r="H1" s="1127"/>
      <x:c r="I1" s="1127"/>
      <x:c r="J1" s="1127"/>
      <x:c r="K1" s="1127"/>
      <x:c r="L1" s="1127"/>
      <x:c r="M1" s="1127"/>
      <x:c r="N1" s="1127"/>
      <x:c r="O1" s="1127"/>
      <x:c r="P1" s="1127"/>
      <x:c r="Q1" s="1127"/>
      <x:c r="R1" s="1127"/>
      <x:c r="S1" s="1127"/>
      <x:c r="T1" s="1127"/>
      <x:c r="U1" s="1127"/>
      <x:c r="V1" s="1127"/>
      <x:c r="W1" s="1127"/>
    </x:row>
    <x:row r="2" ht="39" customHeight="1">
      <x:c r="A2" s="1094" t="str">
        <x:v>Structured abstract-level reporting and evidence-strength appraisal informed by the nine domains requested by Reviewer 1. NR means not reported in the available abstract/indexed evidence and is not treated as proof that the study omitted the item in the full text.</x:v>
      </x:c>
      <x:c r="B2" s="1094"/>
      <x:c r="C2" s="1094"/>
      <x:c r="D2" s="1094"/>
      <x:c r="E2" s="1094"/>
      <x:c r="F2" s="1094"/>
      <x:c r="G2" s="1094"/>
      <x:c r="H2" s="1094"/>
      <x:c r="I2" s="1094"/>
      <x:c r="J2" s="1094"/>
      <x:c r="K2" s="1094"/>
      <x:c r="L2" s="1094"/>
      <x:c r="M2" s="1094"/>
      <x:c r="N2" s="1094"/>
      <x:c r="O2" s="1094"/>
      <x:c r="P2" s="1094"/>
      <x:c r="Q2" s="1094"/>
      <x:c r="R2" s="1094"/>
      <x:c r="S2" s="1094"/>
      <x:c r="T2" s="1094"/>
      <x:c r="U2" s="1094"/>
      <x:c r="V2" s="1094"/>
      <x:c r="W2" s="1094"/>
    </x:row>
    <x:row r="3" ht="31.5" customHeight="1">
      <x:c r="A3" s="1135" t="str">
        <x:v>Reports</x:v>
      </x:c>
      <x:c r="B3" s="1150" t="n">
        <x:f>COUNTA(A6:A114)</x:f>
        <x:v>109</x:v>
      </x:c>
      <x:c r="C3" s="1135" t="str">
        <x:v>Direct retinal</x:v>
      </x:c>
      <x:c r="D3" s="1150" t="n">
        <x:f>COUNTIF(C6:C114,"Direct retinal/ophthalmic evidence")</x:f>
        <x:v>47</x:v>
      </x:c>
      <x:c r="E3" s="1135" t="str">
        <x:v>Contextual</x:v>
      </x:c>
      <x:c r="F3" s="1150" t="n">
        <x:f>COUNTIF(C6:C114,"Contextual medical concept-XAI evidence")</x:f>
        <x:v>62</x:v>
      </x:c>
      <x:c r="G3" s="1135" t="str">
        <x:v>Dataset reported</x:v>
      </x:c>
      <x:c r="H3" s="1150" t="n">
        <x:f>COUNT(E6:E114)</x:f>
        <x:v>53</x:v>
      </x:c>
      <x:c r="I3" s="1135" t="str">
        <x:v>External validation reported</x:v>
      </x:c>
      <x:c r="J3" s="1150" t="n">
        <x:f>COUNT(F6:F114)</x:f>
        <x:v>12</x:v>
      </x:c>
      <x:c r="K3" s="1135" t="str">
        <x:v>Clinical-expert involvement</x:v>
      </x:c>
      <x:c r="L3" s="1150" t="n">
        <x:f>COUNT(I6:I114)</x:f>
        <x:v>28</x:v>
      </x:c>
      <x:c r="M3" s="1135" t="str">
        <x:v>Code reported</x:v>
      </x:c>
      <x:c r="N3" s="1150" t="n">
        <x:f>COUNT(J6:J114)</x:f>
        <x:v>14</x:v>
      </x:c>
      <x:c r="O3" s="1135" t="str">
        <x:v>Dedicated explanation evaluation</x:v>
      </x:c>
      <x:c r="P3" s="1150" t="n">
        <x:f>'Data Extraction 109'!J3</x:f>
        <x:v>13</x:v>
      </x:c>
      <x:c r="Q3" s="1135" t="str">
        <x:v>Clinical usability reported</x:v>
      </x:c>
      <x:c r="R3" s="1150" t="n">
        <x:f>COUNT(M6:M114)</x:f>
        <x:v>4</x:v>
      </x:c>
      <x:c r="S3" s="1135" t="str">
        <x:v>Limitations reported</x:v>
      </x:c>
      <x:c r="T3" s="1150" t="n">
        <x:f>'Data Extraction 109'!L3</x:f>
        <x:v>3</x:v>
      </x:c>
      <x:c r="U3" s="1135" t="str">
        <x:v>Low-confidence sources</x:v>
      </x:c>
      <x:c r="V3" s="1150" t="n">
        <x:f>'Data Extraction 109'!N3</x:f>
        <x:v>2</x:v>
      </x:c>
      <x:c r="W3"/>
    </x:row>
    <x:row r="5" ht="43.5" customHeight="1">
      <x:c r="A5" s="1135" t="str">
        <x:v>Record ID</x:v>
      </x:c>
      <x:c r="B5" s="1135" t="str">
        <x:v>Citation</x:v>
      </x:c>
      <x:c r="C5" s="1135" t="str">
        <x:v>Evidence role</x:v>
      </x:c>
      <x:c r="D5" s="1135" t="str">
        <x:v>Report type</x:v>
      </x:c>
      <x:c r="E5" s="1135" t="str">
        <x:v>Dataset/sample</x:v>
      </x:c>
      <x:c r="F5" s="1135" t="str">
        <x:v>External validation</x:v>
      </x:c>
      <x:c r="G5" s="1135" t="str">
        <x:v>Patient-level split</x:v>
      </x:c>
      <x:c r="H5" s="1135" t="str">
        <x:v>Annotation quality</x:v>
      </x:c>
      <x:c r="I5" s="1135" t="str">
        <x:v>Ophthalmologist involvement</x:v>
      </x:c>
      <x:c r="J5" s="1135" t="str">
        <x:v>Code availability</x:v>
      </x:c>
      <x:c r="K5" s="1135" t="str">
        <x:v>Explanation faithfulness</x:v>
      </x:c>
      <x:c r="L5" s="1135" t="str">
        <x:v>Robustness/stability</x:v>
      </x:c>
      <x:c r="M5" s="1135" t="str">
        <x:v>Clinical usability</x:v>
      </x:c>
      <x:c r="N5" s="1135" t="str">
        <x:v>Domains assessed</x:v>
      </x:c>
      <x:c r="O5" s="1135" t="str">
        <x:v>Total score</x:v>
      </x:c>
      <x:c r="P5" s="1135" t="str">
        <x:v>Maximum score</x:v>
      </x:c>
      <x:c r="Q5" s="1135" t="str">
        <x:v>Normalised score</x:v>
      </x:c>
      <x:c r="R5" s="1135" t="str">
        <x:v>Reporting completeness</x:v>
      </x:c>
      <x:c r="S5" s="1135" t="str">
        <x:v>Overall interpretation</x:v>
      </x:c>
      <x:c r="T5" s="1135" t="str">
        <x:v>Risk-of-bias signal</x:v>
      </x:c>
      <x:c r="U5" s="1135" t="str">
        <x:v>Evidence notes</x:v>
      </x:c>
      <x:c r="V5" s="1135" t="str">
        <x:v>Extraction confidence</x:v>
      </x:c>
      <x:c r="W5" s="1135" t="str">
        <x:v>Source URL</x:v>
      </x:c>
    </x:row>
    <x:row r="6" ht="88.5" customHeight="1">
      <x:c r="A6" s="1143" t="str">
        <x:v>PM-001</x:v>
      </x:c>
      <x:c r="B6" s="1141" t="str">
        <x:v>Vision language models in ophthalmology — Lim G, Elangovan K, Jin L. (2024)</x:v>
      </x:c>
      <x:c r="C6" s="1141" t="str">
        <x:v>Direct retinal/ophthalmic evidence</x:v>
      </x:c>
      <x:c r="D6" s="1141" t="str">
        <x:v>Review/background report</x:v>
      </x:c>
      <x:c r="E6" s="1143" t="str">
        <x:v>NR</x:v>
      </x:c>
      <x:c r="F6" s="1143" t="str">
        <x:v>NR</x:v>
      </x:c>
      <x:c r="G6" s="1143" t="str">
        <x:v>NR</x:v>
      </x:c>
      <x:c r="H6" s="1143" t="str">
        <x:v>NR</x:v>
      </x:c>
      <x:c r="I6" s="1143" t="str">
        <x:v>NR</x:v>
      </x:c>
      <x:c r="J6" s="1143" t="str">
        <x:v>NR</x:v>
      </x:c>
      <x:c r="K6" s="1143" t="str">
        <x:v>NR</x:v>
      </x:c>
      <x:c r="L6" s="1143" t="str">
        <x:v>NR</x:v>
      </x:c>
      <x:c r="M6" s="1143" t="str">
        <x:v>NR</x:v>
      </x:c>
      <x:c r="N6" s="1143" t="n">
        <x:f>COUNT(E6:M6)</x:f>
        <x:v>0</x:v>
      </x:c>
      <x:c r="O6" s="1143" t="n">
        <x:f>SUM(E6:M6)</x:f>
        <x:v>0</x:v>
      </x:c>
      <x:c r="P6" s="1143" t="n">
        <x:f>N6*2</x:f>
        <x:v>0</x:v>
      </x:c>
      <x:c r="Q6" s="1145" t="str">
        <x:f>IF(P6=0,"",O6/P6)</x:f>
      </x:c>
      <x:c r="R6" s="1145" t="n">
        <x:f>N6/9</x:f>
        <x:v>0</x:v>
      </x:c>
      <x:c r="S6" s="1143" t="str">
        <x:f>IF(N6&lt;2,"Insufficiently reported",IF(AND(R6&gt;=0.67,Q6&gt;=0.75),"Higher strength on available evidence",IF(AND(R6&gt;=0.44,Q6&gt;=0.5),"Moderate strength / some concerns","Low strength or major reporting gaps")))</x:f>
        <x:v>Insufficiently reported</x:v>
      </x:c>
      <x:c r="T6" s="1143" t="str">
        <x:f>IF(COUNT(F6:H6)&lt;2,"Unclear — insufficient reporting",IF(COUNTIF(F6:H6,0)&gt;0,"High concern on available evidence",IF(AND(F6=2,G6=2,H6=2),"Lower concern on available evidence","Some concerns on available evidence")))</x:f>
        <x:v>Unclear — insufficient reporting</x:v>
      </x:c>
      <x:c r="U6" s="1141" t="str">
        <x:v>No quality domain was assessable from the available abstract/indexed evidence; full-text verification is required.</x:v>
      </x:c>
      <x:c r="V6" s="1141" t="str">
        <x:v>Moderate — complete scholarly-record abstract</x:v>
      </x:c>
      <x:c r="W6" s="1141" t="str">
        <x:v>https://journals.lww.com/co-ophthalmology/fulltext/2024/11000/vision_language_models_in_ophthalmology.9.aspx</x:v>
      </x:c>
    </x:row>
    <x:row r="7" ht="88.5" customHeight="1">
      <x:c r="A7" s="1143" t="str">
        <x:v>PM-003</x:v>
      </x:c>
      <x:c r="B7" s="1141" t="str">
        <x:v>A multimodal vision–language model for generalizable annotation-free pathology localization — Yang H, Zhou HY, Liu J, Huang W, Li C, Li Z, Gao Y, Liu Q, Liang Y, Yang Q, Wu S, Tan T, Zheng H, Zhang K, Wang S. (2026)</x:v>
      </x:c>
      <x:c r="C7" s="1141" t="str">
        <x:v>Direct retinal/ophthalmic evidence</x:v>
      </x:c>
      <x:c r="D7" s="1141" t="str">
        <x:v>Journal article</x:v>
      </x:c>
      <x:c r="E7" s="1143" t="n">
        <x:v>2</x:v>
      </x:c>
      <x:c r="F7" s="1143" t="n">
        <x:v>2</x:v>
      </x:c>
      <x:c r="G7" s="1143" t="str">
        <x:v>NR</x:v>
      </x:c>
      <x:c r="H7" s="1143" t="n">
        <x:v>1</x:v>
      </x:c>
      <x:c r="I7" s="1143" t="str">
        <x:v>NR</x:v>
      </x:c>
      <x:c r="J7" s="1143" t="str">
        <x:v>NR</x:v>
      </x:c>
      <x:c r="K7" s="1143" t="n">
        <x:v>1</x:v>
      </x:c>
      <x:c r="L7" s="1143" t="n">
        <x:v>2</x:v>
      </x:c>
      <x:c r="M7" s="1143" t="n">
        <x:v>1</x:v>
      </x:c>
      <x:c r="N7" s="1143" t="n">
        <x:f>COUNT(E7:M7)</x:f>
        <x:v>6</x:v>
      </x:c>
      <x:c r="O7" s="1143" t="n">
        <x:f>SUM(E7:M7)</x:f>
        <x:v>9</x:v>
      </x:c>
      <x:c r="P7" s="1143" t="n">
        <x:f>N7*2</x:f>
        <x:v>12</x:v>
      </x:c>
      <x:c r="Q7" s="1145" t="n">
        <x:f>IF(P7=0,"",O7/P7)</x:f>
        <x:v>0.75</x:v>
      </x:c>
      <x:c r="R7" s="1145" t="n">
        <x:f>N7/9</x:f>
        <x:v>0.6666666666666666</x:v>
      </x:c>
      <x:c r="S7" s="1143" t="str">
        <x:f>IF(N7&lt;2,"Insufficiently reported",IF(AND(R7&gt;=0.67,Q7&gt;=0.75),"Higher strength on available evidence",IF(AND(R7&gt;=0.44,Q7&gt;=0.5),"Moderate strength / some concerns","Low strength or major reporting gaps")))</x:f>
        <x:v>Moderate strength / some concerns</x:v>
      </x:c>
      <x:c r="T7" s="1143" t="str">
        <x:f>IF(COUNT(F7:H7)&lt;2,"Unclear — insufficient reporting",IF(COUNTIF(F7:H7,0)&gt;0,"High concern on available evidence",IF(AND(F7=2,G7=2,H7=2),"Lower concern on available evidence","Some concerns on available evidence")))</x:f>
        <x:v>Some concerns on available evidence</x:v>
      </x:c>
      <x:c r="U7" s="1141" t="str">
        <x:v>Dataset/sample 2: We conducted primary experiments on a dataset of 220,000 pairs of image–report chest X-ray images and performed validation across 8 external datasets encompassing 34 types of chest pathology. | External validation 2: Independent/external or cross-site validation is explicitly reported. | Annotation quality 1: Clinical-expert annotation or reference assessment is reported, but consensus/adjudication is unclear. | Explanation faithfulness 1: A proxy or qualitative concept/explanation assessment is reported, but not a direct quantitative faithfulness test. | Robustness/stability 2: Systematic robustness, stability, external generalisation, adversarial, or OOD evaluation is reported. | Clinical usability 1: Expert plausibility/comparison is reported, but clinical utility outcomes are not established.</x:v>
      </x:c>
      <x:c r="V7" s="1141" t="str">
        <x:v>Moderate — complete scholarly-record abstract</x:v>
      </x:c>
      <x:c r="W7" s="1141" t="str">
        <x:v>https://www.nature.com/articles/s41551-025-01574-7</x:v>
      </x:c>
    </x:row>
    <x:row r="8" ht="88.5" customHeight="1">
      <x:c r="A8" s="1143" t="str">
        <x:v>PM-004</x:v>
      </x:c>
      <x:c r="B8" s="1141" t="str">
        <x:v>An Interpretable and Accurate Deep-Learning Diagnosis Framework Modeled With Fully and Semi-Supervised Reciprocal Learning — Wang C, Chen Y, Liu F, Elliott M, Kwok CF, Pena-Solorzano C, Frazer H, McCarthy DJ, Carneiro G. (2024)</x:v>
      </x:c>
      <x:c r="C8" s="1141" t="str">
        <x:v>Direct retinal/ophthalmic evidence</x:v>
      </x:c>
      <x:c r="D8" s="1141" t="str">
        <x:v>Journal article</x:v>
      </x:c>
      <x:c r="E8" s="1143" t="str">
        <x:v>NR</x:v>
      </x:c>
      <x:c r="F8" s="1143" t="str">
        <x:v>NR</x:v>
      </x:c>
      <x:c r="G8" s="1143" t="str">
        <x:v>NR</x:v>
      </x:c>
      <x:c r="H8" s="1143" t="n">
        <x:v>0</x:v>
      </x:c>
      <x:c r="I8" s="1143" t="str">
        <x:v>NR</x:v>
      </x:c>
      <x:c r="J8" s="1143" t="str">
        <x:v>NR</x:v>
      </x:c>
      <x:c r="K8" s="1143" t="n">
        <x:v>1</x:v>
      </x:c>
      <x:c r="L8" s="1143" t="str">
        <x:v>NR</x:v>
      </x:c>
      <x:c r="M8" s="1143" t="str">
        <x:v>NR</x:v>
      </x:c>
      <x:c r="N8" s="1143" t="n">
        <x:f>COUNT(E8:M8)</x:f>
        <x:v>2</x:v>
      </x:c>
      <x:c r="O8" s="1143" t="n">
        <x:f>SUM(E8:M8)</x:f>
        <x:v>1</x:v>
      </x:c>
      <x:c r="P8" s="1143" t="n">
        <x:f>N8*2</x:f>
        <x:v>4</x:v>
      </x:c>
      <x:c r="Q8" s="1145" t="n">
        <x:f>IF(P8=0,"",O8/P8)</x:f>
        <x:v>0.25</x:v>
      </x:c>
      <x:c r="R8" s="1145" t="n">
        <x:f>N8/9</x:f>
        <x:v>0.2222222222222222</x:v>
      </x:c>
      <x:c r="S8" s="1143" t="str">
        <x:f>IF(N8&lt;2,"Insufficiently reported",IF(AND(R8&gt;=0.67,Q8&gt;=0.75),"Higher strength on available evidence",IF(AND(R8&gt;=0.44,Q8&gt;=0.5),"Moderate strength / some concerns","Low strength or major reporting gaps")))</x:f>
        <x:v>Low strength or major reporting gaps</x:v>
      </x:c>
      <x:c r="T8" s="1143" t="str">
        <x:f>IF(COUNT(F8:H8)&lt;2,"Unclear — insufficient reporting",IF(COUNTIF(F8:H8,0)&gt;0,"High concern on available evidence",IF(AND(F8=2,G8=2,H8=2),"Lower concern on available evidence","Some concerns on available evidence")))</x:f>
        <x:v>Unclear — insufficient reporting</x:v>
      </x:c>
      <x:c r="U8" s="1141" t="str">
        <x:v>Annotation quality 0: Weak or pseudo labels are reported without an explicit expert-quality process in the abstract. | Explanation faithfulness 1: A proxy or qualitative concept/explanation assessment is reported, but not a direct quantitative faithfulness test.</x:v>
      </x:c>
      <x:c r="V8" s="1141" t="str">
        <x:v>Moderate — complete scholarly-record abstract</x:v>
      </x:c>
      <x:c r="W8" s="1141" t="str">
        <x:v>https://ieeexplore.ieee.org/document/10225391/</x:v>
      </x:c>
    </x:row>
    <x:row r="9" ht="88.5" customHeight="1">
      <x:c r="A9" s="1143" t="str">
        <x:v>PM-005</x:v>
      </x:c>
      <x:c r="B9" s="1141" t="str">
        <x:v>Concept-based AI interpretability in physiological time-series data: Example of abnormality detection in electroencephalography — Brenner A, Knispel F, Fischer FP, Rossmanith P, Weber Y, Koch H, Röhrig R, Varghese J, Kutafina E. (2024)</x:v>
      </x:c>
      <x:c r="C9" s="1141" t="str">
        <x:v>Contextual medical concept-XAI evidence</x:v>
      </x:c>
      <x:c r="D9" s="1141" t="str">
        <x:v>Journal article</x:v>
      </x:c>
      <x:c r="E9" s="1143" t="str">
        <x:v>NR</x:v>
      </x:c>
      <x:c r="F9" s="1143" t="str">
        <x:v>NR</x:v>
      </x:c>
      <x:c r="G9" s="1143" t="str">
        <x:v>NR</x:v>
      </x:c>
      <x:c r="H9" s="1143" t="str">
        <x:v>NR</x:v>
      </x:c>
      <x:c r="I9" s="1143" t="str">
        <x:v>NR</x:v>
      </x:c>
      <x:c r="J9" s="1143" t="str">
        <x:v>NR</x:v>
      </x:c>
      <x:c r="K9" s="1143" t="n">
        <x:v>1</x:v>
      </x:c>
      <x:c r="L9" s="1143" t="n">
        <x:v>1</x:v>
      </x:c>
      <x:c r="M9" s="1143" t="str">
        <x:v>NR</x:v>
      </x:c>
      <x:c r="N9" s="1143" t="n">
        <x:f>COUNT(E9:M9)</x:f>
        <x:v>2</x:v>
      </x:c>
      <x:c r="O9" s="1143" t="n">
        <x:f>SUM(E9:M9)</x:f>
        <x:v>2</x:v>
      </x:c>
      <x:c r="P9" s="1143" t="n">
        <x:f>N9*2</x:f>
        <x:v>4</x:v>
      </x:c>
      <x:c r="Q9" s="1145" t="n">
        <x:f>IF(P9=0,"",O9/P9)</x:f>
        <x:v>0.5</x:v>
      </x:c>
      <x:c r="R9" s="1145" t="n">
        <x:f>N9/9</x:f>
        <x:v>0.2222222222222222</x:v>
      </x:c>
      <x:c r="S9" s="1143" t="str">
        <x:f>IF(N9&lt;2,"Insufficiently reported",IF(AND(R9&gt;=0.67,Q9&gt;=0.75),"Higher strength on available evidence",IF(AND(R9&gt;=0.44,Q9&gt;=0.5),"Moderate strength / some concerns","Low strength or major reporting gaps")))</x:f>
        <x:v>Low strength or major reporting gaps</x:v>
      </x:c>
      <x:c r="T9" s="1143" t="str">
        <x:f>IF(COUNT(F9:H9)&lt;2,"Unclear — insufficient reporting",IF(COUNTIF(F9:H9,0)&gt;0,"High concern on available evidence",IF(AND(F9=2,G9=2,H9=2),"Lower concern on available evidence","Some concerns on available evidence")))</x:f>
        <x:v>Unclear — insufficient reporting</x:v>
      </x:c>
      <x:c r="U9" s="1141" t="str">
        <x:v>Explanation faithfulness 1: A proxy or qualitative concept/explanation assessment is reported, but not a direct quantitative faithfulness test. | Robustness/stability 1: Limited robustness/generalisation or sensitivity evidence is reported.</x:v>
      </x:c>
      <x:c r="V9" s="1141" t="str">
        <x:v>Moderate — complete scholarly-record abstract</x:v>
      </x:c>
      <x:c r="W9" s="1141" t="str">
        <x:v>https://www.sciencedirect.com/science/article/pii/S0169260724004413</x:v>
      </x:c>
    </x:row>
    <x:row r="10" ht="88.5" customHeight="1">
      <x:c r="A10" s="1143" t="str">
        <x:v>PM-007</x:v>
      </x:c>
      <x:c r="B10" s="1141" t="str">
        <x:v>Robust and Interpretable Convolutional Neural Networks to Detect Glaucoma in Optical Coherence Tomography Images — Thakoor KA, Koorathota SC, Hood DC, Sajda P. (2021)</x:v>
      </x:c>
      <x:c r="C10" s="1141" t="str">
        <x:v>Direct retinal/ophthalmic evidence</x:v>
      </x:c>
      <x:c r="D10" s="1141" t="str">
        <x:v>Journal article</x:v>
      </x:c>
      <x:c r="E10" s="1143" t="str">
        <x:v>NR</x:v>
      </x:c>
      <x:c r="F10" s="1143" t="str">
        <x:v>NR</x:v>
      </x:c>
      <x:c r="G10" s="1143" t="str">
        <x:v>NR</x:v>
      </x:c>
      <x:c r="H10" s="1143" t="n">
        <x:v>1</x:v>
      </x:c>
      <x:c r="I10" s="1143" t="n">
        <x:v>2</x:v>
      </x:c>
      <x:c r="J10" s="1143" t="str">
        <x:v>NR</x:v>
      </x:c>
      <x:c r="K10" s="1143" t="n">
        <x:v>1</x:v>
      </x:c>
      <x:c r="L10" s="1143" t="n">
        <x:v>1</x:v>
      </x:c>
      <x:c r="M10" s="1143" t="n">
        <x:v>2</x:v>
      </x:c>
      <x:c r="N10" s="1143" t="n">
        <x:f>COUNT(E10:M10)</x:f>
        <x:v>5</x:v>
      </x:c>
      <x:c r="O10" s="1143" t="n">
        <x:f>SUM(E10:M10)</x:f>
        <x:v>7</x:v>
      </x:c>
      <x:c r="P10" s="1143" t="n">
        <x:f>N10*2</x:f>
        <x:v>10</x:v>
      </x:c>
      <x:c r="Q10" s="1145" t="n">
        <x:f>IF(P10=0,"",O10/P10)</x:f>
        <x:v>0.7</x:v>
      </x:c>
      <x:c r="R10" s="1145" t="n">
        <x:f>N10/9</x:f>
        <x:v>0.5555555555555556</x:v>
      </x:c>
      <x:c r="S10" s="1143" t="str">
        <x:f>IF(N10&lt;2,"Insufficiently reported",IF(AND(R10&gt;=0.67,Q10&gt;=0.75),"Higher strength on available evidence",IF(AND(R10&gt;=0.44,Q10&gt;=0.5),"Moderate strength / some concerns","Low strength or major reporting gaps")))</x:f>
        <x:v>Moderate strength / some concerns</x:v>
      </x:c>
      <x:c r="T10" s="1143" t="str">
        <x:f>IF(COUNT(F10:H10)&lt;2,"Unclear — insufficient reporting",IF(COUNTIF(F10:H10,0)&gt;0,"High concern on available evidence",IF(AND(F10=2,G10=2,H10=2),"Lower concern on available evidence","Some concerns on available evidence")))</x:f>
        <x:v>Unclear — insufficient reporting</x:v>
      </x:c>
      <x:c r="U10" s="1141" t="str">
        <x:v>Annotation quality 1: Clinical-expert annotation or reference assessment is reported, but consensus/adjudication is unclear. | Ophthalmologist involvement 2: Direct ophthalmologist/clinical-expert annotation, assessment, or eye-tracking involvement is reported. | Explanation faithfulness 1: A proxy or qualitative concept/explanation assessment is reported, but not a direct quantitative faithfulness test. | Robustness/stability 1: Limited robustness/generalisation or sensitivity evidence is reported. | Clinical usability 2: Task-based clinician/reader, eye-tracking, decision, calibration, or time outcome is reported.</x:v>
      </x:c>
      <x:c r="V10" s="1141" t="str">
        <x:v>Moderate — complete scholarly-record abstract</x:v>
      </x:c>
      <x:c r="W10" s="1141" t="str">
        <x:v>https://doi.org/10.1109/TBME.2020.3043215</x:v>
      </x:c>
    </x:row>
    <x:row r="11" ht="88.5" customHeight="1">
      <x:c r="A11" s="1143" t="str">
        <x:v>PM-008</x:v>
      </x:c>
      <x:c r="B11" s="1141" t="str">
        <x:v>Neurosymbolic AI Framework for Explainable Retinal Disease Classification From OCT Images — Miladinovic A, Biscontin A, Ajcevic M, Kresevic S, Accardo A, Tognetto D, Inferrera L. (2026)</x:v>
      </x:c>
      <x:c r="C11" s="1141" t="str">
        <x:v>Direct retinal/ophthalmic evidence</x:v>
      </x:c>
      <x:c r="D11" s="1141" t="str">
        <x:v>Journal article</x:v>
      </x:c>
      <x:c r="E11" s="1143" t="n">
        <x:v>2</x:v>
      </x:c>
      <x:c r="F11" s="1143" t="n">
        <x:v>2</x:v>
      </x:c>
      <x:c r="G11" s="1143" t="str">
        <x:v>NR</x:v>
      </x:c>
      <x:c r="H11" s="1143" t="str">
        <x:v>NR</x:v>
      </x:c>
      <x:c r="I11" s="1143" t="str">
        <x:v>NR</x:v>
      </x:c>
      <x:c r="J11" s="1143" t="str">
        <x:v>NR</x:v>
      </x:c>
      <x:c r="K11" s="1143" t="n">
        <x:v>1</x:v>
      </x:c>
      <x:c r="L11" s="1143" t="str">
        <x:v>NR</x:v>
      </x:c>
      <x:c r="M11" s="1143" t="str">
        <x:v>NR</x:v>
      </x:c>
      <x:c r="N11" s="1143" t="n">
        <x:f>COUNT(E11:M11)</x:f>
        <x:v>3</x:v>
      </x:c>
      <x:c r="O11" s="1143" t="n">
        <x:f>SUM(E11:M11)</x:f>
        <x:v>5</x:v>
      </x:c>
      <x:c r="P11" s="1143" t="n">
        <x:f>N11*2</x:f>
        <x:v>6</x:v>
      </x:c>
      <x:c r="Q11" s="1145" t="n">
        <x:f>IF(P11=0,"",O11/P11)</x:f>
        <x:v>0.8333333333333334</x:v>
      </x:c>
      <x:c r="R11" s="1145" t="n">
        <x:f>N11/9</x:f>
        <x:v>0.3333333333333333</x:v>
      </x:c>
      <x:c r="S11" s="1143" t="str">
        <x:f>IF(N11&lt;2,"Insufficiently reported",IF(AND(R11&gt;=0.67,Q11&gt;=0.75),"Higher strength on available evidence",IF(AND(R11&gt;=0.44,Q11&gt;=0.5),"Moderate strength / some concerns","Low strength or major reporting gaps")))</x:f>
        <x:v>Low strength or major reporting gaps</x:v>
      </x:c>
      <x:c r="T11" s="1143" t="str">
        <x:f>IF(COUNT(F11:H11)&lt;2,"Unclear — insufficient reporting",IF(COUNTIF(F11:H11,0)&gt;0,"High concern on available evidence",IF(AND(F11=2,G11=2,H11=2),"Lower concern on available evidence","Some concerns on available evidence")))</x:f>
        <x:v>Unclear — insufficient reporting</x:v>
      </x:c>
      <x:c r="U11" s="1141" t="str">
        <x:v>Dataset/sample 2: A total of 10,846 optical coherence tomography images were retrospectively collected and categorized into seven diagnostic classes: dry AMD, wet AMD, epiretinal membrane, full-thickness MH, lamellar MH, central serous chorioretinopathy, and healthy retinas. | External validation 2: Independent/external or cross-site validation is explicitly reported. | Explanation faithfulness 1: A proxy or qualitative concept/explanation assessment is reported, but not a direct quantitative faithfulness test.</x:v>
      </x:c>
      <x:c r="V11" s="1141" t="str">
        <x:v>Moderate — complete scholarly-record abstract</x:v>
      </x:c>
      <x:c r="W11" s="1141" t="str">
        <x:v>https://tvst.arvojournals.org/article.aspx?articleid=2811318</x:v>
      </x:c>
    </x:row>
    <x:row r="12" ht="88.5" customHeight="1">
      <x:c r="A12" s="1143" t="str">
        <x:v>PM-009</x:v>
      </x:c>
      <x:c r="B12" s="1141" t="str">
        <x:v>Grounded report generation for enhancing ophthalmic ultrasound interpretation using Vision-Language Segmentation models — Jin K, Sun Q, Kang D, Luo Z, Yu T, Han W, Zhang Y, Wang M, Shi D, Grzybowski A. (2026)</x:v>
      </x:c>
      <x:c r="C12" s="1141" t="str">
        <x:v>Direct retinal/ophthalmic evidence</x:v>
      </x:c>
      <x:c r="D12" s="1141" t="str">
        <x:v>Journal article</x:v>
      </x:c>
      <x:c r="E12" s="1143" t="n">
        <x:v>1</x:v>
      </x:c>
      <x:c r="F12" s="1143" t="n">
        <x:v>1</x:v>
      </x:c>
      <x:c r="G12" s="1143" t="str">
        <x:v>NR</x:v>
      </x:c>
      <x:c r="H12" s="1143" t="n">
        <x:v>1</x:v>
      </x:c>
      <x:c r="I12" s="1143" t="n">
        <x:v>1</x:v>
      </x:c>
      <x:c r="J12" s="1143" t="str">
        <x:v>NR</x:v>
      </x:c>
      <x:c r="K12" s="1143" t="n">
        <x:v>1</x:v>
      </x:c>
      <x:c r="L12" s="1143" t="str">
        <x:v>NR</x:v>
      </x:c>
      <x:c r="M12" s="1143" t="str">
        <x:v>NR</x:v>
      </x:c>
      <x:c r="N12" s="1143" t="n">
        <x:f>COUNT(E12:M12)</x:f>
        <x:v>5</x:v>
      </x:c>
      <x:c r="O12" s="1143" t="n">
        <x:f>SUM(E12:M12)</x:f>
        <x:v>5</x:v>
      </x:c>
      <x:c r="P12" s="1143" t="n">
        <x:f>N12*2</x:f>
        <x:v>10</x:v>
      </x:c>
      <x:c r="Q12" s="1145" t="n">
        <x:f>IF(P12=0,"",O12/P12)</x:f>
        <x:v>0.5</x:v>
      </x:c>
      <x:c r="R12" s="1145" t="n">
        <x:f>N12/9</x:f>
        <x:v>0.5555555555555556</x:v>
      </x:c>
      <x:c r="S12" s="1143" t="str">
        <x:f>IF(N12&lt;2,"Insufficiently reported",IF(AND(R12&gt;=0.67,Q12&gt;=0.75),"Higher strength on available evidence",IF(AND(R12&gt;=0.44,Q12&gt;=0.5),"Moderate strength / some concerns","Low strength or major reporting gaps")))</x:f>
        <x:v>Moderate strength / some concerns</x:v>
      </x:c>
      <x:c r="T12" s="1143" t="str">
        <x:f>IF(COUNT(F12:H12)&lt;2,"Unclear — insufficient reporting",IF(COUNTIF(F12:H12,0)&gt;0,"High concern on available evidence",IF(AND(F12=2,G12=2,H12=2),"Lower concern on available evidence","Some concerns on available evidence")))</x:f>
        <x:v>Some concerns on available evidence</x:v>
      </x:c>
      <x:c r="U12" s="1141" t="str">
        <x:v>Dataset/sample 1: Using data from three hospitals, totaling 64,098 images and 21,355 reports, the VLS model achieved a BLEU4 score of 66.37 in internal test set, and 85.36 and 73.77 in external test sets. | External validation 1: Internal held-out, cross-validation, or multi-dataset evaluation is reported, but institutional independence is unclear.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12" s="1141" t="str">
        <x:v>Moderate — complete scholarly-record abstract</x:v>
      </x:c>
      <x:c r="W12" s="1141" t="str">
        <x:v>https://www.nature.com/articles/s41746-025-02300-y</x:v>
      </x:c>
    </x:row>
    <x:row r="13" ht="88.5" customHeight="1">
      <x:c r="A13" s="1143" t="str">
        <x:v>PM-012</x:v>
      </x:c>
      <x:c r="B13" s="1141" t="str">
        <x:v>Cross- and Intra-Image Prototypical Learning for Multi-Label Disease Diagnosis and Interpretation — Wang C, Liu F, Chen Y, Frazer H, Carneiro G. (2025)</x:v>
      </x:c>
      <x:c r="C13" s="1141" t="str">
        <x:v>Contextual medical concept-XAI evidence</x:v>
      </x:c>
      <x:c r="D13" s="1141" t="str">
        <x:v>Other/unclear report type</x:v>
      </x:c>
      <x:c r="E13" s="1143" t="n">
        <x:v>1</x:v>
      </x:c>
      <x:c r="F13" s="1143" t="str">
        <x:v>NR</x:v>
      </x:c>
      <x:c r="G13" s="1143" t="str">
        <x:v>NR</x:v>
      </x:c>
      <x:c r="H13" s="1143" t="str">
        <x:v>NR</x:v>
      </x:c>
      <x:c r="I13" s="1143" t="str">
        <x:v>NR</x:v>
      </x:c>
      <x:c r="J13" s="1143" t="str">
        <x:v>NR</x:v>
      </x:c>
      <x:c r="K13" s="1143" t="n">
        <x:v>1</x:v>
      </x:c>
      <x:c r="L13" s="1143" t="n">
        <x:v>1</x:v>
      </x:c>
      <x:c r="M13" s="1143" t="str">
        <x:v>NR</x:v>
      </x:c>
      <x:c r="N13" s="1143" t="n">
        <x:f>COUNT(E13:M13)</x:f>
        <x:v>3</x:v>
      </x:c>
      <x:c r="O13" s="1143" t="n">
        <x:f>SUM(E13:M13)</x:f>
        <x:v>3</x:v>
      </x:c>
      <x:c r="P13" s="1143" t="n">
        <x:f>N13*2</x:f>
        <x:v>6</x:v>
      </x:c>
      <x:c r="Q13" s="1145" t="n">
        <x:f>IF(P13=0,"",O13/P13)</x:f>
        <x:v>0.5</x:v>
      </x:c>
      <x:c r="R13" s="1145" t="n">
        <x:f>N13/9</x:f>
        <x:v>0.3333333333333333</x:v>
      </x:c>
      <x:c r="S13" s="1143" t="str">
        <x:f>IF(N13&lt;2,"Insufficiently reported",IF(AND(R13&gt;=0.67,Q13&gt;=0.75),"Higher strength on available evidence",IF(AND(R13&gt;=0.44,Q13&gt;=0.5),"Moderate strength / some concerns","Low strength or major reporting gaps")))</x:f>
        <x:v>Low strength or major reporting gaps</x:v>
      </x:c>
      <x:c r="T13" s="1143" t="str">
        <x:f>IF(COUNT(F13:H13)&lt;2,"Unclear — insufficient reporting",IF(COUNTIF(F13:H13,0)&gt;0,"High concern on available evidence",IF(AND(F13=2,G13=2,H13=2),"Lower concern on available evidence","Some concerns on available evidence")))</x:f>
        <x:v>Unclear — insufficient reporting</x:v>
      </x:c>
      <x:c r="U13" s="1141" t="str">
        <x:v>Dataset/sample 1: Extensive experiments show that our CIPL attains the state-of-the-art (SOTA) classification accuracy in two public multi-label benchmarks of disease diagnosis: thoracic radiography and fundus images. | Explanation faithfulness 1: A proxy or qualitative concept/explanation assessment is reported, but not a direct quantitative faithfulness test. | Robustness/stability 1: Limited robustness/generalisation or sensitivity evidence is reported.</x:v>
      </x:c>
      <x:c r="V13" s="1141" t="str">
        <x:v>Moderate — complete scholarly-record abstract</x:v>
      </x:c>
      <x:c r="W13" s="1141" t="str">
        <x:v>https://ieeexplore.ieee.org/iel8/42/4359023/10887396.pdf</x:v>
      </x:c>
    </x:row>
    <x:row r="14" ht="88.5" customHeight="1">
      <x:c r="A14" s="1143" t="str">
        <x:v>PM-016</x:v>
      </x:c>
      <x:c r="B14" s="1141" t="str">
        <x:v>An Explainable AI Framework for Corneal Imaging Interpretation and Refractive Surgery Decision Support — Wang MH. (2025)</x:v>
      </x:c>
      <x:c r="C14" s="1141" t="str">
        <x:v>Contextual medical concept-XAI evidence</x:v>
      </x:c>
      <x:c r="D14" s="1141" t="str">
        <x:v>Other/unclear report type</x:v>
      </x:c>
      <x:c r="E14" s="1143" t="n">
        <x:v>1</x:v>
      </x:c>
      <x:c r="F14" s="1143" t="str">
        <x:v>NR</x:v>
      </x:c>
      <x:c r="G14" s="1143" t="str">
        <x:v>NR</x:v>
      </x:c>
      <x:c r="H14" s="1143" t="str">
        <x:v>NR</x:v>
      </x:c>
      <x:c r="I14" s="1143" t="str">
        <x:v>NR</x:v>
      </x:c>
      <x:c r="J14" s="1143" t="str">
        <x:v>NR</x:v>
      </x:c>
      <x:c r="K14" s="1143" t="str">
        <x:v>NR</x:v>
      </x:c>
      <x:c r="L14" s="1143" t="str">
        <x:v>NR</x:v>
      </x:c>
      <x:c r="M14" s="1143" t="str">
        <x:v>NR</x:v>
      </x:c>
      <x:c r="N14" s="1143" t="n">
        <x:f>COUNT(E14:M14)</x:f>
        <x:v>1</x:v>
      </x:c>
      <x:c r="O14" s="1143" t="n">
        <x:f>SUM(E14:M14)</x:f>
        <x:v>1</x:v>
      </x:c>
      <x:c r="P14" s="1143" t="n">
        <x:f>N14*2</x:f>
        <x:v>2</x:v>
      </x:c>
      <x:c r="Q14" s="1145" t="n">
        <x:f>IF(P14=0,"",O14/P14)</x:f>
        <x:v>0.5</x:v>
      </x:c>
      <x:c r="R14" s="1145" t="n">
        <x:f>N14/9</x:f>
        <x:v>0.1111111111111111</x:v>
      </x:c>
      <x:c r="S14" s="1143" t="str">
        <x:f>IF(N14&lt;2,"Insufficiently reported",IF(AND(R14&gt;=0.67,Q14&gt;=0.75),"Higher strength on available evidence",IF(AND(R14&gt;=0.44,Q14&gt;=0.5),"Moderate strength / some concerns","Low strength or major reporting gaps")))</x:f>
        <x:v>Insufficiently reported</x:v>
      </x:c>
      <x:c r="T14" s="1143" t="str">
        <x:f>IF(COUNT(F14:H14)&lt;2,"Unclear — insufficient reporting",IF(COUNTIF(F14:H14,0)&gt;0,"High concern on available evidence",IF(AND(F14=2,G14=2,H14=2),"Lower concern on available evidence","Some concerns on available evidence")))</x:f>
        <x:v>Unclear — insufficient reporting</x:v>
      </x:c>
      <x:c r="U14" s="1141" t="str">
        <x:v>Dataset/sample 1: In a prospective cohort of 20 eyes, comprehensive IOLMaster 700 reports were analyzed through a four-stage pipeline: (1) automated extraction of key parameters—including corneal curvature, pachymetry, and axial biometry; (2) mapping of these quantitative features onto a curated corneal disease and refractive-surgery knowledge graph; (3) Bayesian probabilistic inference to evaluate early keratoconus and surgical eligibility; and (4) explainable multi-model LLM reporting, employing DeepSeek and GPT-4.0, to generate bilingual physician- and patient-facing narratives.</x:v>
      </x:c>
      <x:c r="V14" s="1141" t="str">
        <x:v>Moderate — complete scholarly-record abstract</x:v>
      </x:c>
      <x:c r="W14" s="1141" t="str">
        <x:v>https://www.mdpi.com/2306-5354/12/11/1174</x:v>
      </x:c>
    </x:row>
    <x:row r="15" ht="88.5" customHeight="1">
      <x:c r="A15" s="1143" t="str">
        <x:v>PM-017</x:v>
      </x:c>
      <x:c r="B15" s="1141" t="str">
        <x:v>Explainable Artificial Intelligence Framework for Predicting Treatment Outcomes in Age-Related Macular Degeneration — Wang MH. (2025)</x:v>
      </x:c>
      <x:c r="C15" s="1141" t="str">
        <x:v>Direct retinal/ophthalmic evidence</x:v>
      </x:c>
      <x:c r="D15" s="1141" t="str">
        <x:v>Other/unclear report type</x:v>
      </x:c>
      <x:c r="E15" s="1143" t="n">
        <x:v>2</x:v>
      </x:c>
      <x:c r="F15" s="1143" t="n">
        <x:v>2</x:v>
      </x:c>
      <x:c r="G15" s="1143" t="str">
        <x:v>NR</x:v>
      </x:c>
      <x:c r="H15" s="1143" t="str">
        <x:v>NR</x:v>
      </x:c>
      <x:c r="I15" s="1143" t="str">
        <x:v>NR</x:v>
      </x:c>
      <x:c r="J15" s="1143" t="str">
        <x:v>NR</x:v>
      </x:c>
      <x:c r="K15" s="1143" t="n">
        <x:v>1</x:v>
      </x:c>
      <x:c r="L15" s="1143" t="str">
        <x:v>NR</x:v>
      </x:c>
      <x:c r="M15" s="1143" t="str">
        <x:v>NR</x:v>
      </x:c>
      <x:c r="N15" s="1143" t="n">
        <x:f>COUNT(E15:M15)</x:f>
        <x:v>3</x:v>
      </x:c>
      <x:c r="O15" s="1143" t="n">
        <x:f>SUM(E15:M15)</x:f>
        <x:v>5</x:v>
      </x:c>
      <x:c r="P15" s="1143" t="n">
        <x:f>N15*2</x:f>
        <x:v>6</x:v>
      </x:c>
      <x:c r="Q15" s="1145" t="n">
        <x:f>IF(P15=0,"",O15/P15)</x:f>
        <x:v>0.8333333333333334</x:v>
      </x:c>
      <x:c r="R15" s="1145" t="n">
        <x:f>N15/9</x:f>
        <x:v>0.3333333333333333</x:v>
      </x:c>
      <x:c r="S15" s="1143" t="str">
        <x:f>IF(N15&lt;2,"Insufficiently reported",IF(AND(R15&gt;=0.67,Q15&gt;=0.75),"Higher strength on available evidence",IF(AND(R15&gt;=0.44,Q15&gt;=0.5),"Moderate strength / some concerns","Low strength or major reporting gaps")))</x:f>
        <x:v>Low strength or major reporting gaps</x:v>
      </x:c>
      <x:c r="T15" s="1143" t="str">
        <x:f>IF(COUNT(F15:H15)&lt;2,"Unclear — insufficient reporting",IF(COUNTIF(F15:H15,0)&gt;0,"High concern on available evidence",IF(AND(F15=2,G15=2,H15=2),"Lower concern on available evidence","Some concerns on available evidence")))</x:f>
        <x:v>Unclear — insufficient reporting</x:v>
      </x:c>
      <x:c r="U15" s="1141" t="str">
        <x:v>Dataset/sample 2: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 External validation 2: Independent/external or cross-site validation is explicitly reported. | Explanation faithfulness 1: A proxy or qualitative concept/explanation assessment is reported, but not a direct quantitative faithfulness test.</x:v>
      </x:c>
      <x:c r="V15" s="1141" t="str">
        <x:v>Moderate — complete scholarly-record abstract</x:v>
      </x:c>
      <x:c r="W15" s="1141" t="str">
        <x:v>https://www.mdpi.com/1424-8220/25/22/6879</x:v>
      </x:c>
    </x:row>
    <x:row r="16" ht="88.5" customHeight="1">
      <x:c r="A16" s="1143" t="str">
        <x:v>PM-018</x:v>
      </x:c>
      <x:c r="B16" s="1141" t="str">
        <x:v>Explainable neuro-symbolic artificial intelligence for automated interpretation of corneal topography and early keratoconus detection — Wang MH, Qin S. (2026)</x:v>
      </x:c>
      <x:c r="C16" s="1141" t="str">
        <x:v>Contextual medical concept-XAI evidence</x:v>
      </x:c>
      <x:c r="D16" s="1141" t="str">
        <x:v>Other/unclear report type</x:v>
      </x:c>
      <x:c r="E16" s="1143" t="n">
        <x:v>1</x:v>
      </x:c>
      <x:c r="F16" s="1143" t="str">
        <x:v>NR</x:v>
      </x:c>
      <x:c r="G16" s="1143" t="str">
        <x:v>NR</x:v>
      </x:c>
      <x:c r="H16" s="1143" t="str">
        <x:v>NR</x:v>
      </x:c>
      <x:c r="I16" s="1143" t="str">
        <x:v>NR</x:v>
      </x:c>
      <x:c r="J16" s="1143" t="str">
        <x:v>NR</x:v>
      </x:c>
      <x:c r="K16" s="1143" t="n">
        <x:v>1</x:v>
      </x:c>
      <x:c r="L16" s="1143" t="n">
        <x:v>1</x:v>
      </x:c>
      <x:c r="M16" s="1143" t="str">
        <x:v>NR</x:v>
      </x:c>
      <x:c r="N16" s="1143" t="n">
        <x:f>COUNT(E16:M16)</x:f>
        <x:v>3</x:v>
      </x:c>
      <x:c r="O16" s="1143" t="n">
        <x:f>SUM(E16:M16)</x:f>
        <x:v>3</x:v>
      </x:c>
      <x:c r="P16" s="1143" t="n">
        <x:f>N16*2</x:f>
        <x:v>6</x:v>
      </x:c>
      <x:c r="Q16" s="1145" t="n">
        <x:f>IF(P16=0,"",O16/P16)</x:f>
        <x:v>0.5</x:v>
      </x:c>
      <x:c r="R16" s="1145" t="n">
        <x:f>N16/9</x:f>
        <x:v>0.3333333333333333</x:v>
      </x:c>
      <x:c r="S16" s="1143" t="str">
        <x:f>IF(N16&lt;2,"Insufficiently reported",IF(AND(R16&gt;=0.67,Q16&gt;=0.75),"Higher strength on available evidence",IF(AND(R16&gt;=0.44,Q16&gt;=0.5),"Moderate strength / some concerns","Low strength or major reporting gaps")))</x:f>
        <x:v>Low strength or major reporting gaps</x:v>
      </x:c>
      <x:c r="T16" s="1143" t="str">
        <x:f>IF(COUNT(F16:H16)&lt;2,"Unclear — insufficient reporting",IF(COUNTIF(F16:H16,0)&gt;0,"High concern on available evidence",IF(AND(F16=2,G16=2,H16=2),"Lower concern on available evidence","Some concerns on available evidence")))</x:f>
        <x:v>Unclear — insufficient reporting</x:v>
      </x:c>
      <x:c r="U16" s="1141" t="str">
        <x:v>Dataset/sample 1: Results: In a prospective pilot cohort of 20 eyes, the proposed framework demonstrated strong diagnostic performance for early keratoconus detection, achieving an area under the receiver operating characteristic curve (AUC) of approximately 0.95. | Explanation faithfulness 1: A proxy or qualitative concept/explanation assessment is reported, but not a direct quantitative faithfulness test. | Robustness/stability 1: Limited robustness/generalisation or sensitivity evidence is reported.</x:v>
      </x:c>
      <x:c r="V16" s="1141" t="str">
        <x:v>Moderate — complete scholarly-record abstract</x:v>
      </x:c>
      <x:c r="W16" s="1141" t="str">
        <x:v>https://www.frontiersin.org/journals/artificial-intelligence/articles/10.3389/frai.2026.1713747/pdf</x:v>
      </x:c>
    </x:row>
    <x:row r="17" ht="88.5" customHeight="1">
      <x:c r="A17" s="1143" t="str">
        <x:v>PM-020</x:v>
      </x:c>
      <x:c r="B17" s="1141" t="str">
        <x:v>Compact vision language models enable efficient and interpretable optical coherence tomography through layer-specific multimodal learning — Haghighi T, Gholami S, Sokol JT, Biswas A, Lim JI, Leng T, Thompson AC, Tabkhi H, Alam MN. (2025)</x:v>
      </x:c>
      <x:c r="C17" s="1141" t="str">
        <x:v>Contextual medical concept-XAI evidence</x:v>
      </x:c>
      <x:c r="D17" s="1141" t="str">
        <x:v>Other/unclear report type</x:v>
      </x:c>
      <x:c r="E17" s="1143" t="n">
        <x:v>1</x:v>
      </x:c>
      <x:c r="F17" s="1143" t="str">
        <x:v>NR</x:v>
      </x:c>
      <x:c r="G17" s="1143" t="str">
        <x:v>NR</x:v>
      </x:c>
      <x:c r="H17" s="1143" t="n">
        <x:v>1</x:v>
      </x:c>
      <x:c r="I17" s="1143" t="n">
        <x:v>1</x:v>
      </x:c>
      <x:c r="J17" s="1143" t="str">
        <x:v>NR</x:v>
      </x:c>
      <x:c r="K17" s="1143" t="n">
        <x:v>1</x:v>
      </x:c>
      <x:c r="L17" s="1143" t="str">
        <x:v>NR</x:v>
      </x:c>
      <x:c r="M17" s="1143" t="str">
        <x:v>NR</x:v>
      </x:c>
      <x:c r="N17" s="1143" t="n">
        <x:f>COUNT(E17:M17)</x:f>
        <x:v>4</x:v>
      </x:c>
      <x:c r="O17" s="1143" t="n">
        <x:f>SUM(E17:M17)</x:f>
        <x:v>4</x:v>
      </x:c>
      <x:c r="P17" s="1143" t="n">
        <x:f>N17*2</x:f>
        <x:v>8</x:v>
      </x:c>
      <x:c r="Q17" s="1145" t="n">
        <x:f>IF(P17=0,"",O17/P17)</x:f>
        <x:v>0.5</x:v>
      </x:c>
      <x:c r="R17" s="1145" t="n">
        <x:f>N17/9</x:f>
        <x:v>0.4444444444444444</x:v>
      </x:c>
      <x:c r="S17" s="1143" t="str">
        <x:f>IF(N17&lt;2,"Insufficiently reported",IF(AND(R17&gt;=0.67,Q17&gt;=0.75),"Higher strength on available evidence",IF(AND(R17&gt;=0.44,Q17&gt;=0.5),"Moderate strength / some concerns","Low strength or major reporting gaps")))</x:f>
        <x:v>Moderate strength / some concerns</x:v>
      </x:c>
      <x:c r="T17" s="1143" t="str">
        <x:f>IF(COUNT(F17:H17)&lt;2,"Unclear — insufficient reporting",IF(COUNTIF(F17:H17,0)&gt;0,"High concern on available evidence",IF(AND(F17=2,G17=2,H17=2),"Lower concern on available evidence","Some concerns on available evidence")))</x:f>
        <x:v>Unclear — insufficient reporting</x:v>
      </x:c>
      <x:c r="U17" s="1141" t="str">
        <x:v>Dataset/sample 1: We curated a multimodal dataset of 40,000 OCT B-scans from public repositories and private clinical cohorts, each paired with expert-validated summaries spanning six conditions: diabetic macular edema, diabetic retinopathy, geographic atrophy, drusen, choroidal neovascularization, and healthy retina.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17" s="1141" t="str">
        <x:v>Moderate — complete scholarly-record abstract</x:v>
      </x:c>
      <x:c r="W17" s="1141" t="str">
        <x:v>https://www.nature.com/articles/s43856-025-01293-9</x:v>
      </x:c>
    </x:row>
    <x:row r="18" ht="88.5" customHeight="1">
      <x:c r="A18" s="1143" t="str">
        <x:v>PM-021</x:v>
      </x:c>
      <x:c r="B18" s="1141" t="str">
        <x:v>ORBIT‐AMD: Ordinal Risk, Bilateral Imaging, and Trajectory Learning for Age‐Related Macular Degeneration in Multi‐Cohorts — Cui X, Wen D, Yu-Wai-Man P, Li X. (2026)</x:v>
      </x:c>
      <x:c r="C18" s="1141" t="str">
        <x:v>Direct retinal/ophthalmic evidence</x:v>
      </x:c>
      <x:c r="D18" s="1141" t="str">
        <x:v>Other/unclear report type</x:v>
      </x:c>
      <x:c r="E18" s="1143" t="n">
        <x:v>1</x:v>
      </x:c>
      <x:c r="F18" s="1143" t="str">
        <x:v>NR</x:v>
      </x:c>
      <x:c r="G18" s="1143" t="str">
        <x:v>NR</x:v>
      </x:c>
      <x:c r="H18" s="1143" t="str">
        <x:v>NR</x:v>
      </x:c>
      <x:c r="I18" s="1143" t="str">
        <x:v>NR</x:v>
      </x:c>
      <x:c r="J18" s="1143" t="str">
        <x:v>NR</x:v>
      </x:c>
      <x:c r="K18" s="1143" t="n">
        <x:v>1</x:v>
      </x:c>
      <x:c r="L18" s="1143" t="str">
        <x:v>NR</x:v>
      </x:c>
      <x:c r="M18" s="1143" t="str">
        <x:v>NR</x:v>
      </x:c>
      <x:c r="N18" s="1143" t="n">
        <x:f>COUNT(E18:M18)</x:f>
        <x:v>2</x:v>
      </x:c>
      <x:c r="O18" s="1143" t="n">
        <x:f>SUM(E18:M18)</x:f>
        <x:v>2</x:v>
      </x:c>
      <x:c r="P18" s="1143" t="n">
        <x:f>N18*2</x:f>
        <x:v>4</x:v>
      </x:c>
      <x:c r="Q18" s="1145" t="n">
        <x:f>IF(P18=0,"",O18/P18)</x:f>
        <x:v>0.5</x:v>
      </x:c>
      <x:c r="R18" s="1145" t="n">
        <x:f>N18/9</x:f>
        <x:v>0.2222222222222222</x:v>
      </x:c>
      <x:c r="S18" s="1143" t="str">
        <x:f>IF(N18&lt;2,"Insufficiently reported",IF(AND(R18&gt;=0.67,Q18&gt;=0.75),"Higher strength on available evidence",IF(AND(R18&gt;=0.44,Q18&gt;=0.5),"Moderate strength / some concerns","Low strength or major reporting gaps")))</x:f>
        <x:v>Low strength or major reporting gaps</x:v>
      </x:c>
      <x:c r="T18" s="1143" t="str">
        <x:f>IF(COUNT(F18:H18)&lt;2,"Unclear — insufficient reporting",IF(COUNTIF(F18:H18,0)&gt;0,"High concern on available evidence",IF(AND(F18=2,G18=2,H18=2),"Lower concern on available evidence","Some concerns on available evidence")))</x:f>
        <x:v>Unclear — insufficient reporting</x:v>
      </x:c>
      <x:c r="U18" s="1141" t="str">
        <x:v>Dataset/sample 1: In a UK Biobank development/internal-testing cohort of 58 214 participants and 109 691 eyes, and an external Tianjin Medical University Eye Hospital cohort of 1996 participants and 3780 eyes, ORBIT-AMD achieved AUROC values of 0.984 internally and 0.975 externally for prevalent late-AMD detection. | Explanation faithfulness 1: A proxy or qualitative concept/explanation assessment is reported, but not a direct quantitative faithfulness test.</x:v>
      </x:c>
      <x:c r="V18" s="1141" t="str">
        <x:v>Moderate — complete scholarly-record abstract</x:v>
      </x:c>
      <x:c r="W18" s="1141" t="str">
        <x:v>https://advanced.onlinelibrary.wiley.com/doi/10.1002/advs.76361</x:v>
      </x:c>
    </x:row>
    <x:row r="19" ht="88.5" customHeight="1">
      <x:c r="A19" s="1143" t="str">
        <x:v>PM-024</x:v>
      </x:c>
      <x:c r="B19" s="1141" t="str">
        <x:v>Explainable multimodal AI and neuro-symbolic clinical decision support system for chronic eye disease management: a digital health implementation study — Wang MH, Lee SMY, Hou G, Wang Y, Alves JC, Xie R, He Y, Liu J, Fang X, Yang Y, Cai X, Zheng S, Yu Z, Lin EZ, Cheang C, Ian KK, Qin S. (2026)</x:v>
      </x:c>
      <x:c r="C19" s="1141" t="str">
        <x:v>Contextual medical concept-XAI evidence</x:v>
      </x:c>
      <x:c r="D19" s="1141" t="str">
        <x:v>Other/unclear report type</x:v>
      </x:c>
      <x:c r="E19" s="1143" t="n">
        <x:v>1</x:v>
      </x:c>
      <x:c r="F19" s="1143" t="n">
        <x:v>0</x:v>
      </x:c>
      <x:c r="G19" s="1143" t="str">
        <x:v>NR</x:v>
      </x:c>
      <x:c r="H19" s="1143" t="n">
        <x:v>1</x:v>
      </x:c>
      <x:c r="I19" s="1143" t="n">
        <x:v>1</x:v>
      </x:c>
      <x:c r="J19" s="1143" t="str">
        <x:v>NR</x:v>
      </x:c>
      <x:c r="K19" s="1143" t="n">
        <x:v>1</x:v>
      </x:c>
      <x:c r="L19" s="1143" t="str">
        <x:v>NR</x:v>
      </x:c>
      <x:c r="M19" s="1143" t="str">
        <x:v>NR</x:v>
      </x:c>
      <x:c r="N19" s="1143" t="n">
        <x:f>COUNT(E19:M19)</x:f>
        <x:v>5</x:v>
      </x:c>
      <x:c r="O19" s="1143" t="n">
        <x:f>SUM(E19:M19)</x:f>
        <x:v>4</x:v>
      </x:c>
      <x:c r="P19" s="1143" t="n">
        <x:f>N19*2</x:f>
        <x:v>10</x:v>
      </x:c>
      <x:c r="Q19" s="1145" t="n">
        <x:f>IF(P19=0,"",O19/P19)</x:f>
        <x:v>0.4</x:v>
      </x:c>
      <x:c r="R19" s="1145" t="n">
        <x:f>N19/9</x:f>
        <x:v>0.5555555555555556</x:v>
      </x:c>
      <x:c r="S19" s="1143" t="str">
        <x:f>IF(N19&lt;2,"Insufficiently reported",IF(AND(R19&gt;=0.67,Q19&gt;=0.75),"Higher strength on available evidence",IF(AND(R19&gt;=0.44,Q19&gt;=0.5),"Moderate strength / some concerns","Low strength or major reporting gaps")))</x:f>
        <x:v>Low strength or major reporting gaps</x:v>
      </x:c>
      <x:c r="T19" s="1143" t="str">
        <x:f>IF(COUNT(F19:H19)&lt;2,"Unclear — insufficient reporting",IF(COUNTIF(F19:H19,0)&gt;0,"High concern on available evidence",IF(AND(F19=2,G19=2,H19=2),"Lower concern on available evidence","Some concerns on available evidence")))</x:f>
        <x:v>High concern on available evidence</x:v>
      </x:c>
      <x:c r="U19" s="1141" t="str">
        <x:v>Dataset/sample 1: The system was applied to 24 de-identified unstructured clinical documents, including outpatient notes, operative reports, optical coherence tomography reports, and billing records. | External validation 0: Evaluation is explicitly limited to a single centre/internal setting.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19" s="1141" t="str">
        <x:v>Moderate — complete scholarly-record abstract</x:v>
      </x:c>
      <x:c r="W19" s="1141" t="str">
        <x:v>https://www.frontiersin.org/journals/digital-health/articles/10.3389/fdgth.2026.1836890/full</x:v>
      </x:c>
    </x:row>
    <x:row r="20" ht="88.5" customHeight="1">
      <x:c r="A20" s="1143" t="str">
        <x:v>IEEE-001</x:v>
      </x:c>
      <x:c r="B20" s="1141" t="str">
        <x:v>Case Based Reasoning in Retina Abnormalities Detection — A. R. Chowdhury; S. Banerjee (2019)</x:v>
      </x:c>
      <x:c r="C20" s="1141" t="str">
        <x:v>Direct retinal/ophthalmic evidence</x:v>
      </x:c>
      <x:c r="D20" s="1141" t="str">
        <x:v>Conference paper</x:v>
      </x:c>
      <x:c r="E20" s="1143" t="str">
        <x:v>NR</x:v>
      </x:c>
      <x:c r="F20" s="1143" t="str">
        <x:v>NR</x:v>
      </x:c>
      <x:c r="G20" s="1143" t="str">
        <x:v>NR</x:v>
      </x:c>
      <x:c r="H20" s="1143" t="n">
        <x:v>1</x:v>
      </x:c>
      <x:c r="I20" s="1143" t="n">
        <x:v>1</x:v>
      </x:c>
      <x:c r="J20" s="1143" t="str">
        <x:v>NR</x:v>
      </x:c>
      <x:c r="K20" s="1143" t="str">
        <x:v>NR</x:v>
      </x:c>
      <x:c r="L20" s="1143" t="str">
        <x:v>NR</x:v>
      </x:c>
      <x:c r="M20" s="1143" t="str">
        <x:v>NR</x:v>
      </x:c>
      <x:c r="N20" s="1143" t="n">
        <x:f>COUNT(E20:M20)</x:f>
        <x:v>2</x:v>
      </x:c>
      <x:c r="O20" s="1143" t="n">
        <x:f>SUM(E20:M20)</x:f>
        <x:v>2</x:v>
      </x:c>
      <x:c r="P20" s="1143" t="n">
        <x:f>N20*2</x:f>
        <x:v>4</x:v>
      </x:c>
      <x:c r="Q20" s="1145" t="n">
        <x:f>IF(P20=0,"",O20/P20)</x:f>
        <x:v>0.5</x:v>
      </x:c>
      <x:c r="R20" s="1145" t="n">
        <x:f>N20/9</x:f>
        <x:v>0.2222222222222222</x:v>
      </x:c>
      <x:c r="S20" s="1143" t="str">
        <x:f>IF(N20&lt;2,"Insufficiently reported",IF(AND(R20&gt;=0.67,Q20&gt;=0.75),"Higher strength on available evidence",IF(AND(R20&gt;=0.44,Q20&gt;=0.5),"Moderate strength / some concerns","Low strength or major reporting gaps")))</x:f>
        <x:v>Low strength or major reporting gaps</x:v>
      </x:c>
      <x:c r="T20" s="1143" t="str">
        <x:f>IF(COUNT(F20:H20)&lt;2,"Unclear — insufficient reporting",IF(COUNTIF(F20:H20,0)&gt;0,"High concern on available evidence",IF(AND(F20=2,G20=2,H20=2),"Lower concern on available evidence","Some concerns on available evidence")))</x:f>
        <x:v>Unclear — insufficient reporting</x:v>
      </x:c>
      <x:c r="U20" s="1141" t="str">
        <x:v>Annotation quality 1: Clinical-expert annotation or reference assessment is reported, but consensus/adjudication is unclear. | Ophthalmologist involvement 1: Clinical-expert involvement or comparison is mentioned, but its role is limited or incompletely described.</x:v>
      </x:c>
      <x:c r="V20" s="1141" t="str">
        <x:v>Moderate — complete scholarly-record abstract</x:v>
      </x:c>
      <x:c r="W20" s="1141" t="str">
        <x:v>https://ieeexplore.ieee.org/iel7/9018167/9036148/09036318.pdf</x:v>
      </x:c>
    </x:row>
    <x:row r="21" ht="88.5" customHeight="1">
      <x:c r="A21" s="1143" t="str">
        <x:v>IEEE-002</x:v>
      </x:c>
      <x:c r="B21" s="1141" t="str">
        <x:v>Protostage-NET: A Clinically Guided Foundation Model With Prototypical Learning for Automated Amd Grading From Oct Images — M. Elsharkawy; M. El-Melegy; A. Ali; A. Mahmoud; M. Ghazal; A. Khalil; W. Wan... (2026)</x:v>
      </x:c>
      <x:c r="C21" s="1141" t="str">
        <x:v>Direct retinal/ophthalmic evidence</x:v>
      </x:c>
      <x:c r="D21" s="1141" t="str">
        <x:v>Conference paper</x:v>
      </x:c>
      <x:c r="E21" s="1143" t="n">
        <x:v>1</x:v>
      </x:c>
      <x:c r="F21" s="1143" t="str">
        <x:v>NR</x:v>
      </x:c>
      <x:c r="G21" s="1143" t="str">
        <x:v>NR</x:v>
      </x:c>
      <x:c r="H21" s="1143" t="str">
        <x:v>NR</x:v>
      </x:c>
      <x:c r="I21" s="1143" t="str">
        <x:v>NR</x:v>
      </x:c>
      <x:c r="J21" s="1143" t="str">
        <x:v>NR</x:v>
      </x:c>
      <x:c r="K21" s="1143" t="str">
        <x:v>NR</x:v>
      </x:c>
      <x:c r="L21" s="1143" t="str">
        <x:v>NR</x:v>
      </x:c>
      <x:c r="M21" s="1143" t="str">
        <x:v>NR</x:v>
      </x:c>
      <x:c r="N21" s="1143" t="n">
        <x:f>COUNT(E21:M21)</x:f>
        <x:v>1</x:v>
      </x:c>
      <x:c r="O21" s="1143" t="n">
        <x:f>SUM(E21:M21)</x:f>
        <x:v>1</x:v>
      </x:c>
      <x:c r="P21" s="1143" t="n">
        <x:f>N21*2</x:f>
        <x:v>2</x:v>
      </x:c>
      <x:c r="Q21" s="1145" t="n">
        <x:f>IF(P21=0,"",O21/P21)</x:f>
        <x:v>0.5</x:v>
      </x:c>
      <x:c r="R21" s="1145" t="n">
        <x:f>N21/9</x:f>
        <x:v>0.1111111111111111</x:v>
      </x:c>
      <x:c r="S21" s="1143" t="str">
        <x:f>IF(N21&lt;2,"Insufficiently reported",IF(AND(R21&gt;=0.67,Q21&gt;=0.75),"Higher strength on available evidence",IF(AND(R21&gt;=0.44,Q21&gt;=0.5),"Moderate strength / some concerns","Low strength or major reporting gaps")))</x:f>
        <x:v>Insufficiently reported</x:v>
      </x:c>
      <x:c r="T21" s="1143" t="str">
        <x:f>IF(COUNT(F21:H21)&lt;2,"Unclear — insufficient reporting",IF(COUNTIF(F21:H21,0)&gt;0,"High concern on available evidence",IF(AND(F21=2,G21=2,H21=2),"Lower concern on available evidence","Some concerns on available evidence")))</x:f>
        <x:v>Unclear — insufficient reporting</x:v>
      </x:c>
      <x:c r="U21" s="1141" t="str">
        <x:v>Dataset/sample 1: We evaluate ProtoStage-Net on a cohort of 954 OCT B-scans acquired from three different imaging devices.</x:v>
      </x:c>
      <x:c r="V21" s="1141" t="str">
        <x:v>Moderate — complete scholarly-record abstract</x:v>
      </x:c>
      <x:c r="W21" s="1141" t="str">
        <x:v>https://ieeexplore.ieee.org/iel8/11515282/11515297/11515452.pdf</x:v>
      </x:c>
    </x:row>
    <x:row r="22" ht="88.5" customHeight="1">
      <x:c r="A22" s="1143" t="str">
        <x:v>IEEE-004</x:v>
      </x:c>
      <x:c r="B22" s="1141" t="str">
        <x:v>A Neuro-Symbolic Framework for Automated Glaucoma Detection using Optic Disc-Cup Segmentation and Deep Learning — T. Sangeetha; S. U; S. R. Arulprakash; S. R (2026)</x:v>
      </x:c>
      <x:c r="C22" s="1141" t="str">
        <x:v>Direct retinal/ophthalmic evidence</x:v>
      </x:c>
      <x:c r="D22" s="1141" t="str">
        <x:v>Conference paper</x:v>
      </x:c>
      <x:c r="E22" s="1143" t="n">
        <x:v>1</x:v>
      </x:c>
      <x:c r="F22" s="1143" t="str">
        <x:v>NR</x:v>
      </x:c>
      <x:c r="G22" s="1143" t="str">
        <x:v>NR</x:v>
      </x:c>
      <x:c r="H22" s="1143" t="str">
        <x:v>NR</x:v>
      </x:c>
      <x:c r="I22" s="1143" t="str">
        <x:v>NR</x:v>
      </x:c>
      <x:c r="J22" s="1143" t="str">
        <x:v>NR</x:v>
      </x:c>
      <x:c r="K22" s="1143" t="n">
        <x:v>1</x:v>
      </x:c>
      <x:c r="L22" s="1143" t="n">
        <x:v>1</x:v>
      </x:c>
      <x:c r="M22" s="1143" t="str">
        <x:v>NR</x:v>
      </x:c>
      <x:c r="N22" s="1143" t="n">
        <x:f>COUNT(E22:M22)</x:f>
        <x:v>3</x:v>
      </x:c>
      <x:c r="O22" s="1143" t="n">
        <x:f>SUM(E22:M22)</x:f>
        <x:v>3</x:v>
      </x:c>
      <x:c r="P22" s="1143" t="n">
        <x:f>N22*2</x:f>
        <x:v>6</x:v>
      </x:c>
      <x:c r="Q22" s="1145" t="n">
        <x:f>IF(P22=0,"",O22/P22)</x:f>
        <x:v>0.5</x:v>
      </x:c>
      <x:c r="R22" s="1145" t="n">
        <x:f>N22/9</x:f>
        <x:v>0.3333333333333333</x:v>
      </x:c>
      <x:c r="S22" s="1143" t="str">
        <x:f>IF(N22&lt;2,"Insufficiently reported",IF(AND(R22&gt;=0.67,Q22&gt;=0.75),"Higher strength on available evidence",IF(AND(R22&gt;=0.44,Q22&gt;=0.5),"Moderate strength / some concerns","Low strength or major reporting gaps")))</x:f>
        <x:v>Low strength or major reporting gaps</x:v>
      </x:c>
      <x:c r="T22" s="1143" t="str">
        <x:f>IF(COUNT(F22:H22)&lt;2,"Unclear — insufficient reporting",IF(COUNTIF(F22:H22,0)&gt;0,"High concern on available evidence",IF(AND(F22=2,G22=2,H22=2),"Lower concern on available evidence","Some concerns on available evidence")))</x:f>
        <x:v>Unclear — insufficient reporting</x:v>
      </x:c>
      <x:c r="U22" s="1141" t="str">
        <x:v>Dataset/sample 1: RIM-ONE, ImageNet. Meanwhile, a convolutional neural network model VGG-19 predicts images from glaucoma and provides confidence-aware predictions. | Explanation faithfulness 1: A proxy or qualitative concept/explanation assessment is reported, but not a direct quantitative faithfulness test. | Robustness/stability 1: Limited robustness/generalisation or sensitivity evidence is reported.</x:v>
      </x:c>
      <x:c r="V22" s="1141" t="str">
        <x:v>Moderate — complete scholarly-record abstract</x:v>
      </x:c>
      <x:c r="W22" s="1141" t="str">
        <x:v>https://ieeexplore.ieee.org/abstract/document/11485500/</x:v>
      </x:c>
    </x:row>
    <x:row r="23" ht="88.5" customHeight="1">
      <x:c r="A23" s="1143" t="str">
        <x:v>IEEE-007</x:v>
      </x:c>
      <x:c r="B23" s="1141" t="str">
        <x:v>Fairness-Aware Multimodal Glaucoma Detection via Neurosymbolic Learning with Differentiable Clinical Constraints — A. Ferraro; M. Iammarino; F. Pecorelli; S. Mondal; G. De Pietro (2026)</x:v>
      </x:c>
      <x:c r="C23" s="1141" t="str">
        <x:v>Direct retinal/ophthalmic evidence</x:v>
      </x:c>
      <x:c r="D23" s="1141" t="str">
        <x:v>Conference paper</x:v>
      </x:c>
      <x:c r="E23" s="1143" t="n">
        <x:v>1</x:v>
      </x:c>
      <x:c r="F23" s="1143" t="str">
        <x:v>NR</x:v>
      </x:c>
      <x:c r="G23" s="1143" t="str">
        <x:v>NR</x:v>
      </x:c>
      <x:c r="H23" s="1143" t="str">
        <x:v>NR</x:v>
      </x:c>
      <x:c r="I23" s="1143" t="str">
        <x:v>NR</x:v>
      </x:c>
      <x:c r="J23" s="1143" t="str">
        <x:v>NR</x:v>
      </x:c>
      <x:c r="K23" s="1143" t="n">
        <x:v>1</x:v>
      </x:c>
      <x:c r="L23" s="1143" t="n">
        <x:v>2</x:v>
      </x:c>
      <x:c r="M23" s="1143" t="str">
        <x:v>NR</x:v>
      </x:c>
      <x:c r="N23" s="1143" t="n">
        <x:f>COUNT(E23:M23)</x:f>
        <x:v>3</x:v>
      </x:c>
      <x:c r="O23" s="1143" t="n">
        <x:f>SUM(E23:M23)</x:f>
        <x:v>4</x:v>
      </x:c>
      <x:c r="P23" s="1143" t="n">
        <x:f>N23*2</x:f>
        <x:v>6</x:v>
      </x:c>
      <x:c r="Q23" s="1145" t="n">
        <x:f>IF(P23=0,"",O23/P23)</x:f>
        <x:v>0.6666666666666666</x:v>
      </x:c>
      <x:c r="R23" s="1145" t="n">
        <x:f>N23/9</x:f>
        <x:v>0.3333333333333333</x:v>
      </x:c>
      <x:c r="S23" s="1143" t="str">
        <x:f>IF(N23&lt;2,"Insufficiently reported",IF(AND(R23&gt;=0.67,Q23&gt;=0.75),"Higher strength on available evidence",IF(AND(R23&gt;=0.44,Q23&gt;=0.5),"Moderate strength / some concerns","Low strength or major reporting gaps")))</x:f>
        <x:v>Low strength or major reporting gaps</x:v>
      </x:c>
      <x:c r="T23" s="1143" t="str">
        <x:f>IF(COUNT(F23:H23)&lt;2,"Unclear — insufficient reporting",IF(COUNTIF(F23:H23,0)&gt;0,"High concern on available evidence",IF(AND(F23=2,G23=2,H23=2),"Lower concern on available evidence","Some concerns on available evidence")))</x:f>
        <x:v>Unclear — insufficient reporting</x:v>
      </x:c>
      <x:c r="U23" s="1141" t="str">
        <x:v>Dataset/sample 1: Experiments on the Harvard FairDomain dataset demonstrate that neurosymbolic constraints improve predictive performance, achieving an accuracy of 0.766 and F1-score of 0.732 on a representative split, while reducing race and gender disparities without explicit fairness supervision. | Explanation faithfulness 1: A proxy or qualitative concept/explanation assessment is reported, but not a direct quantitative faithfulness test. | Robustness/stability 2: Systematic robustness, stability, external generalisation, adversarial, or OOD evaluation is reported.</x:v>
      </x:c>
      <x:c r="V23" s="1141" t="str">
        <x:v>Moderate — complete scholarly-record abstract</x:v>
      </x:c>
      <x:c r="W23" s="1141" t="str">
        <x:v>https://doi.org/10.1109/MLISE70044.2026.11607573</x:v>
      </x:c>
    </x:row>
    <x:row r="24" ht="88.5" customHeight="1">
      <x:c r="A24" s="1143" t="str">
        <x:v>IEEE-013</x:v>
      </x:c>
      <x:c r="B24" s="1141" t="str">
        <x:v>ProtoD2C2: Prototype-Based Dual-Supervision, Dual-Consistency, and Dual-Contrastive Learning for OCT Fluid Segmentation — J. Liu; M. Zhang; Q. Tang; Y. Li; X. Wei; H. Zhang (2025)</x:v>
      </x:c>
      <x:c r="C24" s="1141" t="str">
        <x:v>Direct retinal/ophthalmic evidence</x:v>
      </x:c>
      <x:c r="D24" s="1141" t="str">
        <x:v>Conference paper</x:v>
      </x:c>
      <x:c r="E24" s="1143" t="n">
        <x:v>1</x:v>
      </x:c>
      <x:c r="F24" s="1143" t="str">
        <x:v>NR</x:v>
      </x:c>
      <x:c r="G24" s="1143" t="str">
        <x:v>NR</x:v>
      </x:c>
      <x:c r="H24" s="1143" t="n">
        <x:v>0</x:v>
      </x:c>
      <x:c r="I24" s="1143" t="str">
        <x:v>NR</x:v>
      </x:c>
      <x:c r="J24" s="1143" t="str">
        <x:v>NR</x:v>
      </x:c>
      <x:c r="K24" s="1143" t="n">
        <x:v>1</x:v>
      </x:c>
      <x:c r="L24" s="1143" t="str">
        <x:v>NR</x:v>
      </x:c>
      <x:c r="M24" s="1143" t="str">
        <x:v>NR</x:v>
      </x:c>
      <x:c r="N24" s="1143" t="n">
        <x:f>COUNT(E24:M24)</x:f>
        <x:v>3</x:v>
      </x:c>
      <x:c r="O24" s="1143" t="n">
        <x:f>SUM(E24:M24)</x:f>
        <x:v>2</x:v>
      </x:c>
      <x:c r="P24" s="1143" t="n">
        <x:f>N24*2</x:f>
        <x:v>6</x:v>
      </x:c>
      <x:c r="Q24" s="1145" t="n">
        <x:f>IF(P24=0,"",O24/P24)</x:f>
        <x:v>0.3333333333333333</x:v>
      </x:c>
      <x:c r="R24" s="1145" t="n">
        <x:f>N24/9</x:f>
        <x:v>0.3333333333333333</x:v>
      </x:c>
      <x:c r="S24" s="1143" t="str">
        <x:f>IF(N24&lt;2,"Insufficiently reported",IF(AND(R24&gt;=0.67,Q24&gt;=0.75),"Higher strength on available evidence",IF(AND(R24&gt;=0.44,Q24&gt;=0.5),"Moderate strength / some concerns","Low strength or major reporting gaps")))</x:f>
        <x:v>Low strength or major reporting gaps</x:v>
      </x:c>
      <x:c r="T24" s="1143" t="str">
        <x:f>IF(COUNT(F24:H24)&lt;2,"Unclear — insufficient reporting",IF(COUNTIF(F24:H24,0)&gt;0,"High concern on available evidence",IF(AND(F24=2,G24=2,H24=2),"Lower concern on available evidence","Some concerns on available evidence")))</x:f>
        <x:v>Unclear — insufficient reporting</x:v>
      </x:c>
      <x:c r="U24" s="1141" t="str">
        <x:v>Dataset/sample 1: We evaluated our method on two public OCT fluid segmentation datasets RETOUCH and AROI, demonstrating superior performance compared to state-of-theart annotation-efficient segmentation approaches. | Annotation quality 0: Weak or pseudo labels are reported without an explicit expert-quality process in the abstract. | Explanation faithfulness 1: A proxy or qualitative concept/explanation assessment is reported, but not a direct quantitative faithfulness test.</x:v>
      </x:c>
      <x:c r="V24" s="1141" t="str">
        <x:v>Moderate — complete scholarly-record abstract</x:v>
      </x:c>
      <x:c r="W24" s="1141" t="str">
        <x:v>https://doi.org/10.1109/BIBM66473.2025.11356061</x:v>
      </x:c>
    </x:row>
    <x:row r="25" ht="88.5" customHeight="1">
      <x:c r="A25" s="1143" t="str">
        <x:v>IEEE-019</x:v>
      </x:c>
      <x:c r="B25" s="1141" t="str">
        <x:v>On Interpretability of Deep Learning based Skin Lesion Classifiers using Concept Activation Vectors — A. Lucieri; M. N. Bajwa; S. Alexander Braun; M. I. Malik; A. Dengel; S. Ahmed (2020)</x:v>
      </x:c>
      <x:c r="C25" s="1141" t="str">
        <x:v>Contextual medical concept-XAI evidence</x:v>
      </x:c>
      <x:c r="D25" s="1141" t="str">
        <x:v>Conference paper</x:v>
      </x:c>
      <x:c r="E25" s="1143" t="n">
        <x:v>1</x:v>
      </x:c>
      <x:c r="F25" s="1143" t="str">
        <x:v>NR</x:v>
      </x:c>
      <x:c r="G25" s="1143" t="n">
        <x:v>1</x:v>
      </x:c>
      <x:c r="H25" s="1143" t="str">
        <x:v>NR</x:v>
      </x:c>
      <x:c r="I25" s="1143" t="str">
        <x:v>NR</x:v>
      </x:c>
      <x:c r="J25" s="1143" t="str">
        <x:v>NR</x:v>
      </x:c>
      <x:c r="K25" s="1143" t="n">
        <x:v>1</x:v>
      </x:c>
      <x:c r="L25" s="1143" t="str">
        <x:v>NR</x:v>
      </x:c>
      <x:c r="M25" s="1143" t="str">
        <x:v>NR</x:v>
      </x:c>
      <x:c r="N25" s="1143" t="n">
        <x:f>COUNT(E25:M25)</x:f>
        <x:v>3</x:v>
      </x:c>
      <x:c r="O25" s="1143" t="n">
        <x:f>SUM(E25:M25)</x:f>
        <x:v>3</x:v>
      </x:c>
      <x:c r="P25" s="1143" t="n">
        <x:f>N25*2</x:f>
        <x:v>6</x:v>
      </x:c>
      <x:c r="Q25" s="1145" t="n">
        <x:f>IF(P25=0,"",O25/P25)</x:f>
        <x:v>0.5</x:v>
      </x:c>
      <x:c r="R25" s="1145" t="n">
        <x:f>N25/9</x:f>
        <x:v>0.3333333333333333</x:v>
      </x:c>
      <x:c r="S25" s="1143" t="str">
        <x:f>IF(N25&lt;2,"Insufficiently reported",IF(AND(R25&gt;=0.67,Q25&gt;=0.75),"Higher strength on available evidence",IF(AND(R25&gt;=0.44,Q25&gt;=0.5),"Moderate strength / some concerns","Low strength or major reporting gaps")))</x:f>
        <x:v>Low strength or major reporting gaps</x:v>
      </x:c>
      <x:c r="T25" s="1143" t="str">
        <x:f>IF(COUNT(F25:H25)&lt;2,"Unclear — insufficient reporting",IF(COUNTIF(F25:H25,0)&gt;0,"High concern on available evidence",IF(AND(F25=2,G25=2,H25=2),"Lower concern on available evidence","Some concerns on available evidence")))</x:f>
        <x:v>Unclear — insufficient reporting</x:v>
      </x:c>
      <x:c r="U25" s="1141" t="str">
        <x:v>Dataset/sample 1: Two well established and publicly available skin disease datasets, PH2and derm7pt, are used for experimentation. | Patient-level split 1: A train/test, held-out, or cross-validation procedure is reported, but the split unit is unclear. | Explanation faithfulness 1: A proxy or qualitative concept/explanation assessment is reported, but not a direct quantitative faithfulness test.</x:v>
      </x:c>
      <x:c r="V25" s="1141" t="str">
        <x:v>Moderate — complete scholarly-record abstract</x:v>
      </x:c>
      <x:c r="W25" s="1141" t="str">
        <x:v>https://ieeexplore.ieee.org/document/9206946/</x:v>
      </x:c>
    </x:row>
    <x:row r="26" ht="88.5" customHeight="1">
      <x:c r="A26" s="1143" t="str">
        <x:v>GS-01-002</x:v>
      </x:c>
      <x:c r="B26" s="1141" t="str">
        <x:v>Vision-Language Models Guided Graph Concept Reasoning for Interpretable Diabetic Retinopathy Diagnosis — O Xu XLuo, ¥ Lin. Cliu Y¥Hu Jli XLyu + Proceedings af tna AAAI 2026 (2026)</x:v>
      </x:c>
      <x:c r="C26" s="1141" t="str">
        <x:v>Direct retinal/ophthalmic evidence</x:v>
      </x:c>
      <x:c r="D26" s="1141" t="str">
        <x:v>Other/unclear report type</x:v>
      </x:c>
      <x:c r="E26" s="1143" t="str">
        <x:v>NR</x:v>
      </x:c>
      <x:c r="F26" s="1143" t="str">
        <x:v>NR</x:v>
      </x:c>
      <x:c r="G26" s="1143" t="str">
        <x:v>NR</x:v>
      </x:c>
      <x:c r="H26" s="1143" t="n">
        <x:v>1</x:v>
      </x:c>
      <x:c r="I26" s="1143" t="n">
        <x:v>1</x:v>
      </x:c>
      <x:c r="J26" s="1143" t="str">
        <x:v>NR</x:v>
      </x:c>
      <x:c r="K26" s="1143" t="n">
        <x:v>1</x:v>
      </x:c>
      <x:c r="L26" s="1143" t="n">
        <x:v>1</x:v>
      </x:c>
      <x:c r="M26" s="1143" t="str">
        <x:v>NR</x:v>
      </x:c>
      <x:c r="N26" s="1143" t="n">
        <x:f>COUNT(E26:M26)</x:f>
        <x:v>4</x:v>
      </x:c>
      <x:c r="O26" s="1143" t="n">
        <x:f>SUM(E26:M26)</x:f>
        <x:v>4</x:v>
      </x:c>
      <x:c r="P26" s="1143" t="n">
        <x:f>N26*2</x:f>
        <x:v>8</x:v>
      </x:c>
      <x:c r="Q26" s="1145" t="n">
        <x:f>IF(P26=0,"",O26/P26)</x:f>
        <x:v>0.5</x:v>
      </x:c>
      <x:c r="R26" s="1145" t="n">
        <x:f>N26/9</x:f>
        <x:v>0.4444444444444444</x:v>
      </x:c>
      <x:c r="S26" s="1143" t="str">
        <x:f>IF(N26&lt;2,"Insufficiently reported",IF(AND(R26&gt;=0.67,Q26&gt;=0.75),"Higher strength on available evidence",IF(AND(R26&gt;=0.44,Q26&gt;=0.5),"Moderate strength / some concerns","Low strength or major reporting gaps")))</x:f>
        <x:v>Moderate strength / some concerns</x:v>
      </x:c>
      <x:c r="T26" s="1143" t="str">
        <x:f>IF(COUNT(F26:H26)&lt;2,"Unclear — insufficient reporting",IF(COUNTIF(F26:H26,0)&gt;0,"High concern on available evidence",IF(AND(F26=2,G26=2,H26=2),"Lower concern on available evidence","Some concerns on available evidence")))</x:f>
        <x:v>Unclear — insufficient reporting</x:v>
      </x:c>
      <x:c r="U26" s="1141" t="str">
        <x:v>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1: Limited robustness/generalisation or sensitivity evidence is reported.</x:v>
      </x:c>
      <x:c r="V26" s="1141" t="str">
        <x:v>Moderate — complete scholarly-record abstract</x:v>
      </x:c>
      <x:c r="W26" s="1141" t="str">
        <x:v>https://ojs.aaai.org/index.php/AAAI/article/view/39948/43909</x:v>
      </x:c>
    </x:row>
    <x:row r="27" ht="88.5" customHeight="1">
      <x:c r="A27" s="1143" t="str">
        <x:v>GS-01-005</x:v>
      </x:c>
      <x:c r="B27" s="1141" t="str">
        <x:v>Mitigating domain shift in concept bottleneck models for diabetic retinopathy grading via learnable concept projection — Yea ELee- Medical Imaging 2926 tage Perceptian §«—-2126</x:v>
      </x:c>
      <x:c r="C27" s="1141" t="str">
        <x:v>Direct retinal/ophthalmic evidence</x:v>
      </x:c>
      <x:c r="D27" s="1141" t="str">
        <x:v>Other/unclear report type</x:v>
      </x:c>
      <x:c r="E27" s="1143" t="n">
        <x:v>1</x:v>
      </x:c>
      <x:c r="F27" s="1143" t="str">
        <x:v>NR</x:v>
      </x:c>
      <x:c r="G27" s="1143" t="str">
        <x:v>NR</x:v>
      </x:c>
      <x:c r="H27" s="1143" t="n">
        <x:v>1</x:v>
      </x:c>
      <x:c r="I27" s="1143" t="n">
        <x:v>1</x:v>
      </x:c>
      <x:c r="J27" s="1143" t="str">
        <x:v>NR</x:v>
      </x:c>
      <x:c r="K27" s="1143" t="n">
        <x:v>1</x:v>
      </x:c>
      <x:c r="L27" s="1143" t="n">
        <x:v>2</x:v>
      </x:c>
      <x:c r="M27" s="1143" t="str">
        <x:v>NR</x:v>
      </x:c>
      <x:c r="N27" s="1143" t="n">
        <x:f>COUNT(E27:M27)</x:f>
        <x:v>5</x:v>
      </x:c>
      <x:c r="O27" s="1143" t="n">
        <x:f>SUM(E27:M27)</x:f>
        <x:v>6</x:v>
      </x:c>
      <x:c r="P27" s="1143" t="n">
        <x:f>N27*2</x:f>
        <x:v>10</x:v>
      </x:c>
      <x:c r="Q27" s="1145" t="n">
        <x:f>IF(P27=0,"",O27/P27)</x:f>
        <x:v>0.6</x:v>
      </x:c>
      <x:c r="R27" s="1145" t="n">
        <x:f>N27/9</x:f>
        <x:v>0.5555555555555556</x:v>
      </x:c>
      <x:c r="S27" s="1143" t="str">
        <x:f>IF(N27&lt;2,"Insufficiently reported",IF(AND(R27&gt;=0.67,Q27&gt;=0.75),"Higher strength on available evidence",IF(AND(R27&gt;=0.44,Q27&gt;=0.5),"Moderate strength / some concerns","Low strength or major reporting gaps")))</x:f>
        <x:v>Moderate strength / some concerns</x:v>
      </x:c>
      <x:c r="T27" s="1143" t="str">
        <x:f>IF(COUNT(F27:H27)&lt;2,"Unclear — insufficient reporting",IF(COUNTIF(F27:H27,0)&gt;0,"High concern on available evidence",IF(AND(F27=2,G27=2,H27=2),"Lower concern on available evidence","Some concerns on available evidence")))</x:f>
        <x:v>Unclear — insufficient reporting</x:v>
      </x:c>
      <x:c r="U27" s="1141" t="str">
        <x:v>Dataset/sample 1: APTOS, Messidor-2, FGADR, DDR. This projector realigns backbone features with frozen concept prototypes when a new hospital domain arrives with as few as 10 labeled images per grade.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2: Systematic robustness, stability, external generalisation, adversarial, or OOD evaluation is reported.</x:v>
      </x:c>
      <x:c r="V27" s="1141" t="str">
        <x:v>Moderate — complete scholarly-record abstract</x:v>
      </x:c>
      <x:c r="W27" s="1141" t="str">
        <x:v>https://www.spiedigitallibrary.org/conference-proceedings-of-spie/13928/139280X/Mitigating-domain-shift-in-concept-bottleneck-models-for-diabetic-retinopathy/10.1117/12.3088213.full</x:v>
      </x:c>
    </x:row>
    <x:row r="28" ht="88.5" customHeight="1">
      <x:c r="A28" s="1143" t="str">
        <x:v>GS-01-006</x:v>
      </x:c>
      <x:c r="B28" s="1141" t="str">
        <x:v>Concept-Based Lesion Aware Transformer for Interpretable Retinal Disease Diagnosis — CwWer MY2 HLi Tohen (2024)</x:v>
      </x:c>
      <x:c r="C28" s="1141" t="str">
        <x:v>Direct retinal/ophthalmic evidence</x:v>
      </x:c>
      <x:c r="D28" s="1141" t="str">
        <x:v>Other/unclear report type</x:v>
      </x:c>
      <x:c r="E28" s="1143" t="str">
        <x:v>NR</x:v>
      </x:c>
      <x:c r="F28" s="1143" t="str">
        <x:v>NR</x:v>
      </x:c>
      <x:c r="G28" s="1143" t="str">
        <x:v>NR</x:v>
      </x:c>
      <x:c r="H28" s="1143" t="n">
        <x:v>1</x:v>
      </x:c>
      <x:c r="I28" s="1143" t="n">
        <x:v>1</x:v>
      </x:c>
      <x:c r="J28" s="1143" t="n">
        <x:v>2</x:v>
      </x:c>
      <x:c r="K28" s="1143" t="n">
        <x:v>2</x:v>
      </x:c>
      <x:c r="L28" s="1143" t="str">
        <x:v>NR</x:v>
      </x:c>
      <x:c r="M28" s="1143" t="str">
        <x:v>NR</x:v>
      </x:c>
      <x:c r="N28" s="1143" t="n">
        <x:f>COUNT(E28:M28)</x:f>
        <x:v>4</x:v>
      </x:c>
      <x:c r="O28" s="1143" t="n">
        <x:f>SUM(E28:M28)</x:f>
        <x:v>6</x:v>
      </x:c>
      <x:c r="P28" s="1143" t="n">
        <x:f>N28*2</x:f>
        <x:v>8</x:v>
      </x:c>
      <x:c r="Q28" s="1145" t="n">
        <x:f>IF(P28=0,"",O28/P28)</x:f>
        <x:v>0.75</x:v>
      </x:c>
      <x:c r="R28" s="1145" t="n">
        <x:f>N28/9</x:f>
        <x:v>0.4444444444444444</x:v>
      </x:c>
      <x:c r="S28" s="1143" t="str">
        <x:f>IF(N28&lt;2,"Insufficiently reported",IF(AND(R28&gt;=0.67,Q28&gt;=0.75),"Higher strength on available evidence",IF(AND(R28&gt;=0.44,Q28&gt;=0.5),"Moderate strength / some concerns","Low strength or major reporting gaps")))</x:f>
        <x:v>Moderate strength / some concerns</x:v>
      </x:c>
      <x:c r="T28" s="1143" t="str">
        <x:f>IF(COUNT(F28:H28)&lt;2,"Unclear — insufficient reporting",IF(COUNTIF(F28:H28,0)&gt;0,"High concern on available evidence",IF(AND(F28=2,G28=2,H28=2),"Lower concern on available evidence","Some concerns on available evidence")))</x:f>
        <x:v>Unclear — insufficient reporting</x:v>
      </x:c>
      <x:c r="U28" s="1141" t="str">
        <x:v>Annotation quality 1: Clinical-expert annotation or reference assessment is reported, but consensus/adjudication is unclear. | Ophthalmologist involvement 1: Clinical-expert involvement or comparison is mentioned, but its role is limited or incompletely described. | Code availability 2: Public code/repository availability is explicitly reported. | Explanation faithfulness 2: A quantitative faithfulness, intervention, perturbation, causal, fidelity, or ablation evaluation is reported.</x:v>
      </x:c>
      <x:c r="V28" s="1141" t="str">
        <x:v>Moderate — complete scholarly-record abstract</x:v>
      </x:c>
      <x:c r="W28" s="1141" t="str">
        <x:v>https://pubmed.ncbi.nlm.nih.gov/39012729/</x:v>
      </x:c>
    </x:row>
    <x:row r="29" ht="88.5" customHeight="1">
      <x:c r="A29" s="1143" t="str">
        <x:v>GS-01-007</x:v>
      </x:c>
      <x:c r="B29" s="1141" t="str">
        <x:v>AdaCBM: An Adaptive Concept Bottleneck Model for Explainable and Accurate Diagnosis — TF Chowdhury YMH Phan KLiao MSTo (2024)</x:v>
      </x:c>
      <x:c r="C29" s="1141" t="str">
        <x:v>Contextual medical concept-XAI evidence</x:v>
      </x:c>
      <x:c r="D29" s="1141" t="str">
        <x:v>Other/unclear report type</x:v>
      </x:c>
      <x:c r="E29" s="1143" t="str">
        <x:v>NR</x:v>
      </x:c>
      <x:c r="F29" s="1143" t="str">
        <x:v>NR</x:v>
      </x:c>
      <x:c r="G29" s="1143" t="str">
        <x:v>NR</x:v>
      </x:c>
      <x:c r="H29" s="1143" t="str">
        <x:v>NR</x:v>
      </x:c>
      <x:c r="I29" s="1143" t="str">
        <x:v>NR</x:v>
      </x:c>
      <x:c r="J29" s="1143" t="str">
        <x:v>NR</x:v>
      </x:c>
      <x:c r="K29" s="1143" t="n">
        <x:v>1</x:v>
      </x:c>
      <x:c r="L29" s="1143" t="str">
        <x:v>NR</x:v>
      </x:c>
      <x:c r="M29" s="1143" t="str">
        <x:v>NR</x:v>
      </x:c>
      <x:c r="N29" s="1143" t="n">
        <x:f>COUNT(E29:M29)</x:f>
        <x:v>1</x:v>
      </x:c>
      <x:c r="O29" s="1143" t="n">
        <x:f>SUM(E29:M29)</x:f>
        <x:v>1</x:v>
      </x:c>
      <x:c r="P29" s="1143" t="n">
        <x:f>N29*2</x:f>
        <x:v>2</x:v>
      </x:c>
      <x:c r="Q29" s="1145" t="n">
        <x:f>IF(P29=0,"",O29/P29)</x:f>
        <x:v>0.5</x:v>
      </x:c>
      <x:c r="R29" s="1145" t="n">
        <x:f>N29/9</x:f>
        <x:v>0.1111111111111111</x:v>
      </x:c>
      <x:c r="S29" s="1143" t="str">
        <x:f>IF(N29&lt;2,"Insufficiently reported",IF(AND(R29&gt;=0.67,Q29&gt;=0.75),"Higher strength on available evidence",IF(AND(R29&gt;=0.44,Q29&gt;=0.5),"Moderate strength / some concerns","Low strength or major reporting gaps")))</x:f>
        <x:v>Insufficiently reported</x:v>
      </x:c>
      <x:c r="T29" s="1143" t="str">
        <x:f>IF(COUNT(F29:H29)&lt;2,"Unclear — insufficient reporting",IF(COUNTIF(F29:H29,0)&gt;0,"High concern on available evidence",IF(AND(F29=2,G29=2,H29=2),"Lower concern on available evidence","Some concerns on available evidence")))</x:f>
        <x:v>Unclear — insufficient reporting</x:v>
      </x:c>
      <x:c r="U29" s="1141" t="str">
        <x:v>Explanation faithfulness 1: A proxy or qualitative concept/explanation assessment is reported, but not a direct quantitative faithfulness test.</x:v>
      </x:c>
      <x:c r="V29" s="1141" t="str">
        <x:v>Moderate — complete preprint abstract</x:v>
      </x:c>
      <x:c r="W29" s="1141" t="str">
        <x:v>https://arxiv.org/abs/2408.02001</x:v>
      </x:c>
    </x:row>
    <x:row r="30" ht="88.5" customHeight="1">
      <x:c r="A30" s="1143" t="str">
        <x:v>GS-01-008</x:v>
      </x:c>
      <x:c r="B30" s="1141" t="str">
        <x:v>MVP-CBM:Multi-layer Visual Preference-enhanced Concept Bottleneck Model for Explainable Medical Image Classification — Cyvang Kgharg ¥Liv,2He. X90 (2025)</x:v>
      </x:c>
      <x:c r="C30" s="1141" t="str">
        <x:v>Contextual medical concept-XAI evidence</x:v>
      </x:c>
      <x:c r="D30" s="1141" t="str">
        <x:v>Other/unclear report type</x:v>
      </x:c>
      <x:c r="E30" s="1143" t="str">
        <x:v>NR</x:v>
      </x:c>
      <x:c r="F30" s="1143" t="str">
        <x:v>NR</x:v>
      </x:c>
      <x:c r="G30" s="1143" t="str">
        <x:v>NR</x:v>
      </x:c>
      <x:c r="H30" s="1143" t="str">
        <x:v>NR</x:v>
      </x:c>
      <x:c r="I30" s="1143" t="str">
        <x:v>NR</x:v>
      </x:c>
      <x:c r="J30" s="1143" t="n">
        <x:v>2</x:v>
      </x:c>
      <x:c r="K30" s="1143" t="n">
        <x:v>1</x:v>
      </x:c>
      <x:c r="L30" s="1143" t="str">
        <x:v>NR</x:v>
      </x:c>
      <x:c r="M30" s="1143" t="str">
        <x:v>NR</x:v>
      </x:c>
      <x:c r="N30" s="1143" t="n">
        <x:f>COUNT(E30:M30)</x:f>
        <x:v>2</x:v>
      </x:c>
      <x:c r="O30" s="1143" t="n">
        <x:f>SUM(E30:M30)</x:f>
        <x:v>3</x:v>
      </x:c>
      <x:c r="P30" s="1143" t="n">
        <x:f>N30*2</x:f>
        <x:v>4</x:v>
      </x:c>
      <x:c r="Q30" s="1145" t="n">
        <x:f>IF(P30=0,"",O30/P30)</x:f>
        <x:v>0.75</x:v>
      </x:c>
      <x:c r="R30" s="1145" t="n">
        <x:f>N30/9</x:f>
        <x:v>0.2222222222222222</x:v>
      </x:c>
      <x:c r="S30" s="1143" t="str">
        <x:f>IF(N30&lt;2,"Insufficiently reported",IF(AND(R30&gt;=0.67,Q30&gt;=0.75),"Higher strength on available evidence",IF(AND(R30&gt;=0.44,Q30&gt;=0.5),"Moderate strength / some concerns","Low strength or major reporting gaps")))</x:f>
        <x:v>Low strength or major reporting gaps</x:v>
      </x:c>
      <x:c r="T30" s="1143" t="str">
        <x:f>IF(COUNT(F30:H30)&lt;2,"Unclear — insufficient reporting",IF(COUNTIF(F30:H30,0)&gt;0,"High concern on available evidence",IF(AND(F30=2,G30=2,H30=2),"Lower concern on available evidence","Some concerns on available evidence")))</x:f>
        <x:v>Unclear — insufficient reporting</x:v>
      </x:c>
      <x:c r="U30" s="1141" t="str">
        <x:v>Code availability 2: Public code/repository availability is explicitly reported. | Explanation faithfulness 1: A proxy or qualitative concept/explanation assessment is reported, but not a direct quantitative faithfulness test.</x:v>
      </x:c>
      <x:c r="V30" s="1141" t="str">
        <x:v>Moderate — complete preprint abstract</x:v>
      </x:c>
      <x:c r="W30" s="1141" t="str">
        <x:v>https://arxiv.org/abs/2506.12568</x:v>
      </x:c>
    </x:row>
    <x:row r="31" ht="88.5" customHeight="1">
      <x:c r="A31" s="1143" t="str">
        <x:v>GS-01-009</x:v>
      </x:c>
      <x:c r="B31" s="1141" t="str">
        <x:v>Robust and Interpretable Medical Image Classifiers via Concept Bottleneck Models — AYar YwWang YZhong Zhe, PKarypis (2023)</x:v>
      </x:c>
      <x:c r="C31" s="1141" t="str">
        <x:v>Contextual medical concept-XAI evidence</x:v>
      </x:c>
      <x:c r="D31" s="1141" t="str">
        <x:v>Preprint</x:v>
      </x:c>
      <x:c r="E31" s="1143" t="n">
        <x:v>1</x:v>
      </x:c>
      <x:c r="F31" s="1143" t="str">
        <x:v>NR</x:v>
      </x:c>
      <x:c r="G31" s="1143" t="str">
        <x:v>NR</x:v>
      </x:c>
      <x:c r="H31" s="1143" t="str">
        <x:v>NR</x:v>
      </x:c>
      <x:c r="I31" s="1143" t="str">
        <x:v>NR</x:v>
      </x:c>
      <x:c r="J31" s="1143" t="str">
        <x:v>NR</x:v>
      </x:c>
      <x:c r="K31" s="1143" t="n">
        <x:v>1</x:v>
      </x:c>
      <x:c r="L31" s="1143" t="n">
        <x:v>1</x:v>
      </x:c>
      <x:c r="M31" s="1143" t="str">
        <x:v>NR</x:v>
      </x:c>
      <x:c r="N31" s="1143" t="n">
        <x:f>COUNT(E31:M31)</x:f>
        <x:v>3</x:v>
      </x:c>
      <x:c r="O31" s="1143" t="n">
        <x:f>SUM(E31:M31)</x:f>
        <x:v>3</x:v>
      </x:c>
      <x:c r="P31" s="1143" t="n">
        <x:f>N31*2</x:f>
        <x:v>6</x:v>
      </x:c>
      <x:c r="Q31" s="1145" t="n">
        <x:f>IF(P31=0,"",O31/P31)</x:f>
        <x:v>0.5</x:v>
      </x:c>
      <x:c r="R31" s="1145" t="n">
        <x:f>N31/9</x:f>
        <x:v>0.3333333333333333</x:v>
      </x:c>
      <x:c r="S31" s="1143" t="str">
        <x:f>IF(N31&lt;2,"Insufficiently reported",IF(AND(R31&gt;=0.67,Q31&gt;=0.75),"Higher strength on available evidence",IF(AND(R31&gt;=0.44,Q31&gt;=0.5),"Moderate strength / some concerns","Low strength or major reporting gaps")))</x:f>
        <x:v>Low strength or major reporting gaps</x:v>
      </x:c>
      <x:c r="T31" s="1143" t="str">
        <x:f>IF(COUNT(F31:H31)&lt;2,"Unclear — insufficient reporting",IF(COUNTIF(F31:H31,0)&gt;0,"High concern on available evidence",IF(AND(F31=2,G31=2,H31=2),"Lower concern on available evidence","Some concerns on available evidence")))</x:f>
        <x:v>Unclear — insufficient reporting</x:v>
      </x:c>
      <x:c r="U31" s="1141" t="str">
        <x:v>Dataset/sample 1: Specifically, we first query clinical concepts from GPT-4, then transform latent image features into explicit concepts with a vision-language model. | Explanation faithfulness 1: A proxy or qualitative concept/explanation assessment is reported, but not a direct quantitative faithfulness test. | Robustness/stability 1: Limited robustness/generalisation or sensitivity evidence is reported.</x:v>
      </x:c>
      <x:c r="V31" s="1141" t="str">
        <x:v>Moderate — complete scholarly-record abstract</x:v>
      </x:c>
      <x:c r="W31" s="1141" t="str">
        <x:v>https://arxiv.org/pdf/2310.03182</x:v>
      </x:c>
    </x:row>
    <x:row r="32" ht="88.5" customHeight="1">
      <x:c r="A32" s="1143" t="str">
        <x:v>GS-01-011</x:v>
      </x:c>
      <x:c r="B32" s="1141" t="str">
        <x:v>Learning Optimal Summaries of Clinical Time-Series with Concept Bottleneck Models — CwWu § Parbhso M~avasi -MachineLearnngfor 2022 (2022)</x:v>
      </x:c>
      <x:c r="C32" s="1141" t="str">
        <x:v>Contextual medical concept-XAI evidence</x:v>
      </x:c>
      <x:c r="D32" s="1141" t="str">
        <x:v>Conference paper</x:v>
      </x:c>
      <x:c r="E32" s="1143" t="str">
        <x:v>NR</x:v>
      </x:c>
      <x:c r="F32" s="1143" t="str">
        <x:v>NR</x:v>
      </x:c>
      <x:c r="G32" s="1143" t="str">
        <x:v>NR</x:v>
      </x:c>
      <x:c r="H32" s="1143" t="str">
        <x:v>NR</x:v>
      </x:c>
      <x:c r="I32" s="1143" t="str">
        <x:v>NR</x:v>
      </x:c>
      <x:c r="J32" s="1143" t="str">
        <x:v>NR</x:v>
      </x:c>
      <x:c r="K32" s="1143" t="n">
        <x:v>1</x:v>
      </x:c>
      <x:c r="L32" s="1143" t="n">
        <x:v>1</x:v>
      </x:c>
      <x:c r="M32" s="1143" t="str">
        <x:v>NR</x:v>
      </x:c>
      <x:c r="N32" s="1143" t="n">
        <x:f>COUNT(E32:M32)</x:f>
        <x:v>2</x:v>
      </x:c>
      <x:c r="O32" s="1143" t="n">
        <x:f>SUM(E32:M32)</x:f>
        <x:v>2</x:v>
      </x:c>
      <x:c r="P32" s="1143" t="n">
        <x:f>N32*2</x:f>
        <x:v>4</x:v>
      </x:c>
      <x:c r="Q32" s="1145" t="n">
        <x:f>IF(P32=0,"",O32/P32)</x:f>
        <x:v>0.5</x:v>
      </x:c>
      <x:c r="R32" s="1145" t="n">
        <x:f>N32/9</x:f>
        <x:v>0.2222222222222222</x:v>
      </x:c>
      <x:c r="S32" s="1143" t="str">
        <x:f>IF(N32&lt;2,"Insufficiently reported",IF(AND(R32&gt;=0.67,Q32&gt;=0.75),"Higher strength on available evidence",IF(AND(R32&gt;=0.44,Q32&gt;=0.5),"Moderate strength / some concerns","Low strength or major reporting gaps")))</x:f>
        <x:v>Low strength or major reporting gaps</x:v>
      </x:c>
      <x:c r="T32" s="1143" t="str">
        <x:f>IF(COUNT(F32:H32)&lt;2,"Unclear — insufficient reporting",IF(COUNTIF(F32:H32,0)&gt;0,"High concern on available evidence",IF(AND(F32=2,G32=2,H32=2),"Lower concern on available evidence","Some concerns on available evidence")))</x:f>
        <x:v>Unclear — insufficient reporting</x:v>
      </x:c>
      <x:c r="U32" s="1141" t="str">
        <x:v>Explanation faithfulness 1: A proxy or qualitative concept/explanation assessment is reported, but not a direct quantitative faithfulness test. | Robustness/stability 1: Limited robustness/generalisation or sensitivity evidence is reported.</x:v>
      </x:c>
      <x:c r="V32" s="1141" t="str">
        <x:v>High — complete authoritative abstract</x:v>
      </x:c>
      <x:c r="W32" s="1141" t="str">
        <x:v>https://proceedings.mlr.press/v182/wu22a/wu22a.pdf</x:v>
      </x:c>
    </x:row>
    <x:row r="33" ht="88.5" customHeight="1">
      <x:c r="A33" s="1143" t="str">
        <x:v>GS-01-017</x:v>
      </x:c>
      <x:c r="B33" s="1141" t="str">
        <x:v>Spatially Grounded Concept Bottleneck Models for Trustworthy Breast Ultrasound Diagnosis — MR Tonriey DO She HY Adarbah. ANgere (2026)</x:v>
      </x:c>
      <x:c r="C33" s="1141" t="str">
        <x:v>Contextual medical concept-XAI evidence</x:v>
      </x:c>
      <x:c r="D33" s="1141" t="str">
        <x:v>Preprint</x:v>
      </x:c>
      <x:c r="E33" s="1143" t="str">
        <x:v>NR</x:v>
      </x:c>
      <x:c r="F33" s="1143" t="n">
        <x:v>1</x:v>
      </x:c>
      <x:c r="G33" s="1143" t="n">
        <x:v>1</x:v>
      </x:c>
      <x:c r="H33" s="1143" t="str">
        <x:v>NR</x:v>
      </x:c>
      <x:c r="I33" s="1143" t="str">
        <x:v>NR</x:v>
      </x:c>
      <x:c r="J33" s="1143" t="str">
        <x:v>NR</x:v>
      </x:c>
      <x:c r="K33" s="1143" t="n">
        <x:v>2</x:v>
      </x:c>
      <x:c r="L33" s="1143" t="str">
        <x:v>NR</x:v>
      </x:c>
      <x:c r="M33" s="1143" t="str">
        <x:v>NR</x:v>
      </x:c>
      <x:c r="N33" s="1143" t="n">
        <x:f>COUNT(E33:M33)</x:f>
        <x:v>3</x:v>
      </x:c>
      <x:c r="O33" s="1143" t="n">
        <x:f>SUM(E33:M33)</x:f>
        <x:v>4</x:v>
      </x:c>
      <x:c r="P33" s="1143" t="n">
        <x:f>N33*2</x:f>
        <x:v>6</x:v>
      </x:c>
      <x:c r="Q33" s="1145" t="n">
        <x:f>IF(P33=0,"",O33/P33)</x:f>
        <x:v>0.6666666666666666</x:v>
      </x:c>
      <x:c r="R33" s="1145" t="n">
        <x:f>N33/9</x:f>
        <x:v>0.3333333333333333</x:v>
      </x:c>
      <x:c r="S33" s="1143" t="str">
        <x:f>IF(N33&lt;2,"Insufficiently reported",IF(AND(R33&gt;=0.67,Q33&gt;=0.75),"Higher strength on available evidence",IF(AND(R33&gt;=0.44,Q33&gt;=0.5),"Moderate strength / some concerns","Low strength or major reporting gaps")))</x:f>
        <x:v>Low strength or major reporting gaps</x:v>
      </x:c>
      <x:c r="T33" s="1143" t="str">
        <x:f>IF(COUNT(F33:H33)&lt;2,"Unclear — insufficient reporting",IF(COUNTIF(F33:H33,0)&gt;0,"High concern on available evidence",IF(AND(F33=2,G33=2,H33=2),"Lower concern on available evidence","Some concerns on available evidence")))</x:f>
        <x:v>Some concerns on available evidence</x:v>
      </x:c>
      <x:c r="U33" s="1141" t="str">
        <x:v>External validation 1: Internal held-out, cross-validation, or multi-dataset evaluation is reported, but institutional independence is unclear. | Patient-level split 1: A train/test, held-out, or cross-validation procedure is reported, but the split unit is unclear. | Explanation faithfulness 2: A quantitative faithfulness, intervention, perturbation, causal, fidelity, or ablation evaluation is reported.</x:v>
      </x:c>
      <x:c r="V33" s="1141" t="str">
        <x:v>Moderate — complete preprint abstract</x:v>
      </x:c>
      <x:c r="W33" s="1141" t="str">
        <x:v>https://arxiv.org/abs/2607.20691</x:v>
      </x:c>
    </x:row>
    <x:row r="34" ht="88.5" customHeight="1">
      <x:c r="A34" s="1143" t="str">
        <x:v>GS-01-021</x:v>
      </x:c>
      <x:c r="B34" s="1141" t="str">
        <x:v>A concept-based interpretable model for the diagnosis of choroid neoplasias using multimodal data — Yiwu, ¥ iu Y Yang MS Yao W Yang XShi...- Nature. 2025 (2025)</x:v>
      </x:c>
      <x:c r="C34" s="1141" t="str">
        <x:v>Direct retinal/ophthalmic evidence</x:v>
      </x:c>
      <x:c r="D34" s="1141" t="str">
        <x:v>Other/unclear report type</x:v>
      </x:c>
      <x:c r="E34" s="1143" t="n">
        <x:v>1</x:v>
      </x:c>
      <x:c r="F34" s="1143" t="str">
        <x:v>NR</x:v>
      </x:c>
      <x:c r="G34" s="1143" t="str">
        <x:v>NR</x:v>
      </x:c>
      <x:c r="H34" s="1143" t="n">
        <x:v>1</x:v>
      </x:c>
      <x:c r="I34" s="1143" t="n">
        <x:v>1</x:v>
      </x:c>
      <x:c r="J34" s="1143" t="str">
        <x:v>NR</x:v>
      </x:c>
      <x:c r="K34" s="1143" t="n">
        <x:v>1</x:v>
      </x:c>
      <x:c r="L34" s="1143" t="str">
        <x:v>NR</x:v>
      </x:c>
      <x:c r="M34" s="1143" t="n">
        <x:v>2</x:v>
      </x:c>
      <x:c r="N34" s="1143" t="n">
        <x:f>COUNT(E34:M34)</x:f>
        <x:v>5</x:v>
      </x:c>
      <x:c r="O34" s="1143" t="n">
        <x:f>SUM(E34:M34)</x:f>
        <x:v>6</x:v>
      </x:c>
      <x:c r="P34" s="1143" t="n">
        <x:f>N34*2</x:f>
        <x:v>10</x:v>
      </x:c>
      <x:c r="Q34" s="1145" t="n">
        <x:f>IF(P34=0,"",O34/P34)</x:f>
        <x:v>0.6</x:v>
      </x:c>
      <x:c r="R34" s="1145" t="n">
        <x:f>N34/9</x:f>
        <x:v>0.5555555555555556</x:v>
      </x:c>
      <x:c r="S34" s="1143" t="str">
        <x:f>IF(N34&lt;2,"Insufficiently reported",IF(AND(R34&gt;=0.67,Q34&gt;=0.75),"Higher strength on available evidence",IF(AND(R34&gt;=0.44,Q34&gt;=0.5),"Moderate strength / some concerns","Low strength or major reporting gaps")))</x:f>
        <x:v>Moderate strength / some concerns</x:v>
      </x:c>
      <x:c r="T34" s="1143" t="str">
        <x:f>IF(COUNT(F34:H34)&lt;2,"Unclear — insufficient reporting",IF(COUNTIF(F34:H34,0)&gt;0,"High concern on available evidence",IF(AND(F34=2,G34=2,H34=2),"Lower concern on available evidence","Some concerns on available evidence")))</x:f>
        <x:v>Unclear — insufficient reporting</x:v>
      </x:c>
      <x:c r="U34" s="1141" t="str">
        <x:v>Dataset/sample 1: The dataset encompasses over 750 Asian patients with choroid neoplasm imaging and radiological reports.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Clinical usability 2: Task-based clinician/reader, eye-tracking, decision, calibration, or time outcome is reported.</x:v>
      </x:c>
      <x:c r="V34" s="1141" t="str">
        <x:v>High — complete authoritative abstract</x:v>
      </x:c>
      <x:c r="W34" s="1141" t="str">
        <x:v>https://pmc.ncbi.nlm.nih.gov/articles/PMC11994757/</x:v>
      </x:c>
    </x:row>
    <x:row r="35" ht="88.5" customHeight="1">
      <x:c r="A35" s="1143" t="str">
        <x:v>GS-01-022</x:v>
      </x:c>
      <x:c r="B35" s="1141" t="str">
        <x:v>Concepts from Neurons: Building Interpretable Medical Image Diagnostic Models by Dissecting Opaque Neural Networks — S Song H Wang X Zhang QO Dou (2025)</x:v>
      </x:c>
      <x:c r="C35" s="1141" t="str">
        <x:v>Contextual medical concept-XAI evidence</x:v>
      </x:c>
      <x:c r="D35" s="1141" t="str">
        <x:v>Other/unclear report type</x:v>
      </x:c>
      <x:c r="E35" s="1143" t="str">
        <x:v>NR</x:v>
      </x:c>
      <x:c r="F35" s="1143" t="str">
        <x:v>NR</x:v>
      </x:c>
      <x:c r="G35" s="1143" t="str">
        <x:v>NR</x:v>
      </x:c>
      <x:c r="H35" s="1143" t="str">
        <x:v>NR</x:v>
      </x:c>
      <x:c r="I35" s="1143" t="str">
        <x:v>NR</x:v>
      </x:c>
      <x:c r="J35" s="1143" t="str">
        <x:v>NR</x:v>
      </x:c>
      <x:c r="K35" s="1143" t="n">
        <x:v>1</x:v>
      </x:c>
      <x:c r="L35" s="1143" t="str">
        <x:v>NR</x:v>
      </x:c>
      <x:c r="M35" s="1143" t="str">
        <x:v>NR</x:v>
      </x:c>
      <x:c r="N35" s="1143" t="n">
        <x:f>COUNT(E35:M35)</x:f>
        <x:v>1</x:v>
      </x:c>
      <x:c r="O35" s="1143" t="n">
        <x:f>SUM(E35:M35)</x:f>
        <x:v>1</x:v>
      </x:c>
      <x:c r="P35" s="1143" t="n">
        <x:f>N35*2</x:f>
        <x:v>2</x:v>
      </x:c>
      <x:c r="Q35" s="1145" t="n">
        <x:f>IF(P35=0,"",O35/P35)</x:f>
        <x:v>0.5</x:v>
      </x:c>
      <x:c r="R35" s="1145" t="n">
        <x:f>N35/9</x:f>
        <x:v>0.1111111111111111</x:v>
      </x:c>
      <x:c r="S35" s="1143" t="str">
        <x:f>IF(N35&lt;2,"Insufficiently reported",IF(AND(R35&gt;=0.67,Q35&gt;=0.75),"Higher strength on available evidence",IF(AND(R35&gt;=0.44,Q35&gt;=0.5),"Moderate strength / some concerns","Low strength or major reporting gaps")))</x:f>
        <x:v>Insufficiently reported</x:v>
      </x:c>
      <x:c r="T35" s="1143" t="str">
        <x:f>IF(COUNT(F35:H35)&lt;2,"Unclear — insufficient reporting",IF(COUNTIF(F35:H35,0)&gt;0,"High concern on available evidence",IF(AND(F35=2,G35=2,H35=2),"Lower concern on available evidence","Some concerns on available evidence")))</x:f>
        <x:v>Unclear — insufficient reporting</x:v>
      </x:c>
      <x:c r="U35" s="1141" t="str">
        <x:v>Explanation faithfulness 1: A proxy or qualitative concept/explanation assessment is reported, but not a direct quantitative faithfulness test.</x:v>
      </x:c>
      <x:c r="V35" s="1141" t="str">
        <x:v>High — complete authoritative abstract</x:v>
      </x:c>
      <x:c r="W35" s="1141" t="str">
        <x:v>https://link.springer.com/chapter/10.1007/978-3-031-96625-5_1</x:v>
      </x:c>
    </x:row>
    <x:row r="36" ht="88.5" customHeight="1">
      <x:c r="A36" s="1143" t="str">
        <x:v>GS-01-028</x:v>
      </x:c>
      <x:c r="B36" s="1141" t="str">
        <x:v>Stable Vision Concept Transformers for Medical Diagnosis — Ley Slai yHua. S$ %ang JZhang (2025)</x:v>
      </x:c>
      <x:c r="C36" s="1141" t="str">
        <x:v>Contextual medical concept-XAI evidence</x:v>
      </x:c>
      <x:c r="D36" s="1141" t="str">
        <x:v>Conference paper</x:v>
      </x:c>
      <x:c r="E36" s="1143" t="str">
        <x:v>NR</x:v>
      </x:c>
      <x:c r="F36" s="1143" t="str">
        <x:v>NR</x:v>
      </x:c>
      <x:c r="G36" s="1143" t="str">
        <x:v>NR</x:v>
      </x:c>
      <x:c r="H36" s="1143" t="str">
        <x:v>NR</x:v>
      </x:c>
      <x:c r="I36" s="1143" t="str">
        <x:v>NR</x:v>
      </x:c>
      <x:c r="J36" s="1143" t="str">
        <x:v>NR</x:v>
      </x:c>
      <x:c r="K36" s="1143" t="n">
        <x:v>2</x:v>
      </x:c>
      <x:c r="L36" s="1143" t="str">
        <x:v>NR</x:v>
      </x:c>
      <x:c r="M36" s="1143" t="str">
        <x:v>NR</x:v>
      </x:c>
      <x:c r="N36" s="1143" t="n">
        <x:f>COUNT(E36:M36)</x:f>
        <x:v>1</x:v>
      </x:c>
      <x:c r="O36" s="1143" t="n">
        <x:f>SUM(E36:M36)</x:f>
        <x:v>2</x:v>
      </x:c>
      <x:c r="P36" s="1143" t="n">
        <x:f>N36*2</x:f>
        <x:v>2</x:v>
      </x:c>
      <x:c r="Q36" s="1145" t="n">
        <x:f>IF(P36=0,"",O36/P36)</x:f>
        <x:v>1</x:v>
      </x:c>
      <x:c r="R36" s="1145" t="n">
        <x:f>N36/9</x:f>
        <x:v>0.1111111111111111</x:v>
      </x:c>
      <x:c r="S36" s="1143" t="str">
        <x:f>IF(N36&lt;2,"Insufficiently reported",IF(AND(R36&gt;=0.67,Q36&gt;=0.75),"Higher strength on available evidence",IF(AND(R36&gt;=0.44,Q36&gt;=0.5),"Moderate strength / some concerns","Low strength or major reporting gaps")))</x:f>
        <x:v>Insufficiently reported</x:v>
      </x:c>
      <x:c r="T36" s="1143" t="str">
        <x:f>IF(COUNT(F36:H36)&lt;2,"Unclear — insufficient reporting",IF(COUNTIF(F36:H36,0)&gt;0,"High concern on available evidence",IF(AND(F36=2,G36=2,H36=2),"Lower concern on available evidence","Some concerns on available evidence")))</x:f>
        <x:v>Unclear — insufficient reporting</x:v>
      </x:c>
      <x:c r="U36" s="1141" t="str">
        <x:v>Explanation faithfulness 2: A quantitative faithfulness, intervention, perturbation, causal, fidelity, or ablation evaluation is reported.</x:v>
      </x:c>
      <x:c r="V36" s="1141" t="str">
        <x:v>Moderate — complete preprint abstract</x:v>
      </x:c>
      <x:c r="W36" s="1141" t="str">
        <x:v>https://arxiv.org/abs/2506.05286</x:v>
      </x:c>
    </x:row>
    <x:row r="37" ht="88.5" customHeight="1">
      <x:c r="A37" s="1143" t="str">
        <x:v>GS-01-029</x:v>
      </x:c>
      <x:c r="B37" s="1141" t="str">
        <x:v>CBVLM: Training-free Explainable Concept-based Large Vision Language Models for Medical Image Classification — C Patricio. |Rio-Toro JS Cardesc LE Teixeira -Compulers in Bology , 2025 (2025)</x:v>
      </x:c>
      <x:c r="C37" s="1141" t="str">
        <x:v>Contextual medical concept-XAI evidence</x:v>
      </x:c>
      <x:c r="D37" s="1141" t="str">
        <x:v>Other/unclear report type</x:v>
      </x:c>
      <x:c r="E37" s="1143" t="str">
        <x:v>NR</x:v>
      </x:c>
      <x:c r="F37" s="1143" t="str">
        <x:v>NR</x:v>
      </x:c>
      <x:c r="G37" s="1143" t="str">
        <x:v>NR</x:v>
      </x:c>
      <x:c r="H37" s="1143" t="str">
        <x:v>NR</x:v>
      </x:c>
      <x:c r="I37" s="1143" t="str">
        <x:v>NR</x:v>
      </x:c>
      <x:c r="J37" s="1143" t="n">
        <x:v>2</x:v>
      </x:c>
      <x:c r="K37" s="1143" t="n">
        <x:v>1</x:v>
      </x:c>
      <x:c r="L37" s="1143" t="str">
        <x:v>NR</x:v>
      </x:c>
      <x:c r="M37" s="1143" t="str">
        <x:v>NR</x:v>
      </x:c>
      <x:c r="N37" s="1143" t="n">
        <x:f>COUNT(E37:M37)</x:f>
        <x:v>2</x:v>
      </x:c>
      <x:c r="O37" s="1143" t="n">
        <x:f>SUM(E37:M37)</x:f>
        <x:v>3</x:v>
      </x:c>
      <x:c r="P37" s="1143" t="n">
        <x:f>N37*2</x:f>
        <x:v>4</x:v>
      </x:c>
      <x:c r="Q37" s="1145" t="n">
        <x:f>IF(P37=0,"",O37/P37)</x:f>
        <x:v>0.75</x:v>
      </x:c>
      <x:c r="R37" s="1145" t="n">
        <x:f>N37/9</x:f>
        <x:v>0.2222222222222222</x:v>
      </x:c>
      <x:c r="S37" s="1143" t="str">
        <x:f>IF(N37&lt;2,"Insufficiently reported",IF(AND(R37&gt;=0.67,Q37&gt;=0.75),"Higher strength on available evidence",IF(AND(R37&gt;=0.44,Q37&gt;=0.5),"Moderate strength / some concerns","Low strength or major reporting gaps")))</x:f>
        <x:v>Low strength or major reporting gaps</x:v>
      </x:c>
      <x:c r="T37" s="1143" t="str">
        <x:f>IF(COUNT(F37:H37)&lt;2,"Unclear — insufficient reporting",IF(COUNTIF(F37:H37,0)&gt;0,"High concern on available evidence",IF(AND(F37=2,G37=2,H37=2),"Lower concern on available evidence","Some concerns on available evidence")))</x:f>
        <x:v>Unclear — insufficient reporting</x:v>
      </x:c>
      <x:c r="U37" s="1141" t="str">
        <x:v>Code availability 2: Public code/repository availability is explicitly reported. | Explanation faithfulness 1: A proxy or qualitative concept/explanation assessment is reported, but not a direct quantitative faithfulness test.</x:v>
      </x:c>
      <x:c r="V37" s="1141" t="str">
        <x:v>Moderate — complete preprint abstract</x:v>
      </x:c>
      <x:c r="W37" s="1141" t="str">
        <x:v>https://arxiv.org/abs/2501.12266</x:v>
      </x:c>
    </x:row>
    <x:row r="38" ht="88.5" customHeight="1">
      <x:c r="A38" s="1143" t="str">
        <x:v>GS-01-035</x:v>
      </x:c>
      <x:c r="B38" s="1141" t="str">
        <x:v>Concept-Aware Adaptive Multimodal Fusion With Knowledge Distillation for Medical Image Diagnosis — JLi XZherg ¥ Zheng YMeng (2025)</x:v>
      </x:c>
      <x:c r="C38" s="1141" t="str">
        <x:v>Contextual medical concept-XAI evidence</x:v>
      </x:c>
      <x:c r="D38" s="1141" t="str">
        <x:v>Other/unclear report type</x:v>
      </x:c>
      <x:c r="E38" s="1143" t="n">
        <x:v>1</x:v>
      </x:c>
      <x:c r="F38" s="1143" t="str">
        <x:v>NR</x:v>
      </x:c>
      <x:c r="G38" s="1143" t="str">
        <x:v>NR</x:v>
      </x:c>
      <x:c r="H38" s="1143" t="str">
        <x:v>NR</x:v>
      </x:c>
      <x:c r="I38" s="1143" t="str">
        <x:v>NR</x:v>
      </x:c>
      <x:c r="J38" s="1143" t="str">
        <x:v>NR</x:v>
      </x:c>
      <x:c r="K38" s="1143" t="n">
        <x:v>1</x:v>
      </x:c>
      <x:c r="L38" s="1143" t="str">
        <x:v>NR</x:v>
      </x:c>
      <x:c r="M38" s="1143" t="str">
        <x:v>NR</x:v>
      </x:c>
      <x:c r="N38" s="1143" t="n">
        <x:f>COUNT(E38:M38)</x:f>
        <x:v>2</x:v>
      </x:c>
      <x:c r="O38" s="1143" t="n">
        <x:f>SUM(E38:M38)</x:f>
        <x:v>2</x:v>
      </x:c>
      <x:c r="P38" s="1143" t="n">
        <x:f>N38*2</x:f>
        <x:v>4</x:v>
      </x:c>
      <x:c r="Q38" s="1145" t="n">
        <x:f>IF(P38=0,"",O38/P38)</x:f>
        <x:v>0.5</x:v>
      </x:c>
      <x:c r="R38" s="1145" t="n">
        <x:f>N38/9</x:f>
        <x:v>0.2222222222222222</x:v>
      </x:c>
      <x:c r="S38" s="1143" t="str">
        <x:f>IF(N38&lt;2,"Insufficiently reported",IF(AND(R38&gt;=0.67,Q38&gt;=0.75),"Higher strength on available evidence",IF(AND(R38&gt;=0.44,Q38&gt;=0.5),"Moderate strength / some concerns","Low strength or major reporting gaps")))</x:f>
        <x:v>Low strength or major reporting gaps</x:v>
      </x:c>
      <x:c r="T38" s="1143" t="str">
        <x:f>IF(COUNT(F38:H38)&lt;2,"Unclear — insufficient reporting",IF(COUNTIF(F38:H38,0)&gt;0,"High concern on available evidence",IF(AND(F38=2,G38=2,H38=2),"Lower concern on available evidence","Some concerns on available evidence")))</x:f>
        <x:v>Unclear — insufficient reporting</x:v>
      </x:c>
      <x:c r="U38" s="1141" t="str">
        <x:v>Dataset/sample 1: Harvard30k-Glaucoma, MMC-AMD, Derm7pt | Explanation faithfulness 1: A proxy or qualitative concept/explanation assessment is reported, but not a direct quantitative faithfulness test.</x:v>
      </x:c>
      <x:c r="V38" s="1141" t="str">
        <x:v>High — complete authoritative abstract</x:v>
      </x:c>
      <x:c r="W38" s="1141" t="str">
        <x:v>https://pubmed.ncbi.nlm.nih.gov/42154716/</x:v>
      </x:c>
    </x:row>
    <x:row r="39" ht="88.5" customHeight="1">
      <x:c r="A39" s="1143" t="str">
        <x:v>GS-01-036</x:v>
      </x:c>
      <x:c r="B39" s="1141" t="str">
        <x:v>Can Vision-Language Models Enable More Efficient Concept-Based Learning with Less Supervision for Interpretable Lung Nodule Diagnosis? — B Ma D Madz.a-Madzou. J Ouyang K Gilhuys</x:v>
      </x:c>
      <x:c r="C39" s="1141" t="str">
        <x:v>Contextual medical concept-XAI evidence</x:v>
      </x:c>
      <x:c r="D39" s="1141" t="str">
        <x:v>Other/unclear report type</x:v>
      </x:c>
      <x:c r="E39" s="1143" t="str">
        <x:v>NR</x:v>
      </x:c>
      <x:c r="F39" s="1143" t="str">
        <x:v>NR</x:v>
      </x:c>
      <x:c r="G39" s="1143" t="str">
        <x:v>NR</x:v>
      </x:c>
      <x:c r="H39" s="1143" t="str">
        <x:v>NR</x:v>
      </x:c>
      <x:c r="I39" s="1143" t="str">
        <x:v>NR</x:v>
      </x:c>
      <x:c r="J39" s="1143" t="str">
        <x:v>NR</x:v>
      </x:c>
      <x:c r="K39" s="1143" t="n">
        <x:v>1</x:v>
      </x:c>
      <x:c r="L39" s="1143" t="str">
        <x:v>NR</x:v>
      </x:c>
      <x:c r="M39" s="1143" t="str">
        <x:v>NR</x:v>
      </x:c>
      <x:c r="N39" s="1143" t="n">
        <x:f>COUNT(E39:M39)</x:f>
        <x:v>1</x:v>
      </x:c>
      <x:c r="O39" s="1143" t="n">
        <x:f>SUM(E39:M39)</x:f>
        <x:v>1</x:v>
      </x:c>
      <x:c r="P39" s="1143" t="n">
        <x:f>N39*2</x:f>
        <x:v>2</x:v>
      </x:c>
      <x:c r="Q39" s="1145" t="n">
        <x:f>IF(P39=0,"",O39/P39)</x:f>
        <x:v>0.5</x:v>
      </x:c>
      <x:c r="R39" s="1145" t="n">
        <x:f>N39/9</x:f>
        <x:v>0.1111111111111111</x:v>
      </x:c>
      <x:c r="S39" s="1143" t="str">
        <x:f>IF(N39&lt;2,"Insufficiently reported",IF(AND(R39&gt;=0.67,Q39&gt;=0.75),"Higher strength on available evidence",IF(AND(R39&gt;=0.44,Q39&gt;=0.5),"Moderate strength / some concerns","Low strength or major reporting gaps")))</x:f>
        <x:v>Insufficiently reported</x:v>
      </x:c>
      <x:c r="T39" s="1143" t="str">
        <x:f>IF(COUNT(F39:H39)&lt;2,"Unclear — insufficient reporting",IF(COUNTIF(F39:H39,0)&gt;0,"High concern on available evidence",IF(AND(F39=2,G39=2,H39=2),"Lower concern on available evidence","Some concerns on available evidence")))</x:f>
        <x:v>Unclear — insufficient reporting</x:v>
      </x:c>
      <x:c r="U39" s="1141" t="str">
        <x:v>Explanation faithfulness 1: A proxy or qualitative concept/explanation assessment is reported, but not a direct quantitative faithfulness test.</x:v>
      </x:c>
      <x:c r="V39" s="1141" t="str">
        <x:v>Low — indexed summary only</x:v>
      </x:c>
      <x:c r="W39" s="1141" t="str">
        <x:v>https://openreview.net/forum?id=OyOHg986R5</x:v>
      </x:c>
    </x:row>
    <x:row r="40" ht="88.5" customHeight="1">
      <x:c r="A40" s="1143" t="str">
        <x:v>GS-01-037</x:v>
      </x:c>
      <x:c r="B40" s="1141" t="str">
        <x:v>Training-free Test-time Improvement for Explainable Medical Image Classification — HHe J Tang. Ztu. K Li ¥ Lu (2025)</x:v>
      </x:c>
      <x:c r="C40" s="1141" t="str">
        <x:v>Contextual medical concept-XAI evidence</x:v>
      </x:c>
      <x:c r="D40" s="1141" t="str">
        <x:v>Other/unclear report type</x:v>
      </x:c>
      <x:c r="E40" s="1143" t="n">
        <x:v>1</x:v>
      </x:c>
      <x:c r="F40" s="1143" t="str">
        <x:v>NR</x:v>
      </x:c>
      <x:c r="G40" s="1143" t="str">
        <x:v>NR</x:v>
      </x:c>
      <x:c r="H40" s="1143" t="str">
        <x:v>NR</x:v>
      </x:c>
      <x:c r="I40" s="1143" t="str">
        <x:v>NR</x:v>
      </x:c>
      <x:c r="J40" s="1143" t="n">
        <x:v>2</x:v>
      </x:c>
      <x:c r="K40" s="1143" t="n">
        <x:v>2</x:v>
      </x:c>
      <x:c r="L40" s="1143" t="str">
        <x:v>NR</x:v>
      </x:c>
      <x:c r="M40" s="1143" t="str">
        <x:v>NR</x:v>
      </x:c>
      <x:c r="N40" s="1143" t="n">
        <x:f>COUNT(E40:M40)</x:f>
        <x:v>3</x:v>
      </x:c>
      <x:c r="O40" s="1143" t="n">
        <x:f>SUM(E40:M40)</x:f>
        <x:v>5</x:v>
      </x:c>
      <x:c r="P40" s="1143" t="n">
        <x:f>N40*2</x:f>
        <x:v>6</x:v>
      </x:c>
      <x:c r="Q40" s="1145" t="n">
        <x:f>IF(P40=0,"",O40/P40)</x:f>
        <x:v>0.8333333333333334</x:v>
      </x:c>
      <x:c r="R40" s="1145" t="n">
        <x:f>N40/9</x:f>
        <x:v>0.3333333333333333</x:v>
      </x:c>
      <x:c r="S40" s="1143" t="str">
        <x:f>IF(N40&lt;2,"Insufficiently reported",IF(AND(R40&gt;=0.67,Q40&gt;=0.75),"Higher strength on available evidence",IF(AND(R40&gt;=0.44,Q40&gt;=0.5),"Moderate strength / some concerns","Low strength or major reporting gaps")))</x:f>
        <x:v>Low strength or major reporting gaps</x:v>
      </x:c>
      <x:c r="T40" s="1143" t="str">
        <x:f>IF(COUNT(F40:H40)&lt;2,"Unclear — insufficient reporting",IF(COUNTIF(F40:H40,0)&gt;0,"High concern on available evidence",IF(AND(F40=2,G40=2,H40=2),"Lower concern on available evidence","Some concerns on available evidence")))</x:f>
        <x:v>Unclear — insufficient reporting</x:v>
      </x:c>
      <x:c r="U40" s="1141" t="str">
        <x:v>Dataset/sample 1: By leveraging minimal new data (e.g., 4 images per class) with only image-level labels, our approach enhances out-of-domain performance without sacrificing source domain accuracy through two key operations: masking misactivated confounding concepts and amplifying under-activated discriminative concepts. | Code availability 2: Public code/repository availability is explicitly reported. | Explanation faithfulness 2: A quantitative faithfulness, intervention, perturbation, causal, fidelity, or ablation evaluation is reported.</x:v>
      </x:c>
      <x:c r="V40" s="1141" t="str">
        <x:v>Moderate — complete preprint abstract</x:v>
      </x:c>
      <x:c r="W40" s="1141" t="str">
        <x:v>https://arxiv.org/abs/2506.18070</x:v>
      </x:c>
    </x:row>
    <x:row r="41" ht="88.5" customHeight="1">
      <x:c r="A41" s="1143" t="str">
        <x:v>GS-01-040</x:v>
      </x:c>
      <x:c r="B41" s="1141" t="str">
        <x:v>ConceptSMILE: Auditing the Trustworthiness of Concept-Based Explainable AI — M Mo-lapowr. KAslanselat 2Dehghani (2026)</x:v>
      </x:c>
      <x:c r="C41" s="1141" t="str">
        <x:v>Contextual medical concept-XAI evidence</x:v>
      </x:c>
      <x:c r="D41" s="1141" t="str">
        <x:v>Preprint</x:v>
      </x:c>
      <x:c r="E41" s="1143" t="str">
        <x:v>NR</x:v>
      </x:c>
      <x:c r="F41" s="1143" t="str">
        <x:v>NR</x:v>
      </x:c>
      <x:c r="G41" s="1143" t="str">
        <x:v>NR</x:v>
      </x:c>
      <x:c r="H41" s="1143" t="str">
        <x:v>NR</x:v>
      </x:c>
      <x:c r="I41" s="1143" t="str">
        <x:v>NR</x:v>
      </x:c>
      <x:c r="J41" s="1143" t="str">
        <x:v>NR</x:v>
      </x:c>
      <x:c r="K41" s="1143" t="n">
        <x:v>2</x:v>
      </x:c>
      <x:c r="L41" s="1143" t="n">
        <x:v>2</x:v>
      </x:c>
      <x:c r="M41" s="1143" t="str">
        <x:v>NR</x:v>
      </x:c>
      <x:c r="N41" s="1143" t="n">
        <x:f>COUNT(E41:M41)</x:f>
        <x:v>2</x:v>
      </x:c>
      <x:c r="O41" s="1143" t="n">
        <x:f>SUM(E41:M41)</x:f>
        <x:v>4</x:v>
      </x:c>
      <x:c r="P41" s="1143" t="n">
        <x:f>N41*2</x:f>
        <x:v>4</x:v>
      </x:c>
      <x:c r="Q41" s="1145" t="n">
        <x:f>IF(P41=0,"",O41/P41)</x:f>
        <x:v>1</x:v>
      </x:c>
      <x:c r="R41" s="1145" t="n">
        <x:f>N41/9</x:f>
        <x:v>0.2222222222222222</x:v>
      </x:c>
      <x:c r="S41" s="1143" t="str">
        <x:f>IF(N41&lt;2,"Insufficiently reported",IF(AND(R41&gt;=0.67,Q41&gt;=0.75),"Higher strength on available evidence",IF(AND(R41&gt;=0.44,Q41&gt;=0.5),"Moderate strength / some concerns","Low strength or major reporting gaps")))</x:f>
        <x:v>Low strength or major reporting gaps</x:v>
      </x:c>
      <x:c r="T41" s="1143" t="str">
        <x:f>IF(COUNT(F41:H41)&lt;2,"Unclear — insufficient reporting",IF(COUNTIF(F41:H41,0)&gt;0,"High concern on available evidence",IF(AND(F41=2,G41=2,H41=2),"Lower concern on available evidence","Some concerns on available evidence")))</x:f>
        <x:v>Unclear — insufficient reporting</x:v>
      </x:c>
      <x:c r="U41" s="1141" t="str">
        <x:v>Explanation faithfulness 2: A quantitative faithfulness, intervention, perturbation, causal, fidelity, or ablation evaluation is reported. | Robustness/stability 2: Systematic robustness, stability, external generalisation, adversarial, or OOD evaluation is reported.</x:v>
      </x:c>
      <x:c r="V41" s="1141" t="str">
        <x:v>Moderate — complete scholarly-record abstract</x:v>
      </x:c>
      <x:c r="W41" s="1141" t="str">
        <x:v>https://arxiv.org/pdf/2607.09649</x:v>
      </x:c>
    </x:row>
    <x:row r="42" ht="88.5" customHeight="1">
      <x:c r="A42" s="1143" t="str">
        <x:v>GS-01-046</x:v>
      </x:c>
      <x:c r="B42" s="1141" t="str">
        <x:v>A Concept-based approach to Voice Disorder Detection — 2Gha GCwayegra AKoudonas MFantni (2025)</x:v>
      </x:c>
      <x:c r="C42" s="1141" t="str">
        <x:v>Contextual medical concept-XAI evidence</x:v>
      </x:c>
      <x:c r="D42" s="1141" t="str">
        <x:v>Other/unclear report type</x:v>
      </x:c>
      <x:c r="E42" s="1143" t="str">
        <x:v>NR</x:v>
      </x:c>
      <x:c r="F42" s="1143" t="str">
        <x:v>NR</x:v>
      </x:c>
      <x:c r="G42" s="1143" t="str">
        <x:v>NR</x:v>
      </x:c>
      <x:c r="H42" s="1143" t="str">
        <x:v>NR</x:v>
      </x:c>
      <x:c r="I42" s="1143" t="str">
        <x:v>NR</x:v>
      </x:c>
      <x:c r="J42" s="1143" t="str">
        <x:v>NR</x:v>
      </x:c>
      <x:c r="K42" s="1143" t="n">
        <x:v>1</x:v>
      </x:c>
      <x:c r="L42" s="1143" t="str">
        <x:v>NR</x:v>
      </x:c>
      <x:c r="M42" s="1143" t="str">
        <x:v>NR</x:v>
      </x:c>
      <x:c r="N42" s="1143" t="n">
        <x:f>COUNT(E42:M42)</x:f>
        <x:v>1</x:v>
      </x:c>
      <x:c r="O42" s="1143" t="n">
        <x:f>SUM(E42:M42)</x:f>
        <x:v>1</x:v>
      </x:c>
      <x:c r="P42" s="1143" t="n">
        <x:f>N42*2</x:f>
        <x:v>2</x:v>
      </x:c>
      <x:c r="Q42" s="1145" t="n">
        <x:f>IF(P42=0,"",O42/P42)</x:f>
        <x:v>0.5</x:v>
      </x:c>
      <x:c r="R42" s="1145" t="n">
        <x:f>N42/9</x:f>
        <x:v>0.1111111111111111</x:v>
      </x:c>
      <x:c r="S42" s="1143" t="str">
        <x:f>IF(N42&lt;2,"Insufficiently reported",IF(AND(R42&gt;=0.67,Q42&gt;=0.75),"Higher strength on available evidence",IF(AND(R42&gt;=0.44,Q42&gt;=0.5),"Moderate strength / some concerns","Low strength or major reporting gaps")))</x:f>
        <x:v>Insufficiently reported</x:v>
      </x:c>
      <x:c r="T42" s="1143" t="str">
        <x:f>IF(COUNT(F42:H42)&lt;2,"Unclear — insufficient reporting",IF(COUNTIF(F42:H42,0)&gt;0,"High concern on available evidence",IF(AND(F42=2,G42=2,H42=2),"Lower concern on available evidence","Some concerns on available evidence")))</x:f>
        <x:v>Unclear — insufficient reporting</x:v>
      </x:c>
      <x:c r="U42" s="1141" t="str">
        <x:v>Explanation faithfulness 1: A proxy or qualitative concept/explanation assessment is reported, but not a direct quantitative faithfulness test.</x:v>
      </x:c>
      <x:c r="V42" s="1141" t="str">
        <x:v>Moderate — complete preprint abstract</x:v>
      </x:c>
      <x:c r="W42" s="1141" t="str">
        <x:v>https://arxiv.org/abs/2507.17799</x:v>
      </x:c>
    </x:row>
    <x:row r="43" ht="88.5" customHeight="1">
      <x:c r="A43" s="1143" t="str">
        <x:v>GS-01-048</x:v>
      </x:c>
      <x:c r="B43" s="1141" t="str">
        <x:v>CONAN: CONcept-Oriented ANomaly Detector for Interpretable Zero-Shot Detection — Ylee Eleo JKwon, See KKim S¥u_ -Faciic-Asia Conference = 2026 (2026)</x:v>
      </x:c>
      <x:c r="C43" s="1141" t="str">
        <x:v>Contextual medical concept-XAI evidence</x:v>
      </x:c>
      <x:c r="D43" s="1141" t="str">
        <x:v>Other/unclear report type</x:v>
      </x:c>
      <x:c r="E43" s="1143" t="str">
        <x:v>NR</x:v>
      </x:c>
      <x:c r="F43" s="1143" t="str">
        <x:v>NR</x:v>
      </x:c>
      <x:c r="G43" s="1143" t="str">
        <x:v>NR</x:v>
      </x:c>
      <x:c r="H43" s="1143" t="str">
        <x:v>NR</x:v>
      </x:c>
      <x:c r="I43" s="1143" t="str">
        <x:v>NR</x:v>
      </x:c>
      <x:c r="J43" s="1143" t="str">
        <x:v>NR</x:v>
      </x:c>
      <x:c r="K43" s="1143" t="n">
        <x:v>1</x:v>
      </x:c>
      <x:c r="L43" s="1143" t="n">
        <x:v>1</x:v>
      </x:c>
      <x:c r="M43" s="1143" t="str">
        <x:v>NR</x:v>
      </x:c>
      <x:c r="N43" s="1143" t="n">
        <x:f>COUNT(E43:M43)</x:f>
        <x:v>2</x:v>
      </x:c>
      <x:c r="O43" s="1143" t="n">
        <x:f>SUM(E43:M43)</x:f>
        <x:v>2</x:v>
      </x:c>
      <x:c r="P43" s="1143" t="n">
        <x:f>N43*2</x:f>
        <x:v>4</x:v>
      </x:c>
      <x:c r="Q43" s="1145" t="n">
        <x:f>IF(P43=0,"",O43/P43)</x:f>
        <x:v>0.5</x:v>
      </x:c>
      <x:c r="R43" s="1145" t="n">
        <x:f>N43/9</x:f>
        <x:v>0.2222222222222222</x:v>
      </x:c>
      <x:c r="S43" s="1143" t="str">
        <x:f>IF(N43&lt;2,"Insufficiently reported",IF(AND(R43&gt;=0.67,Q43&gt;=0.75),"Higher strength on available evidence",IF(AND(R43&gt;=0.44,Q43&gt;=0.5),"Moderate strength / some concerns","Low strength or major reporting gaps")))</x:f>
        <x:v>Low strength or major reporting gaps</x:v>
      </x:c>
      <x:c r="T43" s="1143" t="str">
        <x:f>IF(COUNT(F43:H43)&lt;2,"Unclear — insufficient reporting",IF(COUNTIF(F43:H43,0)&gt;0,"High concern on available evidence",IF(AND(F43=2,G43=2,H43=2),"Lower concern on available evidence","Some concerns on available evidence")))</x:f>
        <x:v>Unclear — insufficient reporting</x:v>
      </x:c>
      <x:c r="U43" s="1141" t="str">
        <x:v>Explanation faithfulness 1: A proxy or qualitative concept/explanation assessment is reported, but not a direct quantitative faithfulness test. | Robustness/stability 1: Limited robustness/generalisation or sensitivity evidence is reported.</x:v>
      </x:c>
      <x:c r="V43" s="1141" t="str">
        <x:v>High — complete authoritative abstract</x:v>
      </x:c>
      <x:c r="W43" s="1141" t="str">
        <x:v>https://link.springer.com/10.1007/978-981-92-1947-6_44</x:v>
      </x:c>
    </x:row>
    <x:row r="44" ht="88.5" customHeight="1">
      <x:c r="A44" s="1143" t="str">
        <x:v>GS-01-050</x:v>
      </x:c>
      <x:c r="B44" s="1141" t="str">
        <x:v>NeRD: Neuro-Symbolic Rule Distillation for Efficient Ontology-Grounded Chain-of-Thought in Medical Image Diagnosis — HYang Yuigng SYai s Crow ELI, CO Poon (2026)</x:v>
      </x:c>
      <x:c r="C44" s="1141" t="str">
        <x:v>Contextual medical concept-XAI evidence</x:v>
      </x:c>
      <x:c r="D44" s="1141" t="str">
        <x:v>Preprint</x:v>
      </x:c>
      <x:c r="E44" s="1143" t="str">
        <x:v>NR</x:v>
      </x:c>
      <x:c r="F44" s="1143" t="str">
        <x:v>NR</x:v>
      </x:c>
      <x:c r="G44" s="1143" t="str">
        <x:v>NR</x:v>
      </x:c>
      <x:c r="H44" s="1143" t="n">
        <x:v>1</x:v>
      </x:c>
      <x:c r="I44" s="1143" t="n">
        <x:v>1</x:v>
      </x:c>
      <x:c r="J44" s="1143" t="str">
        <x:v>NR</x:v>
      </x:c>
      <x:c r="K44" s="1143" t="n">
        <x:v>1</x:v>
      </x:c>
      <x:c r="L44" s="1143" t="str">
        <x:v>NR</x:v>
      </x:c>
      <x:c r="M44" s="1143" t="str">
        <x:v>NR</x:v>
      </x:c>
      <x:c r="N44" s="1143" t="n">
        <x:f>COUNT(E44:M44)</x:f>
        <x:v>3</x:v>
      </x:c>
      <x:c r="O44" s="1143" t="n">
        <x:f>SUM(E44:M44)</x:f>
        <x:v>3</x:v>
      </x:c>
      <x:c r="P44" s="1143" t="n">
        <x:f>N44*2</x:f>
        <x:v>6</x:v>
      </x:c>
      <x:c r="Q44" s="1145" t="n">
        <x:f>IF(P44=0,"",O44/P44)</x:f>
        <x:v>0.5</x:v>
      </x:c>
      <x:c r="R44" s="1145" t="n">
        <x:f>N44/9</x:f>
        <x:v>0.3333333333333333</x:v>
      </x:c>
      <x:c r="S44" s="1143" t="str">
        <x:f>IF(N44&lt;2,"Insufficiently reported",IF(AND(R44&gt;=0.67,Q44&gt;=0.75),"Higher strength on available evidence",IF(AND(R44&gt;=0.44,Q44&gt;=0.5),"Moderate strength / some concerns","Low strength or major reporting gaps")))</x:f>
        <x:v>Low strength or major reporting gaps</x:v>
      </x:c>
      <x:c r="T44" s="1143" t="str">
        <x:f>IF(COUNT(F44:H44)&lt;2,"Unclear — insufficient reporting",IF(COUNTIF(F44:H44,0)&gt;0,"High concern on available evidence",IF(AND(F44=2,G44=2,H44=2),"Lower concern on available evidence","Some concerns on available evidence")))</x:f>
        <x:v>Unclear — insufficient reporting</x:v>
      </x:c>
      <x:c r="U44" s="1141" t="str">
        <x:v>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44" s="1141" t="str">
        <x:v>Moderate — complete preprint abstract</x:v>
      </x:c>
      <x:c r="W44" s="1141" t="str">
        <x:v>https://arxiv.org/abs/2606.15617</x:v>
      </x:c>
    </x:row>
    <x:row r="45" ht="88.5" customHeight="1">
      <x:c r="A45" s="1143" t="str">
        <x:v>GS-01-052</x:v>
      </x:c>
      <x:c r="B45" s="1141" t="str">
        <x:v>ViConEx-Med: Visual Concept Explainability via Multi-Concept Token Transformer for Medical Image Analysis — C Patricio. .F Teixeis .C Neves (2025)</x:v>
      </x:c>
      <x:c r="C45" s="1141" t="str">
        <x:v>Contextual medical concept-XAI evidence</x:v>
      </x:c>
      <x:c r="D45" s="1141" t="str">
        <x:v>Preprint</x:v>
      </x:c>
      <x:c r="E45" s="1143" t="str">
        <x:v>NR</x:v>
      </x:c>
      <x:c r="F45" s="1143" t="str">
        <x:v>NR</x:v>
      </x:c>
      <x:c r="G45" s="1143" t="str">
        <x:v>NR</x:v>
      </x:c>
      <x:c r="H45" s="1143" t="str">
        <x:v>NR</x:v>
      </x:c>
      <x:c r="I45" s="1143" t="str">
        <x:v>NR</x:v>
      </x:c>
      <x:c r="J45" s="1143" t="n">
        <x:v>2</x:v>
      </x:c>
      <x:c r="K45" s="1143" t="n">
        <x:v>1</x:v>
      </x:c>
      <x:c r="L45" s="1143" t="str">
        <x:v>NR</x:v>
      </x:c>
      <x:c r="M45" s="1143" t="str">
        <x:v>NR</x:v>
      </x:c>
      <x:c r="N45" s="1143" t="n">
        <x:f>COUNT(E45:M45)</x:f>
        <x:v>2</x:v>
      </x:c>
      <x:c r="O45" s="1143" t="n">
        <x:f>SUM(E45:M45)</x:f>
        <x:v>3</x:v>
      </x:c>
      <x:c r="P45" s="1143" t="n">
        <x:f>N45*2</x:f>
        <x:v>4</x:v>
      </x:c>
      <x:c r="Q45" s="1145" t="n">
        <x:f>IF(P45=0,"",O45/P45)</x:f>
        <x:v>0.75</x:v>
      </x:c>
      <x:c r="R45" s="1145" t="n">
        <x:f>N45/9</x:f>
        <x:v>0.2222222222222222</x:v>
      </x:c>
      <x:c r="S45" s="1143" t="str">
        <x:f>IF(N45&lt;2,"Insufficiently reported",IF(AND(R45&gt;=0.67,Q45&gt;=0.75),"Higher strength on available evidence",IF(AND(R45&gt;=0.44,Q45&gt;=0.5),"Moderate strength / some concerns","Low strength or major reporting gaps")))</x:f>
        <x:v>Low strength or major reporting gaps</x:v>
      </x:c>
      <x:c r="T45" s="1143" t="str">
        <x:f>IF(COUNT(F45:H45)&lt;2,"Unclear — insufficient reporting",IF(COUNTIF(F45:H45,0)&gt;0,"High concern on available evidence",IF(AND(F45=2,G45=2,H45=2),"Lower concern on available evidence","Some concerns on available evidence")))</x:f>
        <x:v>Unclear — insufficient reporting</x:v>
      </x:c>
      <x:c r="U45" s="1141" t="str">
        <x:v>Code availability 2: Public code/repository availability is explicitly reported. | Explanation faithfulness 1: A proxy or qualitative concept/explanation assessment is reported, but not a direct quantitative faithfulness test.</x:v>
      </x:c>
      <x:c r="V45" s="1141" t="str">
        <x:v>Moderate — complete preprint abstract</x:v>
      </x:c>
      <x:c r="W45" s="1141" t="str">
        <x:v>https://arxiv.org/abs/2510.10174</x:v>
      </x:c>
    </x:row>
    <x:row r="46" ht="88.5" customHeight="1">
      <x:c r="A46" s="1143" t="str">
        <x:v>GS-01-054</x:v>
      </x:c>
      <x:c r="B46" s="1141" t="str">
        <x:v>XDR-LVLM: An Explainable Vision-Language Large Model for Diabetic Retinopathy Diagnosis — M lio. K Tanaka K Matsuds. A Nakaysma (2025)</x:v>
      </x:c>
      <x:c r="C46" s="1141" t="str">
        <x:v>Direct retinal/ophthalmic evidence</x:v>
      </x:c>
      <x:c r="D46" s="1141" t="str">
        <x:v>Preprint</x:v>
      </x:c>
      <x:c r="E46" s="1143" t="n">
        <x:v>1</x:v>
      </x:c>
      <x:c r="F46" s="1143" t="str">
        <x:v>NR</x:v>
      </x:c>
      <x:c r="G46" s="1143" t="str">
        <x:v>NR</x:v>
      </x:c>
      <x:c r="H46" s="1143" t="str">
        <x:v>NR</x:v>
      </x:c>
      <x:c r="I46" s="1143" t="str">
        <x:v>NR</x:v>
      </x:c>
      <x:c r="J46" s="1143" t="str">
        <x:v>NR</x:v>
      </x:c>
      <x:c r="K46" s="1143" t="str">
        <x:v>NR</x:v>
      </x:c>
      <x:c r="L46" s="1143" t="n">
        <x:v>1</x:v>
      </x:c>
      <x:c r="M46" s="1143" t="str">
        <x:v>NR</x:v>
      </x:c>
      <x:c r="N46" s="1143" t="n">
        <x:f>COUNT(E46:M46)</x:f>
        <x:v>2</x:v>
      </x:c>
      <x:c r="O46" s="1143" t="n">
        <x:f>SUM(E46:M46)</x:f>
        <x:v>2</x:v>
      </x:c>
      <x:c r="P46" s="1143" t="n">
        <x:f>N46*2</x:f>
        <x:v>4</x:v>
      </x:c>
      <x:c r="Q46" s="1145" t="n">
        <x:f>IF(P46=0,"",O46/P46)</x:f>
        <x:v>0.5</x:v>
      </x:c>
      <x:c r="R46" s="1145" t="n">
        <x:f>N46/9</x:f>
        <x:v>0.2222222222222222</x:v>
      </x:c>
      <x:c r="S46" s="1143" t="str">
        <x:f>IF(N46&lt;2,"Insufficiently reported",IF(AND(R46&gt;=0.67,Q46&gt;=0.75),"Higher strength on available evidence",IF(AND(R46&gt;=0.44,Q46&gt;=0.5),"Moderate strength / some concerns","Low strength or major reporting gaps")))</x:f>
        <x:v>Low strength or major reporting gaps</x:v>
      </x:c>
      <x:c r="T46" s="1143" t="str">
        <x:f>IF(COUNT(F46:H46)&lt;2,"Unclear — insufficient reporting",IF(COUNTIF(F46:H46,0)&gt;0,"High concern on available evidence",IF(AND(F46=2,G46=2,H46=2),"Lower concern on available evidence","Some concerns on available evidence")))</x:f>
        <x:v>Unclear — insufficient reporting</x:v>
      </x:c>
      <x:c r="U46" s="1141" t="str">
        <x:v>Dataset/sample 1: DDR. Extensive experiments on the Diabetic Retinopathy (DDR) dataset demonstrate that XDR-LVLM achieves state-of-the-art performance, with a Balanced Accuracy of 84.55% and an F1 Score of 79.92% for disease diagnosis, and superior results for concept detection (77.95% BACC, 66.88% F1). | Robustness/stability 1: Limited robustness/generalisation or sensitivity evidence is reported.</x:v>
      </x:c>
      <x:c r="V46" s="1141" t="str">
        <x:v>Moderate — complete preprint abstract</x:v>
      </x:c>
      <x:c r="W46" s="1141" t="str">
        <x:v>https://arxiv.org/abs/2508.15168</x:v>
      </x:c>
    </x:row>
    <x:row r="47" ht="88.5" customHeight="1">
      <x:c r="A47" s="1143" t="str">
        <x:v>GS-01-055</x:v>
      </x:c>
      <x:c r="B47" s="1141" t="str">
        <x:v>Explainability Through Human-Centric Design for XAI in Lung Cancer Detection — ARafery RRamags: 4 Rajan (2025)</x:v>
      </x:c>
      <x:c r="C47" s="1141" t="str">
        <x:v>Contextual medical concept-XAI evidence</x:v>
      </x:c>
      <x:c r="D47" s="1141" t="str">
        <x:v>Preprint</x:v>
      </x:c>
      <x:c r="E47" s="1143" t="n">
        <x:v>1</x:v>
      </x:c>
      <x:c r="F47" s="1143" t="str">
        <x:v>NR</x:v>
      </x:c>
      <x:c r="G47" s="1143" t="str">
        <x:v>NR</x:v>
      </x:c>
      <x:c r="H47" s="1143" t="n">
        <x:v>1</x:v>
      </x:c>
      <x:c r="I47" s="1143" t="n">
        <x:v>1</x:v>
      </x:c>
      <x:c r="J47" s="1143" t="str">
        <x:v>NR</x:v>
      </x:c>
      <x:c r="K47" s="1143" t="n">
        <x:v>1</x:v>
      </x:c>
      <x:c r="L47" s="1143" t="n">
        <x:v>1</x:v>
      </x:c>
      <x:c r="M47" s="1143" t="str">
        <x:v>NR</x:v>
      </x:c>
      <x:c r="N47" s="1143" t="n">
        <x:f>COUNT(E47:M47)</x:f>
        <x:v>5</x:v>
      </x:c>
      <x:c r="O47" s="1143" t="n">
        <x:f>SUM(E47:M47)</x:f>
        <x:v>5</x:v>
      </x:c>
      <x:c r="P47" s="1143" t="n">
        <x:f>N47*2</x:f>
        <x:v>10</x:v>
      </x:c>
      <x:c r="Q47" s="1145" t="n">
        <x:f>IF(P47=0,"",O47/P47)</x:f>
        <x:v>0.5</x:v>
      </x:c>
      <x:c r="R47" s="1145" t="n">
        <x:f>N47/9</x:f>
        <x:v>0.5555555555555556</x:v>
      </x:c>
      <x:c r="S47" s="1143" t="str">
        <x:f>IF(N47&lt;2,"Insufficiently reported",IF(AND(R47&gt;=0.67,Q47&gt;=0.75),"Higher strength on available evidence",IF(AND(R47&gt;=0.44,Q47&gt;=0.5),"Moderate strength / some concerns","Low strength or major reporting gaps")))</x:f>
        <x:v>Moderate strength / some concerns</x:v>
      </x:c>
      <x:c r="T47" s="1143" t="str">
        <x:f>IF(COUNT(F47:H47)&lt;2,"Unclear — insufficient reporting",IF(COUNTIF(F47:H47,0)&gt;0,"High concern on available evidence",IF(AND(F47=2,G47=2,H47=2),"Lower concern on available evidence","Some concerns on available evidence")))</x:f>
        <x:v>Unclear — insufficient reporting</x:v>
      </x:c>
      <x:c r="U47" s="1141" t="str">
        <x:v>Dataset/sample 1: Using a high-performing InceptionV3-based classifier and a public dataset of chest X-rays with radiology reports, we compare XpertXAI against leading post-hoc explainability methods and an unsupervised CBM, XCBs.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1: Limited robustness/generalisation or sensitivity evidence is reported.</x:v>
      </x:c>
      <x:c r="V47" s="1141" t="str">
        <x:v>Moderate — complete preprint abstract</x:v>
      </x:c>
      <x:c r="W47" s="1141" t="str">
        <x:v>https://arxiv.org/abs/2505.09755</x:v>
      </x:c>
    </x:row>
    <x:row r="48" ht="88.5" customHeight="1">
      <x:c r="A48" s="1143" t="str">
        <x:v>GS-01-056</x:v>
      </x:c>
      <x:c r="B48" s="1141" t="str">
        <x:v>Semi-Supervised Concept Infused Pseudo-Label Refining for Interpretable Diabetic Retinopathy Grading — ¥ Gao Ci\¥en, 4h QTan Ye (2026)</x:v>
      </x:c>
      <x:c r="C48" s="1141" t="str">
        <x:v>Direct retinal/ophthalmic evidence</x:v>
      </x:c>
      <x:c r="D48" s="1141" t="str">
        <x:v>Other/unclear report type</x:v>
      </x:c>
      <x:c r="E48" s="1143" t="str">
        <x:v>NR</x:v>
      </x:c>
      <x:c r="F48" s="1143" t="n">
        <x:v>1</x:v>
      </x:c>
      <x:c r="G48" s="1143" t="str">
        <x:v>NR</x:v>
      </x:c>
      <x:c r="H48" s="1143" t="n">
        <x:v>0</x:v>
      </x:c>
      <x:c r="I48" s="1143" t="str">
        <x:v>NR</x:v>
      </x:c>
      <x:c r="J48" s="1143" t="str">
        <x:v>NR</x:v>
      </x:c>
      <x:c r="K48" s="1143" t="n">
        <x:v>1</x:v>
      </x:c>
      <x:c r="L48" s="1143" t="str">
        <x:v>NR</x:v>
      </x:c>
      <x:c r="M48" s="1143" t="str">
        <x:v>NR</x:v>
      </x:c>
      <x:c r="N48" s="1143" t="n">
        <x:f>COUNT(E48:M48)</x:f>
        <x:v>3</x:v>
      </x:c>
      <x:c r="O48" s="1143" t="n">
        <x:f>SUM(E48:M48)</x:f>
        <x:v>2</x:v>
      </x:c>
      <x:c r="P48" s="1143" t="n">
        <x:f>N48*2</x:f>
        <x:v>6</x:v>
      </x:c>
      <x:c r="Q48" s="1145" t="n">
        <x:f>IF(P48=0,"",O48/P48)</x:f>
        <x:v>0.3333333333333333</x:v>
      </x:c>
      <x:c r="R48" s="1145" t="n">
        <x:f>N48/9</x:f>
        <x:v>0.3333333333333333</x:v>
      </x:c>
      <x:c r="S48" s="1143" t="str">
        <x:f>IF(N48&lt;2,"Insufficiently reported",IF(AND(R48&gt;=0.67,Q48&gt;=0.75),"Higher strength on available evidence",IF(AND(R48&gt;=0.44,Q48&gt;=0.5),"Moderate strength / some concerns","Low strength or major reporting gaps")))</x:f>
        <x:v>Low strength or major reporting gaps</x:v>
      </x:c>
      <x:c r="T48" s="1143" t="str">
        <x:f>IF(COUNT(F48:H48)&lt;2,"Unclear — insufficient reporting",IF(COUNTIF(F48:H48,0)&gt;0,"High concern on available evidence",IF(AND(F48=2,G48=2,H48=2),"Lower concern on available evidence","Some concerns on available evidence")))</x:f>
        <x:v>High concern on available evidence</x:v>
      </x:c>
      <x:c r="U48" s="1141" t="str">
        <x:v>External validation 1: Internal held-out, cross-validation, or multi-dataset evaluation is reported, but institutional independence is unclear. | Annotation quality 0: Weak or pseudo labels are reported without an explicit expert-quality process in the abstract. | Explanation faithfulness 1: A proxy or qualitative concept/explanation assessment is reported, but not a direct quantitative faithfulness test.</x:v>
      </x:c>
      <x:c r="V48" s="1141" t="str">
        <x:v>Moderate — complete scholarly-record abstract</x:v>
      </x:c>
      <x:c r="W48" s="1141" t="str">
        <x:v>https://doi.org/10.1109/ICASSP55912.2026.11462792</x:v>
      </x:c>
    </x:row>
    <x:row r="49" ht="88.5" customHeight="1">
      <x:c r="A49" s="1143" t="str">
        <x:v>GS-01-058</x:v>
      </x:c>
      <x:c r="B49" s="1141" t="str">
        <x:v>Open-Linguistic Concept Unified Learning for Cross-Site Interpretable Dermatology Image Diagnosis — Cy ddan luo, Wang Vien (2026)</x:v>
      </x:c>
      <x:c r="C49" s="1141" t="str">
        <x:v>Contextual medical concept-XAI evidence</x:v>
      </x:c>
      <x:c r="D49" s="1141" t="str">
        <x:v>Preprint</x:v>
      </x:c>
      <x:c r="E49" s="1143" t="str">
        <x:v>NR</x:v>
      </x:c>
      <x:c r="F49" s="1143" t="n">
        <x:v>2</x:v>
      </x:c>
      <x:c r="G49" s="1143" t="str">
        <x:v>NR</x:v>
      </x:c>
      <x:c r="H49" s="1143" t="n">
        <x:v>1</x:v>
      </x:c>
      <x:c r="I49" s="1143" t="n">
        <x:v>1</x:v>
      </x:c>
      <x:c r="J49" s="1143" t="n">
        <x:v>2</x:v>
      </x:c>
      <x:c r="K49" s="1143" t="n">
        <x:v>1</x:v>
      </x:c>
      <x:c r="L49" s="1143" t="n">
        <x:v>2</x:v>
      </x:c>
      <x:c r="M49" s="1143" t="str">
        <x:v>NR</x:v>
      </x:c>
      <x:c r="N49" s="1143" t="n">
        <x:f>COUNT(E49:M49)</x:f>
        <x:v>6</x:v>
      </x:c>
      <x:c r="O49" s="1143" t="n">
        <x:f>SUM(E49:M49)</x:f>
        <x:v>9</x:v>
      </x:c>
      <x:c r="P49" s="1143" t="n">
        <x:f>N49*2</x:f>
        <x:v>12</x:v>
      </x:c>
      <x:c r="Q49" s="1145" t="n">
        <x:f>IF(P49=0,"",O49/P49)</x:f>
        <x:v>0.75</x:v>
      </x:c>
      <x:c r="R49" s="1145" t="n">
        <x:f>N49/9</x:f>
        <x:v>0.6666666666666666</x:v>
      </x:c>
      <x:c r="S49" s="1143" t="str">
        <x:f>IF(N49&lt;2,"Insufficiently reported",IF(AND(R49&gt;=0.67,Q49&gt;=0.75),"Higher strength on available evidence",IF(AND(R49&gt;=0.44,Q49&gt;=0.5),"Moderate strength / some concerns","Low strength or major reporting gaps")))</x:f>
        <x:v>Moderate strength / some concerns</x:v>
      </x:c>
      <x:c r="T49" s="1143" t="str">
        <x:f>IF(COUNT(F49:H49)&lt;2,"Unclear — insufficient reporting",IF(COUNTIF(F49:H49,0)&gt;0,"High concern on available evidence",IF(AND(F49=2,G49=2,H49=2),"Lower concern on available evidence","Some concerns on available evidence")))</x:f>
        <x:v>Some concerns on available evidence</x:v>
      </x:c>
      <x:c r="U49" s="1141" t="str">
        <x:v>External validation 2: Independent/external or cross-site validation is explicitly reported. | Annotation quality 1: Clinical-expert annotation or reference assessment is reported, but consensus/adjudication is unclear. | Ophthalmologist involvement 1: Clinical-expert involvement or comparison is mentioned, but its role is limited or incompletely described. | Code availability 2: Public code/repository availability is explicitly reported. | Explanation faithfulness 1: A proxy or qualitative concept/explanation assessment is reported, but not a direct quantitative faithfulness test. | Robustness/stability 2: Systematic robustness, stability, external generalisation, adversarial, or OOD evaluation is reported.</x:v>
      </x:c>
      <x:c r="V49" s="1141" t="str">
        <x:v>Moderate — complete preprint abstract</x:v>
      </x:c>
      <x:c r="W49" s="1141" t="str">
        <x:v>https://arxiv.org/abs/2608.03225</x:v>
      </x:c>
    </x:row>
    <x:row r="50" ht="88.5" customHeight="1">
      <x:c r="A50" s="1143" t="str">
        <x:v>GS-01-062</x:v>
      </x:c>
      <x:c r="B50" s="1141" t="str">
        <x:v>Aligning Human Knowledge with Visual Concepts Towards Explainable Medical Image Classification — ¥Gae.D Gu MZhot DO Metaxas (2024)</x:v>
      </x:c>
      <x:c r="C50" s="1141" t="str">
        <x:v>Contextual medical concept-XAI evidence</x:v>
      </x:c>
      <x:c r="D50" s="1141" t="str">
        <x:v>Conference paper</x:v>
      </x:c>
      <x:c r="E50" s="1143" t="str">
        <x:v>NR</x:v>
      </x:c>
      <x:c r="F50" s="1143" t="str">
        <x:v>NR</x:v>
      </x:c>
      <x:c r="G50" s="1143" t="str">
        <x:v>NR</x:v>
      </x:c>
      <x:c r="H50" s="1143" t="str">
        <x:v>NR</x:v>
      </x:c>
      <x:c r="I50" s="1143" t="n">
        <x:v>1</x:v>
      </x:c>
      <x:c r="J50" s="1143" t="n">
        <x:v>2</x:v>
      </x:c>
      <x:c r="K50" s="1143" t="n">
        <x:v>1</x:v>
      </x:c>
      <x:c r="L50" s="1143" t="str">
        <x:v>NR</x:v>
      </x:c>
      <x:c r="M50" s="1143" t="str">
        <x:v>NR</x:v>
      </x:c>
      <x:c r="N50" s="1143" t="n">
        <x:f>COUNT(E50:M50)</x:f>
        <x:v>3</x:v>
      </x:c>
      <x:c r="O50" s="1143" t="n">
        <x:f>SUM(E50:M50)</x:f>
        <x:v>4</x:v>
      </x:c>
      <x:c r="P50" s="1143" t="n">
        <x:f>N50*2</x:f>
        <x:v>6</x:v>
      </x:c>
      <x:c r="Q50" s="1145" t="n">
        <x:f>IF(P50=0,"",O50/P50)</x:f>
        <x:v>0.6666666666666666</x:v>
      </x:c>
      <x:c r="R50" s="1145" t="n">
        <x:f>N50/9</x:f>
        <x:v>0.3333333333333333</x:v>
      </x:c>
      <x:c r="S50" s="1143" t="str">
        <x:f>IF(N50&lt;2,"Insufficiently reported",IF(AND(R50&gt;=0.67,Q50&gt;=0.75),"Higher strength on available evidence",IF(AND(R50&gt;=0.44,Q50&gt;=0.5),"Moderate strength / some concerns","Low strength or major reporting gaps")))</x:f>
        <x:v>Low strength or major reporting gaps</x:v>
      </x:c>
      <x:c r="T50" s="1143" t="str">
        <x:f>IF(COUNT(F50:H50)&lt;2,"Unclear — insufficient reporting",IF(COUNTIF(F50:H50,0)&gt;0,"High concern on available evidence",IF(AND(F50=2,G50=2,H50=2),"Lower concern on available evidence","Some concerns on available evidence")))</x:f>
        <x:v>Unclear — insufficient reporting</x:v>
      </x:c>
      <x:c r="U50" s="1141" t="str">
        <x:v>Ophthalmologist involvement 1: Clinical-expert involvement or comparison is mentioned, but its role is limited or incompletely described. | Code availability 2: Public code/repository availability is explicitly reported. | Explanation faithfulness 1: A proxy or qualitative concept/explanation assessment is reported, but not a direct quantitative faithfulness test.</x:v>
      </x:c>
      <x:c r="V50" s="1141" t="str">
        <x:v>Moderate — complete preprint abstract</x:v>
      </x:c>
      <x:c r="W50" s="1141" t="str">
        <x:v>https://arxiv.org/abs/2406.05596</x:v>
      </x:c>
    </x:row>
    <x:row r="51" ht="88.5" customHeight="1">
      <x:c r="A51" s="1143" t="str">
        <x:v>GS-01-063</x:v>
      </x:c>
      <x:c r="B51" s="1141" t="str">
        <x:v>Interpretable Neuropsychiatric Diagnosis via Concept-Guided Graph Neural Networks — S Wang ZLei ZTan JLi JRasep AZrang. ~- arXiv praprintarXiy 2025 (2025)</x:v>
      </x:c>
      <x:c r="C51" s="1141" t="str">
        <x:v>Contextual medical concept-XAI evidence</x:v>
      </x:c>
      <x:c r="D51" s="1141" t="str">
        <x:v>Preprint</x:v>
      </x:c>
      <x:c r="E51" s="1143" t="str">
        <x:v>NR</x:v>
      </x:c>
      <x:c r="F51" s="1143" t="str">
        <x:v>NR</x:v>
      </x:c>
      <x:c r="G51" s="1143" t="str">
        <x:v>NR</x:v>
      </x:c>
      <x:c r="H51" s="1143" t="str">
        <x:v>NR</x:v>
      </x:c>
      <x:c r="I51" s="1143" t="str">
        <x:v>NR</x:v>
      </x:c>
      <x:c r="J51" s="1143" t="str">
        <x:v>NR</x:v>
      </x:c>
      <x:c r="K51" s="1143" t="n">
        <x:v>1</x:v>
      </x:c>
      <x:c r="L51" s="1143" t="str">
        <x:v>NR</x:v>
      </x:c>
      <x:c r="M51" s="1143" t="str">
        <x:v>NR</x:v>
      </x:c>
      <x:c r="N51" s="1143" t="n">
        <x:f>COUNT(E51:M51)</x:f>
        <x:v>1</x:v>
      </x:c>
      <x:c r="O51" s="1143" t="n">
        <x:f>SUM(E51:M51)</x:f>
        <x:v>1</x:v>
      </x:c>
      <x:c r="P51" s="1143" t="n">
        <x:f>N51*2</x:f>
        <x:v>2</x:v>
      </x:c>
      <x:c r="Q51" s="1145" t="n">
        <x:f>IF(P51=0,"",O51/P51)</x:f>
        <x:v>0.5</x:v>
      </x:c>
      <x:c r="R51" s="1145" t="n">
        <x:f>N51/9</x:f>
        <x:v>0.1111111111111111</x:v>
      </x:c>
      <x:c r="S51" s="1143" t="str">
        <x:f>IF(N51&lt;2,"Insufficiently reported",IF(AND(R51&gt;=0.67,Q51&gt;=0.75),"Higher strength on available evidence",IF(AND(R51&gt;=0.44,Q51&gt;=0.5),"Moderate strength / some concerns","Low strength or major reporting gaps")))</x:f>
        <x:v>Insufficiently reported</x:v>
      </x:c>
      <x:c r="T51" s="1143" t="str">
        <x:f>IF(COUNT(F51:H51)&lt;2,"Unclear — insufficient reporting",IF(COUNTIF(F51:H51,0)&gt;0,"High concern on available evidence",IF(AND(F51=2,G51=2,H51=2),"Lower concern on available evidence","Some concerns on available evidence")))</x:f>
        <x:v>Unclear — insufficient reporting</x:v>
      </x:c>
      <x:c r="U51" s="1141" t="str">
        <x:v>Explanation faithfulness 1: A proxy or qualitative concept/explanation assessment is reported, but not a direct quantitative faithfulness test.</x:v>
      </x:c>
      <x:c r="V51" s="1141" t="str">
        <x:v>Moderate — complete preprint abstract</x:v>
      </x:c>
      <x:c r="W51" s="1141" t="str">
        <x:v>https://arxiv.org/abs/2510.03351</x:v>
      </x:c>
    </x:row>
    <x:row r="52" ht="88.5" customHeight="1">
      <x:c r="A52" s="1143" t="str">
        <x:v>GS-01-071</x:v>
      </x:c>
      <x:c r="B52" s="1141" t="str">
        <x:v>Aligning Characteristic Descriptors with Images for Human-Expert-like Explainability — BC Yalavarthi N Ratha (2024)</x:v>
      </x:c>
      <x:c r="C52" s="1141" t="str">
        <x:v>Contextual medical concept-XAI evidence</x:v>
      </x:c>
      <x:c r="D52" s="1141" t="str">
        <x:v>Preprint</x:v>
      </x:c>
      <x:c r="E52" s="1143" t="str">
        <x:v>NR</x:v>
      </x:c>
      <x:c r="F52" s="1143" t="str">
        <x:v>NR</x:v>
      </x:c>
      <x:c r="G52" s="1143" t="str">
        <x:v>NR</x:v>
      </x:c>
      <x:c r="H52" s="1143" t="str">
        <x:v>NR</x:v>
      </x:c>
      <x:c r="I52" s="1143" t="n">
        <x:v>1</x:v>
      </x:c>
      <x:c r="J52" s="1143" t="str">
        <x:v>NR</x:v>
      </x:c>
      <x:c r="K52" s="1143" t="n">
        <x:v>2</x:v>
      </x:c>
      <x:c r="L52" s="1143" t="str">
        <x:v>NR</x:v>
      </x:c>
      <x:c r="M52" s="1143" t="str">
        <x:v>NR</x:v>
      </x:c>
      <x:c r="N52" s="1143" t="n">
        <x:f>COUNT(E52:M52)</x:f>
        <x:v>2</x:v>
      </x:c>
      <x:c r="O52" s="1143" t="n">
        <x:f>SUM(E52:M52)</x:f>
        <x:v>3</x:v>
      </x:c>
      <x:c r="P52" s="1143" t="n">
        <x:f>N52*2</x:f>
        <x:v>4</x:v>
      </x:c>
      <x:c r="Q52" s="1145" t="n">
        <x:f>IF(P52=0,"",O52/P52)</x:f>
        <x:v>0.75</x:v>
      </x:c>
      <x:c r="R52" s="1145" t="n">
        <x:f>N52/9</x:f>
        <x:v>0.2222222222222222</x:v>
      </x:c>
      <x:c r="S52" s="1143" t="str">
        <x:f>IF(N52&lt;2,"Insufficiently reported",IF(AND(R52&gt;=0.67,Q52&gt;=0.75),"Higher strength on available evidence",IF(AND(R52&gt;=0.44,Q52&gt;=0.5),"Moderate strength / some concerns","Low strength or major reporting gaps")))</x:f>
        <x:v>Low strength or major reporting gaps</x:v>
      </x:c>
      <x:c r="T52" s="1143" t="str">
        <x:f>IF(COUNT(F52:H52)&lt;2,"Unclear — insufficient reporting",IF(COUNTIF(F52:H52,0)&gt;0,"High concern on available evidence",IF(AND(F52=2,G52=2,H52=2),"Lower concern on available evidence","Some concerns on available evidence")))</x:f>
        <x:v>Unclear — insufficient reporting</x:v>
      </x:c>
      <x:c r="U52" s="1141" t="str">
        <x:v>Ophthalmologist involvement 1: Clinical-expert involvement or comparison is mentioned, but its role is limited or incompletely described. | Explanation faithfulness 2: A quantitative faithfulness, intervention, perturbation, causal, fidelity, or ablation evaluation is reported.</x:v>
      </x:c>
      <x:c r="V52" s="1141" t="str">
        <x:v>Moderate — complete preprint abstract</x:v>
      </x:c>
      <x:c r="W52" s="1141" t="str">
        <x:v>https://arxiv.org/abs/2411.04008</x:v>
      </x:c>
    </x:row>
    <x:row r="53" ht="88.5" customHeight="1">
      <x:c r="A53" s="1143" t="str">
        <x:v>GS-01-076</x:v>
      </x:c>
      <x:c r="B53" s="1141" t="str">
        <x:v>Naming the Concepts Classifiers Rely On: Language-Anchored Decomposition for Faithful Explanation — AH Akash. 2 Bhusal. S Jones, DAAdjeroh = (2026)</x:v>
      </x:c>
      <x:c r="C53" s="1141" t="str">
        <x:v>Contextual medical concept-XAI evidence</x:v>
      </x:c>
      <x:c r="D53" s="1141" t="str">
        <x:v>Preprint</x:v>
      </x:c>
      <x:c r="E53" s="1143" t="str">
        <x:v>NR</x:v>
      </x:c>
      <x:c r="F53" s="1143" t="str">
        <x:v>NR</x:v>
      </x:c>
      <x:c r="G53" s="1143" t="str">
        <x:v>NR</x:v>
      </x:c>
      <x:c r="H53" s="1143" t="str">
        <x:v>NR</x:v>
      </x:c>
      <x:c r="I53" s="1143" t="str">
        <x:v>NR</x:v>
      </x:c>
      <x:c r="J53" s="1143" t="str">
        <x:v>NR</x:v>
      </x:c>
      <x:c r="K53" s="1143" t="n">
        <x:v>2</x:v>
      </x:c>
      <x:c r="L53" s="1143" t="str">
        <x:v>NR</x:v>
      </x:c>
      <x:c r="M53" s="1143" t="str">
        <x:v>NR</x:v>
      </x:c>
      <x:c r="N53" s="1143" t="n">
        <x:f>COUNT(E53:M53)</x:f>
        <x:v>1</x:v>
      </x:c>
      <x:c r="O53" s="1143" t="n">
        <x:f>SUM(E53:M53)</x:f>
        <x:v>2</x:v>
      </x:c>
      <x:c r="P53" s="1143" t="n">
        <x:f>N53*2</x:f>
        <x:v>2</x:v>
      </x:c>
      <x:c r="Q53" s="1145" t="n">
        <x:f>IF(P53=0,"",O53/P53)</x:f>
        <x:v>1</x:v>
      </x:c>
      <x:c r="R53" s="1145" t="n">
        <x:f>N53/9</x:f>
        <x:v>0.1111111111111111</x:v>
      </x:c>
      <x:c r="S53" s="1143" t="str">
        <x:f>IF(N53&lt;2,"Insufficiently reported",IF(AND(R53&gt;=0.67,Q53&gt;=0.75),"Higher strength on available evidence",IF(AND(R53&gt;=0.44,Q53&gt;=0.5),"Moderate strength / some concerns","Low strength or major reporting gaps")))</x:f>
        <x:v>Insufficiently reported</x:v>
      </x:c>
      <x:c r="T53" s="1143" t="str">
        <x:f>IF(COUNT(F53:H53)&lt;2,"Unclear — insufficient reporting",IF(COUNTIF(F53:H53,0)&gt;0,"High concern on available evidence",IF(AND(F53=2,G53=2,H53=2),"Lower concern on available evidence","Some concerns on available evidence")))</x:f>
        <x:v>Unclear — insufficient reporting</x:v>
      </x:c>
      <x:c r="U53" s="1141" t="str">
        <x:v>Explanation faithfulness 2: A quantitative faithfulness, intervention, perturbation, causal, fidelity, or ablation evaluation is reported.</x:v>
      </x:c>
      <x:c r="V53" s="1141" t="str">
        <x:v>Moderate — complete preprint abstract</x:v>
      </x:c>
      <x:c r="W53" s="1141" t="str">
        <x:v>https://arxiv.org/abs/2607.07264</x:v>
      </x:c>
    </x:row>
    <x:row r="54" ht="88.5" customHeight="1">
      <x:c r="A54" s="1143" t="str">
        <x:v>GS-01-078</x:v>
      </x:c>
      <x:c r="B54" s="1141" t="str">
        <x:v>A Tool Bottleneck Framework for Clinically-Informed and Interpretable Medical Image Understanding — Clip 4G Wang. JHsy. J Ws EAdelj (2025)</x:v>
      </x:c>
      <x:c r="C54" s="1141" t="str">
        <x:v>Contextual medical concept-XAI evidence</x:v>
      </x:c>
      <x:c r="D54" s="1141" t="str">
        <x:v>Preprint</x:v>
      </x:c>
      <x:c r="E54" s="1143" t="str">
        <x:v>NR</x:v>
      </x:c>
      <x:c r="F54" s="1143" t="str">
        <x:v>NR</x:v>
      </x:c>
      <x:c r="G54" s="1143" t="str">
        <x:v>NR</x:v>
      </x:c>
      <x:c r="H54" s="1143" t="str">
        <x:v>NR</x:v>
      </x:c>
      <x:c r="I54" s="1143" t="str">
        <x:v>NR</x:v>
      </x:c>
      <x:c r="J54" s="1143" t="n">
        <x:v>2</x:v>
      </x:c>
      <x:c r="K54" s="1143" t="n">
        <x:v>1</x:v>
      </x:c>
      <x:c r="L54" s="1143" t="str">
        <x:v>NR</x:v>
      </x:c>
      <x:c r="M54" s="1143" t="str">
        <x:v>NR</x:v>
      </x:c>
      <x:c r="N54" s="1143" t="n">
        <x:f>COUNT(E54:M54)</x:f>
        <x:v>2</x:v>
      </x:c>
      <x:c r="O54" s="1143" t="n">
        <x:f>SUM(E54:M54)</x:f>
        <x:v>3</x:v>
      </x:c>
      <x:c r="P54" s="1143" t="n">
        <x:f>N54*2</x:f>
        <x:v>4</x:v>
      </x:c>
      <x:c r="Q54" s="1145" t="n">
        <x:f>IF(P54=0,"",O54/P54)</x:f>
        <x:v>0.75</x:v>
      </x:c>
      <x:c r="R54" s="1145" t="n">
        <x:f>N54/9</x:f>
        <x:v>0.2222222222222222</x:v>
      </x:c>
      <x:c r="S54" s="1143" t="str">
        <x:f>IF(N54&lt;2,"Insufficiently reported",IF(AND(R54&gt;=0.67,Q54&gt;=0.75),"Higher strength on available evidence",IF(AND(R54&gt;=0.44,Q54&gt;=0.5),"Moderate strength / some concerns","Low strength or major reporting gaps")))</x:f>
        <x:v>Low strength or major reporting gaps</x:v>
      </x:c>
      <x:c r="T54" s="1143" t="str">
        <x:f>IF(COUNT(F54:H54)&lt;2,"Unclear — insufficient reporting",IF(COUNTIF(F54:H54,0)&gt;0,"High concern on available evidence",IF(AND(F54=2,G54=2,H54=2),"Lower concern on available evidence","Some concerns on available evidence")))</x:f>
        <x:v>Unclear — insufficient reporting</x:v>
      </x:c>
      <x:c r="U54" s="1141" t="str">
        <x:v>Code availability 2: Public code/repository availability is explicitly reported. | Explanation faithfulness 1: A proxy or qualitative concept/explanation assessment is reported, but not a direct quantitative faithfulness test.</x:v>
      </x:c>
      <x:c r="V54" s="1141" t="str">
        <x:v>Moderate — complete preprint abstract</x:v>
      </x:c>
      <x:c r="W54" s="1141" t="str">
        <x:v>https://arxiv.org/abs/2512.21414</x:v>
      </x:c>
    </x:row>
    <x:row r="55" ht="88.5" customHeight="1">
      <x:c r="A55" s="1143" t="str">
        <x:v>GS-01-088</x:v>
      </x:c>
      <x:c r="B55" s="1141" t="str">
        <x:v>An Explainable Biomedical Foundation Model via Large-Scale Concept-Enhanced Vision-Language Pre-training — YNie SHe Y Bie ¥ Wang ZChen S$¥ang -a‘XivpraprintarX ©2125</x:v>
      </x:c>
      <x:c r="C55" s="1141" t="str">
        <x:v>Contextual medical concept-XAI evidence</x:v>
      </x:c>
      <x:c r="D55" s="1141" t="str">
        <x:v>Preprint</x:v>
      </x:c>
      <x:c r="E55" s="1143" t="n">
        <x:v>1</x:v>
      </x:c>
      <x:c r="F55" s="1143" t="str">
        <x:v>NR</x:v>
      </x:c>
      <x:c r="G55" s="1143" t="str">
        <x:v>NR</x:v>
      </x:c>
      <x:c r="H55" s="1143" t="n">
        <x:v>1</x:v>
      </x:c>
      <x:c r="I55" s="1143" t="n">
        <x:v>1</x:v>
      </x:c>
      <x:c r="J55" s="1143" t="str">
        <x:v>NR</x:v>
      </x:c>
      <x:c r="K55" s="1143" t="n">
        <x:v>1</x:v>
      </x:c>
      <x:c r="L55" s="1143" t="str">
        <x:v>NR</x:v>
      </x:c>
      <x:c r="M55" s="1143" t="str">
        <x:v>NR</x:v>
      </x:c>
      <x:c r="N55" s="1143" t="n">
        <x:f>COUNT(E55:M55)</x:f>
        <x:v>4</x:v>
      </x:c>
      <x:c r="O55" s="1143" t="n">
        <x:f>SUM(E55:M55)</x:f>
        <x:v>4</x:v>
      </x:c>
      <x:c r="P55" s="1143" t="n">
        <x:f>N55*2</x:f>
        <x:v>8</x:v>
      </x:c>
      <x:c r="Q55" s="1145" t="n">
        <x:f>IF(P55=0,"",O55/P55)</x:f>
        <x:v>0.5</x:v>
      </x:c>
      <x:c r="R55" s="1145" t="n">
        <x:f>N55/9</x:f>
        <x:v>0.4444444444444444</x:v>
      </x:c>
      <x:c r="S55" s="1143" t="str">
        <x:f>IF(N55&lt;2,"Insufficiently reported",IF(AND(R55&gt;=0.67,Q55&gt;=0.75),"Higher strength on available evidence",IF(AND(R55&gt;=0.44,Q55&gt;=0.5),"Moderate strength / some concerns","Low strength or major reporting gaps")))</x:f>
        <x:v>Moderate strength / some concerns</x:v>
      </x:c>
      <x:c r="T55" s="1143" t="str">
        <x:f>IF(COUNT(F55:H55)&lt;2,"Unclear — insufficient reporting",IF(COUNTIF(F55:H55,0)&gt;0,"High concern on available evidence",IF(AND(F55=2,G55=2,H55=2),"Lower concern on available evidence","Some concerns on available evidence")))</x:f>
        <x:v>Unclear — insufficient reporting</x:v>
      </x:c>
      <x:c r="U55" s="1141" t="str">
        <x:v>Dataset/sample 1: We curate MedConcept-23M, the largest pre-training dataset comprising 23 million image-text-concept triplets across diverse medical modalities, where clinical concepts are derived from the Unified Medical Language System.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55" s="1141" t="str">
        <x:v>Moderate — complete preprint abstract</x:v>
      </x:c>
      <x:c r="W55" s="1141" t="str">
        <x:v>https://arxiv.org/abs/2501.15579</x:v>
      </x:c>
    </x:row>
    <x:row r="56" ht="88.5" customHeight="1">
      <x:c r="A56" s="1143" t="str">
        <x:v>GS-01-089</x:v>
      </x:c>
      <x:c r="B56" s="1141" t="str">
        <x:v>ConVLM: Concept-Guided Vision-Language Models for Explainable Dermatological Diagnosis — A Davis</x:v>
      </x:c>
      <x:c r="C56" s="1141" t="str">
        <x:v>Contextual medical concept-XAI evidence</x:v>
      </x:c>
      <x:c r="D56" s="1141" t="str">
        <x:v>Other/unclear report type</x:v>
      </x:c>
      <x:c r="E56" s="1143" t="n">
        <x:v>1</x:v>
      </x:c>
      <x:c r="F56" s="1143" t="str">
        <x:v>NR</x:v>
      </x:c>
      <x:c r="G56" s="1143" t="str">
        <x:v>NR</x:v>
      </x:c>
      <x:c r="H56" s="1143" t="str">
        <x:v>NR</x:v>
      </x:c>
      <x:c r="I56" s="1143" t="str">
        <x:v>NR</x:v>
      </x:c>
      <x:c r="J56" s="1143" t="str">
        <x:v>NR</x:v>
      </x:c>
      <x:c r="K56" s="1143" t="str">
        <x:v>NR</x:v>
      </x:c>
      <x:c r="L56" s="1143" t="n">
        <x:v>1</x:v>
      </x:c>
      <x:c r="M56" s="1143" t="str">
        <x:v>NR</x:v>
      </x:c>
      <x:c r="N56" s="1143" t="n">
        <x:f>COUNT(E56:M56)</x:f>
        <x:v>2</x:v>
      </x:c>
      <x:c r="O56" s="1143" t="n">
        <x:f>SUM(E56:M56)</x:f>
        <x:v>2</x:v>
      </x:c>
      <x:c r="P56" s="1143" t="n">
        <x:f>N56*2</x:f>
        <x:v>4</x:v>
      </x:c>
      <x:c r="Q56" s="1145" t="n">
        <x:f>IF(P56=0,"",O56/P56)</x:f>
        <x:v>0.5</x:v>
      </x:c>
      <x:c r="R56" s="1145" t="n">
        <x:f>N56/9</x:f>
        <x:v>0.2222222222222222</x:v>
      </x:c>
      <x:c r="S56" s="1143" t="str">
        <x:f>IF(N56&lt;2,"Insufficiently reported",IF(AND(R56&gt;=0.67,Q56&gt;=0.75),"Higher strength on available evidence",IF(AND(R56&gt;=0.44,Q56&gt;=0.5),"Moderate strength / some concerns","Low strength or major reporting gaps")))</x:f>
        <x:v>Low strength or major reporting gaps</x:v>
      </x:c>
      <x:c r="T56" s="1143" t="str">
        <x:f>IF(COUNT(F56:H56)&lt;2,"Unclear — insufficient reporting",IF(COUNTIF(F56:H56,0)&gt;0,"High concern on available evidence",IF(AND(F56=2,G56=2,H56=2),"Lower concern on available evidence","Some concerns on available evidence")))</x:f>
        <x:v>Unclear — insufficient reporting</x:v>
      </x:c>
      <x:c r="U56" s="1141" t="str">
        <x:v>Dataset/sample 1: 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 | Robustness/stability 1: Limited robustness/generalisation or sensitivity evidence is reported.</x:v>
      </x:c>
      <x:c r="V56" s="1141" t="str">
        <x:v>Moderate — complete scholarly-record abstract</x:v>
      </x:c>
      <x:c r="W56" s="1141" t="str">
        <x:v>https://engrxiv.org/preprint/download/5064/8610/7159</x:v>
      </x:c>
    </x:row>
    <x:row r="57" ht="88.5" customHeight="1">
      <x:c r="A57" s="1143" t="str">
        <x:v>GS-01-096</x:v>
      </x:c>
      <x:c r="B57" s="1141" t="str">
        <x:v>AC-MIL: Weakly Supervised Atrial LGE-MRI Quality Assessment via Adversarial Concept Disentanglement — KM Sudan KHansen BOncky AMorris -arXev pregnnt ari = 2926</x:v>
      </x:c>
      <x:c r="C57" s="1141" t="str">
        <x:v>Contextual medical concept-XAI evidence</x:v>
      </x:c>
      <x:c r="D57" s="1141" t="str">
        <x:v>Other/unclear report type</x:v>
      </x:c>
      <x:c r="E57" s="1143" t="str">
        <x:v>NR</x:v>
      </x:c>
      <x:c r="F57" s="1143" t="str">
        <x:v>NR</x:v>
      </x:c>
      <x:c r="G57" s="1143" t="str">
        <x:v>NR</x:v>
      </x:c>
      <x:c r="H57" s="1143" t="n">
        <x:v>1</x:v>
      </x:c>
      <x:c r="I57" s="1143" t="n">
        <x:v>1</x:v>
      </x:c>
      <x:c r="J57" s="1143" t="str">
        <x:v>NR</x:v>
      </x:c>
      <x:c r="K57" s="1143" t="n">
        <x:v>1</x:v>
      </x:c>
      <x:c r="L57" s="1143" t="n">
        <x:v>2</x:v>
      </x:c>
      <x:c r="M57" s="1143" t="str">
        <x:v>NR</x:v>
      </x:c>
      <x:c r="N57" s="1143" t="n">
        <x:f>COUNT(E57:M57)</x:f>
        <x:v>4</x:v>
      </x:c>
      <x:c r="O57" s="1143" t="n">
        <x:f>SUM(E57:M57)</x:f>
        <x:v>5</x:v>
      </x:c>
      <x:c r="P57" s="1143" t="n">
        <x:f>N57*2</x:f>
        <x:v>8</x:v>
      </x:c>
      <x:c r="Q57" s="1145" t="n">
        <x:f>IF(P57=0,"",O57/P57)</x:f>
        <x:v>0.625</x:v>
      </x:c>
      <x:c r="R57" s="1145" t="n">
        <x:f>N57/9</x:f>
        <x:v>0.4444444444444444</x:v>
      </x:c>
      <x:c r="S57" s="1143" t="str">
        <x:f>IF(N57&lt;2,"Insufficiently reported",IF(AND(R57&gt;=0.67,Q57&gt;=0.75),"Higher strength on available evidence",IF(AND(R57&gt;=0.44,Q57&gt;=0.5),"Moderate strength / some concerns","Low strength or major reporting gaps")))</x:f>
        <x:v>Moderate strength / some concerns</x:v>
      </x:c>
      <x:c r="T57" s="1143" t="str">
        <x:f>IF(COUNT(F57:H57)&lt;2,"Unclear — insufficient reporting",IF(COUNTIF(F57:H57,0)&gt;0,"High concern on available evidence",IF(AND(F57=2,G57=2,H57=2),"Lower concern on available evidence","Some concerns on available evidence")))</x:f>
        <x:v>Unclear — insufficient reporting</x:v>
      </x:c>
      <x:c r="U57" s="1141" t="str">
        <x:v>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2: Systematic robustness, stability, external generalisation, adversarial, or OOD evaluation is reported.</x:v>
      </x:c>
      <x:c r="V57" s="1141" t="str">
        <x:v>Moderate — complete scholarly-record abstract</x:v>
      </x:c>
      <x:c r="W57" s="1141" t="str">
        <x:v>https://arxiv.org/pdf/2604.10303</x:v>
      </x:c>
    </x:row>
    <x:row r="58" ht="88.5" customHeight="1">
      <x:c r="A58" s="1143" t="str">
        <x:v>GS-02-001</x:v>
      </x:c>
      <x:c r="B58" s="1141" t="str">
        <x:v>Prototype-Guided Promptable Retinal Lesion Segmentation from Coarse Annotations — O Yu, X Sing</x:v>
      </x:c>
      <x:c r="C58" s="1141" t="str">
        <x:v>Direct retinal/ophthalmic evidence</x:v>
      </x:c>
      <x:c r="D58" s="1141" t="str">
        <x:v>Other/unclear report type</x:v>
      </x:c>
      <x:c r="E58" s="1143" t="n">
        <x:v>1</x:v>
      </x:c>
      <x:c r="F58" s="1143" t="str">
        <x:v>NR</x:v>
      </x:c>
      <x:c r="G58" s="1143" t="str">
        <x:v>NR</x:v>
      </x:c>
      <x:c r="H58" s="1143" t="n">
        <x:v>1</x:v>
      </x:c>
      <x:c r="I58" s="1143" t="n">
        <x:v>1</x:v>
      </x:c>
      <x:c r="J58" s="1143" t="str">
        <x:v>NR</x:v>
      </x:c>
      <x:c r="K58" s="1143" t="n">
        <x:v>1</x:v>
      </x:c>
      <x:c r="L58" s="1143" t="n">
        <x:v>1</x:v>
      </x:c>
      <x:c r="M58" s="1143" t="str">
        <x:v>NR</x:v>
      </x:c>
      <x:c r="N58" s="1143" t="n">
        <x:f>COUNT(E58:M58)</x:f>
        <x:v>5</x:v>
      </x:c>
      <x:c r="O58" s="1143" t="n">
        <x:f>SUM(E58:M58)</x:f>
        <x:v>5</x:v>
      </x:c>
      <x:c r="P58" s="1143" t="n">
        <x:f>N58*2</x:f>
        <x:v>10</x:v>
      </x:c>
      <x:c r="Q58" s="1145" t="n">
        <x:f>IF(P58=0,"",O58/P58)</x:f>
        <x:v>0.5</x:v>
      </x:c>
      <x:c r="R58" s="1145" t="n">
        <x:f>N58/9</x:f>
        <x:v>0.5555555555555556</x:v>
      </x:c>
      <x:c r="S58" s="1143" t="str">
        <x:f>IF(N58&lt;2,"Insufficiently reported",IF(AND(R58&gt;=0.67,Q58&gt;=0.75),"Higher strength on available evidence",IF(AND(R58&gt;=0.44,Q58&gt;=0.5),"Moderate strength / some concerns","Low strength or major reporting gaps")))</x:f>
        <x:v>Moderate strength / some concerns</x:v>
      </x:c>
      <x:c r="T58" s="1143" t="str">
        <x:f>IF(COUNT(F58:H58)&lt;2,"Unclear — insufficient reporting",IF(COUNTIF(F58:H58,0)&gt;0,"High concern on available evidence",IF(AND(F58=2,G58=2,H58=2),"Lower concern on available evidence","Some concerns on available evidence")))</x:f>
        <x:v>Unclear — insufficient reporting</x:v>
      </x:c>
      <x:c r="U58" s="1141" t="str">
        <x:v>Dataset/sample 1: IDRiD, DDR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1: Limited robustness/generalisation or sensitivity evidence is reported.</x:v>
      </x:c>
      <x:c r="V58" s="1141" t="str">
        <x:v>Moderate — complete scholarly-record abstract</x:v>
      </x:c>
      <x:c r="W58" s="1141" t="str">
        <x:v>https://www.mdpi.com/2079-9292/14/16/3252</x:v>
      </x:c>
    </x:row>
    <x:row r="59" ht="88.5" customHeight="1">
      <x:c r="A59" s="1143" t="str">
        <x:v>GS-02-007</x:v>
      </x:c>
      <x:c r="B59" s="1141" t="str">
        <x:v>A novel few-shot classification framework for diabetic retinopathy detection and grading — MMuugappar NB Prakash R Jeya</x:v>
      </x:c>
      <x:c r="C59" s="1141" t="str">
        <x:v>Direct retinal/ophthalmic evidence</x:v>
      </x:c>
      <x:c r="D59" s="1141" t="str">
        <x:v>Other/unclear report type</x:v>
      </x:c>
      <x:c r="E59" s="1143" t="n">
        <x:v>1</x:v>
      </x:c>
      <x:c r="F59" s="1143" t="str">
        <x:v>NR</x:v>
      </x:c>
      <x:c r="G59" s="1143" t="str">
        <x:v>NR</x:v>
      </x:c>
      <x:c r="H59" s="1143" t="n">
        <x:v>1</x:v>
      </x:c>
      <x:c r="I59" s="1143" t="n">
        <x:v>1</x:v>
      </x:c>
      <x:c r="J59" s="1143" t="str">
        <x:v>NR</x:v>
      </x:c>
      <x:c r="K59" s="1143" t="n">
        <x:v>1</x:v>
      </x:c>
      <x:c r="L59" s="1143" t="str">
        <x:v>NR</x:v>
      </x:c>
      <x:c r="M59" s="1143" t="str">
        <x:v>NR</x:v>
      </x:c>
      <x:c r="N59" s="1143" t="n">
        <x:f>COUNT(E59:M59)</x:f>
        <x:v>4</x:v>
      </x:c>
      <x:c r="O59" s="1143" t="n">
        <x:f>SUM(E59:M59)</x:f>
        <x:v>4</x:v>
      </x:c>
      <x:c r="P59" s="1143" t="n">
        <x:f>N59*2</x:f>
        <x:v>8</x:v>
      </x:c>
      <x:c r="Q59" s="1145" t="n">
        <x:f>IF(P59=0,"",O59/P59)</x:f>
        <x:v>0.5</x:v>
      </x:c>
      <x:c r="R59" s="1145" t="n">
        <x:f>N59/9</x:f>
        <x:v>0.4444444444444444</x:v>
      </x:c>
      <x:c r="S59" s="1143" t="str">
        <x:f>IF(N59&lt;2,"Insufficiently reported",IF(AND(R59&gt;=0.67,Q59&gt;=0.75),"Higher strength on available evidence",IF(AND(R59&gt;=0.44,Q59&gt;=0.5),"Moderate strength / some concerns","Low strength or major reporting gaps")))</x:f>
        <x:v>Moderate strength / some concerns</x:v>
      </x:c>
      <x:c r="T59" s="1143" t="str">
        <x:f>IF(COUNT(F59:H59)&lt;2,"Unclear — insufficient reporting",IF(COUNTIF(F59:H59,0)&gt;0,"High concern on available evidence",IF(AND(F59=2,G59=2,H59=2),"Lower concern on available evidence","Some concerns on available evidence")))</x:f>
        <x:v>Unclear — insufficient reporting</x:v>
      </x:c>
      <x:c r="U59" s="1141" t="str">
        <x:v>Dataset/sample 1: We developed a DRNet based on the APTOS2019 dataset for diabetic detection and grading.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59" s="1141" t="str">
        <x:v>Moderate — complete scholarly-record abstract</x:v>
      </x:c>
      <x:c r="W59" s="1141" t="str">
        <x:v>https://irep.ntu.ac.uk/id/eprint/47016/1/1596874_Mahmud.pdf</x:v>
      </x:c>
    </x:row>
    <x:row r="60" ht="88.5" customHeight="1">
      <x:c r="A60" s="1143" t="str">
        <x:v>GS-02-009</x:v>
      </x:c>
      <x:c r="B60" s="1141" t="str">
        <x:v>HybridFusionNet: A Distributed Prototype-Guided Multi-Scale Transformer–CNN Framework for Robust and Interpretable Diabetic Retinopathy Detection — KV Shanthala KC Kundue (2026)</x:v>
      </x:c>
      <x:c r="C60" s="1141" t="str">
        <x:v>Direct retinal/ophthalmic evidence</x:v>
      </x:c>
      <x:c r="D60" s="1141" t="str">
        <x:v>Other/unclear report type</x:v>
      </x:c>
      <x:c r="E60" s="1143" t="n">
        <x:v>2</x:v>
      </x:c>
      <x:c r="F60" s="1143" t="str">
        <x:v>NR</x:v>
      </x:c>
      <x:c r="G60" s="1143" t="str">
        <x:v>NR</x:v>
      </x:c>
      <x:c r="H60" s="1143" t="str">
        <x:v>NR</x:v>
      </x:c>
      <x:c r="I60" s="1143" t="str">
        <x:v>NR</x:v>
      </x:c>
      <x:c r="J60" s="1143" t="str">
        <x:v>NR</x:v>
      </x:c>
      <x:c r="K60" s="1143" t="n">
        <x:v>1</x:v>
      </x:c>
      <x:c r="L60" s="1143" t="str">
        <x:v>NR</x:v>
      </x:c>
      <x:c r="M60" s="1143" t="str">
        <x:v>NR</x:v>
      </x:c>
      <x:c r="N60" s="1143" t="n">
        <x:f>COUNT(E60:M60)</x:f>
        <x:v>2</x:v>
      </x:c>
      <x:c r="O60" s="1143" t="n">
        <x:f>SUM(E60:M60)</x:f>
        <x:v>3</x:v>
      </x:c>
      <x:c r="P60" s="1143" t="n">
        <x:f>N60*2</x:f>
        <x:v>4</x:v>
      </x:c>
      <x:c r="Q60" s="1145" t="n">
        <x:f>IF(P60=0,"",O60/P60)</x:f>
        <x:v>0.75</x:v>
      </x:c>
      <x:c r="R60" s="1145" t="n">
        <x:f>N60/9</x:f>
        <x:v>0.2222222222222222</x:v>
      </x:c>
      <x:c r="S60" s="1143" t="str">
        <x:f>IF(N60&lt;2,"Insufficiently reported",IF(AND(R60&gt;=0.67,Q60&gt;=0.75),"Higher strength on available evidence",IF(AND(R60&gt;=0.44,Q60&gt;=0.5),"Moderate strength / some concerns","Low strength or major reporting gaps")))</x:f>
        <x:v>Low strength or major reporting gaps</x:v>
      </x:c>
      <x:c r="T60" s="1143" t="str">
        <x:f>IF(COUNT(F60:H60)&lt;2,"Unclear — insufficient reporting",IF(COUNTIF(F60:H60,0)&gt;0,"High concern on available evidence",IF(AND(F60=2,G60=2,H60=2),"Lower concern on available evidence","Some concerns on available evidence")))</x:f>
        <x:v>Unclear — insufficient reporting</x:v>
      </x:c>
      <x:c r="U60" s="1141" t="str">
        <x:v>Dataset/sample 2: APTOS 2019, EyePACS, Messidor-2. Experiments conducted on EyePACS, APTOS 2019, and Messidor-2 datasets demonstrated that HybridFusionNet achieves 95.8% accuracy, 0.934 sensitivity, 0.972 specificity, and a quadratic weighted kappa of 0.912, outperforming state-of-the-art baselines. | Explanation faithfulness 1: A proxy or qualitative concept/explanation assessment is reported, but not a direct quantitative faithfulness test.</x:v>
      </x:c>
      <x:c r="V60" s="1141" t="str">
        <x:v>Moderate — complete scholarly-record abstract</x:v>
      </x:c>
      <x:c r="W60" s="1141" t="str">
        <x:v>https://www.sciencedirect.com/journal/procedia-computer-science/vol/283/suppl/C?page=2</x:v>
      </x:c>
    </x:row>
    <x:row r="61" ht="88.5" customHeight="1">
      <x:c r="A61" s="1143" t="str">
        <x:v>GS-02-012</x:v>
      </x:c>
      <x:c r="B61" s="1141" t="str">
        <x:v>Transformer-Based Multi-Prototype Approach for Diabetic Macular Edema Analysis in OCT Images — PL Vizal Jde Moura UNove MCnega -ICASSP 2023-2023 = 2023 (2023)</x:v>
      </x:c>
      <x:c r="C61" s="1141" t="str">
        <x:v>Direct retinal/ophthalmic evidence</x:v>
      </x:c>
      <x:c r="D61" s="1141" t="str">
        <x:v>Other/unclear report type</x:v>
      </x:c>
      <x:c r="E61" s="1143" t="str">
        <x:v>NR</x:v>
      </x:c>
      <x:c r="F61" s="1143" t="str">
        <x:v>NR</x:v>
      </x:c>
      <x:c r="G61" s="1143" t="str">
        <x:v>NR</x:v>
      </x:c>
      <x:c r="H61" s="1143" t="n">
        <x:v>1</x:v>
      </x:c>
      <x:c r="I61" s="1143" t="n">
        <x:v>1</x:v>
      </x:c>
      <x:c r="J61" s="1143" t="str">
        <x:v>NR</x:v>
      </x:c>
      <x:c r="K61" s="1143" t="n">
        <x:v>1</x:v>
      </x:c>
      <x:c r="L61" s="1143" t="n">
        <x:v>1</x:v>
      </x:c>
      <x:c r="M61" s="1143" t="str">
        <x:v>NR</x:v>
      </x:c>
      <x:c r="N61" s="1143" t="n">
        <x:f>COUNT(E61:M61)</x:f>
        <x:v>4</x:v>
      </x:c>
      <x:c r="O61" s="1143" t="n">
        <x:f>SUM(E61:M61)</x:f>
        <x:v>4</x:v>
      </x:c>
      <x:c r="P61" s="1143" t="n">
        <x:f>N61*2</x:f>
        <x:v>8</x:v>
      </x:c>
      <x:c r="Q61" s="1145" t="n">
        <x:f>IF(P61=0,"",O61/P61)</x:f>
        <x:v>0.5</x:v>
      </x:c>
      <x:c r="R61" s="1145" t="n">
        <x:f>N61/9</x:f>
        <x:v>0.4444444444444444</x:v>
      </x:c>
      <x:c r="S61" s="1143" t="str">
        <x:f>IF(N61&lt;2,"Insufficiently reported",IF(AND(R61&gt;=0.67,Q61&gt;=0.75),"Higher strength on available evidence",IF(AND(R61&gt;=0.44,Q61&gt;=0.5),"Moderate strength / some concerns","Low strength or major reporting gaps")))</x:f>
        <x:v>Moderate strength / some concerns</x:v>
      </x:c>
      <x:c r="T61" s="1143" t="str">
        <x:f>IF(COUNT(F61:H61)&lt;2,"Unclear — insufficient reporting",IF(COUNTIF(F61:H61,0)&gt;0,"High concern on available evidence",IF(AND(F61=2,G61=2,H61=2),"Lower concern on available evidence","Some concerns on available evidence")))</x:f>
        <x:v>Unclear — insufficient reporting</x:v>
      </x:c>
      <x:c r="U61" s="1141" t="str">
        <x:v>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1: Limited robustness/generalisation or sensitivity evidence is reported.</x:v>
      </x:c>
      <x:c r="V61" s="1141" t="str">
        <x:v>Moderate — complete scholarly-record abstract</x:v>
      </x:c>
      <x:c r="W61" s="1141" t="str">
        <x:v>https://ieeexplore.ieee.org/iel7/10094559/10094560/10095039.pdf</x:v>
      </x:c>
    </x:row>
    <x:row r="62" ht="88.5" customHeight="1">
      <x:c r="A62" s="1143" t="str">
        <x:v>GS-02-017</x:v>
      </x:c>
      <x:c r="B62" s="1141" t="str">
        <x:v>Automatic Grading of Age-Related Cataract via Progressive Ordinal Attention and Topology-Constrained Prototype Learning — 2X%u Cvian XHu Wang. Y Hu. 2 Zhang (2026)</x:v>
      </x:c>
      <x:c r="C62" s="1141" t="str">
        <x:v>Direct retinal/ophthalmic evidence</x:v>
      </x:c>
      <x:c r="D62" s="1141" t="str">
        <x:v>Other/unclear report type</x:v>
      </x:c>
      <x:c r="E62" s="1143" t="str">
        <x:v>NR</x:v>
      </x:c>
      <x:c r="F62" s="1143" t="str">
        <x:v>NR</x:v>
      </x:c>
      <x:c r="G62" s="1143" t="str">
        <x:v>NR</x:v>
      </x:c>
      <x:c r="H62" s="1143" t="str">
        <x:v>NR</x:v>
      </x:c>
      <x:c r="I62" s="1143" t="str">
        <x:v>NR</x:v>
      </x:c>
      <x:c r="J62" s="1143" t="str">
        <x:v>NR</x:v>
      </x:c>
      <x:c r="K62" s="1143" t="n">
        <x:v>1</x:v>
      </x:c>
      <x:c r="L62" s="1143" t="str">
        <x:v>NR</x:v>
      </x:c>
      <x:c r="M62" s="1143" t="str">
        <x:v>NR</x:v>
      </x:c>
      <x:c r="N62" s="1143" t="n">
        <x:f>COUNT(E62:M62)</x:f>
        <x:v>1</x:v>
      </x:c>
      <x:c r="O62" s="1143" t="n">
        <x:f>SUM(E62:M62)</x:f>
        <x:v>1</x:v>
      </x:c>
      <x:c r="P62" s="1143" t="n">
        <x:f>N62*2</x:f>
        <x:v>2</x:v>
      </x:c>
      <x:c r="Q62" s="1145" t="n">
        <x:f>IF(P62=0,"",O62/P62)</x:f>
        <x:v>0.5</x:v>
      </x:c>
      <x:c r="R62" s="1145" t="n">
        <x:f>N62/9</x:f>
        <x:v>0.1111111111111111</x:v>
      </x:c>
      <x:c r="S62" s="1143" t="str">
        <x:f>IF(N62&lt;2,"Insufficiently reported",IF(AND(R62&gt;=0.67,Q62&gt;=0.75),"Higher strength on available evidence",IF(AND(R62&gt;=0.44,Q62&gt;=0.5),"Moderate strength / some concerns","Low strength or major reporting gaps")))</x:f>
        <x:v>Insufficiently reported</x:v>
      </x:c>
      <x:c r="T62" s="1143" t="str">
        <x:f>IF(COUNT(F62:H62)&lt;2,"Unclear — insufficient reporting",IF(COUNTIF(F62:H62,0)&gt;0,"High concern on available evidence",IF(AND(F62=2,G62=2,H62=2),"Lower concern on available evidence","Some concerns on available evidence")))</x:f>
        <x:v>Unclear — insufficient reporting</x:v>
      </x:c>
      <x:c r="U62" s="1141" t="str">
        <x:v>Explanation faithfulness 1: A proxy or qualitative concept/explanation assessment is reported, but not a direct quantitative faithfulness test.</x:v>
      </x:c>
      <x:c r="V62" s="1141" t="str">
        <x:v>High — complete authoritative abstract</x:v>
      </x:c>
      <x:c r="W62" s="1141" t="str">
        <x:v>https://link.springer.com/content/pdf/10.1007/s10278-026-02144-2.pdf</x:v>
      </x:c>
    </x:row>
    <x:row r="63" ht="88.5" customHeight="1">
      <x:c r="A63" s="1143" t="str">
        <x:v>GS-02-046</x:v>
      </x:c>
      <x:c r="B63" s="1141" t="str">
        <x:v>RetinoFusionNet: A Scalable and Interpretable Vision Transformer Framework for Diabetic Retinopathy Detection — KY Shanthala KC Kundue (2026)</x:v>
      </x:c>
      <x:c r="C63" s="1141" t="str">
        <x:v>Direct retinal/ophthalmic evidence</x:v>
      </x:c>
      <x:c r="D63" s="1141" t="str">
        <x:v>Other/unclear report type</x:v>
      </x:c>
      <x:c r="E63" s="1143" t="n">
        <x:v>2</x:v>
      </x:c>
      <x:c r="F63" s="1143" t="n">
        <x:v>1</x:v>
      </x:c>
      <x:c r="G63" s="1143" t="str">
        <x:v>NR</x:v>
      </x:c>
      <x:c r="H63" s="1143" t="str">
        <x:v>NR</x:v>
      </x:c>
      <x:c r="I63" s="1143" t="str">
        <x:v>NR</x:v>
      </x:c>
      <x:c r="J63" s="1143" t="str">
        <x:v>NR</x:v>
      </x:c>
      <x:c r="K63" s="1143" t="n">
        <x:v>1</x:v>
      </x:c>
      <x:c r="L63" s="1143" t="n">
        <x:v>1</x:v>
      </x:c>
      <x:c r="M63" s="1143" t="str">
        <x:v>NR</x:v>
      </x:c>
      <x:c r="N63" s="1143" t="n">
        <x:f>COUNT(E63:M63)</x:f>
        <x:v>4</x:v>
      </x:c>
      <x:c r="O63" s="1143" t="n">
        <x:f>SUM(E63:M63)</x:f>
        <x:v>5</x:v>
      </x:c>
      <x:c r="P63" s="1143" t="n">
        <x:f>N63*2</x:f>
        <x:v>8</x:v>
      </x:c>
      <x:c r="Q63" s="1145" t="n">
        <x:f>IF(P63=0,"",O63/P63)</x:f>
        <x:v>0.625</x:v>
      </x:c>
      <x:c r="R63" s="1145" t="n">
        <x:f>N63/9</x:f>
        <x:v>0.4444444444444444</x:v>
      </x:c>
      <x:c r="S63" s="1143" t="str">
        <x:f>IF(N63&lt;2,"Insufficiently reported",IF(AND(R63&gt;=0.67,Q63&gt;=0.75),"Higher strength on available evidence",IF(AND(R63&gt;=0.44,Q63&gt;=0.5),"Moderate strength / some concerns","Low strength or major reporting gaps")))</x:f>
        <x:v>Moderate strength / some concerns</x:v>
      </x:c>
      <x:c r="T63" s="1143" t="str">
        <x:f>IF(COUNT(F63:H63)&lt;2,"Unclear — insufficient reporting",IF(COUNTIF(F63:H63,0)&gt;0,"High concern on available evidence",IF(AND(F63=2,G63=2,H63=2),"Lower concern on available evidence","Some concerns on available evidence")))</x:f>
        <x:v>Unclear — insufficient reporting</x:v>
      </x:c>
      <x:c r="U63" s="1141" t="str">
        <x:v>Dataset/sample 2: APTOS 2019, EyePACS, Messidor-2. Comprehensive evaluation on EyePACS, APTOS 2019, and Messidor-2 datasets demonstrates state-of-the-art accuracy with only a 4.1–4.5% cross-dataset drop, outperforming ViT and ProtoPNet, which show a decline of 8.3–12.1%. | External validation 1: Internal held-out, cross-validation, or multi-dataset evaluation is reported, but institutional independence is unclear. | Explanation faithfulness 1: A proxy or qualitative concept/explanation assessment is reported, but not a direct quantitative faithfulness test. | Robustness/stability 1: Limited robustness/generalisation or sensitivity evidence is reported.</x:v>
      </x:c>
      <x:c r="V63" s="1141" t="str">
        <x:v>Moderate — complete scholarly-record abstract</x:v>
      </x:c>
      <x:c r="W63" s="1141" t="str">
        <x:v>https://www.etasr.com/index.php/ETASR/article/download/15311/6142</x:v>
      </x:c>
    </x:row>
    <x:row r="64" ht="88.5" customHeight="1">
      <x:c r="A64" s="1143" t="str">
        <x:v>GS-02-054</x:v>
      </x:c>
      <x:c r="B64" s="1141" t="str">
        <x:v>HOPE: Hybrid-Granularity Ordinal Prototype Learning for Progression Prediction of Mild Cognitive Impairment — CwWang ¥YLei.TChen J Zhang YLi -IEEE Journalaf =. 2024 (2024)</x:v>
      </x:c>
      <x:c r="C64" s="1141" t="str">
        <x:v>Contextual medical concept-XAI evidence</x:v>
      </x:c>
      <x:c r="D64" s="1141" t="str">
        <x:v>Other/unclear report type</x:v>
      </x:c>
      <x:c r="E64" s="1143" t="n">
        <x:v>1</x:v>
      </x:c>
      <x:c r="F64" s="1143" t="str">
        <x:v>NR</x:v>
      </x:c>
      <x:c r="G64" s="1143" t="str">
        <x:v>NR</x:v>
      </x:c>
      <x:c r="H64" s="1143" t="str">
        <x:v>NR</x:v>
      </x:c>
      <x:c r="I64" s="1143" t="str">
        <x:v>NR</x:v>
      </x:c>
      <x:c r="J64" s="1143" t="str">
        <x:v>NR</x:v>
      </x:c>
      <x:c r="K64" s="1143" t="n">
        <x:v>1</x:v>
      </x:c>
      <x:c r="L64" s="1143" t="str">
        <x:v>NR</x:v>
      </x:c>
      <x:c r="M64" s="1143" t="str">
        <x:v>NR</x:v>
      </x:c>
      <x:c r="N64" s="1143" t="n">
        <x:f>COUNT(E64:M64)</x:f>
        <x:v>2</x:v>
      </x:c>
      <x:c r="O64" s="1143" t="n">
        <x:f>SUM(E64:M64)</x:f>
        <x:v>2</x:v>
      </x:c>
      <x:c r="P64" s="1143" t="n">
        <x:f>N64*2</x:f>
        <x:v>4</x:v>
      </x:c>
      <x:c r="Q64" s="1145" t="n">
        <x:f>IF(P64=0,"",O64/P64)</x:f>
        <x:v>0.5</x:v>
      </x:c>
      <x:c r="R64" s="1145" t="n">
        <x:f>N64/9</x:f>
        <x:v>0.2222222222222222</x:v>
      </x:c>
      <x:c r="S64" s="1143" t="str">
        <x:f>IF(N64&lt;2,"Insufficiently reported",IF(AND(R64&gt;=0.67,Q64&gt;=0.75),"Higher strength on available evidence",IF(AND(R64&gt;=0.44,Q64&gt;=0.5),"Moderate strength / some concerns","Low strength or major reporting gaps")))</x:f>
        <x:v>Low strength or major reporting gaps</x:v>
      </x:c>
      <x:c r="T64" s="1143" t="str">
        <x:f>IF(COUNT(F64:H64)&lt;2,"Unclear — insufficient reporting",IF(COUNTIF(F64:H64,0)&gt;0,"High concern on available evidence",IF(AND(F64=2,G64=2,H64=2),"Lower concern on available evidence","Some concerns on available evidence")))</x:f>
        <x:v>Unclear — insufficient reporting</x:v>
      </x:c>
      <x:c r="U64" s="1141" t="str">
        <x:v>Dataset/sample 1: ADNI, NACC. Experiments on the internal ADNI and external NACC datasets demonstrate superiority over state-of-the-art methods and interpretability. | Explanation faithfulness 1: A proxy or qualitative concept/explanation assessment is reported, but not a direct quantitative faithfulness test.</x:v>
      </x:c>
      <x:c r="V64" s="1141" t="str">
        <x:v>High — complete authoritative abstract</x:v>
      </x:c>
      <x:c r="W64" s="1141" t="str">
        <x:v>https://pubmed.ncbi.nlm.nih.gov/38261490/</x:v>
      </x:c>
    </x:row>
    <x:row r="65" ht="88.5" customHeight="1">
      <x:c r="A65" s="1143" t="str">
        <x:v>GS-02-087</x:v>
      </x:c>
      <x:c r="B65" s="1141" t="str">
        <x:v>Pathology-Aware Prototype Evolution via LLM-Driven Semantic Disambiguation for Multicenter Diabetic Retinopathy Diagnosis — CZhy ¥ wir . Shao JLin ¥'Warg- 2roceadings af tha 33rd ACH | 2025. dl acm arg (2025)</x:v>
      </x:c>
      <x:c r="C65" s="1141" t="str">
        <x:v>Direct retinal/ophthalmic evidence</x:v>
      </x:c>
      <x:c r="D65" s="1141" t="str">
        <x:v>Other/unclear report type</x:v>
      </x:c>
      <x:c r="E65" s="1143" t="n">
        <x:v>1</x:v>
      </x:c>
      <x:c r="F65" s="1143" t="str">
        <x:v>NR</x:v>
      </x:c>
      <x:c r="G65" s="1143" t="str">
        <x:v>NR</x:v>
      </x:c>
      <x:c r="H65" s="1143" t="str">
        <x:v>NR</x:v>
      </x:c>
      <x:c r="I65" s="1143" t="str">
        <x:v>NR</x:v>
      </x:c>
      <x:c r="J65" s="1143" t="n">
        <x:v>2</x:v>
      </x:c>
      <x:c r="K65" s="1143" t="n">
        <x:v>1</x:v>
      </x:c>
      <x:c r="L65" s="1143" t="str">
        <x:v>NR</x:v>
      </x:c>
      <x:c r="M65" s="1143" t="str">
        <x:v>NR</x:v>
      </x:c>
      <x:c r="N65" s="1143" t="n">
        <x:f>COUNT(E65:M65)</x:f>
        <x:v>3</x:v>
      </x:c>
      <x:c r="O65" s="1143" t="n">
        <x:f>SUM(E65:M65)</x:f>
        <x:v>4</x:v>
      </x:c>
      <x:c r="P65" s="1143" t="n">
        <x:f>N65*2</x:f>
        <x:v>6</x:v>
      </x:c>
      <x:c r="Q65" s="1145" t="n">
        <x:f>IF(P65=0,"",O65/P65)</x:f>
        <x:v>0.6666666666666666</x:v>
      </x:c>
      <x:c r="R65" s="1145" t="n">
        <x:f>N65/9</x:f>
        <x:v>0.3333333333333333</x:v>
      </x:c>
      <x:c r="S65" s="1143" t="str">
        <x:f>IF(N65&lt;2,"Insufficiently reported",IF(AND(R65&gt;=0.67,Q65&gt;=0.75),"Higher strength on available evidence",IF(AND(R65&gt;=0.44,Q65&gt;=0.5),"Moderate strength / some concerns","Low strength or major reporting gaps")))</x:f>
        <x:v>Low strength or major reporting gaps</x:v>
      </x:c>
      <x:c r="T65" s="1143" t="str">
        <x:f>IF(COUNT(F65:H65)&lt;2,"Unclear — insufficient reporting",IF(COUNTIF(F65:H65,0)&gt;0,"High concern on available evidence",IF(AND(F65=2,G65=2,H65=2),"Lower concern on available evidence","Some concerns on available evidence")))</x:f>
        <x:v>Unclear — insufficient reporting</x:v>
      </x:c>
      <x:c r="U65" s="1141" t="str">
        <x:v>Dataset/sample 1: Extensive experiments across eight public datasets demonstrate that our approach achieves pathology-guided prototype evolution while outperforming state-of-the-art methods. | Code availability 2: Public code/repository availability is explicitly reported. | Explanation faithfulness 1: A proxy or qualitative concept/explanation assessment is reported, but not a direct quantitative faithfulness test.</x:v>
      </x:c>
      <x:c r="V65" s="1141" t="str">
        <x:v>Moderate — complete scholarly-record abstract</x:v>
      </x:c>
      <x:c r="W65" s="1141" t="str">
        <x:v>https://arxiv.org/pdf/2511.22033</x:v>
      </x:c>
    </x:row>
    <x:row r="66" ht="88.5" customHeight="1">
      <x:c r="A66" s="1143" t="str">
        <x:v>GS-03-001</x:v>
      </x:c>
      <x:c r="B66" s="1141" t="str">
        <x:v>Case-Based Expert System for Early Detection of Diabetic Retinopathy — R Barman SK Biswas D Das, 3 Furkayastha -Inleltgent Ccmputing 2021 (2021)</x:v>
      </x:c>
      <x:c r="C66" s="1141" t="str">
        <x:v>Direct retinal/ophthalmic evidence</x:v>
      </x:c>
      <x:c r="D66" s="1141" t="str">
        <x:v>Other/unclear report type</x:v>
      </x:c>
      <x:c r="E66" s="1143" t="str">
        <x:v>NR</x:v>
      </x:c>
      <x:c r="F66" s="1143" t="str">
        <x:v>NR</x:v>
      </x:c>
      <x:c r="G66" s="1143" t="str">
        <x:v>NR</x:v>
      </x:c>
      <x:c r="H66" s="1143" t="str">
        <x:v>NR</x:v>
      </x:c>
      <x:c r="I66" s="1143" t="str">
        <x:v>NR</x:v>
      </x:c>
      <x:c r="J66" s="1143" t="str">
        <x:v>NR</x:v>
      </x:c>
      <x:c r="K66" s="1143" t="str">
        <x:v>NR</x:v>
      </x:c>
      <x:c r="L66" s="1143" t="str">
        <x:v>NR</x:v>
      </x:c>
      <x:c r="M66" s="1143" t="str">
        <x:v>NR</x:v>
      </x:c>
      <x:c r="N66" s="1143" t="n">
        <x:f>COUNT(E66:M66)</x:f>
        <x:v>0</x:v>
      </x:c>
      <x:c r="O66" s="1143" t="n">
        <x:f>SUM(E66:M66)</x:f>
        <x:v>0</x:v>
      </x:c>
      <x:c r="P66" s="1143" t="n">
        <x:f>N66*2</x:f>
        <x:v>0</x:v>
      </x:c>
      <x:c r="Q66" s="1145" t="str">
        <x:f>IF(P66=0,"",O66/P66)</x:f>
      </x:c>
      <x:c r="R66" s="1145" t="n">
        <x:f>N66/9</x:f>
        <x:v>0</x:v>
      </x:c>
      <x:c r="S66" s="1143" t="str">
        <x:f>IF(N66&lt;2,"Insufficiently reported",IF(AND(R66&gt;=0.67,Q66&gt;=0.75),"Higher strength on available evidence",IF(AND(R66&gt;=0.44,Q66&gt;=0.5),"Moderate strength / some concerns","Low strength or major reporting gaps")))</x:f>
        <x:v>Insufficiently reported</x:v>
      </x:c>
      <x:c r="T66" s="1143" t="str">
        <x:f>IF(COUNT(F66:H66)&lt;2,"Unclear — insufficient reporting",IF(COUNTIF(F66:H66,0)&gt;0,"High concern on available evidence",IF(AND(F66=2,G66=2,H66=2),"Lower concern on available evidence","Some concerns on available evidence")))</x:f>
        <x:v>Unclear — insufficient reporting</x:v>
      </x:c>
      <x:c r="U66" s="1141" t="str">
        <x:v>No quality domain was assessable from the available abstract/indexed evidence; full-text verification is required.</x:v>
      </x:c>
      <x:c r="V66" s="1141" t="str">
        <x:v>High — complete authoritative abstract</x:v>
      </x:c>
      <x:c r="W66" s="1141" t="str">
        <x:v>https://link.springer.com/chapter/10.1007/978-981-16-1295-4_27</x:v>
      </x:c>
    </x:row>
    <x:row r="67" ht="88.5" customHeight="1">
      <x:c r="A67" s="1143" t="str">
        <x:v>GS-03-003</x:v>
      </x:c>
      <x:c r="B67" s="1141" t="str">
        <x:v>A cybernetic systems approach to abnormality detection in retina images using case based reasoning — ARoy Chowdhury $ Barerjze. T Chatterjee «SN Appiad Sciences 2020 (2020)</x:v>
      </x:c>
      <x:c r="C67" s="1141" t="str">
        <x:v>Direct retinal/ophthalmic evidence</x:v>
      </x:c>
      <x:c r="D67" s="1141" t="str">
        <x:v>Other/unclear report type</x:v>
      </x:c>
      <x:c r="E67" s="1143" t="str">
        <x:v>NR</x:v>
      </x:c>
      <x:c r="F67" s="1143" t="str">
        <x:v>NR</x:v>
      </x:c>
      <x:c r="G67" s="1143" t="str">
        <x:v>NR</x:v>
      </x:c>
      <x:c r="H67" s="1143" t="str">
        <x:v>NR</x:v>
      </x:c>
      <x:c r="I67" s="1143" t="str">
        <x:v>NR</x:v>
      </x:c>
      <x:c r="J67" s="1143" t="str">
        <x:v>NR</x:v>
      </x:c>
      <x:c r="K67" s="1143" t="str">
        <x:v>NR</x:v>
      </x:c>
      <x:c r="L67" s="1143" t="str">
        <x:v>NR</x:v>
      </x:c>
      <x:c r="M67" s="1143" t="str">
        <x:v>NR</x:v>
      </x:c>
      <x:c r="N67" s="1143" t="n">
        <x:f>COUNT(E67:M67)</x:f>
        <x:v>0</x:v>
      </x:c>
      <x:c r="O67" s="1143" t="n">
        <x:f>SUM(E67:M67)</x:f>
        <x:v>0</x:v>
      </x:c>
      <x:c r="P67" s="1143" t="n">
        <x:f>N67*2</x:f>
        <x:v>0</x:v>
      </x:c>
      <x:c r="Q67" s="1145" t="str">
        <x:f>IF(P67=0,"",O67/P67)</x:f>
      </x:c>
      <x:c r="R67" s="1145" t="n">
        <x:f>N67/9</x:f>
        <x:v>0</x:v>
      </x:c>
      <x:c r="S67" s="1143" t="str">
        <x:f>IF(N67&lt;2,"Insufficiently reported",IF(AND(R67&gt;=0.67,Q67&gt;=0.75),"Higher strength on available evidence",IF(AND(R67&gt;=0.44,Q67&gt;=0.5),"Moderate strength / some concerns","Low strength or major reporting gaps")))</x:f>
        <x:v>Insufficiently reported</x:v>
      </x:c>
      <x:c r="T67" s="1143" t="str">
        <x:f>IF(COUNT(F67:H67)&lt;2,"Unclear — insufficient reporting",IF(COUNTIF(F67:H67,0)&gt;0,"High concern on available evidence",IF(AND(F67=2,G67=2,H67=2),"Lower concern on available evidence","Some concerns on available evidence")))</x:f>
        <x:v>Unclear — insufficient reporting</x:v>
      </x:c>
      <x:c r="U67" s="1141" t="str">
        <x:v>No quality domain was assessable from the available abstract/indexed evidence; full-text verification is required.</x:v>
      </x:c>
      <x:c r="V67" s="1141" t="str">
        <x:v>High — complete authoritative abstract</x:v>
      </x:c>
      <x:c r="W67" s="1141" t="str">
        <x:v>https://link.springer.com/article/10.1007/s42452-020-3187-0</x:v>
      </x:c>
    </x:row>
    <x:row r="68" ht="88.5" customHeight="1">
      <x:c r="A68" s="1143" t="str">
        <x:v>GS-03-004</x:v>
      </x:c>
      <x:c r="B68" s="1141" t="str">
        <x:v>Retrieval of Similar Cases to Improve the Diagnosis of Diabetic Retinopathy — ASacz-Rarros LAriza-.dpez (2023)</x:v>
      </x:c>
      <x:c r="C68" s="1141" t="str">
        <x:v>Direct retinal/ophthalmic evidence</x:v>
      </x:c>
      <x:c r="D68" s="1141" t="str">
        <x:v>Other/unclear report type</x:v>
      </x:c>
      <x:c r="E68" s="1143" t="str">
        <x:v>NR</x:v>
      </x:c>
      <x:c r="F68" s="1143" t="str">
        <x:v>NR</x:v>
      </x:c>
      <x:c r="G68" s="1143" t="str">
        <x:v>NR</x:v>
      </x:c>
      <x:c r="H68" s="1143" t="str">
        <x:v>NR</x:v>
      </x:c>
      <x:c r="I68" s="1143" t="str">
        <x:v>NR</x:v>
      </x:c>
      <x:c r="J68" s="1143" t="str">
        <x:v>NR</x:v>
      </x:c>
      <x:c r="K68" s="1143" t="str">
        <x:v>NR</x:v>
      </x:c>
      <x:c r="L68" s="1143" t="str">
        <x:v>NR</x:v>
      </x:c>
      <x:c r="M68" s="1143" t="str">
        <x:v>NR</x:v>
      </x:c>
      <x:c r="N68" s="1143" t="n">
        <x:f>COUNT(E68:M68)</x:f>
        <x:v>0</x:v>
      </x:c>
      <x:c r="O68" s="1143" t="n">
        <x:f>SUM(E68:M68)</x:f>
        <x:v>0</x:v>
      </x:c>
      <x:c r="P68" s="1143" t="n">
        <x:f>N68*2</x:f>
        <x:v>0</x:v>
      </x:c>
      <x:c r="Q68" s="1145" t="str">
        <x:f>IF(P68=0,"",O68/P68)</x:f>
      </x:c>
      <x:c r="R68" s="1145" t="n">
        <x:f>N68/9</x:f>
        <x:v>0</x:v>
      </x:c>
      <x:c r="S68" s="1143" t="str">
        <x:f>IF(N68&lt;2,"Insufficiently reported",IF(AND(R68&gt;=0.67,Q68&gt;=0.75),"Higher strength on available evidence",IF(AND(R68&gt;=0.44,Q68&gt;=0.5),"Moderate strength / some concerns","Low strength or major reporting gaps")))</x:f>
        <x:v>Insufficiently reported</x:v>
      </x:c>
      <x:c r="T68" s="1143" t="str">
        <x:f>IF(COUNT(F68:H68)&lt;2,"Unclear — insufficient reporting",IF(COUNTIF(F68:H68,0)&gt;0,"High concern on available evidence",IF(AND(F68=2,G68=2,H68=2),"Lower concern on available evidence","Some concerns on available evidence")))</x:f>
        <x:v>Unclear — insufficient reporting</x:v>
      </x:c>
      <x:c r="U68" s="1141" t="str">
        <x:v>No quality domain was assessable from the available abstract/indexed evidence; full-text verification is required.</x:v>
      </x:c>
      <x:c r="V68" s="1141" t="str">
        <x:v>High — complete authoritative abstract</x:v>
      </x:c>
      <x:c r="W68" s="1141" t="str">
        <x:v>https://link.springer.com/chapter/10.1007/978-3-031-40177-0_26</x:v>
      </x:c>
    </x:row>
    <x:row r="69" ht="88.5" customHeight="1">
      <x:c r="A69" s="1143" t="str">
        <x:v>GS-03-005</x:v>
      </x:c>
      <x:c r="B69" s="1141" t="str">
        <x:v>Case-Based Reasoning for Elderly Eye Disease Diagnosis Using Manhattan Distance and Dempster-Shafer — MMitusndavani LC Makcdompit -CoglTo Sra = 2026 (2026)</x:v>
      </x:c>
      <x:c r="C69" s="1141" t="str">
        <x:v>Contextual medical concept-XAI evidence</x:v>
      </x:c>
      <x:c r="D69" s="1141" t="str">
        <x:v>Other/unclear report type</x:v>
      </x:c>
      <x:c r="E69" s="1143" t="n">
        <x:v>1</x:v>
      </x:c>
      <x:c r="F69" s="1143" t="str">
        <x:v>NR</x:v>
      </x:c>
      <x:c r="G69" s="1143" t="str">
        <x:v>NR</x:v>
      </x:c>
      <x:c r="H69" s="1143" t="str">
        <x:v>NR</x:v>
      </x:c>
      <x:c r="I69" s="1143" t="str">
        <x:v>NR</x:v>
      </x:c>
      <x:c r="J69" s="1143" t="str">
        <x:v>NR</x:v>
      </x:c>
      <x:c r="K69" s="1143" t="n">
        <x:v>1</x:v>
      </x:c>
      <x:c r="L69" s="1143" t="str">
        <x:v>NR</x:v>
      </x:c>
      <x:c r="M69" s="1143" t="str">
        <x:v>NR</x:v>
      </x:c>
      <x:c r="N69" s="1143" t="n">
        <x:f>COUNT(E69:M69)</x:f>
        <x:v>2</x:v>
      </x:c>
      <x:c r="O69" s="1143" t="n">
        <x:f>SUM(E69:M69)</x:f>
        <x:v>2</x:v>
      </x:c>
      <x:c r="P69" s="1143" t="n">
        <x:f>N69*2</x:f>
        <x:v>4</x:v>
      </x:c>
      <x:c r="Q69" s="1145" t="n">
        <x:f>IF(P69=0,"",O69/P69)</x:f>
        <x:v>0.5</x:v>
      </x:c>
      <x:c r="R69" s="1145" t="n">
        <x:f>N69/9</x:f>
        <x:v>0.2222222222222222</x:v>
      </x:c>
      <x:c r="S69" s="1143" t="str">
        <x:f>IF(N69&lt;2,"Insufficiently reported",IF(AND(R69&gt;=0.67,Q69&gt;=0.75),"Higher strength on available evidence",IF(AND(R69&gt;=0.44,Q69&gt;=0.5),"Moderate strength / some concerns","Low strength or major reporting gaps")))</x:f>
        <x:v>Low strength or major reporting gaps</x:v>
      </x:c>
      <x:c r="T69" s="1143" t="str">
        <x:f>IF(COUNT(F69:H69)&lt;2,"Unclear — insufficient reporting",IF(COUNTIF(F69:H69,0)&gt;0,"High concern on available evidence",IF(AND(F69=2,G69=2,H69=2),"Lower concern on available evidence","Some concerns on available evidence")))</x:f>
        <x:v>Unclear — insufficient reporting</x:v>
      </x:c>
      <x:c r="U69" s="1141" t="str">
        <x:v>Dataset/sample 1: The system covers six elderly eye diseases, namely ocular infection, cataract, glaucoma, presbyopia, dry eye disease, and retinopathy, represented by 22 symptoms and validated clinical cases from Klinik Mata Totabuan. | Explanation faithfulness 1: A proxy or qualitative concept/explanation assessment is reported, but not a direct quantitative faithfulness test.</x:v>
      </x:c>
      <x:c r="V69" s="1141" t="str">
        <x:v>Moderate — complete scholarly-record abstract</x:v>
      </x:c>
      <x:c r="W69" s="1141" t="str">
        <x:v>https://cogito.unklab.ac.id/index.php/cogito/article/download/1050/428/4268</x:v>
      </x:c>
    </x:row>
    <x:row r="70" ht="88.5" customHeight="1">
      <x:c r="A70" s="1143" t="str">
        <x:v>GS-03-010</x:v>
      </x:c>
      <x:c r="B70" s="1141" t="str">
        <x:v>Interpretable Mammographic Image Classification using Case-Based Reasoning and Deep Learning — AlBamett FR Schware Cao CChen YRe&gt; -arXiv preprint arXiv, 2021 (2021)</x:v>
      </x:c>
      <x:c r="C70" s="1141" t="str">
        <x:v>Contextual medical concept-XAI evidence</x:v>
      </x:c>
      <x:c r="D70" s="1141" t="str">
        <x:v>Other/unclear report type</x:v>
      </x:c>
      <x:c r="E70" s="1143" t="str">
        <x:v>NR</x:v>
      </x:c>
      <x:c r="F70" s="1143" t="str">
        <x:v>NR</x:v>
      </x:c>
      <x:c r="G70" s="1143" t="str">
        <x:v>NR</x:v>
      </x:c>
      <x:c r="H70" s="1143" t="n">
        <x:v>1</x:v>
      </x:c>
      <x:c r="I70" s="1143" t="n">
        <x:v>1</x:v>
      </x:c>
      <x:c r="J70" s="1143" t="str">
        <x:v>NR</x:v>
      </x:c>
      <x:c r="K70" s="1143" t="n">
        <x:v>1</x:v>
      </x:c>
      <x:c r="L70" s="1143" t="str">
        <x:v>NR</x:v>
      </x:c>
      <x:c r="M70" s="1143" t="str">
        <x:v>NR</x:v>
      </x:c>
      <x:c r="N70" s="1143" t="n">
        <x:f>COUNT(E70:M70)</x:f>
        <x:v>3</x:v>
      </x:c>
      <x:c r="O70" s="1143" t="n">
        <x:f>SUM(E70:M70)</x:f>
        <x:v>3</x:v>
      </x:c>
      <x:c r="P70" s="1143" t="n">
        <x:f>N70*2</x:f>
        <x:v>6</x:v>
      </x:c>
      <x:c r="Q70" s="1145" t="n">
        <x:f>IF(P70=0,"",O70/P70)</x:f>
        <x:v>0.5</x:v>
      </x:c>
      <x:c r="R70" s="1145" t="n">
        <x:f>N70/9</x:f>
        <x:v>0.3333333333333333</x:v>
      </x:c>
      <x:c r="S70" s="1143" t="str">
        <x:f>IF(N70&lt;2,"Insufficiently reported",IF(AND(R70&gt;=0.67,Q70&gt;=0.75),"Higher strength on available evidence",IF(AND(R70&gt;=0.44,Q70&gt;=0.5),"Moderate strength / some concerns","Low strength or major reporting gaps")))</x:f>
        <x:v>Low strength or major reporting gaps</x:v>
      </x:c>
      <x:c r="T70" s="1143" t="str">
        <x:f>IF(COUNT(F70:H70)&lt;2,"Unclear — insufficient reporting",IF(COUNTIF(F70:H70,0)&gt;0,"High concern on available evidence",IF(AND(F70=2,G70=2,H70=2),"Lower concern on available evidence","Some concerns on available evidence")))</x:f>
        <x:v>Unclear — insufficient reporting</x:v>
      </x:c>
      <x:c r="U70" s="1141" t="str">
        <x:v>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70" s="1141" t="str">
        <x:v>Moderate — complete preprint abstract</x:v>
      </x:c>
      <x:c r="W70" s="1141" t="str">
        <x:v>https://arxiv.org/abs/2107.05605</x:v>
      </x:c>
    </x:row>
    <x:row r="71" ht="88.5" customHeight="1">
      <x:c r="A71" s="1143" t="str">
        <x:v>GS-03-013</x:v>
      </x:c>
      <x:c r="B71" s="1141" t="str">
        <x:v>Explainable Prediction of Chronic Renal Disease in the Colombian Population Using Neural Networks and Case-Based Reasoning — GR Vasquez-Morsles SM Marinez-Monterrubio -lsee =. 20:19</x:v>
      </x:c>
      <x:c r="C71" s="1141" t="str">
        <x:v>Contextual medical concept-XAI evidence</x:v>
      </x:c>
      <x:c r="D71" s="1141" t="str">
        <x:v>Other/unclear report type</x:v>
      </x:c>
      <x:c r="E71" s="1143" t="str">
        <x:v>NR</x:v>
      </x:c>
      <x:c r="F71" s="1143" t="str">
        <x:v>NR</x:v>
      </x:c>
      <x:c r="G71" s="1143" t="str">
        <x:v>NR</x:v>
      </x:c>
      <x:c r="H71" s="1143" t="str">
        <x:v>NR</x:v>
      </x:c>
      <x:c r="I71" s="1143" t="str">
        <x:v>NR</x:v>
      </x:c>
      <x:c r="J71" s="1143" t="str">
        <x:v>NR</x:v>
      </x:c>
      <x:c r="K71" s="1143" t="n">
        <x:v>1</x:v>
      </x:c>
      <x:c r="L71" s="1143" t="str">
        <x:v>NR</x:v>
      </x:c>
      <x:c r="M71" s="1143" t="str">
        <x:v>NR</x:v>
      </x:c>
      <x:c r="N71" s="1143" t="n">
        <x:f>COUNT(E71:M71)</x:f>
        <x:v>1</x:v>
      </x:c>
      <x:c r="O71" s="1143" t="n">
        <x:f>SUM(E71:M71)</x:f>
        <x:v>1</x:v>
      </x:c>
      <x:c r="P71" s="1143" t="n">
        <x:f>N71*2</x:f>
        <x:v>2</x:v>
      </x:c>
      <x:c r="Q71" s="1145" t="n">
        <x:f>IF(P71=0,"",O71/P71)</x:f>
        <x:v>0.5</x:v>
      </x:c>
      <x:c r="R71" s="1145" t="n">
        <x:f>N71/9</x:f>
        <x:v>0.1111111111111111</x:v>
      </x:c>
      <x:c r="S71" s="1143" t="str">
        <x:f>IF(N71&lt;2,"Insufficiently reported",IF(AND(R71&gt;=0.67,Q71&gt;=0.75),"Higher strength on available evidence",IF(AND(R71&gt;=0.44,Q71&gt;=0.5),"Moderate strength / some concerns","Low strength or major reporting gaps")))</x:f>
        <x:v>Insufficiently reported</x:v>
      </x:c>
      <x:c r="T71" s="1143" t="str">
        <x:f>IF(COUNT(F71:H71)&lt;2,"Unclear — insufficient reporting",IF(COUNTIF(F71:H71,0)&gt;0,"High concern on available evidence",IF(AND(F71=2,G71=2,H71=2),"Lower concern on available evidence","Some concerns on available evidence")))</x:f>
        <x:v>Unclear — insufficient reporting</x:v>
      </x:c>
      <x:c r="U71" s="1141" t="str">
        <x:v>Explanation faithfulness 1: A proxy or qualitative concept/explanation assessment is reported, but not a direct quantitative faithfulness test.</x:v>
      </x:c>
      <x:c r="V71" s="1141" t="str">
        <x:v>Moderate — complete scholarly-record abstract</x:v>
      </x:c>
      <x:c r="W71" s="1141" t="str">
        <x:v>https://doi.org/10.1109/ACCESS.2019.2948430</x:v>
      </x:c>
    </x:row>
    <x:row r="72" ht="88.5" customHeight="1">
      <x:c r="A72" s="1143" t="str">
        <x:v>GS-03-038</x:v>
      </x:c>
      <x:c r="B72" s="1141" t="str">
        <x:v>A Case-Based Reasoning Model Powered by Deep Learning for Radiology Report Recommendation. — EA Deminguez, E Se~ano. O Manriq.e =</x:v>
      </x:c>
      <x:c r="C72" s="1141" t="str">
        <x:v>Contextual medical concept-XAI evidence</x:v>
      </x:c>
      <x:c r="D72" s="1141" t="str">
        <x:v>Other/unclear report type</x:v>
      </x:c>
      <x:c r="E72" s="1143" t="str">
        <x:v>NR</x:v>
      </x:c>
      <x:c r="F72" s="1143" t="str">
        <x:v>NR</x:v>
      </x:c>
      <x:c r="G72" s="1143" t="str">
        <x:v>NR</x:v>
      </x:c>
      <x:c r="H72" s="1143" t="str">
        <x:v>NR</x:v>
      </x:c>
      <x:c r="I72" s="1143" t="str">
        <x:v>NR</x:v>
      </x:c>
      <x:c r="J72" s="1143" t="str">
        <x:v>NR</x:v>
      </x:c>
      <x:c r="K72" s="1143" t="n">
        <x:v>1</x:v>
      </x:c>
      <x:c r="L72" s="1143" t="str">
        <x:v>NR</x:v>
      </x:c>
      <x:c r="M72" s="1143" t="str">
        <x:v>NR</x:v>
      </x:c>
      <x:c r="N72" s="1143" t="n">
        <x:f>COUNT(E72:M72)</x:f>
        <x:v>1</x:v>
      </x:c>
      <x:c r="O72" s="1143" t="n">
        <x:f>SUM(E72:M72)</x:f>
        <x:v>1</x:v>
      </x:c>
      <x:c r="P72" s="1143" t="n">
        <x:f>N72*2</x:f>
        <x:v>2</x:v>
      </x:c>
      <x:c r="Q72" s="1145" t="n">
        <x:f>IF(P72=0,"",O72/P72)</x:f>
        <x:v>0.5</x:v>
      </x:c>
      <x:c r="R72" s="1145" t="n">
        <x:f>N72/9</x:f>
        <x:v>0.1111111111111111</x:v>
      </x:c>
      <x:c r="S72" s="1143" t="str">
        <x:f>IF(N72&lt;2,"Insufficiently reported",IF(AND(R72&gt;=0.67,Q72&gt;=0.75),"Higher strength on available evidence",IF(AND(R72&gt;=0.44,Q72&gt;=0.5),"Moderate strength / some concerns","Low strength or major reporting gaps")))</x:f>
        <x:v>Insufficiently reported</x:v>
      </x:c>
      <x:c r="T72" s="1143" t="str">
        <x:f>IF(COUNT(F72:H72)&lt;2,"Unclear — insufficient reporting",IF(COUNTIF(F72:H72,0)&gt;0,"High concern on available evidence",IF(AND(F72=2,G72=2,H72=2),"Lower concern on available evidence","Some concerns on available evidence")))</x:f>
        <x:v>Unclear — insufficient reporting</x:v>
      </x:c>
      <x:c r="U72" s="1141" t="str">
        <x:v>Explanation faithfulness 1: A proxy or qualitative concept/explanation assessment is reported, but not a direct quantitative faithfulness test.</x:v>
      </x:c>
      <x:c r="V72" s="1141" t="str">
        <x:v>Moderate — complete scholarly-record abstract</x:v>
      </x:c>
      <x:c r="W72" s="1141" t="str">
        <x:v>https://www.ijimai.org/index.php/ijimai/article/download/622/737/1115</x:v>
      </x:c>
    </x:row>
    <x:row r="73" ht="88.5" customHeight="1">
      <x:c r="A73" s="1143" t="str">
        <x:v>GS-03-078</x:v>
      </x:c>
      <x:c r="B73" s="1141" t="str">
        <x:v>Optimized Hybrid Quantum–Classical GAN with Case-based Reasoning Feature Fusion for Multiclass Brain Tumor Classification — RV Krshna. P Snnivas</x:v>
      </x:c>
      <x:c r="C73" s="1141" t="str">
        <x:v>Contextual medical concept-XAI evidence</x:v>
      </x:c>
      <x:c r="D73" s="1141" t="str">
        <x:v>Other/unclear report type</x:v>
      </x:c>
      <x:c r="E73" s="1143" t="n">
        <x:v>1</x:v>
      </x:c>
      <x:c r="F73" s="1143" t="str">
        <x:v>NR</x:v>
      </x:c>
      <x:c r="G73" s="1143" t="str">
        <x:v>NR</x:v>
      </x:c>
      <x:c r="H73" s="1143" t="str">
        <x:v>NR</x:v>
      </x:c>
      <x:c r="I73" s="1143" t="str">
        <x:v>NR</x:v>
      </x:c>
      <x:c r="J73" s="1143" t="str">
        <x:v>NR</x:v>
      </x:c>
      <x:c r="K73" s="1143" t="n">
        <x:v>1</x:v>
      </x:c>
      <x:c r="L73" s="1143" t="n">
        <x:v>1</x:v>
      </x:c>
      <x:c r="M73" s="1143" t="str">
        <x:v>NR</x:v>
      </x:c>
      <x:c r="N73" s="1143" t="n">
        <x:f>COUNT(E73:M73)</x:f>
        <x:v>3</x:v>
      </x:c>
      <x:c r="O73" s="1143" t="n">
        <x:f>SUM(E73:M73)</x:f>
        <x:v>3</x:v>
      </x:c>
      <x:c r="P73" s="1143" t="n">
        <x:f>N73*2</x:f>
        <x:v>6</x:v>
      </x:c>
      <x:c r="Q73" s="1145" t="n">
        <x:f>IF(P73=0,"",O73/P73)</x:f>
        <x:v>0.5</x:v>
      </x:c>
      <x:c r="R73" s="1145" t="n">
        <x:f>N73/9</x:f>
        <x:v>0.3333333333333333</x:v>
      </x:c>
      <x:c r="S73" s="1143" t="str">
        <x:f>IF(N73&lt;2,"Insufficiently reported",IF(AND(R73&gt;=0.67,Q73&gt;=0.75),"Higher strength on available evidence",IF(AND(R73&gt;=0.44,Q73&gt;=0.5),"Moderate strength / some concerns","Low strength or major reporting gaps")))</x:f>
        <x:v>Low strength or major reporting gaps</x:v>
      </x:c>
      <x:c r="T73" s="1143" t="str">
        <x:f>IF(COUNT(F73:H73)&lt;2,"Unclear — insufficient reporting",IF(COUNTIF(F73:H73,0)&gt;0,"High concern on available evidence",IF(AND(F73=2,G73=2,H73=2),"Lower concern on available evidence","Some concerns on available evidence")))</x:f>
        <x:v>Unclear — insufficient reporting</x:v>
      </x:c>
      <x:c r="U73" s="1141" t="str">
        <x:v>Dataset/sample 1: The model is proven to be effective as evidenced by experimental analysis of a publicly available MRI dataset, which attains 98.3% recall, 98% precision, 98.5% F-score, and 99.2% classification rate with an error rate of 0.8% which is superior to a number of conventional and deep learning-based models. | Explanation faithfulness 1: A proxy or qualitative concept/explanation assessment is reported, but not a direct quantitative faithfulness test. | Robustness/stability 1: Limited robustness/generalisation or sensitivity evidence is reported.</x:v>
      </x:c>
      <x:c r="V73" s="1141" t="str">
        <x:v>Moderate — complete scholarly-record abstract</x:v>
      </x:c>
      <x:c r="W73" s="1141" t="str">
        <x:v>https://www.tandfonline.com/doi/full/10.1080/03772063.2026.2660810</x:v>
      </x:c>
    </x:row>
    <x:row r="74" ht="88.5" customHeight="1">
      <x:c r="A74" s="1143" t="str">
        <x:v>GS-03-094</x:v>
      </x:c>
      <x:c r="B74" s="1141" t="str">
        <x:v>Case-Based Reasoning of a Deep Learning Network for Prediction of Early-Stage Oesophageal Cancer — X Gao B Braden L Zhavg STsyor WRanj (2019)</x:v>
      </x:c>
      <x:c r="C74" s="1141" t="str">
        <x:v>Contextual medical concept-XAI evidence</x:v>
      </x:c>
      <x:c r="D74" s="1141" t="str">
        <x:v>Other/unclear report type</x:v>
      </x:c>
      <x:c r="E74" s="1143" t="str">
        <x:v>NR</x:v>
      </x:c>
      <x:c r="F74" s="1143" t="str">
        <x:v>NR</x:v>
      </x:c>
      <x:c r="G74" s="1143" t="n">
        <x:v>1</x:v>
      </x:c>
      <x:c r="H74" s="1143" t="n">
        <x:v>1</x:v>
      </x:c>
      <x:c r="I74" s="1143" t="n">
        <x:v>1</x:v>
      </x:c>
      <x:c r="J74" s="1143" t="str">
        <x:v>NR</x:v>
      </x:c>
      <x:c r="K74" s="1143" t="n">
        <x:v>1</x:v>
      </x:c>
      <x:c r="L74" s="1143" t="str">
        <x:v>NR</x:v>
      </x:c>
      <x:c r="M74" s="1143" t="str">
        <x:v>NR</x:v>
      </x:c>
      <x:c r="N74" s="1143" t="n">
        <x:f>COUNT(E74:M74)</x:f>
        <x:v>4</x:v>
      </x:c>
      <x:c r="O74" s="1143" t="n">
        <x:f>SUM(E74:M74)</x:f>
        <x:v>4</x:v>
      </x:c>
      <x:c r="P74" s="1143" t="n">
        <x:f>N74*2</x:f>
        <x:v>8</x:v>
      </x:c>
      <x:c r="Q74" s="1145" t="n">
        <x:f>IF(P74=0,"",O74/P74)</x:f>
        <x:v>0.5</x:v>
      </x:c>
      <x:c r="R74" s="1145" t="n">
        <x:f>N74/9</x:f>
        <x:v>0.4444444444444444</x:v>
      </x:c>
      <x:c r="S74" s="1143" t="str">
        <x:f>IF(N74&lt;2,"Insufficiently reported",IF(AND(R74&gt;=0.67,Q74&gt;=0.75),"Higher strength on available evidence",IF(AND(R74&gt;=0.44,Q74&gt;=0.5),"Moderate strength / some concerns","Low strength or major reporting gaps")))</x:f>
        <x:v>Moderate strength / some concerns</x:v>
      </x:c>
      <x:c r="T74" s="1143" t="str">
        <x:f>IF(COUNT(F74:H74)&lt;2,"Unclear — insufficient reporting",IF(COUNTIF(F74:H74,0)&gt;0,"High concern on available evidence",IF(AND(F74=2,G74=2,H74=2),"Lower concern on available evidence","Some concerns on available evidence")))</x:f>
        <x:v>Some concerns on available evidence</x:v>
      </x:c>
      <x:c r="U74" s="1141" t="str">
        <x:v>Patient-level split 1: A train/test, held-out, or cross-validation procedure is reported, but the split unit is unclear.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74" s="1141" t="str">
        <x:v>High — complete authoritative abstract</x:v>
      </x:c>
      <x:c r="W74" s="1141" t="str">
        <x:v>https://www.bcs-sgai.org/expertupdate/papers/20-1/2019_paper_1.pdf</x:v>
      </x:c>
    </x:row>
    <x:row r="75" ht="88.5" customHeight="1">
      <x:c r="A75" s="1143" t="str">
        <x:v>GS-03-099</x:v>
      </x:c>
      <x:c r="B75" s="1141" t="str">
        <x:v>Knowledge Amplification Using Randomization in Case-Based Reasoning — Case Study: Severity of Mammography Mass — MB Benaiba-Lagrid</x:v>
      </x:c>
      <x:c r="C75" s="1141" t="str">
        <x:v>Contextual medical concept-XAI evidence</x:v>
      </x:c>
      <x:c r="D75" s="1141" t="str">
        <x:v>Other/unclear report type</x:v>
      </x:c>
      <x:c r="E75" s="1143" t="str">
        <x:v>NR</x:v>
      </x:c>
      <x:c r="F75" s="1143" t="str">
        <x:v>NR</x:v>
      </x:c>
      <x:c r="G75" s="1143" t="str">
        <x:v>NR</x:v>
      </x:c>
      <x:c r="H75" s="1143" t="str">
        <x:v>NR</x:v>
      </x:c>
      <x:c r="I75" s="1143" t="str">
        <x:v>NR</x:v>
      </x:c>
      <x:c r="J75" s="1143" t="str">
        <x:v>NR</x:v>
      </x:c>
      <x:c r="K75" s="1143" t="n">
        <x:v>1</x:v>
      </x:c>
      <x:c r="L75" s="1143" t="str">
        <x:v>NR</x:v>
      </x:c>
      <x:c r="M75" s="1143" t="str">
        <x:v>NR</x:v>
      </x:c>
      <x:c r="N75" s="1143" t="n">
        <x:f>COUNT(E75:M75)</x:f>
        <x:v>1</x:v>
      </x:c>
      <x:c r="O75" s="1143" t="n">
        <x:f>SUM(E75:M75)</x:f>
        <x:v>1</x:v>
      </x:c>
      <x:c r="P75" s="1143" t="n">
        <x:f>N75*2</x:f>
        <x:v>2</x:v>
      </x:c>
      <x:c r="Q75" s="1145" t="n">
        <x:f>IF(P75=0,"",O75/P75)</x:f>
        <x:v>0.5</x:v>
      </x:c>
      <x:c r="R75" s="1145" t="n">
        <x:f>N75/9</x:f>
        <x:v>0.1111111111111111</x:v>
      </x:c>
      <x:c r="S75" s="1143" t="str">
        <x:f>IF(N75&lt;2,"Insufficiently reported",IF(AND(R75&gt;=0.67,Q75&gt;=0.75),"Higher strength on available evidence",IF(AND(R75&gt;=0.44,Q75&gt;=0.5),"Moderate strength / some concerns","Low strength or major reporting gaps")))</x:f>
        <x:v>Insufficiently reported</x:v>
      </x:c>
      <x:c r="T75" s="1143" t="str">
        <x:f>IF(COUNT(F75:H75)&lt;2,"Unclear — insufficient reporting",IF(COUNTIF(F75:H75,0)&gt;0,"High concern on available evidence",IF(AND(F75=2,G75=2,H75=2),"Lower concern on available evidence","Some concerns on available evidence")))</x:f>
        <x:v>Unclear — insufficient reporting</x:v>
      </x:c>
      <x:c r="U75" s="1141" t="str">
        <x:v>Explanation faithfulness 1: A proxy or qualitative concept/explanation assessment is reported, but not a direct quantitative faithfulness test.</x:v>
      </x:c>
      <x:c r="V75" s="1141" t="str">
        <x:v>High — complete authoritative abstract</x:v>
      </x:c>
      <x:c r="W75" s="1141" t="str">
        <x:v>https://doi.org/10.1109/IRI.2018.00031</x:v>
      </x:c>
    </x:row>
    <x:row r="76" ht="88.5" customHeight="1">
      <x:c r="A76" s="1143" t="str">
        <x:v>GS-04-003</x:v>
      </x:c>
      <x:c r="B76" s="1141" t="str">
        <x:v>Neurosymbolic AI Approach for Dry and Wet AMD Classification Using OCT Images — Atdilsdinowe 4 Biscontin. MAéevie AAccardo = (2025)</x:v>
      </x:c>
      <x:c r="C76" s="1141" t="str">
        <x:v>Direct retinal/ophthalmic evidence</x:v>
      </x:c>
      <x:c r="D76" s="1141" t="str">
        <x:v>Other/unclear report type</x:v>
      </x:c>
      <x:c r="E76" s="1143" t="str">
        <x:v>NR</x:v>
      </x:c>
      <x:c r="F76" s="1143" t="str">
        <x:v>NR</x:v>
      </x:c>
      <x:c r="G76" s="1143" t="str">
        <x:v>NR</x:v>
      </x:c>
      <x:c r="H76" s="1143" t="str">
        <x:v>NR</x:v>
      </x:c>
      <x:c r="I76" s="1143" t="str">
        <x:v>NR</x:v>
      </x:c>
      <x:c r="J76" s="1143" t="str">
        <x:v>NR</x:v>
      </x:c>
      <x:c r="K76" s="1143" t="str">
        <x:v>NR</x:v>
      </x:c>
      <x:c r="L76" s="1143" t="str">
        <x:v>NR</x:v>
      </x:c>
      <x:c r="M76" s="1143" t="str">
        <x:v>NR</x:v>
      </x:c>
      <x:c r="N76" s="1143" t="n">
        <x:f>COUNT(E76:M76)</x:f>
        <x:v>0</x:v>
      </x:c>
      <x:c r="O76" s="1143" t="n">
        <x:f>SUM(E76:M76)</x:f>
        <x:v>0</x:v>
      </x:c>
      <x:c r="P76" s="1143" t="n">
        <x:f>N76*2</x:f>
        <x:v>0</x:v>
      </x:c>
      <x:c r="Q76" s="1145" t="str">
        <x:f>IF(P76=0,"",O76/P76)</x:f>
      </x:c>
      <x:c r="R76" s="1145" t="n">
        <x:f>N76/9</x:f>
        <x:v>0</x:v>
      </x:c>
      <x:c r="S76" s="1143" t="str">
        <x:f>IF(N76&lt;2,"Insufficiently reported",IF(AND(R76&gt;=0.67,Q76&gt;=0.75),"Higher strength on available evidence",IF(AND(R76&gt;=0.44,Q76&gt;=0.5),"Moderate strength / some concerns","Low strength or major reporting gaps")))</x:f>
        <x:v>Insufficiently reported</x:v>
      </x:c>
      <x:c r="T76" s="1143" t="str">
        <x:f>IF(COUNT(F76:H76)&lt;2,"Unclear — insufficient reporting",IF(COUNTIF(F76:H76,0)&gt;0,"High concern on available evidence",IF(AND(F76=2,G76=2,H76=2),"Lower concern on available evidence","Some concerns on available evidence")))</x:f>
        <x:v>Unclear — insufficient reporting</x:v>
      </x:c>
      <x:c r="U76" s="1141" t="str">
        <x:v>No quality domain was assessable from the available abstract/indexed evidence; full-text verification is required.</x:v>
      </x:c>
      <x:c r="V76" s="1141" t="str">
        <x:v>High — complete authoritative abstract</x:v>
      </x:c>
      <x:c r="W76" s="1141" t="str">
        <x:v>https://link.springer.com/chapter/10.1007/978-3-031-96538-8_10</x:v>
      </x:c>
    </x:row>
    <x:row r="77" ht="88.5" customHeight="1">
      <x:c r="A77" s="1143" t="str">
        <x:v>GS-04-006</x:v>
      </x:c>
      <x:c r="B77" s="1141" t="str">
        <x:v>KG-DG: Knowledge-Guided Domain Generalization via Neuro-Symbolic Fusion — M Jrsoj ABanetjae S Gupta</x:v>
      </x:c>
      <x:c r="C77" s="1141" t="str">
        <x:v>Contextual medical concept-XAI evidence</x:v>
      </x:c>
      <x:c r="D77" s="1141" t="str">
        <x:v>Review/background report</x:v>
      </x:c>
      <x:c r="E77" s="1143" t="n">
        <x:v>1</x:v>
      </x:c>
      <x:c r="F77" s="1143" t="str">
        <x:v>NR</x:v>
      </x:c>
      <x:c r="G77" s="1143" t="str">
        <x:v>NR</x:v>
      </x:c>
      <x:c r="H77" s="1143" t="str">
        <x:v>NR</x:v>
      </x:c>
      <x:c r="I77" s="1143" t="str">
        <x:v>NR</x:v>
      </x:c>
      <x:c r="J77" s="1143" t="str">
        <x:v>NR</x:v>
      </x:c>
      <x:c r="K77" s="1143" t="n">
        <x:v>1</x:v>
      </x:c>
      <x:c r="L77" s="1143" t="n">
        <x:v>1</x:v>
      </x:c>
      <x:c r="M77" s="1143" t="str">
        <x:v>NR</x:v>
      </x:c>
      <x:c r="N77" s="1143" t="n">
        <x:f>COUNT(E77:M77)</x:f>
        <x:v>3</x:v>
      </x:c>
      <x:c r="O77" s="1143" t="n">
        <x:f>SUM(E77:M77)</x:f>
        <x:v>3</x:v>
      </x:c>
      <x:c r="P77" s="1143" t="n">
        <x:f>N77*2</x:f>
        <x:v>6</x:v>
      </x:c>
      <x:c r="Q77" s="1145" t="n">
        <x:f>IF(P77=0,"",O77/P77)</x:f>
        <x:v>0.5</x:v>
      </x:c>
      <x:c r="R77" s="1145" t="n">
        <x:f>N77/9</x:f>
        <x:v>0.3333333333333333</x:v>
      </x:c>
      <x:c r="S77" s="1143" t="str">
        <x:f>IF(N77&lt;2,"Insufficiently reported",IF(AND(R77&gt;=0.67,Q77&gt;=0.75),"Higher strength on available evidence",IF(AND(R77&gt;=0.44,Q77&gt;=0.5),"Moderate strength / some concerns","Low strength or major reporting gaps")))</x:f>
        <x:v>Low strength or major reporting gaps</x:v>
      </x:c>
      <x:c r="T77" s="1143" t="str">
        <x:f>IF(COUNT(F77:H77)&lt;2,"Unclear — insufficient reporting",IF(COUNTIF(F77:H77,0)&gt;0,"High concern on available evidence",IF(AND(F77=2,G77=2,H77=2),"Lower concern on available evidence","Some concerns on available evidence")))</x:f>
        <x:v>Unclear — insufficient reporting</x:v>
      </x:c>
      <x:c r="U77" s="1141" t="str">
        <x:v>Dataset/sample 1: APTOS, EyePACS, Messidor-1, Messidor-2 | Explanation faithfulness 1: A proxy or qualitative concept/explanation assessment is reported, but not a direct quantitative faithfulness test. | Robustness/stability 1: Limited robustness/generalisation or sensitivity evidence is reported.</x:v>
      </x:c>
      <x:c r="V77" s="1141" t="str">
        <x:v>Moderate — abstract available</x:v>
      </x:c>
      <x:c r="W77" s="1141" t="str">
        <x:v>https://openreview.net/forum?id=xAtYHNe0Ey</x:v>
      </x:c>
    </x:row>
    <x:row r="78" ht="88.5" customHeight="1">
      <x:c r="A78" s="1143" t="str">
        <x:v>GS-04-023</x:v>
      </x:c>
      <x:c r="B78" s="1141" t="str">
        <x:v>DeepInfusion: A Dynamic Infusion-Based Neuro-Symbolic AI Model for Segmentation of Intracranial Aneurysms — | Abduilah. A Javed KM Malik G Malik (2023)</x:v>
      </x:c>
      <x:c r="C78" s="1141" t="str">
        <x:v>Contextual medical concept-XAI evidence</x:v>
      </x:c>
      <x:c r="D78" s="1141" t="str">
        <x:v>Other/unclear report type</x:v>
      </x:c>
      <x:c r="E78" s="1143" t="n">
        <x:v>1</x:v>
      </x:c>
      <x:c r="F78" s="1143" t="str">
        <x:v>NR</x:v>
      </x:c>
      <x:c r="G78" s="1143" t="str">
        <x:v>NR</x:v>
      </x:c>
      <x:c r="H78" s="1143" t="str">
        <x:v>NR</x:v>
      </x:c>
      <x:c r="I78" s="1143" t="str">
        <x:v>NR</x:v>
      </x:c>
      <x:c r="J78" s="1143" t="str">
        <x:v>NR</x:v>
      </x:c>
      <x:c r="K78" s="1143" t="n">
        <x:v>1</x:v>
      </x:c>
      <x:c r="L78" s="1143" t="n">
        <x:v>1</x:v>
      </x:c>
      <x:c r="M78" s="1143" t="str">
        <x:v>NR</x:v>
      </x:c>
      <x:c r="N78" s="1143" t="n">
        <x:f>COUNT(E78:M78)</x:f>
        <x:v>3</x:v>
      </x:c>
      <x:c r="O78" s="1143" t="n">
        <x:f>SUM(E78:M78)</x:f>
        <x:v>3</x:v>
      </x:c>
      <x:c r="P78" s="1143" t="n">
        <x:f>N78*2</x:f>
        <x:v>6</x:v>
      </x:c>
      <x:c r="Q78" s="1145" t="n">
        <x:f>IF(P78=0,"",O78/P78)</x:f>
        <x:v>0.5</x:v>
      </x:c>
      <x:c r="R78" s="1145" t="n">
        <x:f>N78/9</x:f>
        <x:v>0.3333333333333333</x:v>
      </x:c>
      <x:c r="S78" s="1143" t="str">
        <x:f>IF(N78&lt;2,"Insufficiently reported",IF(AND(R78&gt;=0.67,Q78&gt;=0.75),"Higher strength on available evidence",IF(AND(R78&gt;=0.44,Q78&gt;=0.5),"Moderate strength / some concerns","Low strength or major reporting gaps")))</x:f>
        <x:v>Low strength or major reporting gaps</x:v>
      </x:c>
      <x:c r="T78" s="1143" t="str">
        <x:f>IF(COUNT(F78:H78)&lt;2,"Unclear — insufficient reporting",IF(COUNTIF(F78:H78,0)&gt;0,"High concern on available evidence",IF(AND(F78=2,G78=2,H78=2),"Lower concern on available evidence","Some concerns on available evidence")))</x:f>
        <x:v>Unclear — insufficient reporting</x:v>
      </x:c>
      <x:c r="U78" s="1141" t="str">
        <x:v>Dataset/sample 1: DRIVE, Kvasir-SEG. It is evaluated on 409 in-house DSA images, achieving 96.76% IoU and 94.15% F1 on unseen images. | Explanation faithfulness 1: A proxy or qualitative concept/explanation assessment is reported, but not a direct quantitative faithfulness test. | Robustness/stability 1: Limited robustness/generalisation or sensitivity evidence is reported.</x:v>
      </x:c>
      <x:c r="V78" s="1141" t="str">
        <x:v>High — complete authoritative abstract</x:v>
      </x:c>
      <x:c r="W78" s="1141" t="str">
        <x:v>https://doi.org/10.1016/j.neucom.2023.126510</x:v>
      </x:c>
    </x:row>
    <x:row r="79" ht="88.5" customHeight="1">
      <x:c r="A79" s="1143" t="str">
        <x:v>GS-04-033</x:v>
      </x:c>
      <x:c r="B79" s="1141" t="str">
        <x:v>Interpretable hybrid CNN–ViT framework with neuro-symbolic clinical decision support for early cervical cancer diagnosis — HT Halawani EM Seran EMAsen Othman .. (2026)</x:v>
      </x:c>
      <x:c r="C79" s="1141" t="str">
        <x:v>Contextual medical concept-XAI evidence</x:v>
      </x:c>
      <x:c r="D79" s="1141" t="str">
        <x:v>Other/unclear report type</x:v>
      </x:c>
      <x:c r="E79" s="1143" t="n">
        <x:v>1</x:v>
      </x:c>
      <x:c r="F79" s="1143" t="str">
        <x:v>NR</x:v>
      </x:c>
      <x:c r="G79" s="1143" t="str">
        <x:v>NR</x:v>
      </x:c>
      <x:c r="H79" s="1143" t="str">
        <x:v>NR</x:v>
      </x:c>
      <x:c r="I79" s="1143" t="str">
        <x:v>NR</x:v>
      </x:c>
      <x:c r="J79" s="1143" t="str">
        <x:v>NR</x:v>
      </x:c>
      <x:c r="K79" s="1143" t="n">
        <x:v>1</x:v>
      </x:c>
      <x:c r="L79" s="1143" t="str">
        <x:v>NR</x:v>
      </x:c>
      <x:c r="M79" s="1143" t="str">
        <x:v>NR</x:v>
      </x:c>
      <x:c r="N79" s="1143" t="n">
        <x:f>COUNT(E79:M79)</x:f>
        <x:v>2</x:v>
      </x:c>
      <x:c r="O79" s="1143" t="n">
        <x:f>SUM(E79:M79)</x:f>
        <x:v>2</x:v>
      </x:c>
      <x:c r="P79" s="1143" t="n">
        <x:f>N79*2</x:f>
        <x:v>4</x:v>
      </x:c>
      <x:c r="Q79" s="1145" t="n">
        <x:f>IF(P79=0,"",O79/P79)</x:f>
        <x:v>0.5</x:v>
      </x:c>
      <x:c r="R79" s="1145" t="n">
        <x:f>N79/9</x:f>
        <x:v>0.2222222222222222</x:v>
      </x:c>
      <x:c r="S79" s="1143" t="str">
        <x:f>IF(N79&lt;2,"Insufficiently reported",IF(AND(R79&gt;=0.67,Q79&gt;=0.75),"Higher strength on available evidence",IF(AND(R79&gt;=0.44,Q79&gt;=0.5),"Moderate strength / some concerns","Low strength or major reporting gaps")))</x:f>
        <x:v>Low strength or major reporting gaps</x:v>
      </x:c>
      <x:c r="T79" s="1143" t="str">
        <x:f>IF(COUNT(F79:H79)&lt;2,"Unclear — insufficient reporting",IF(COUNTIF(F79:H79,0)&gt;0,"High concern on available evidence",IF(AND(F79=2,G79=2,H79=2),"Lower concern on available evidence","Some concerns on available evidence")))</x:f>
        <x:v>Unclear — insufficient reporting</x:v>
      </x:c>
      <x:c r="U79" s="1141" t="str">
        <x:v>Dataset/sample 1: Experimental results showed that the proposed hybrid model achieved an average AUC of 99.23%, sensitivity of 98.86%, and accuracy of 98.80% on the SIPaKMeD dataset. | Explanation faithfulness 1: A proxy or qualitative concept/explanation assessment is reported, but not a direct quantitative faithfulness test.</x:v>
      </x:c>
      <x:c r="V79" s="1141" t="str">
        <x:v>Moderate — complete scholarly-record abstract</x:v>
      </x:c>
      <x:c r="W79" s="1141" t="str">
        <x:v>https://www.nature.com/articles/s41598-026-58334-z.pdf</x:v>
      </x:c>
    </x:row>
    <x:row r="80" ht="88.5" customHeight="1">
      <x:c r="A80" s="1143" t="str">
        <x:v>GS-04-034</x:v>
      </x:c>
      <x:c r="B80" s="1141" t="str">
        <x:v>Trustworthy retinopathy of prematurity diagnosis using explainable vision-language model — HZ Netra RM Ghadban (2026)</x:v>
      </x:c>
      <x:c r="C80" s="1141" t="str">
        <x:v>Contextual medical concept-XAI evidence</x:v>
      </x:c>
      <x:c r="D80" s="1141" t="str">
        <x:v>Other/unclear report type</x:v>
      </x:c>
      <x:c r="E80" s="1143" t="n">
        <x:v>1</x:v>
      </x:c>
      <x:c r="F80" s="1143" t="str">
        <x:v>NR</x:v>
      </x:c>
      <x:c r="G80" s="1143" t="str">
        <x:v>NR</x:v>
      </x:c>
      <x:c r="H80" s="1143" t="n">
        <x:v>1</x:v>
      </x:c>
      <x:c r="I80" s="1143" t="n">
        <x:v>1</x:v>
      </x:c>
      <x:c r="J80" s="1143" t="str">
        <x:v>NR</x:v>
      </x:c>
      <x:c r="K80" s="1143" t="n">
        <x:v>1</x:v>
      </x:c>
      <x:c r="L80" s="1143" t="n">
        <x:v>1</x:v>
      </x:c>
      <x:c r="M80" s="1143" t="str">
        <x:v>NR</x:v>
      </x:c>
      <x:c r="N80" s="1143" t="n">
        <x:f>COUNT(E80:M80)</x:f>
        <x:v>5</x:v>
      </x:c>
      <x:c r="O80" s="1143" t="n">
        <x:f>SUM(E80:M80)</x:f>
        <x:v>5</x:v>
      </x:c>
      <x:c r="P80" s="1143" t="n">
        <x:f>N80*2</x:f>
        <x:v>10</x:v>
      </x:c>
      <x:c r="Q80" s="1145" t="n">
        <x:f>IF(P80=0,"",O80/P80)</x:f>
        <x:v>0.5</x:v>
      </x:c>
      <x:c r="R80" s="1145" t="n">
        <x:f>N80/9</x:f>
        <x:v>0.5555555555555556</x:v>
      </x:c>
      <x:c r="S80" s="1143" t="str">
        <x:f>IF(N80&lt;2,"Insufficiently reported",IF(AND(R80&gt;=0.67,Q80&gt;=0.75),"Higher strength on available evidence",IF(AND(R80&gt;=0.44,Q80&gt;=0.5),"Moderate strength / some concerns","Low strength or major reporting gaps")))</x:f>
        <x:v>Moderate strength / some concerns</x:v>
      </x:c>
      <x:c r="T80" s="1143" t="str">
        <x:f>IF(COUNT(F80:H80)&lt;2,"Unclear — insufficient reporting",IF(COUNTIF(F80:H80,0)&gt;0,"High concern on available evidence",IF(AND(F80=2,G80=2,H80=2),"Lower concern on available evidence","Some concerns on available evidence")))</x:f>
        <x:v>Unclear — insufficient reporting</x:v>
      </x:c>
      <x:c r="U80" s="1141" t="str">
        <x:v>Dataset/sample 1: Evaluations on benchmark ROP datasets, paired with semi-structured NICU reports, demonstrate that the multimodal system improves diagnostic AUC by 7-9 % compared to image-only baselines, and delivers dual explanations through Grad-CAM heatmaps and SHAP token-level attributions.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1: Limited robustness/generalisation or sensitivity evidence is reported.</x:v>
      </x:c>
      <x:c r="V80" s="1141" t="str">
        <x:v>Moderate — complete scholarly-record abstract</x:v>
      </x:c>
      <x:c r="W80" s="1141" t="str">
        <x:v>https://classic.jase.tku.edu.tw/articles/jase-202607-30-006</x:v>
      </x:c>
    </x:row>
    <x:row r="81" ht="88.5" customHeight="1">
      <x:c r="A81" s="1143" t="str">
        <x:v>GS-04-099</x:v>
      </x:c>
      <x:c r="B81" s="1141" t="str">
        <x:v>MedXAI: A Retrieval-Augmented and Self-Verifying Framework for Knowledge-Guided Medical Image Analysis — MJrsoj ABanerjae F Shaikh 9 (2025)</x:v>
      </x:c>
      <x:c r="C81" s="1141" t="str">
        <x:v>Contextual medical concept-XAI evidence</x:v>
      </x:c>
      <x:c r="D81" s="1141" t="str">
        <x:v>Other/unclear report type</x:v>
      </x:c>
      <x:c r="E81" s="1143" t="n">
        <x:v>1</x:v>
      </x:c>
      <x:c r="F81" s="1143" t="str">
        <x:v>NR</x:v>
      </x:c>
      <x:c r="G81" s="1143" t="str">
        <x:v>NR</x:v>
      </x:c>
      <x:c r="H81" s="1143" t="n">
        <x:v>1</x:v>
      </x:c>
      <x:c r="I81" s="1143" t="n">
        <x:v>1</x:v>
      </x:c>
      <x:c r="J81" s="1143" t="str">
        <x:v>NR</x:v>
      </x:c>
      <x:c r="K81" s="1143" t="n">
        <x:v>1</x:v>
      </x:c>
      <x:c r="L81" s="1143" t="n">
        <x:v>1</x:v>
      </x:c>
      <x:c r="M81" s="1143" t="str">
        <x:v>NR</x:v>
      </x:c>
      <x:c r="N81" s="1143" t="n">
        <x:f>COUNT(E81:M81)</x:f>
        <x:v>5</x:v>
      </x:c>
      <x:c r="O81" s="1143" t="n">
        <x:f>SUM(E81:M81)</x:f>
        <x:v>5</x:v>
      </x:c>
      <x:c r="P81" s="1143" t="n">
        <x:f>N81*2</x:f>
        <x:v>10</x:v>
      </x:c>
      <x:c r="Q81" s="1145" t="n">
        <x:f>IF(P81=0,"",O81/P81)</x:f>
        <x:v>0.5</x:v>
      </x:c>
      <x:c r="R81" s="1145" t="n">
        <x:f>N81/9</x:f>
        <x:v>0.5555555555555556</x:v>
      </x:c>
      <x:c r="S81" s="1143" t="str">
        <x:f>IF(N81&lt;2,"Insufficiently reported",IF(AND(R81&gt;=0.67,Q81&gt;=0.75),"Higher strength on available evidence",IF(AND(R81&gt;=0.44,Q81&gt;=0.5),"Moderate strength / some concerns","Low strength or major reporting gaps")))</x:f>
        <x:v>Moderate strength / some concerns</x:v>
      </x:c>
      <x:c r="T81" s="1143" t="str">
        <x:f>IF(COUNT(F81:H81)&lt;2,"Unclear — insufficient reporting",IF(COUNTIF(F81:H81,0)&gt;0,"High concern on available evidence",IF(AND(F81=2,G81=2,H81=2),"Lower concern on available evidence","Some concerns on available evidence")))</x:f>
        <x:v>Unclear — insufficient reporting</x:v>
      </x:c>
      <x:c r="U81" s="1141" t="str">
        <x:v>Dataset/sample 1: Ex periments on ten multicenter datasets show consistent gains, including a 3% improvement in cross-domain generalization and a 10% improvmnet in F1 score of rare class, substantially outperforming strong deep learning baselines. | 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 | Robustness/stability 1: Limited robustness/generalisation or sensitivity evidence is reported.</x:v>
      </x:c>
      <x:c r="V81" s="1141" t="str">
        <x:v>Moderate — complete preprint abstract</x:v>
      </x:c>
      <x:c r="W81" s="1141" t="str">
        <x:v>https://arxiv.org/abs/2512.10098</x:v>
      </x:c>
    </x:row>
    <x:row r="82" ht="88.5" customHeight="1">
      <x:c r="A82" s="1143" t="str">
        <x:v>GS-05-093</x:v>
      </x:c>
      <x:c r="B82" s="1141" t="str">
        <x:v>Diagnose Like a Radiologist: Hybrid Neuro-Probabilistic Reasoning for Attribute-Based Medical Image Diagnosis — G Zhao, DFang C Chen Z2hou = (2021)</x:v>
      </x:c>
      <x:c r="C82" s="1141" t="str">
        <x:v>Contextual medical concept-XAI evidence</x:v>
      </x:c>
      <x:c r="D82" s="1141" t="str">
        <x:v>Other/unclear report type</x:v>
      </x:c>
      <x:c r="E82" s="1143" t="n">
        <x:v>1</x:v>
      </x:c>
      <x:c r="F82" s="1143" t="str">
        <x:v>NR</x:v>
      </x:c>
      <x:c r="G82" s="1143" t="str">
        <x:v>NR</x:v>
      </x:c>
      <x:c r="H82" s="1143" t="n">
        <x:v>1</x:v>
      </x:c>
      <x:c r="I82" s="1143" t="n">
        <x:v>1</x:v>
      </x:c>
      <x:c r="J82" s="1143" t="str">
        <x:v>NR</x:v>
      </x:c>
      <x:c r="K82" s="1143" t="str">
        <x:v>NR</x:v>
      </x:c>
      <x:c r="L82" s="1143" t="n">
        <x:v>1</x:v>
      </x:c>
      <x:c r="M82" s="1143" t="str">
        <x:v>NR</x:v>
      </x:c>
      <x:c r="N82" s="1143" t="n">
        <x:f>COUNT(E82:M82)</x:f>
        <x:v>4</x:v>
      </x:c>
      <x:c r="O82" s="1143" t="n">
        <x:f>SUM(E82:M82)</x:f>
        <x:v>4</x:v>
      </x:c>
      <x:c r="P82" s="1143" t="n">
        <x:f>N82*2</x:f>
        <x:v>8</x:v>
      </x:c>
      <x:c r="Q82" s="1145" t="n">
        <x:f>IF(P82=0,"",O82/P82)</x:f>
        <x:v>0.5</x:v>
      </x:c>
      <x:c r="R82" s="1145" t="n">
        <x:f>N82/9</x:f>
        <x:v>0.4444444444444444</x:v>
      </x:c>
      <x:c r="S82" s="1143" t="str">
        <x:f>IF(N82&lt;2,"Insufficiently reported",IF(AND(R82&gt;=0.67,Q82&gt;=0.75),"Higher strength on available evidence",IF(AND(R82&gt;=0.44,Q82&gt;=0.5),"Moderate strength / some concerns","Low strength or major reporting gaps")))</x:f>
        <x:v>Moderate strength / some concerns</x:v>
      </x:c>
      <x:c r="T82" s="1143" t="str">
        <x:f>IF(COUNT(F82:H82)&lt;2,"Unclear — insufficient reporting",IF(COUNTIF(F82:H82,0)&gt;0,"High concern on available evidence",IF(AND(F82=2,G82=2,H82=2),"Lower concern on available evidence","Some concerns on available evidence")))</x:f>
        <x:v>Unclear — insufficient reporting</x:v>
      </x:c>
      <x:c r="U82" s="1141" t="str">
        <x:v>Dataset/sample 1: LIDC-IDRI. On the LIDC-IDRI benchmark dataset for benign-malignant classification of pulmonary nodules in CT images, our method achieves a new state-of-the-art accuracy of 95.36% and an AUC of 96.54%. | Annotation quality 1: Clinical-expert annotation or reference assessment is reported, but consensus/adjudication is unclear. | Ophthalmologist involvement 1: Clinical-expert involvement or comparison is mentioned, but its role is limited or incompletely described. | Robustness/stability 1: Limited robustness/generalisation or sensitivity evidence is reported.</x:v>
      </x:c>
      <x:c r="V82" s="1141" t="str">
        <x:v>Moderate — complete scholarly-record abstract</x:v>
      </x:c>
      <x:c r="W82" s="1141" t="str">
        <x:v>https://arxiv.org/pdf/2208.09282</x:v>
      </x:c>
    </x:row>
    <x:row r="83" ht="88.5" customHeight="1">
      <x:c r="A83" s="1143" t="str">
        <x:v>GS-06-002</x:v>
      </x:c>
      <x:c r="B83" s="1141" t="str">
        <x:v>Interpretability Beyond Feature Attribution: Quantitative Testing with Concept Activation Vectors (TCAV) — Bim. M\Watlenbsrg J Silme: C Cai (2018)</x:v>
      </x:c>
      <x:c r="C83" s="1141" t="str">
        <x:v>Contextual medical concept-XAI evidence</x:v>
      </x:c>
      <x:c r="D83" s="1141" t="str">
        <x:v>Conference paper</x:v>
      </x:c>
      <x:c r="E83" s="1143" t="str">
        <x:v>NR</x:v>
      </x:c>
      <x:c r="F83" s="1143" t="str">
        <x:v>NR</x:v>
      </x:c>
      <x:c r="G83" s="1143" t="str">
        <x:v>NR</x:v>
      </x:c>
      <x:c r="H83" s="1143" t="str">
        <x:v>NR</x:v>
      </x:c>
      <x:c r="I83" s="1143" t="str">
        <x:v>NR</x:v>
      </x:c>
      <x:c r="J83" s="1143" t="str">
        <x:v>NR</x:v>
      </x:c>
      <x:c r="K83" s="1143" t="n">
        <x:v>1</x:v>
      </x:c>
      <x:c r="L83" s="1143" t="str">
        <x:v>NR</x:v>
      </x:c>
      <x:c r="M83" s="1143" t="str">
        <x:v>NR</x:v>
      </x:c>
      <x:c r="N83" s="1143" t="n">
        <x:f>COUNT(E83:M83)</x:f>
        <x:v>1</x:v>
      </x:c>
      <x:c r="O83" s="1143" t="n">
        <x:f>SUM(E83:M83)</x:f>
        <x:v>1</x:v>
      </x:c>
      <x:c r="P83" s="1143" t="n">
        <x:f>N83*2</x:f>
        <x:v>2</x:v>
      </x:c>
      <x:c r="Q83" s="1145" t="n">
        <x:f>IF(P83=0,"",O83/P83)</x:f>
        <x:v>0.5</x:v>
      </x:c>
      <x:c r="R83" s="1145" t="n">
        <x:f>N83/9</x:f>
        <x:v>0.1111111111111111</x:v>
      </x:c>
      <x:c r="S83" s="1143" t="str">
        <x:f>IF(N83&lt;2,"Insufficiently reported",IF(AND(R83&gt;=0.67,Q83&gt;=0.75),"Higher strength on available evidence",IF(AND(R83&gt;=0.44,Q83&gt;=0.5),"Moderate strength / some concerns","Low strength or major reporting gaps")))</x:f>
        <x:v>Insufficiently reported</x:v>
      </x:c>
      <x:c r="T83" s="1143" t="str">
        <x:f>IF(COUNT(F83:H83)&lt;2,"Unclear — insufficient reporting",IF(COUNTIF(F83:H83,0)&gt;0,"High concern on available evidence",IF(AND(F83=2,G83=2,H83=2),"Lower concern on available evidence","Some concerns on available evidence")))</x:f>
        <x:v>Unclear — insufficient reporting</x:v>
      </x:c>
      <x:c r="U83" s="1141" t="str">
        <x:v>Explanation faithfulness 1: A proxy or qualitative concept/explanation assessment is reported, but not a direct quantitative faithfulness test.</x:v>
      </x:c>
      <x:c r="V83" s="1141" t="str">
        <x:v>Moderate — complete preprint abstract</x:v>
      </x:c>
      <x:c r="W83" s="1141" t="str">
        <x:v>https://arxiv.org/abs/1711.11279</x:v>
      </x:c>
    </x:row>
    <x:row r="84" ht="88.5" customHeight="1">
      <x:c r="A84" s="1143" t="str">
        <x:v>GS-06-003</x:v>
      </x:c>
      <x:c r="B84" s="1141" t="str">
        <x:v>AI based Deep Radiomics for Quantification of Macular Edema: A Continuous, Non-categorical, Numerical Score for Personalized Medicine — APurl, R Krueger (2024)</x:v>
      </x:c>
      <x:c r="C84" s="1141" t="str">
        <x:v>Direct retinal/ophthalmic evidence</x:v>
      </x:c>
      <x:c r="D84" s="1141" t="str">
        <x:v>Other/unclear report type</x:v>
      </x:c>
      <x:c r="E84" s="1143" t="n">
        <x:v>1</x:v>
      </x:c>
      <x:c r="F84" s="1143" t="str">
        <x:v>NR</x:v>
      </x:c>
      <x:c r="G84" s="1143" t="str">
        <x:v>NR</x:v>
      </x:c>
      <x:c r="H84" s="1143" t="str">
        <x:v>NR</x:v>
      </x:c>
      <x:c r="I84" s="1143" t="str">
        <x:v>NR</x:v>
      </x:c>
      <x:c r="J84" s="1143" t="str">
        <x:v>NR</x:v>
      </x:c>
      <x:c r="K84" s="1143" t="n">
        <x:v>1</x:v>
      </x:c>
      <x:c r="L84" s="1143" t="str">
        <x:v>NR</x:v>
      </x:c>
      <x:c r="M84" s="1143" t="str">
        <x:v>NR</x:v>
      </x:c>
      <x:c r="N84" s="1143" t="n">
        <x:f>COUNT(E84:M84)</x:f>
        <x:v>2</x:v>
      </x:c>
      <x:c r="O84" s="1143" t="n">
        <x:f>SUM(E84:M84)</x:f>
        <x:v>2</x:v>
      </x:c>
      <x:c r="P84" s="1143" t="n">
        <x:f>N84*2</x:f>
        <x:v>4</x:v>
      </x:c>
      <x:c r="Q84" s="1145" t="n">
        <x:f>IF(P84=0,"",O84/P84)</x:f>
        <x:v>0.5</x:v>
      </x:c>
      <x:c r="R84" s="1145" t="n">
        <x:f>N84/9</x:f>
        <x:v>0.2222222222222222</x:v>
      </x:c>
      <x:c r="S84" s="1143" t="str">
        <x:f>IF(N84&lt;2,"Insufficiently reported",IF(AND(R84&gt;=0.67,Q84&gt;=0.75),"Higher strength on available evidence",IF(AND(R84&gt;=0.44,Q84&gt;=0.5),"Moderate strength / some concerns","Low strength or major reporting gaps")))</x:f>
        <x:v>Low strength or major reporting gaps</x:v>
      </x:c>
      <x:c r="T84" s="1143" t="str">
        <x:f>IF(COUNT(F84:H84)&lt;2,"Unclear — insufficient reporting",IF(COUNTIF(F84:H84,0)&gt;0,"High concern on available evidence",IF(AND(F84=2,G84=2,H84=2),"Lower concern on available evidence","Some concerns on available evidence")))</x:f>
        <x:v>Unclear — insufficient reporting</x:v>
      </x:c>
      <x:c r="U84" s="1141" t="str">
        <x:v>Dataset/sample 1: It captured complex nonlinear relationships from edema features in an image, that correlated well with the disease severity, response to treatment, the prognostically significant internal pattern of edema, and its invisible spread into the surrounding regions. | Explanation faithfulness 1: A proxy or qualitative concept/explanation assessment is reported, but not a direct quantitative faithfulness test.</x:v>
      </x:c>
      <x:c r="V84" s="1141" t="str">
        <x:v>High — complete authoritative abstract</x:v>
      </x:c>
      <x:c r="W84" s="1141" t="str">
        <x:v>https://doi.org/10.21203/rs.3.rs-4854925/v1</x:v>
      </x:c>
    </x:row>
    <x:row r="85" ht="88.5" customHeight="1">
      <x:c r="A85" s="1143" t="str">
        <x:v>GS-06-014</x:v>
      </x:c>
      <x:c r="B85" s="1141" t="str">
        <x:v>Developing Explainable Machine Learning Model using Augmented Concept Activation Vector — R Hassanpcur K Ozlaprak MN Netlen, TBusker = (2024)</x:v>
      </x:c>
      <x:c r="C85" s="1141" t="str">
        <x:v>Contextual medical concept-XAI evidence</x:v>
      </x:c>
      <x:c r="D85" s="1141" t="str">
        <x:v>Preprint</x:v>
      </x:c>
      <x:c r="E85" s="1143" t="str">
        <x:v>NR</x:v>
      </x:c>
      <x:c r="F85" s="1143" t="str">
        <x:v>NR</x:v>
      </x:c>
      <x:c r="G85" s="1143" t="str">
        <x:v>NR</x:v>
      </x:c>
      <x:c r="H85" s="1143" t="str">
        <x:v>NR</x:v>
      </x:c>
      <x:c r="I85" s="1143" t="str">
        <x:v>NR</x:v>
      </x:c>
      <x:c r="J85" s="1143" t="str">
        <x:v>NR</x:v>
      </x:c>
      <x:c r="K85" s="1143" t="n">
        <x:v>1</x:v>
      </x:c>
      <x:c r="L85" s="1143" t="str">
        <x:v>NR</x:v>
      </x:c>
      <x:c r="M85" s="1143" t="str">
        <x:v>NR</x:v>
      </x:c>
      <x:c r="N85" s="1143" t="n">
        <x:f>COUNT(E85:M85)</x:f>
        <x:v>1</x:v>
      </x:c>
      <x:c r="O85" s="1143" t="n">
        <x:f>SUM(E85:M85)</x:f>
        <x:v>1</x:v>
      </x:c>
      <x:c r="P85" s="1143" t="n">
        <x:f>N85*2</x:f>
        <x:v>2</x:v>
      </x:c>
      <x:c r="Q85" s="1145" t="n">
        <x:f>IF(P85=0,"",O85/P85)</x:f>
        <x:v>0.5</x:v>
      </x:c>
      <x:c r="R85" s="1145" t="n">
        <x:f>N85/9</x:f>
        <x:v>0.1111111111111111</x:v>
      </x:c>
      <x:c r="S85" s="1143" t="str">
        <x:f>IF(N85&lt;2,"Insufficiently reported",IF(AND(R85&gt;=0.67,Q85&gt;=0.75),"Higher strength on available evidence",IF(AND(R85&gt;=0.44,Q85&gt;=0.5),"Moderate strength / some concerns","Low strength or major reporting gaps")))</x:f>
        <x:v>Insufficiently reported</x:v>
      </x:c>
      <x:c r="T85" s="1143" t="str">
        <x:f>IF(COUNT(F85:H85)&lt;2,"Unclear — insufficient reporting",IF(COUNTIF(F85:H85,0)&gt;0,"High concern on available evidence",IF(AND(F85=2,G85=2,H85=2),"Lower concern on available evidence","Some concerns on available evidence")))</x:f>
        <x:v>Unclear — insufficient reporting</x:v>
      </x:c>
      <x:c r="U85" s="1141" t="str">
        <x:v>Explanation faithfulness 1: A proxy or qualitative concept/explanation assessment is reported, but not a direct quantitative faithfulness test.</x:v>
      </x:c>
      <x:c r="V85" s="1141" t="str">
        <x:v>Moderate — complete scholarly-record abstract</x:v>
      </x:c>
      <x:c r="W85" s="1141" t="str">
        <x:v>https://arxiv.org/pdf/2412.19208</x:v>
      </x:c>
    </x:row>
    <x:row r="86" ht="88.5" customHeight="1">
      <x:c r="A86" s="1143" t="str">
        <x:v>GS-06-015</x:v>
      </x:c>
      <x:c r="B86" s="1141" t="str">
        <x:v>ExAID: A Multimodal Explanation Framework for Computer-Aided Diagnosis of Skin Lesions — Aluceri WIN Bapyva SABraun MI Malik -Compuler Mathads and | 2022. Elsev-er (2022)</x:v>
      </x:c>
      <x:c r="C86" s="1141" t="str">
        <x:v>Contextual medical concept-XAI evidence</x:v>
      </x:c>
      <x:c r="D86" s="1141" t="str">
        <x:v>Other/unclear report type</x:v>
      </x:c>
      <x:c r="E86" s="1143" t="str">
        <x:v>NR</x:v>
      </x:c>
      <x:c r="F86" s="1143" t="str">
        <x:v>NR</x:v>
      </x:c>
      <x:c r="G86" s="1143" t="str">
        <x:v>NR</x:v>
      </x:c>
      <x:c r="H86" s="1143" t="str">
        <x:v>NR</x:v>
      </x:c>
      <x:c r="I86" s="1143" t="str">
        <x:v>NR</x:v>
      </x:c>
      <x:c r="J86" s="1143" t="str">
        <x:v>NR</x:v>
      </x:c>
      <x:c r="K86" s="1143" t="n">
        <x:v>1</x:v>
      </x:c>
      <x:c r="L86" s="1143" t="str">
        <x:v>NR</x:v>
      </x:c>
      <x:c r="M86" s="1143" t="str">
        <x:v>NR</x:v>
      </x:c>
      <x:c r="N86" s="1143" t="n">
        <x:f>COUNT(E86:M86)</x:f>
        <x:v>1</x:v>
      </x:c>
      <x:c r="O86" s="1143" t="n">
        <x:f>SUM(E86:M86)</x:f>
        <x:v>1</x:v>
      </x:c>
      <x:c r="P86" s="1143" t="n">
        <x:f>N86*2</x:f>
        <x:v>2</x:v>
      </x:c>
      <x:c r="Q86" s="1145" t="n">
        <x:f>IF(P86=0,"",O86/P86)</x:f>
        <x:v>0.5</x:v>
      </x:c>
      <x:c r="R86" s="1145" t="n">
        <x:f>N86/9</x:f>
        <x:v>0.1111111111111111</x:v>
      </x:c>
      <x:c r="S86" s="1143" t="str">
        <x:f>IF(N86&lt;2,"Insufficiently reported",IF(AND(R86&gt;=0.67,Q86&gt;=0.75),"Higher strength on available evidence",IF(AND(R86&gt;=0.44,Q86&gt;=0.5),"Moderate strength / some concerns","Low strength or major reporting gaps")))</x:f>
        <x:v>Insufficiently reported</x:v>
      </x:c>
      <x:c r="T86" s="1143" t="str">
        <x:f>IF(COUNT(F86:H86)&lt;2,"Unclear — insufficient reporting",IF(COUNTIF(F86:H86,0)&gt;0,"High concern on available evidence",IF(AND(F86=2,G86=2,H86=2),"Lower concern on available evidence","Some concerns on available evidence")))</x:f>
        <x:v>Unclear — insufficient reporting</x:v>
      </x:c>
      <x:c r="U86" s="1141" t="str">
        <x:v>Explanation faithfulness 1: A proxy or qualitative concept/explanation assessment is reported, but not a direct quantitative faithfulness test.</x:v>
      </x:c>
      <x:c r="V86" s="1141" t="str">
        <x:v>Moderate — complete preprint abstract</x:v>
      </x:c>
      <x:c r="W86" s="1141" t="str">
        <x:v>https://arxiv.org/abs/2201.01249</x:v>
      </x:c>
    </x:row>
    <x:row r="87" ht="88.5" customHeight="1">
      <x:c r="A87" s="1143" t="str">
        <x:v>GS-06-017</x:v>
      </x:c>
      <x:c r="B87" s="1141" t="str">
        <x:v>Robust and Interpretable Chest X-ray Classification via Diffusion Purification and Concept-Based Adversarial Detection — AK Alj (2025)</x:v>
      </x:c>
      <x:c r="C87" s="1141" t="str">
        <x:v>Contextual medical concept-XAI evidence</x:v>
      </x:c>
      <x:c r="D87" s="1141" t="str">
        <x:v>Other/unclear report type</x:v>
      </x:c>
      <x:c r="E87" s="1143" t="n">
        <x:v>1</x:v>
      </x:c>
      <x:c r="F87" s="1143" t="str">
        <x:v>NR</x:v>
      </x:c>
      <x:c r="G87" s="1143" t="str">
        <x:v>NR</x:v>
      </x:c>
      <x:c r="H87" s="1143" t="str">
        <x:v>NR</x:v>
      </x:c>
      <x:c r="I87" s="1143" t="str">
        <x:v>NR</x:v>
      </x:c>
      <x:c r="J87" s="1143" t="str">
        <x:v>NR</x:v>
      </x:c>
      <x:c r="K87" s="1143" t="n">
        <x:v>2</x:v>
      </x:c>
      <x:c r="L87" s="1143" t="n">
        <x:v>2</x:v>
      </x:c>
      <x:c r="M87" s="1143" t="str">
        <x:v>NR</x:v>
      </x:c>
      <x:c r="N87" s="1143" t="n">
        <x:f>COUNT(E87:M87)</x:f>
        <x:v>3</x:v>
      </x:c>
      <x:c r="O87" s="1143" t="n">
        <x:f>SUM(E87:M87)</x:f>
        <x:v>5</x:v>
      </x:c>
      <x:c r="P87" s="1143" t="n">
        <x:f>N87*2</x:f>
        <x:v>6</x:v>
      </x:c>
      <x:c r="Q87" s="1145" t="n">
        <x:f>IF(P87=0,"",O87/P87)</x:f>
        <x:v>0.8333333333333334</x:v>
      </x:c>
      <x:c r="R87" s="1145" t="n">
        <x:f>N87/9</x:f>
        <x:v>0.3333333333333333</x:v>
      </x:c>
      <x:c r="S87" s="1143" t="str">
        <x:f>IF(N87&lt;2,"Insufficiently reported",IF(AND(R87&gt;=0.67,Q87&gt;=0.75),"Higher strength on available evidence",IF(AND(R87&gt;=0.44,Q87&gt;=0.5),"Moderate strength / some concerns","Low strength or major reporting gaps")))</x:f>
        <x:v>Low strength or major reporting gaps</x:v>
      </x:c>
      <x:c r="T87" s="1143" t="str">
        <x:f>IF(COUNT(F87:H87)&lt;2,"Unclear — insufficient reporting",IF(COUNTIF(F87:H87,0)&gt;0,"High concern on available evidence",IF(AND(F87=2,G87=2,H87=2),"Lower concern on available evidence","Some concerns on available evidence")))</x:f>
        <x:v>Unclear — insufficient reporting</x:v>
      </x:c>
      <x:c r="U87" s="1141" t="str">
        <x:v>Dataset/sample 1: Furthermore, a Random Forest model classifies the features obtained from the ResNet18 model into harmful and non-harmful image. | Explanation faithfulness 2: A quantitative faithfulness, intervention, perturbation, causal, fidelity, or ablation evaluation is reported. | Robustness/stability 2: Systematic robustness, stability, external generalisation, adversarial, or OOD evaluation is reported.</x:v>
      </x:c>
      <x:c r="V87" s="1141" t="str">
        <x:v>Moderate — complete scholarly-record abstract</x:v>
      </x:c>
      <x:c r="W87" s="1141" t="str">
        <x:v>https://jou.jobrs.edu.iq/index.php/home/article/view/375/147</x:v>
      </x:c>
    </x:row>
    <x:row r="88" ht="88.5" customHeight="1">
      <x:c r="A88" s="1143" t="str">
        <x:v>GS-06-026</x:v>
      </x:c>
      <x:c r="B88" s="1141" t="str">
        <x:v>Robust, Interpretable, and Portable Deep Learning Systems for Detection of Ophthalmic Diseases — K4é Thakoor</x:v>
      </x:c>
      <x:c r="C88" s="1141" t="str">
        <x:v>Direct retinal/ophthalmic evidence</x:v>
      </x:c>
      <x:c r="D88" s="1141" t="str">
        <x:v>Other/unclear report type</x:v>
      </x:c>
      <x:c r="E88" s="1143" t="str">
        <x:v>NR</x:v>
      </x:c>
      <x:c r="F88" s="1143" t="str">
        <x:v>NR</x:v>
      </x:c>
      <x:c r="G88" s="1143" t="str">
        <x:v>NR</x:v>
      </x:c>
      <x:c r="H88" s="1143" t="str">
        <x:v>NR</x:v>
      </x:c>
      <x:c r="I88" s="1143" t="str">
        <x:v>NR</x:v>
      </x:c>
      <x:c r="J88" s="1143" t="str">
        <x:v>NR</x:v>
      </x:c>
      <x:c r="K88" s="1143" t="n">
        <x:v>1</x:v>
      </x:c>
      <x:c r="L88" s="1143" t="n">
        <x:v>1</x:v>
      </x:c>
      <x:c r="M88" s="1143" t="str">
        <x:v>NR</x:v>
      </x:c>
      <x:c r="N88" s="1143" t="n">
        <x:f>COUNT(E88:M88)</x:f>
        <x:v>2</x:v>
      </x:c>
      <x:c r="O88" s="1143" t="n">
        <x:f>SUM(E88:M88)</x:f>
        <x:v>2</x:v>
      </x:c>
      <x:c r="P88" s="1143" t="n">
        <x:f>N88*2</x:f>
        <x:v>4</x:v>
      </x:c>
      <x:c r="Q88" s="1145" t="n">
        <x:f>IF(P88=0,"",O88/P88)</x:f>
        <x:v>0.5</x:v>
      </x:c>
      <x:c r="R88" s="1145" t="n">
        <x:f>N88/9</x:f>
        <x:v>0.2222222222222222</x:v>
      </x:c>
      <x:c r="S88" s="1143" t="str">
        <x:f>IF(N88&lt;2,"Insufficiently reported",IF(AND(R88&gt;=0.67,Q88&gt;=0.75),"Higher strength on available evidence",IF(AND(R88&gt;=0.44,Q88&gt;=0.5),"Moderate strength / some concerns","Low strength or major reporting gaps")))</x:f>
        <x:v>Low strength or major reporting gaps</x:v>
      </x:c>
      <x:c r="T88" s="1143" t="str">
        <x:f>IF(COUNT(F88:H88)&lt;2,"Unclear — insufficient reporting",IF(COUNTIF(F88:H88,0)&gt;0,"High concern on available evidence",IF(AND(F88=2,G88=2,H88=2),"Lower concern on available evidence","Some concerns on available evidence")))</x:f>
        <x:v>Unclear — insufficient reporting</x:v>
      </x:c>
      <x:c r="U88" s="1141" t="str">
        <x:v>Explanation faithfulness 1: A proxy or qualitative concept/explanation assessment is reported, but not a direct quantitative faithfulness test. | Robustness/stability 1: Limited robustness/generalisation or sensitivity evidence is reported.</x:v>
      </x:c>
      <x:c r="V88" s="1141" t="str">
        <x:v>Low — indexed summary only</x:v>
      </x:c>
      <x:c r="W88" s="1141" t="str">
        <x:v>https://academiccommons.columbia.edu/doi/10.7916/7gz3-xy09/download</x:v>
      </x:c>
    </x:row>
    <x:row r="89" ht="88.5" customHeight="1">
      <x:c r="A89" s="1143" t="str">
        <x:v>GS-08-005</x:v>
      </x:c>
      <x:c r="B89" s="1141" t="str">
        <x:v>Translating theory into practice: assessing the privacy implications of concept-based explanations for biomedical AI — Aluceri ADe-ge. S Ahmed (2023)</x:v>
      </x:c>
      <x:c r="C89" s="1141" t="str">
        <x:v>Contextual medical concept-XAI evidence</x:v>
      </x:c>
      <x:c r="D89" s="1141" t="str">
        <x:v>Other/unclear report type</x:v>
      </x:c>
      <x:c r="E89" s="1143" t="n">
        <x:v>1</x:v>
      </x:c>
      <x:c r="F89" s="1143" t="str">
        <x:v>NR</x:v>
      </x:c>
      <x:c r="G89" s="1143" t="str">
        <x:v>NR</x:v>
      </x:c>
      <x:c r="H89" s="1143" t="str">
        <x:v>NR</x:v>
      </x:c>
      <x:c r="I89" s="1143" t="str">
        <x:v>NR</x:v>
      </x:c>
      <x:c r="J89" s="1143" t="str">
        <x:v>NR</x:v>
      </x:c>
      <x:c r="K89" s="1143" t="n">
        <x:v>1</x:v>
      </x:c>
      <x:c r="L89" s="1143" t="n">
        <x:v>2</x:v>
      </x:c>
      <x:c r="M89" s="1143" t="str">
        <x:v>NR</x:v>
      </x:c>
      <x:c r="N89" s="1143" t="n">
        <x:f>COUNT(E89:M89)</x:f>
        <x:v>3</x:v>
      </x:c>
      <x:c r="O89" s="1143" t="n">
        <x:f>SUM(E89:M89)</x:f>
        <x:v>4</x:v>
      </x:c>
      <x:c r="P89" s="1143" t="n">
        <x:f>N89*2</x:f>
        <x:v>6</x:v>
      </x:c>
      <x:c r="Q89" s="1145" t="n">
        <x:f>IF(P89=0,"",O89/P89)</x:f>
        <x:v>0.6666666666666666</x:v>
      </x:c>
      <x:c r="R89" s="1145" t="n">
        <x:f>N89/9</x:f>
        <x:v>0.3333333333333333</x:v>
      </x:c>
      <x:c r="S89" s="1143" t="str">
        <x:f>IF(N89&lt;2,"Insufficiently reported",IF(AND(R89&gt;=0.67,Q89&gt;=0.75),"Higher strength on available evidence",IF(AND(R89&gt;=0.44,Q89&gt;=0.5),"Moderate strength / some concerns","Low strength or major reporting gaps")))</x:f>
        <x:v>Low strength or major reporting gaps</x:v>
      </x:c>
      <x:c r="T89" s="1143" t="str">
        <x:f>IF(COUNT(F89:H89)&lt;2,"Unclear — insufficient reporting",IF(COUNTIF(F89:H89,0)&gt;0,"High concern on available evidence",IF(AND(F89=2,G89=2,H89=2),"Lower concern on available evidence","Some concerns on available evidence")))</x:f>
        <x:v>Unclear — insufficient reporting</x:v>
      </x:c>
      <x:c r="U89" s="1141" t="str">
        <x:v>Dataset/sample 1: EyePACS, ISIC. An extensive privacy benchmark is conducted on three different state-of-the-art model architectures (ResNet50, NFNet, ConvNeXt) trained on two biomedical (ISIC and EyePACS) and one synthetic dataset (SCDB). | Explanation faithfulness 1: A proxy or qualitative concept/explanation assessment is reported, but not a direct quantitative faithfulness test. | Robustness/stability 2: Systematic robustness, stability, external generalisation, adversarial, or OOD evaluation is reported.</x:v>
      </x:c>
      <x:c r="V89" s="1141" t="str">
        <x:v>Moderate — complete scholarly-record abstract</x:v>
      </x:c>
      <x:c r="W89" s="1141" t="str">
        <x:v>https://www.frontiersin.org/journals/bioinformatics/articles/10.3389/fbinf.2023.1194993/full</x:v>
      </x:c>
    </x:row>
    <x:row r="90" ht="88.5" customHeight="1">
      <x:c r="A90" s="1143" t="str">
        <x:v>GS-08-010</x:v>
      </x:c>
      <x:c r="B90" s="1141" t="str">
        <x:v>Towards Automatic Concept-based Explanations — AGhorbani JiYexier JY Zou -Advances nveural 2019 (2019)</x:v>
      </x:c>
      <x:c r="C90" s="1141" t="str">
        <x:v>Contextual medical concept-XAI evidence</x:v>
      </x:c>
      <x:c r="D90" s="1141" t="str">
        <x:v>Conference paper</x:v>
      </x:c>
      <x:c r="E90" s="1143" t="str">
        <x:v>NR</x:v>
      </x:c>
      <x:c r="F90" s="1143" t="str">
        <x:v>NR</x:v>
      </x:c>
      <x:c r="G90" s="1143" t="str">
        <x:v>NR</x:v>
      </x:c>
      <x:c r="H90" s="1143" t="str">
        <x:v>NR</x:v>
      </x:c>
      <x:c r="I90" s="1143" t="str">
        <x:v>NR</x:v>
      </x:c>
      <x:c r="J90" s="1143" t="str">
        <x:v>NR</x:v>
      </x:c>
      <x:c r="K90" s="1143" t="n">
        <x:v>1</x:v>
      </x:c>
      <x:c r="L90" s="1143" t="str">
        <x:v>NR</x:v>
      </x:c>
      <x:c r="M90" s="1143" t="str">
        <x:v>NR</x:v>
      </x:c>
      <x:c r="N90" s="1143" t="n">
        <x:f>COUNT(E90:M90)</x:f>
        <x:v>1</x:v>
      </x:c>
      <x:c r="O90" s="1143" t="n">
        <x:f>SUM(E90:M90)</x:f>
        <x:v>1</x:v>
      </x:c>
      <x:c r="P90" s="1143" t="n">
        <x:f>N90*2</x:f>
        <x:v>2</x:v>
      </x:c>
      <x:c r="Q90" s="1145" t="n">
        <x:f>IF(P90=0,"",O90/P90)</x:f>
        <x:v>0.5</x:v>
      </x:c>
      <x:c r="R90" s="1145" t="n">
        <x:f>N90/9</x:f>
        <x:v>0.1111111111111111</x:v>
      </x:c>
      <x:c r="S90" s="1143" t="str">
        <x:f>IF(N90&lt;2,"Insufficiently reported",IF(AND(R90&gt;=0.67,Q90&gt;=0.75),"Higher strength on available evidence",IF(AND(R90&gt;=0.44,Q90&gt;=0.5),"Moderate strength / some concerns","Low strength or major reporting gaps")))</x:f>
        <x:v>Insufficiently reported</x:v>
      </x:c>
      <x:c r="T90" s="1143" t="str">
        <x:f>IF(COUNT(F90:H90)&lt;2,"Unclear — insufficient reporting",IF(COUNTIF(F90:H90,0)&gt;0,"High concern on available evidence",IF(AND(F90=2,G90=2,H90=2),"Lower concern on available evidence","Some concerns on available evidence")))</x:f>
        <x:v>Unclear — insufficient reporting</x:v>
      </x:c>
      <x:c r="U90" s="1141" t="str">
        <x:v>Explanation faithfulness 1: A proxy or qualitative concept/explanation assessment is reported, but not a direct quantitative faithfulness test.</x:v>
      </x:c>
      <x:c r="V90" s="1141" t="str">
        <x:v>Moderate — complete scholarly-record abstract</x:v>
      </x:c>
      <x:c r="W90" s="1141" t="str">
        <x:v>https://proceedings.neurips.cc/paper_files/paper/9126-towards-automatic-concept-based-explanations.pdf</x:v>
      </x:c>
    </x:row>
    <x:row r="91" ht="88.5" customHeight="1">
      <x:c r="A91" s="1143" t="str">
        <x:v>GS-08-016</x:v>
      </x:c>
      <x:c r="B91" s="1141" t="str">
        <x:v>Concept-based Explanation for Fine-grained Images and Its Application in Infectious Keratitis Classification — 2Fang. « Kuang ¥ Ln F Wu YF Yas (2020)</x:v>
      </x:c>
      <x:c r="C91" s="1141" t="str">
        <x:v>Contextual medical concept-XAI evidence</x:v>
      </x:c>
      <x:c r="D91" s="1141" t="str">
        <x:v>Conference paper</x:v>
      </x:c>
      <x:c r="E91" s="1143" t="str">
        <x:v>NR</x:v>
      </x:c>
      <x:c r="F91" s="1143" t="str">
        <x:v>NR</x:v>
      </x:c>
      <x:c r="G91" s="1143" t="str">
        <x:v>NR</x:v>
      </x:c>
      <x:c r="H91" s="1143" t="str">
        <x:v>NR</x:v>
      </x:c>
      <x:c r="I91" s="1143" t="str">
        <x:v>NR</x:v>
      </x:c>
      <x:c r="J91" s="1143" t="str">
        <x:v>NR</x:v>
      </x:c>
      <x:c r="K91" s="1143" t="n">
        <x:v>1</x:v>
      </x:c>
      <x:c r="L91" s="1143" t="str">
        <x:v>NR</x:v>
      </x:c>
      <x:c r="M91" s="1143" t="str">
        <x:v>NR</x:v>
      </x:c>
      <x:c r="N91" s="1143" t="n">
        <x:f>COUNT(E91:M91)</x:f>
        <x:v>1</x:v>
      </x:c>
      <x:c r="O91" s="1143" t="n">
        <x:f>SUM(E91:M91)</x:f>
        <x:v>1</x:v>
      </x:c>
      <x:c r="P91" s="1143" t="n">
        <x:f>N91*2</x:f>
        <x:v>2</x:v>
      </x:c>
      <x:c r="Q91" s="1145" t="n">
        <x:f>IF(P91=0,"",O91/P91)</x:f>
        <x:v>0.5</x:v>
      </x:c>
      <x:c r="R91" s="1145" t="n">
        <x:f>N91/9</x:f>
        <x:v>0.1111111111111111</x:v>
      </x:c>
      <x:c r="S91" s="1143" t="str">
        <x:f>IF(N91&lt;2,"Insufficiently reported",IF(AND(R91&gt;=0.67,Q91&gt;=0.75),"Higher strength on available evidence",IF(AND(R91&gt;=0.44,Q91&gt;=0.5),"Moderate strength / some concerns","Low strength or major reporting gaps")))</x:f>
        <x:v>Insufficiently reported</x:v>
      </x:c>
      <x:c r="T91" s="1143" t="str">
        <x:f>IF(COUNT(F91:H91)&lt;2,"Unclear — insufficient reporting",IF(COUNTIF(F91:H91,0)&gt;0,"High concern on available evidence",IF(AND(F91=2,G91=2,H91=2),"Lower concern on available evidence","Some concerns on available evidence")))</x:f>
        <x:v>Unclear — insufficient reporting</x:v>
      </x:c>
      <x:c r="U91" s="1141" t="str">
        <x:v>Explanation faithfulness 1: A proxy or qualitative concept/explanation assessment is reported, but not a direct quantitative faithfulness test.</x:v>
      </x:c>
      <x:c r="V91" s="1141" t="str">
        <x:v>Moderate — complete scholarly-record abstract</x:v>
      </x:c>
      <x:c r="W91" s="1141" t="str">
        <x:v>https://kunkuang.github.io/papers/MM20-concept.pdf</x:v>
      </x:c>
    </x:row>
    <x:row r="92" ht="88.5" customHeight="1">
      <x:c r="A92" s="1143" t="str">
        <x:v>ARXIV-01-001</x:v>
      </x:c>
      <x:c r="B92" s="1141" t="str">
        <x:v>Looking into Concept Explanation Methods for Diabetic Retinopathy Classification (2024)</x:v>
      </x:c>
      <x:c r="C92" s="1141" t="str">
        <x:v>Direct retinal/ophthalmic evidence</x:v>
      </x:c>
      <x:c r="D92" s="1141" t="str">
        <x:v>Preprint</x:v>
      </x:c>
      <x:c r="E92" s="1143" t="str">
        <x:v>NR</x:v>
      </x:c>
      <x:c r="F92" s="1143" t="str">
        <x:v>NR</x:v>
      </x:c>
      <x:c r="G92" s="1143" t="str">
        <x:v>NR</x:v>
      </x:c>
      <x:c r="H92" s="1143" t="n">
        <x:v>1</x:v>
      </x:c>
      <x:c r="I92" s="1143" t="n">
        <x:v>1</x:v>
      </x:c>
      <x:c r="J92" s="1143" t="n">
        <x:v>2</x:v>
      </x:c>
      <x:c r="K92" s="1143" t="n">
        <x:v>1</x:v>
      </x:c>
      <x:c r="L92" s="1143" t="str">
        <x:v>NR</x:v>
      </x:c>
      <x:c r="M92" s="1143" t="n">
        <x:v>1</x:v>
      </x:c>
      <x:c r="N92" s="1143" t="n">
        <x:f>COUNT(E92:M92)</x:f>
        <x:v>5</x:v>
      </x:c>
      <x:c r="O92" s="1143" t="n">
        <x:f>SUM(E92:M92)</x:f>
        <x:v>6</x:v>
      </x:c>
      <x:c r="P92" s="1143" t="n">
        <x:f>N92*2</x:f>
        <x:v>10</x:v>
      </x:c>
      <x:c r="Q92" s="1145" t="n">
        <x:f>IF(P92=0,"",O92/P92)</x:f>
        <x:v>0.6</x:v>
      </x:c>
      <x:c r="R92" s="1145" t="n">
        <x:f>N92/9</x:f>
        <x:v>0.5555555555555556</x:v>
      </x:c>
      <x:c r="S92" s="1143" t="str">
        <x:f>IF(N92&lt;2,"Insufficiently reported",IF(AND(R92&gt;=0.67,Q92&gt;=0.75),"Higher strength on available evidence",IF(AND(R92&gt;=0.44,Q92&gt;=0.5),"Moderate strength / some concerns","Low strength or major reporting gaps")))</x:f>
        <x:v>Moderate strength / some concerns</x:v>
      </x:c>
      <x:c r="T92" s="1143" t="str">
        <x:f>IF(COUNT(F92:H92)&lt;2,"Unclear — insufficient reporting",IF(COUNTIF(F92:H92,0)&gt;0,"High concern on available evidence",IF(AND(F92=2,G92=2,H92=2),"Lower concern on available evidence","Some concerns on available evidence")))</x:f>
        <x:v>Unclear — insufficient reporting</x:v>
      </x:c>
      <x:c r="U92" s="1141" t="str">
        <x:v>Annotation quality 1: Clinical-expert annotation or reference assessment is reported, but consensus/adjudication is unclear. | Ophthalmologist involvement 1: Clinical-expert involvement or comparison is mentioned, but its role is limited or incompletely described. | Code availability 2: Public code/repository availability is explicitly reported. | Explanation faithfulness 1: A proxy or qualitative concept/explanation assessment is reported, but not a direct quantitative faithfulness test. | Clinical usability 1: Expert plausibility/comparison is reported, but clinical utility outcomes are not established.</x:v>
      </x:c>
      <x:c r="V92" s="1141" t="str">
        <x:v>Moderate — complete scholarly-record abstract</x:v>
      </x:c>
      <x:c r="W92" s="1141" t="str">
        <x:v>https://arxiv.org/pdf/2410.03188</x:v>
      </x:c>
    </x:row>
    <x:row r="93" ht="88.5" customHeight="1">
      <x:c r="A93" s="1143" t="str">
        <x:v>ARXIV-02-006</x:v>
      </x:c>
      <x:c r="B93" s="1141" t="str">
        <x:v>Prototype-Guided and Lightweight Adapters for Inherent Interpretation and Generalisation in Federated Learning — Samuel Ofosu mensah, Kerol Djoumessi Philgp Berens Abstract fextorsted learning 1) provides a promicing paradigm fhe colluber ately traning machine... © ave ‘astemseenl iy, 2 eeggety mercury 2S Caenomante: pages 4 Npseee, materoed'ne MKCAL ALP and ten ders nee 7. e0hte2906. 10609 (pel ps, other GB at PIPVIT: Patch-based Visual Interpretable Prototypes for Retinal Image Analysis</x:v>
      </x:c>
      <x:c r="C93" s="1141" t="str">
        <x:v>Contextual medical concept-XAI evidence</x:v>
      </x:c>
      <x:c r="D93" s="1141" t="str">
        <x:v>Preprint</x:v>
      </x:c>
      <x:c r="E93" s="1143" t="str">
        <x:v>NR</x:v>
      </x:c>
      <x:c r="F93" s="1143" t="str">
        <x:v>NR</x:v>
      </x:c>
      <x:c r="G93" s="1143" t="str">
        <x:v>NR</x:v>
      </x:c>
      <x:c r="H93" s="1143" t="str">
        <x:v>NR</x:v>
      </x:c>
      <x:c r="I93" s="1143" t="str">
        <x:v>NR</x:v>
      </x:c>
      <x:c r="J93" s="1143" t="str">
        <x:v>NR</x:v>
      </x:c>
      <x:c r="K93" s="1143" t="n">
        <x:v>1</x:v>
      </x:c>
      <x:c r="L93" s="1143" t="n">
        <x:v>1</x:v>
      </x:c>
      <x:c r="M93" s="1143" t="str">
        <x:v>NR</x:v>
      </x:c>
      <x:c r="N93" s="1143" t="n">
        <x:f>COUNT(E93:M93)</x:f>
        <x:v>2</x:v>
      </x:c>
      <x:c r="O93" s="1143" t="n">
        <x:f>SUM(E93:M93)</x:f>
        <x:v>2</x:v>
      </x:c>
      <x:c r="P93" s="1143" t="n">
        <x:f>N93*2</x:f>
        <x:v>4</x:v>
      </x:c>
      <x:c r="Q93" s="1145" t="n">
        <x:f>IF(P93=0,"",O93/P93)</x:f>
        <x:v>0.5</x:v>
      </x:c>
      <x:c r="R93" s="1145" t="n">
        <x:f>N93/9</x:f>
        <x:v>0.2222222222222222</x:v>
      </x:c>
      <x:c r="S93" s="1143" t="str">
        <x:f>IF(N93&lt;2,"Insufficiently reported",IF(AND(R93&gt;=0.67,Q93&gt;=0.75),"Higher strength on available evidence",IF(AND(R93&gt;=0.44,Q93&gt;=0.5),"Moderate strength / some concerns","Low strength or major reporting gaps")))</x:f>
        <x:v>Low strength or major reporting gaps</x:v>
      </x:c>
      <x:c r="T93" s="1143" t="str">
        <x:f>IF(COUNT(F93:H93)&lt;2,"Unclear — insufficient reporting",IF(COUNTIF(F93:H93,0)&gt;0,"High concern on available evidence",IF(AND(F93=2,G93=2,H93=2),"Lower concern on available evidence","Some concerns on available evidence")))</x:f>
        <x:v>Unclear — insufficient reporting</x:v>
      </x:c>
      <x:c r="U93" s="1141" t="str">
        <x:v>Explanation faithfulness 1: A proxy or qualitative concept/explanation assessment is reported, but not a direct quantitative faithfulness test. | Robustness/stability 1: Limited robustness/generalisation or sensitivity evidence is reported.</x:v>
      </x:c>
      <x:c r="V93" s="1141" t="str">
        <x:v>Moderate — complete preprint abstract</x:v>
      </x:c>
      <x:c r="W93" s="1141" t="str">
        <x:v>https://arxiv.org/abs/2507.05852</x:v>
      </x:c>
    </x:row>
    <x:row r="94" ht="88.5" customHeight="1">
      <x:c r="A94" s="1143" t="str">
        <x:v>ARXIV-02-007</x:v>
      </x:c>
      <x:c r="B94" s="1141" t="str">
        <x:v>PiPViT: Patch-based Visual Interpretable Prototypes for retinal image analysis — Marzich Oghbsie, Tesesa Araujo, Hrvoje Bagunowt Abstract Backgrcund and Otyective Protetype Saute methecs Imerave weerpeetabilty by ~ how Subested 13 June, U5, v1 subsised 12 June, 22S, ortimally announced jane 2025 8 arkie2AOE 5168 [pet other] CEEB This actually looks like that: Proto-BagNets for local and global interpretability-by-design</x:v>
      </x:c>
      <x:c r="C94" s="1141" t="str">
        <x:v>Direct retinal/ophthalmic evidence</x:v>
      </x:c>
      <x:c r="D94" s="1141" t="str">
        <x:v>Preprint</x:v>
      </x:c>
      <x:c r="E94" s="1143" t="str">
        <x:v>NR</x:v>
      </x:c>
      <x:c r="F94" s="1143" t="n">
        <x:v>1</x:v>
      </x:c>
      <x:c r="G94" s="1143" t="str">
        <x:v>NR</x:v>
      </x:c>
      <x:c r="H94" s="1143" t="n">
        <x:v>1</x:v>
      </x:c>
      <x:c r="I94" s="1143" t="n">
        <x:v>1</x:v>
      </x:c>
      <x:c r="J94" s="1143" t="n">
        <x:v>2</x:v>
      </x:c>
      <x:c r="K94" s="1143" t="n">
        <x:v>1</x:v>
      </x:c>
      <x:c r="L94" s="1143" t="n">
        <x:v>1</x:v>
      </x:c>
      <x:c r="M94" s="1143" t="str">
        <x:v>NR</x:v>
      </x:c>
      <x:c r="N94" s="1143" t="n">
        <x:f>COUNT(E94:M94)</x:f>
        <x:v>6</x:v>
      </x:c>
      <x:c r="O94" s="1143" t="n">
        <x:f>SUM(E94:M94)</x:f>
        <x:v>7</x:v>
      </x:c>
      <x:c r="P94" s="1143" t="n">
        <x:f>N94*2</x:f>
        <x:v>12</x:v>
      </x:c>
      <x:c r="Q94" s="1145" t="n">
        <x:f>IF(P94=0,"",O94/P94)</x:f>
        <x:v>0.5833333333333334</x:v>
      </x:c>
      <x:c r="R94" s="1145" t="n">
        <x:f>N94/9</x:f>
        <x:v>0.6666666666666666</x:v>
      </x:c>
      <x:c r="S94" s="1143" t="str">
        <x:f>IF(N94&lt;2,"Insufficiently reported",IF(AND(R94&gt;=0.67,Q94&gt;=0.75),"Higher strength on available evidence",IF(AND(R94&gt;=0.44,Q94&gt;=0.5),"Moderate strength / some concerns","Low strength or major reporting gaps")))</x:f>
        <x:v>Moderate strength / some concerns</x:v>
      </x:c>
      <x:c r="T94" s="1143" t="str">
        <x:f>IF(COUNT(F94:H94)&lt;2,"Unclear — insufficient reporting",IF(COUNTIF(F94:H94,0)&gt;0,"High concern on available evidence",IF(AND(F94=2,G94=2,H94=2),"Lower concern on available evidence","Some concerns on available evidence")))</x:f>
        <x:v>Some concerns on available evidence</x:v>
      </x:c>
      <x:c r="U94" s="1141" t="str">
        <x:v>External validation 1: Internal held-out, cross-validation, or multi-dataset evaluation is reported, but institutional independence is unclear. | Annotation quality 1: Clinical-expert annotation or reference assessment is reported, but consensus/adjudication is unclear. | Ophthalmologist involvement 1: Clinical-expert involvement or comparison is mentioned, but its role is limited or incompletely described. | Code availability 2: Public code/repository availability is explicitly reported. | Explanation faithfulness 1: A proxy or qualitative concept/explanation assessment is reported, but not a direct quantitative faithfulness test. | Robustness/stability 1: Limited robustness/generalisation or sensitivity evidence is reported.</x:v>
      </x:c>
      <x:c r="V94" s="1141" t="str">
        <x:v>Moderate — complete scholarly-record abstract</x:v>
      </x:c>
      <x:c r="W94" s="1141" t="str">
        <x:v>https://arxiv.org/pdf/2506.10669</x:v>
      </x:c>
    </x:row>
    <x:row r="95" ht="88.5" customHeight="1">
      <x:c r="A95" s="1143" t="str">
        <x:v>ARXIV-02-012</x:v>
      </x:c>
      <x:c r="B95" s="1141" t="str">
        <x:v>LAVA: Granular Neuron-Level Explainable AI for Alzheimer's Disease Assessment from Fundus Images — Noostin Yuusetcadets Chetie Ine Adolfo Reeniree Cerriora. jingu ben, Rocgu berg. My 1. Uhr</x:v>
      </x:c>
      <x:c r="C95" s="1141" t="str">
        <x:v>Direct retinal/ophthalmic evidence</x:v>
      </x:c>
      <x:c r="D95" s="1141" t="str">
        <x:v>Preprint</x:v>
      </x:c>
      <x:c r="E95" s="1143" t="str">
        <x:v>NR</x:v>
      </x:c>
      <x:c r="F95" s="1143" t="str">
        <x:v>NR</x:v>
      </x:c>
      <x:c r="G95" s="1143" t="str">
        <x:v>NR</x:v>
      </x:c>
      <x:c r="H95" s="1143" t="str">
        <x:v>NR</x:v>
      </x:c>
      <x:c r="I95" s="1143" t="str">
        <x:v>NR</x:v>
      </x:c>
      <x:c r="J95" s="1143" t="str">
        <x:v>NR</x:v>
      </x:c>
      <x:c r="K95" s="1143" t="n">
        <x:v>1</x:v>
      </x:c>
      <x:c r="L95" s="1143" t="str">
        <x:v>NR</x:v>
      </x:c>
      <x:c r="M95" s="1143" t="str">
        <x:v>NR</x:v>
      </x:c>
      <x:c r="N95" s="1143" t="n">
        <x:f>COUNT(E95:M95)</x:f>
        <x:v>1</x:v>
      </x:c>
      <x:c r="O95" s="1143" t="n">
        <x:f>SUM(E95:M95)</x:f>
        <x:v>1</x:v>
      </x:c>
      <x:c r="P95" s="1143" t="n">
        <x:f>N95*2</x:f>
        <x:v>2</x:v>
      </x:c>
      <x:c r="Q95" s="1145" t="n">
        <x:f>IF(P95=0,"",O95/P95)</x:f>
        <x:v>0.5</x:v>
      </x:c>
      <x:c r="R95" s="1145" t="n">
        <x:f>N95/9</x:f>
        <x:v>0.1111111111111111</x:v>
      </x:c>
      <x:c r="S95" s="1143" t="str">
        <x:f>IF(N95&lt;2,"Insufficiently reported",IF(AND(R95&gt;=0.67,Q95&gt;=0.75),"Higher strength on available evidence",IF(AND(R95&gt;=0.44,Q95&gt;=0.5),"Moderate strength / some concerns","Low strength or major reporting gaps")))</x:f>
        <x:v>Insufficiently reported</x:v>
      </x:c>
      <x:c r="T95" s="1143" t="str">
        <x:f>IF(COUNT(F95:H95)&lt;2,"Unclear — insufficient reporting",IF(COUNTIF(F95:H95,0)&gt;0,"High concern on available evidence",IF(AND(F95=2,G95=2,H95=2),"Lower concern on available evidence","Some concerns on available evidence")))</x:f>
        <x:v>Unclear — insufficient reporting</x:v>
      </x:c>
      <x:c r="U95" s="1141" t="str">
        <x:v>Explanation faithfulness 1: A proxy or qualitative concept/explanation assessment is reported, but not a direct quantitative faithfulness test.</x:v>
      </x:c>
      <x:c r="V95" s="1141" t="str">
        <x:v>Moderate — complete scholarly-record abstract</x:v>
      </x:c>
      <x:c r="W95" s="1141" t="str">
        <x:v>https://arxiv.org/pdf/2302.03008</x:v>
      </x:c>
    </x:row>
    <x:row r="96" ht="88.5" customHeight="1">
      <x:c r="A96" s="1143" t="str">
        <x:v>ARXIV-02-014</x:v>
      </x:c>
      <x:c r="B96" s="1141" t="str">
        <x:v>Coarse Retinal Lesion Annotations Refinement via Prototypical Learning — Ory Yu. Kare Dang. Znyu Chou. Yorupwes Chen. Xiecwwes org Abstract Oeepiearning-basedt approactes for. © Mowe ‘Semiened 3 Apes. 2177: eriginly aneeunc Ad ve 7177 Ceemument es MiCTALY? wenetomay WA AM 7? 15 arkine2208.00457 (pel other] CEE Lo INSightR-Net: Interpretable Neural Network for Regression using Similarity-based Comparisons to Prototypical Examples (2022)</x:v>
      </x:c>
      <x:c r="C96" s="1141" t="str">
        <x:v>Direct retinal/ophthalmic evidence</x:v>
      </x:c>
      <x:c r="D96" s="1141" t="str">
        <x:v>Preprint</x:v>
      </x:c>
      <x:c r="E96" s="1143" t="n">
        <x:v>1</x:v>
      </x:c>
      <x:c r="F96" s="1143" t="n">
        <x:v>1</x:v>
      </x:c>
      <x:c r="G96" s="1143" t="str">
        <x:v>NR</x:v>
      </x:c>
      <x:c r="H96" s="1143" t="str">
        <x:v>NR</x:v>
      </x:c>
      <x:c r="I96" s="1143" t="str">
        <x:v>NR</x:v>
      </x:c>
      <x:c r="J96" s="1143" t="str">
        <x:v>NR</x:v>
      </x:c>
      <x:c r="K96" s="1143" t="n">
        <x:v>1</x:v>
      </x:c>
      <x:c r="L96" s="1143" t="n">
        <x:v>1</x:v>
      </x:c>
      <x:c r="M96" s="1143" t="str">
        <x:v>NR</x:v>
      </x:c>
      <x:c r="N96" s="1143" t="n">
        <x:f>COUNT(E96:M96)</x:f>
        <x:v>4</x:v>
      </x:c>
      <x:c r="O96" s="1143" t="n">
        <x:f>SUM(E96:M96)</x:f>
        <x:v>4</x:v>
      </x:c>
      <x:c r="P96" s="1143" t="n">
        <x:f>N96*2</x:f>
        <x:v>8</x:v>
      </x:c>
      <x:c r="Q96" s="1145" t="n">
        <x:f>IF(P96=0,"",O96/P96)</x:f>
        <x:v>0.5</x:v>
      </x:c>
      <x:c r="R96" s="1145" t="n">
        <x:f>N96/9</x:f>
        <x:v>0.4444444444444444</x:v>
      </x:c>
      <x:c r="S96" s="1143" t="str">
        <x:f>IF(N96&lt;2,"Insufficiently reported",IF(AND(R96&gt;=0.67,Q96&gt;=0.75),"Higher strength on available evidence",IF(AND(R96&gt;=0.44,Q96&gt;=0.5),"Moderate strength / some concerns","Low strength or major reporting gaps")))</x:f>
        <x:v>Moderate strength / some concerns</x:v>
      </x:c>
      <x:c r="T96" s="1143" t="str">
        <x:f>IF(COUNT(F96:H96)&lt;2,"Unclear — insufficient reporting",IF(COUNTIF(F96:H96,0)&gt;0,"High concern on available evidence",IF(AND(F96=2,G96=2,H96=2),"Lower concern on available evidence","Some concerns on available evidence")))</x:f>
        <x:v>Unclear — insufficient reporting</x:v>
      </x:c>
      <x:c r="U96" s="1141" t="str">
        <x:v>Dataset/sample 1: IDRiD, DDR. The proposed method was trained on the publicly available IDRiD dataset and then generalized to the public DDR and our real-world private datasets. | External validation 1: Internal held-out, cross-validation, or multi-dataset evaluation is reported, but institutional independence is unclear. | Explanation faithfulness 1: A proxy or qualitative concept/explanation assessment is reported, but not a direct quantitative faithfulness test. | Robustness/stability 1: Limited robustness/generalisation or sensitivity evidence is reported.</x:v>
      </x:c>
      <x:c r="V96" s="1141" t="str">
        <x:v>Moderate — complete preprint abstract</x:v>
      </x:c>
      <x:c r="W96" s="1141" t="str">
        <x:v>https://arxiv.org/abs/2208.14294</x:v>
      </x:c>
    </x:row>
    <x:row r="97" ht="88.5" customHeight="1">
      <x:c r="A97" s="1143" t="str">
        <x:v>ARXIV-02-015</x:v>
      </x:c>
      <x:c r="B97" s="1141" t="str">
        <x:v>INSightR-Net: Interpretable Neural Network for Regression using Similarity-based Comparisons to Prototypical Examples — Lnds S. Hesse Ang LL Nemburete Abstract In thet work we propate an Innereny Interpretatie CAN for regreescn utang simmarey Dates comparitons (INDENIN.Net) and demonstrate cur methods on the tark of ciabes retinopathy grading. A. 7 Mere ‘Seemed 3% bly, 2822: erigrty arneumend Ages 2022 Comment: Scxepoes at NICH 2012, code anatase at Sasaslieub som nsehene Sienst Net 16 aXe 2203.02493 (pet, other] QED Greedy Optimization of Electrode Arrangement for Epiretinal Prostheses (2022)</x:v>
      </x:c>
      <x:c r="C97" s="1141" t="str">
        <x:v>Contextual medical concept-XAI evidence</x:v>
      </x:c>
      <x:c r="D97" s="1141" t="str">
        <x:v>Preprint</x:v>
      </x:c>
      <x:c r="E97" s="1143" t="str">
        <x:v>NR</x:v>
      </x:c>
      <x:c r="F97" s="1143" t="str">
        <x:v>NR</x:v>
      </x:c>
      <x:c r="G97" s="1143" t="str">
        <x:v>NR</x:v>
      </x:c>
      <x:c r="H97" s="1143" t="str">
        <x:v>NR</x:v>
      </x:c>
      <x:c r="I97" s="1143" t="str">
        <x:v>NR</x:v>
      </x:c>
      <x:c r="J97" s="1143" t="str">
        <x:v>NR</x:v>
      </x:c>
      <x:c r="K97" s="1143" t="n">
        <x:v>1</x:v>
      </x:c>
      <x:c r="L97" s="1143" t="str">
        <x:v>NR</x:v>
      </x:c>
      <x:c r="M97" s="1143" t="str">
        <x:v>NR</x:v>
      </x:c>
      <x:c r="N97" s="1143" t="n">
        <x:f>COUNT(E97:M97)</x:f>
        <x:v>1</x:v>
      </x:c>
      <x:c r="O97" s="1143" t="n">
        <x:f>SUM(E97:M97)</x:f>
        <x:v>1</x:v>
      </x:c>
      <x:c r="P97" s="1143" t="n">
        <x:f>N97*2</x:f>
        <x:v>2</x:v>
      </x:c>
      <x:c r="Q97" s="1145" t="n">
        <x:f>IF(P97=0,"",O97/P97)</x:f>
        <x:v>0.5</x:v>
      </x:c>
      <x:c r="R97" s="1145" t="n">
        <x:f>N97/9</x:f>
        <x:v>0.1111111111111111</x:v>
      </x:c>
      <x:c r="S97" s="1143" t="str">
        <x:f>IF(N97&lt;2,"Insufficiently reported",IF(AND(R97&gt;=0.67,Q97&gt;=0.75),"Higher strength on available evidence",IF(AND(R97&gt;=0.44,Q97&gt;=0.5),"Moderate strength / some concerns","Low strength or major reporting gaps")))</x:f>
        <x:v>Insufficiently reported</x:v>
      </x:c>
      <x:c r="T97" s="1143" t="str">
        <x:f>IF(COUNT(F97:H97)&lt;2,"Unclear — insufficient reporting",IF(COUNTIF(F97:H97,0)&gt;0,"High concern on available evidence",IF(AND(F97=2,G97=2,H97=2),"Lower concern on available evidence","Some concerns on available evidence")))</x:f>
        <x:v>Unclear — insufficient reporting</x:v>
      </x:c>
      <x:c r="U97" s="1141" t="str">
        <x:v>Explanation faithfulness 1: A proxy or qualitative concept/explanation assessment is reported, but not a direct quantitative faithfulness test.</x:v>
      </x:c>
      <x:c r="V97" s="1141" t="str">
        <x:v>Moderate — complete preprint abstract</x:v>
      </x:c>
      <x:c r="W97" s="1141" t="str">
        <x:v>https://arxiv.org/abs/2208.00457</x:v>
      </x:c>
    </x:row>
    <x:row r="98" ht="88.5" customHeight="1">
      <x:c r="A98" s="1143" t="str">
        <x:v>ARXIV-04-001</x:v>
      </x:c>
      <x:c r="B98" s="1141" t="str">
        <x:v>Single Domain Generalization in Diabetic Retinopathy: A Neuro-Symbolic Learning Approach (2025)</x:v>
      </x:c>
      <x:c r="C98" s="1141" t="str">
        <x:v>Direct retinal/ophthalmic evidence</x:v>
      </x:c>
      <x:c r="D98" s="1141" t="str">
        <x:v>Preprint</x:v>
      </x:c>
      <x:c r="E98" s="1143" t="n">
        <x:v>1</x:v>
      </x:c>
      <x:c r="F98" s="1143" t="str">
        <x:v>NR</x:v>
      </x:c>
      <x:c r="G98" s="1143" t="str">
        <x:v>NR</x:v>
      </x:c>
      <x:c r="H98" s="1143" t="str">
        <x:v>NR</x:v>
      </x:c>
      <x:c r="I98" s="1143" t="str">
        <x:v>NR</x:v>
      </x:c>
      <x:c r="J98" s="1143" t="str">
        <x:v>NR</x:v>
      </x:c>
      <x:c r="K98" s="1143" t="str">
        <x:v>NR</x:v>
      </x:c>
      <x:c r="L98" s="1143" t="n">
        <x:v>1</x:v>
      </x:c>
      <x:c r="M98" s="1143" t="str">
        <x:v>NR</x:v>
      </x:c>
      <x:c r="N98" s="1143" t="n">
        <x:f>COUNT(E98:M98)</x:f>
        <x:v>2</x:v>
      </x:c>
      <x:c r="O98" s="1143" t="n">
        <x:f>SUM(E98:M98)</x:f>
        <x:v>2</x:v>
      </x:c>
      <x:c r="P98" s="1143" t="n">
        <x:f>N98*2</x:f>
        <x:v>4</x:v>
      </x:c>
      <x:c r="Q98" s="1145" t="n">
        <x:f>IF(P98=0,"",O98/P98)</x:f>
        <x:v>0.5</x:v>
      </x:c>
      <x:c r="R98" s="1145" t="n">
        <x:f>N98/9</x:f>
        <x:v>0.2222222222222222</x:v>
      </x:c>
      <x:c r="S98" s="1143" t="str">
        <x:f>IF(N98&lt;2,"Insufficiently reported",IF(AND(R98&gt;=0.67,Q98&gt;=0.75),"Higher strength on available evidence",IF(AND(R98&gt;=0.44,Q98&gt;=0.5),"Moderate strength / some concerns","Low strength or major reporting gaps")))</x:f>
        <x:v>Low strength or major reporting gaps</x:v>
      </x:c>
      <x:c r="T98" s="1143" t="str">
        <x:f>IF(COUNT(F98:H98)&lt;2,"Unclear — insufficient reporting",IF(COUNTIF(F98:H98,0)&gt;0,"High concern on available evidence",IF(AND(F98=2,G98=2,H98=2),"Lower concern on available evidence","Some concerns on available evidence")))</x:f>
        <x:v>Unclear — insufficient reporting</x:v>
      </x:c>
      <x:c r="U98" s="1141" t="str">
        <x:v>Dataset/sample 1: APTOS, EyePACS, Messidor-1, Messidor-2. Extensive experiments across four public datasets (APTOS, EyePACS, Messidor-1, Messidor-2) demonstrate significant improvements: up to a 5.2% accuracy gain in cross-domain settings and a 6% improvement over baseline ViT models. | Robustness/stability 1: Limited robustness/generalisation or sensitivity evidence is reported.</x:v>
      </x:c>
      <x:c r="V98" s="1141" t="str">
        <x:v>Moderate — complete scholarly-record abstract</x:v>
      </x:c>
      <x:c r="W98" s="1141" t="str">
        <x:v>https://arxiv.org/pdf/2509.02918</x:v>
      </x:c>
    </x:row>
    <x:row r="99" ht="88.5" customHeight="1">
      <x:c r="A99" s="1143" t="str">
        <x:v>ARXIV-05-001</x:v>
      </x:c>
      <x:c r="B99" s="1141" t="str">
        <x:v>XAI-MeD: Explainable Knowledge Guided Neuro-Symbolic Framework for Domain Generalization and Rare Class Detection in Medical Imaging (2026)</x:v>
      </x:c>
      <x:c r="C99" s="1141" t="str">
        <x:v>Contextual medical concept-XAI evidence</x:v>
      </x:c>
      <x:c r="D99" s="1141" t="str">
        <x:v>Preprint</x:v>
      </x:c>
      <x:c r="E99" s="1143" t="n">
        <x:v>1</x:v>
      </x:c>
      <x:c r="F99" s="1143" t="str">
        <x:v>NR</x:v>
      </x:c>
      <x:c r="G99" s="1143" t="str">
        <x:v>NR</x:v>
      </x:c>
      <x:c r="H99" s="1143" t="str">
        <x:v>NR</x:v>
      </x:c>
      <x:c r="I99" s="1143" t="str">
        <x:v>NR</x:v>
      </x:c>
      <x:c r="J99" s="1143" t="str">
        <x:v>NR</x:v>
      </x:c>
      <x:c r="K99" s="1143" t="n">
        <x:v>2</x:v>
      </x:c>
      <x:c r="L99" s="1143" t="n">
        <x:v>1</x:v>
      </x:c>
      <x:c r="M99" s="1143" t="str">
        <x:v>NR</x:v>
      </x:c>
      <x:c r="N99" s="1143" t="n">
        <x:f>COUNT(E99:M99)</x:f>
        <x:v>3</x:v>
      </x:c>
      <x:c r="O99" s="1143" t="n">
        <x:f>SUM(E99:M99)</x:f>
        <x:v>4</x:v>
      </x:c>
      <x:c r="P99" s="1143" t="n">
        <x:f>N99*2</x:f>
        <x:v>6</x:v>
      </x:c>
      <x:c r="Q99" s="1145" t="n">
        <x:f>IF(P99=0,"",O99/P99)</x:f>
        <x:v>0.6666666666666666</x:v>
      </x:c>
      <x:c r="R99" s="1145" t="n">
        <x:f>N99/9</x:f>
        <x:v>0.3333333333333333</x:v>
      </x:c>
      <x:c r="S99" s="1143" t="str">
        <x:f>IF(N99&lt;2,"Insufficiently reported",IF(AND(R99&gt;=0.67,Q99&gt;=0.75),"Higher strength on available evidence",IF(AND(R99&gt;=0.44,Q99&gt;=0.5),"Moderate strength / some concerns","Low strength or major reporting gaps")))</x:f>
        <x:v>Low strength or major reporting gaps</x:v>
      </x:c>
      <x:c r="T99" s="1143" t="str">
        <x:f>IF(COUNT(F99:H99)&lt;2,"Unclear — insufficient reporting",IF(COUNTIF(F99:H99,0)&gt;0,"High concern on available evidence",IF(AND(F99=2,G99=2,H99=2),"Lower concern on available evidence","Some concerns on available evidence")))</x:f>
        <x:v>Unclear — insufficient reporting</x:v>
      </x:c>
      <x:c r="U99" s="1141" t="str">
        <x:v>Dataset/sample 1: Six multicentre diabetic-retinopathy datasets and an rs-fMRI seizure-onset localisation task; sample sizes are not reported in the abstract. | Explanation faithfulness 2: A quantitative faithfulness, intervention, perturbation, causal, fidelity, or ablation evaluation is reported. | Robustness/stability 1: Limited robustness/generalisation or sensitivity evidence is reported.</x:v>
      </x:c>
      <x:c r="V99" s="1141" t="str">
        <x:v>Moderate — complete scholarly-record abstract</x:v>
      </x:c>
      <x:c r="W99" s="1141" t="str">
        <x:v>https://arxiv.org/pdf/2601.02008</x:v>
      </x:c>
    </x:row>
    <x:row r="100" ht="88.5" customHeight="1">
      <x:c r="A100" s="1143" t="str">
        <x:v>ARXIV-05-002</x:v>
      </x:c>
      <x:c r="B100" s="1141" t="str">
        <x:v>NEURO-GUARD: Neuro-Symbolic Generalization and Unbiased Adaptive Routing for Diagnostics -- Explainable Medical AI (2025)</x:v>
      </x:c>
      <x:c r="C100" s="1141" t="str">
        <x:v>Contextual medical concept-XAI evidence</x:v>
      </x:c>
      <x:c r="D100" s="1141" t="str">
        <x:v>Preprint</x:v>
      </x:c>
      <x:c r="E100" s="1143" t="n">
        <x:v>1</x:v>
      </x:c>
      <x:c r="F100" s="1143" t="n">
        <x:v>1</x:v>
      </x:c>
      <x:c r="G100" s="1143" t="str">
        <x:v>NR</x:v>
      </x:c>
      <x:c r="H100" s="1143" t="str">
        <x:v>NR</x:v>
      </x:c>
      <x:c r="I100" s="1143" t="str">
        <x:v>NR</x:v>
      </x:c>
      <x:c r="J100" s="1143" t="str">
        <x:v>NR</x:v>
      </x:c>
      <x:c r="K100" s="1143" t="str">
        <x:v>NR</x:v>
      </x:c>
      <x:c r="L100" s="1143" t="n">
        <x:v>1</x:v>
      </x:c>
      <x:c r="M100" s="1143" t="str">
        <x:v>NR</x:v>
      </x:c>
      <x:c r="N100" s="1143" t="n">
        <x:f>COUNT(E100:M100)</x:f>
        <x:v>3</x:v>
      </x:c>
      <x:c r="O100" s="1143" t="n">
        <x:f>SUM(E100:M100)</x:f>
        <x:v>3</x:v>
      </x:c>
      <x:c r="P100" s="1143" t="n">
        <x:f>N100*2</x:f>
        <x:v>6</x:v>
      </x:c>
      <x:c r="Q100" s="1145" t="n">
        <x:f>IF(P100=0,"",O100/P100)</x:f>
        <x:v>0.5</x:v>
      </x:c>
      <x:c r="R100" s="1145" t="n">
        <x:f>N100/9</x:f>
        <x:v>0.3333333333333333</x:v>
      </x:c>
      <x:c r="S100" s="1143" t="str">
        <x:f>IF(N100&lt;2,"Insufficiently reported",IF(AND(R100&gt;=0.67,Q100&gt;=0.75),"Higher strength on available evidence",IF(AND(R100&gt;=0.44,Q100&gt;=0.5),"Moderate strength / some concerns","Low strength or major reporting gaps")))</x:f>
        <x:v>Low strength or major reporting gaps</x:v>
      </x:c>
      <x:c r="T100" s="1143" t="str">
        <x:f>IF(COUNT(F100:H100)&lt;2,"Unclear — insufficient reporting",IF(COUNTIF(F100:H100,0)&gt;0,"High concern on available evidence",IF(AND(F100=2,G100=2,H100=2),"Lower concern on available evidence","Some concerns on available evidence")))</x:f>
        <x:v>Unclear — insufficient reporting</x:v>
      </x:c>
      <x:c r="U100" s="1141" t="str">
        <x:v>Dataset/sample 1: APTOS, EyePACS, Messidor-1 and Messidor-2 for diabetic-retinopathy classification; an additional MRI seizure-detection evaluation. Sample sizes are not reported in the abstract. | External validation 1: Internal held-out, cross-validation, or multi-dataset evaluation is reported, but institutional independence is unclear. | Robustness/stability 1: Limited robustness/generalisation or sensitivity evidence is reported.</x:v>
      </x:c>
      <x:c r="V100" s="1141" t="str">
        <x:v>Moderate — complete scholarly-record abstract</x:v>
      </x:c>
      <x:c r="W100" s="1141" t="str">
        <x:v>https://arxiv.org/pdf/2512.18177</x:v>
      </x:c>
    </x:row>
    <x:row r="101" ht="88.5" customHeight="1">
      <x:c r="A101" s="1143" t="str">
        <x:v>ARXIV-06-001</x:v>
      </x:c>
      <x:c r="B101" s="1141" t="str">
        <x:v>In-hoc Concept Representations to Regularise Deep Learning in Medical Imaging (2025)</x:v>
      </x:c>
      <x:c r="C101" s="1141" t="str">
        <x:v>Contextual medical concept-XAI evidence</x:v>
      </x:c>
      <x:c r="D101" s="1141" t="str">
        <x:v>Preprint</x:v>
      </x:c>
      <x:c r="E101" s="1143" t="str">
        <x:v>NR</x:v>
      </x:c>
      <x:c r="F101" s="1143" t="str">
        <x:v>NR</x:v>
      </x:c>
      <x:c r="G101" s="1143" t="str">
        <x:v>NR</x:v>
      </x:c>
      <x:c r="H101" s="1143" t="str">
        <x:v>NR</x:v>
      </x:c>
      <x:c r="I101" s="1143" t="str">
        <x:v>NR</x:v>
      </x:c>
      <x:c r="J101" s="1143" t="n">
        <x:v>2</x:v>
      </x:c>
      <x:c r="K101" s="1143" t="n">
        <x:v>2</x:v>
      </x:c>
      <x:c r="L101" s="1143" t="n">
        <x:v>2</x:v>
      </x:c>
      <x:c r="M101" s="1143" t="str">
        <x:v>NR</x:v>
      </x:c>
      <x:c r="N101" s="1143" t="n">
        <x:f>COUNT(E101:M101)</x:f>
        <x:v>3</x:v>
      </x:c>
      <x:c r="O101" s="1143" t="n">
        <x:f>SUM(E101:M101)</x:f>
        <x:v>6</x:v>
      </x:c>
      <x:c r="P101" s="1143" t="n">
        <x:f>N101*2</x:f>
        <x:v>6</x:v>
      </x:c>
      <x:c r="Q101" s="1145" t="n">
        <x:f>IF(P101=0,"",O101/P101)</x:f>
        <x:v>1</x:v>
      </x:c>
      <x:c r="R101" s="1145" t="n">
        <x:f>N101/9</x:f>
        <x:v>0.3333333333333333</x:v>
      </x:c>
      <x:c r="S101" s="1143" t="str">
        <x:f>IF(N101&lt;2,"Insufficiently reported",IF(AND(R101&gt;=0.67,Q101&gt;=0.75),"Higher strength on available evidence",IF(AND(R101&gt;=0.44,Q101&gt;=0.5),"Moderate strength / some concerns","Low strength or major reporting gaps")))</x:f>
        <x:v>Low strength or major reporting gaps</x:v>
      </x:c>
      <x:c r="T101" s="1143" t="str">
        <x:f>IF(COUNT(F101:H101)&lt;2,"Unclear — insufficient reporting",IF(COUNTIF(F101:H101,0)&gt;0,"High concern on available evidence",IF(AND(F101=2,G101=2,H101=2),"Lower concern on available evidence","Some concerns on available evidence")))</x:f>
        <x:v>Unclear — insufficient reporting</x:v>
      </x:c>
      <x:c r="U101" s="1141" t="str">
        <x:v>Code availability 2: Public code/repository availability is explicitly reported. | Explanation faithfulness 2: A quantitative faithfulness, intervention, perturbation, causal, fidelity, or ablation evaluation is reported. | Robustness/stability 2: Systematic robustness, stability, external generalisation, adversarial, or OOD evaluation is reported.</x:v>
      </x:c>
      <x:c r="V101" s="1141" t="str">
        <x:v>Moderate — complete preprint abstract</x:v>
      </x:c>
      <x:c r="W101" s="1141" t="str">
        <x:v>https://arxiv.org/abs/2508.13880</x:v>
      </x:c>
    </x:row>
    <x:row r="102" ht="88.5" customHeight="1">
      <x:c r="A102" s="1143" t="str">
        <x:v>ARXIV-10-001</x:v>
      </x:c>
      <x:c r="B102" s="1141" t="str">
        <x:v>RetiSEM: Generalising Causal Models for Fragmented Biomedical Data</x:v>
      </x:c>
      <x:c r="C102" s="1141" t="str">
        <x:v>Contextual medical concept-XAI evidence</x:v>
      </x:c>
      <x:c r="D102" s="1141" t="str">
        <x:v>Preprint</x:v>
      </x:c>
      <x:c r="E102" s="1143" t="str">
        <x:v>NR</x:v>
      </x:c>
      <x:c r="F102" s="1143" t="str">
        <x:v>NR</x:v>
      </x:c>
      <x:c r="G102" s="1143" t="str">
        <x:v>NR</x:v>
      </x:c>
      <x:c r="H102" s="1143" t="str">
        <x:v>NR</x:v>
      </x:c>
      <x:c r="I102" s="1143" t="str">
        <x:v>NR</x:v>
      </x:c>
      <x:c r="J102" s="1143" t="n">
        <x:v>2</x:v>
      </x:c>
      <x:c r="K102" s="1143" t="n">
        <x:v>1</x:v>
      </x:c>
      <x:c r="L102" s="1143" t="str">
        <x:v>NR</x:v>
      </x:c>
      <x:c r="M102" s="1143" t="str">
        <x:v>NR</x:v>
      </x:c>
      <x:c r="N102" s="1143" t="n">
        <x:f>COUNT(E102:M102)</x:f>
        <x:v>2</x:v>
      </x:c>
      <x:c r="O102" s="1143" t="n">
        <x:f>SUM(E102:M102)</x:f>
        <x:v>3</x:v>
      </x:c>
      <x:c r="P102" s="1143" t="n">
        <x:f>N102*2</x:f>
        <x:v>4</x:v>
      </x:c>
      <x:c r="Q102" s="1145" t="n">
        <x:f>IF(P102=0,"",O102/P102)</x:f>
        <x:v>0.75</x:v>
      </x:c>
      <x:c r="R102" s="1145" t="n">
        <x:f>N102/9</x:f>
        <x:v>0.2222222222222222</x:v>
      </x:c>
      <x:c r="S102" s="1143" t="str">
        <x:f>IF(N102&lt;2,"Insufficiently reported",IF(AND(R102&gt;=0.67,Q102&gt;=0.75),"Higher strength on available evidence",IF(AND(R102&gt;=0.44,Q102&gt;=0.5),"Moderate strength / some concerns","Low strength or major reporting gaps")))</x:f>
        <x:v>Low strength or major reporting gaps</x:v>
      </x:c>
      <x:c r="T102" s="1143" t="str">
        <x:f>IF(COUNT(F102:H102)&lt;2,"Unclear — insufficient reporting",IF(COUNTIF(F102:H102,0)&gt;0,"High concern on available evidence",IF(AND(F102=2,G102=2,H102=2),"Lower concern on available evidence","Some concerns on available evidence")))</x:f>
        <x:v>Unclear — insufficient reporting</x:v>
      </x:c>
      <x:c r="U102" s="1141" t="str">
        <x:v>Code availability 2: Public code/repository availability is explicitly reported. | Explanation faithfulness 1: A proxy or qualitative concept/explanation assessment is reported, but not a direct quantitative faithfulness test.</x:v>
      </x:c>
      <x:c r="V102" s="1141" t="str">
        <x:v>Moderate — complete scholarly-record abstract</x:v>
      </x:c>
      <x:c r="W102" s="1141" t="str">
        <x:v>https://arxiv.org/pdf/2606.24488</x:v>
      </x:c>
    </x:row>
    <x:row r="103" ht="88.5" customHeight="1">
      <x:c r="A103" s="1143" t="str">
        <x:v>ARXIV-10-002</x:v>
      </x:c>
      <x:c r="B103" s="1141" t="str">
        <x:v>A Dual Edge Spatial Jacobian Image Graph for Interpretable Diabetic Retinopathy Grading</x:v>
      </x:c>
      <x:c r="C103" s="1141" t="str">
        <x:v>Direct retinal/ophthalmic evidence</x:v>
      </x:c>
      <x:c r="D103" s="1141" t="str">
        <x:v>Preprint</x:v>
      </x:c>
      <x:c r="E103" s="1143" t="n">
        <x:v>1</x:v>
      </x:c>
      <x:c r="F103" s="1143" t="str">
        <x:v>NR</x:v>
      </x:c>
      <x:c r="G103" s="1143" t="str">
        <x:v>NR</x:v>
      </x:c>
      <x:c r="H103" s="1143" t="str">
        <x:v>NR</x:v>
      </x:c>
      <x:c r="I103" s="1143" t="str">
        <x:v>NR</x:v>
      </x:c>
      <x:c r="J103" s="1143" t="n">
        <x:v>2</x:v>
      </x:c>
      <x:c r="K103" s="1143" t="n">
        <x:v>1</x:v>
      </x:c>
      <x:c r="L103" s="1143" t="str">
        <x:v>NR</x:v>
      </x:c>
      <x:c r="M103" s="1143" t="str">
        <x:v>NR</x:v>
      </x:c>
      <x:c r="N103" s="1143" t="n">
        <x:f>COUNT(E103:M103)</x:f>
        <x:v>3</x:v>
      </x:c>
      <x:c r="O103" s="1143" t="n">
        <x:f>SUM(E103:M103)</x:f>
        <x:v>4</x:v>
      </x:c>
      <x:c r="P103" s="1143" t="n">
        <x:f>N103*2</x:f>
        <x:v>6</x:v>
      </x:c>
      <x:c r="Q103" s="1145" t="n">
        <x:f>IF(P103=0,"",O103/P103)</x:f>
        <x:v>0.6666666666666666</x:v>
      </x:c>
      <x:c r="R103" s="1145" t="n">
        <x:f>N103/9</x:f>
        <x:v>0.3333333333333333</x:v>
      </x:c>
      <x:c r="S103" s="1143" t="str">
        <x:f>IF(N103&lt;2,"Insufficiently reported",IF(AND(R103&gt;=0.67,Q103&gt;=0.75),"Higher strength on available evidence",IF(AND(R103&gt;=0.44,Q103&gt;=0.5),"Moderate strength / some concerns","Low strength or major reporting gaps")))</x:f>
        <x:v>Low strength or major reporting gaps</x:v>
      </x:c>
      <x:c r="T103" s="1143" t="str">
        <x:f>IF(COUNT(F103:H103)&lt;2,"Unclear — insufficient reporting",IF(COUNTIF(F103:H103,0)&gt;0,"High concern on available evidence",IF(AND(F103=2,G103=2,H103=2),"Lower concern on available evidence","Some concerns on available evidence")))</x:f>
        <x:v>Unclear — insufficient reporting</x:v>
      </x:c>
      <x:c r="U103" s="1141" t="str">
        <x:v>Dataset/sample 1: APTOS. Each fundus image is represented as a graph node with four aligned evidence streams: AutoMorph vessel information ($X_1$), DR-XAI-style lesion evidence maps ($X_2$), a 128-dimensional lesion-based contrastive image embedding ($X_3$), and AutoMorph morphometric biomarkers ($X_4$). | Code availability 2: Public code/repository availability is explicitly reported. | Explanation faithfulness 1: A proxy or qualitative concept/explanation assessment is reported, but not a direct quantitative faithfulness test.</x:v>
      </x:c>
      <x:c r="V103" s="1141" t="str">
        <x:v>Moderate — complete preprint abstract</x:v>
      </x:c>
      <x:c r="W103" s="1141" t="str">
        <x:v>https://arxiv.org/abs/2606.24168</x:v>
      </x:c>
    </x:row>
    <x:row r="104" ht="88.5" customHeight="1">
      <x:c r="A104" s="1143" t="str">
        <x:v>ARXIV-10-004</x:v>
      </x:c>
      <x:c r="B104" s="1141" t="str">
        <x:v>Explainable Multi-Task Retinal Imaging Reveals Microvascular Signals for Systemic Risk Stratification in Type 2 Diabetes: A Pilot Study</x:v>
      </x:c>
      <x:c r="C104" s="1141" t="str">
        <x:v>Direct retinal/ophthalmic evidence</x:v>
      </x:c>
      <x:c r="D104" s="1141" t="str">
        <x:v>Preprint</x:v>
      </x:c>
      <x:c r="E104" s="1143" t="n">
        <x:v>1</x:v>
      </x:c>
      <x:c r="F104" s="1143" t="str">
        <x:v>NR</x:v>
      </x:c>
      <x:c r="G104" s="1143" t="str">
        <x:v>NR</x:v>
      </x:c>
      <x:c r="H104" s="1143" t="str">
        <x:v>NR</x:v>
      </x:c>
      <x:c r="I104" s="1143" t="str">
        <x:v>NR</x:v>
      </x:c>
      <x:c r="J104" s="1143" t="str">
        <x:v>NR</x:v>
      </x:c>
      <x:c r="K104" s="1143" t="n">
        <x:v>1</x:v>
      </x:c>
      <x:c r="L104" s="1143" t="str">
        <x:v>NR</x:v>
      </x:c>
      <x:c r="M104" s="1143" t="str">
        <x:v>NR</x:v>
      </x:c>
      <x:c r="N104" s="1143" t="n">
        <x:f>COUNT(E104:M104)</x:f>
        <x:v>2</x:v>
      </x:c>
      <x:c r="O104" s="1143" t="n">
        <x:f>SUM(E104:M104)</x:f>
        <x:v>2</x:v>
      </x:c>
      <x:c r="P104" s="1143" t="n">
        <x:f>N104*2</x:f>
        <x:v>4</x:v>
      </x:c>
      <x:c r="Q104" s="1145" t="n">
        <x:f>IF(P104=0,"",O104/P104)</x:f>
        <x:v>0.5</x:v>
      </x:c>
      <x:c r="R104" s="1145" t="n">
        <x:f>N104/9</x:f>
        <x:v>0.2222222222222222</x:v>
      </x:c>
      <x:c r="S104" s="1143" t="str">
        <x:f>IF(N104&lt;2,"Insufficiently reported",IF(AND(R104&gt;=0.67,Q104&gt;=0.75),"Higher strength on available evidence",IF(AND(R104&gt;=0.44,Q104&gt;=0.5),"Moderate strength / some concerns","Low strength or major reporting gaps")))</x:f>
        <x:v>Low strength or major reporting gaps</x:v>
      </x:c>
      <x:c r="T104" s="1143" t="str">
        <x:f>IF(COUNT(F104:H104)&lt;2,"Unclear — insufficient reporting",IF(COUNTIF(F104:H104,0)&gt;0,"High concern on available evidence",IF(AND(F104=2,G104=2,H104=2),"Lower concern on available evidence","Some concerns on available evidence")))</x:f>
        <x:v>Unclear — insufficient reporting</x:v>
      </x:c>
      <x:c r="U104" s="1141" t="str">
        <x:v>Dataset/sample 1: A total of 11,011 fundus images from 2,719 individuals were analysed using a shared neural network with task-specific heads for glycaemic status, kidney abnormality, and multi-system involvement. | Explanation faithfulness 1: A proxy or qualitative concept/explanation assessment is reported, but not a direct quantitative faithfulness test.</x:v>
      </x:c>
      <x:c r="V104" s="1141" t="str">
        <x:v>Moderate — complete scholarly-record abstract</x:v>
      </x:c>
      <x:c r="W104" s="1141" t="str">
        <x:v>https://arxiv.org/pdf/2605.24913</x:v>
      </x:c>
    </x:row>
    <x:row r="105" ht="88.5" customHeight="1">
      <x:c r="A105" s="1143" t="str">
        <x:v>ARXIV-10-005</x:v>
      </x:c>
      <x:c r="B105" s="1141" t="str">
        <x:v>SAIL: Structure-Aware Interpretable Learning for Anatomy-Aligned Post-hoc Explanations in OCT</x:v>
      </x:c>
      <x:c r="C105" s="1141" t="str">
        <x:v>Direct retinal/ophthalmic evidence</x:v>
      </x:c>
      <x:c r="D105" s="1141" t="str">
        <x:v>Preprint</x:v>
      </x:c>
      <x:c r="E105" s="1143" t="str">
        <x:v>NR</x:v>
      </x:c>
      <x:c r="F105" s="1143" t="str">
        <x:v>NR</x:v>
      </x:c>
      <x:c r="G105" s="1143" t="str">
        <x:v>NR</x:v>
      </x:c>
      <x:c r="H105" s="1143" t="str">
        <x:v>NR</x:v>
      </x:c>
      <x:c r="I105" s="1143" t="str">
        <x:v>NR</x:v>
      </x:c>
      <x:c r="J105" s="1143" t="str">
        <x:v>NR</x:v>
      </x:c>
      <x:c r="K105" s="1143" t="str">
        <x:v>NR</x:v>
      </x:c>
      <x:c r="L105" s="1143" t="str">
        <x:v>NR</x:v>
      </x:c>
      <x:c r="M105" s="1143" t="str">
        <x:v>NR</x:v>
      </x:c>
      <x:c r="N105" s="1143" t="n">
        <x:f>COUNT(E105:M105)</x:f>
        <x:v>0</x:v>
      </x:c>
      <x:c r="O105" s="1143" t="n">
        <x:f>SUM(E105:M105)</x:f>
        <x:v>0</x:v>
      </x:c>
      <x:c r="P105" s="1143" t="n">
        <x:f>N105*2</x:f>
        <x:v>0</x:v>
      </x:c>
      <x:c r="Q105" s="1145" t="str">
        <x:f>IF(P105=0,"",O105/P105)</x:f>
      </x:c>
      <x:c r="R105" s="1145" t="n">
        <x:f>N105/9</x:f>
        <x:v>0</x:v>
      </x:c>
      <x:c r="S105" s="1143" t="str">
        <x:f>IF(N105&lt;2,"Insufficiently reported",IF(AND(R105&gt;=0.67,Q105&gt;=0.75),"Higher strength on available evidence",IF(AND(R105&gt;=0.44,Q105&gt;=0.5),"Moderate strength / some concerns","Low strength or major reporting gaps")))</x:f>
        <x:v>Insufficiently reported</x:v>
      </x:c>
      <x:c r="T105" s="1143" t="str">
        <x:f>IF(COUNT(F105:H105)&lt;2,"Unclear — insufficient reporting",IF(COUNTIF(F105:H105,0)&gt;0,"High concern on available evidence",IF(AND(F105=2,G105=2,H105=2),"Lower concern on available evidence","Some concerns on available evidence")))</x:f>
        <x:v>Unclear — insufficient reporting</x:v>
      </x:c>
      <x:c r="U105" s="1141" t="str">
        <x:v>No quality domain was assessable from the available abstract/indexed evidence; full-text verification is required.</x:v>
      </x:c>
      <x:c r="V105" s="1141" t="str">
        <x:v>Moderate — complete scholarly-record abstract</x:v>
      </x:c>
      <x:c r="W105" s="1141" t="str">
        <x:v>https://arxiv.org/pdf/2605.02707</x:v>
      </x:c>
    </x:row>
    <x:row r="106" ht="88.5" customHeight="1">
      <x:c r="A106" s="1143" t="str">
        <x:v>ARXIV-10-025</x:v>
      </x:c>
      <x:c r="B106" s="1141" t="str">
        <x:v>Fine-tuning Vision Language Models with Graph-based Knowledge for Explainable Medical Image Analysis</x:v>
      </x:c>
      <x:c r="C106" s="1141" t="str">
        <x:v>Contextual medical concept-XAI evidence</x:v>
      </x:c>
      <x:c r="D106" s="1141" t="str">
        <x:v>Preprint</x:v>
      </x:c>
      <x:c r="E106" s="1143" t="n">
        <x:v>1</x:v>
      </x:c>
      <x:c r="F106" s="1143" t="str">
        <x:v>NR</x:v>
      </x:c>
      <x:c r="G106" s="1143" t="str">
        <x:v>NR</x:v>
      </x:c>
      <x:c r="H106" s="1143" t="str">
        <x:v>NR</x:v>
      </x:c>
      <x:c r="I106" s="1143" t="str">
        <x:v>NR</x:v>
      </x:c>
      <x:c r="J106" s="1143" t="str">
        <x:v>NR</x:v>
      </x:c>
      <x:c r="K106" s="1143" t="n">
        <x:v>1</x:v>
      </x:c>
      <x:c r="L106" s="1143" t="str">
        <x:v>NR</x:v>
      </x:c>
      <x:c r="M106" s="1143" t="str">
        <x:v>NR</x:v>
      </x:c>
      <x:c r="N106" s="1143" t="n">
        <x:f>COUNT(E106:M106)</x:f>
        <x:v>2</x:v>
      </x:c>
      <x:c r="O106" s="1143" t="n">
        <x:f>SUM(E106:M106)</x:f>
        <x:v>2</x:v>
      </x:c>
      <x:c r="P106" s="1143" t="n">
        <x:f>N106*2</x:f>
        <x:v>4</x:v>
      </x:c>
      <x:c r="Q106" s="1145" t="n">
        <x:f>IF(P106=0,"",O106/P106)</x:f>
        <x:v>0.5</x:v>
      </x:c>
      <x:c r="R106" s="1145" t="n">
        <x:f>N106/9</x:f>
        <x:v>0.2222222222222222</x:v>
      </x:c>
      <x:c r="S106" s="1143" t="str">
        <x:f>IF(N106&lt;2,"Insufficiently reported",IF(AND(R106&gt;=0.67,Q106&gt;=0.75),"Higher strength on available evidence",IF(AND(R106&gt;=0.44,Q106&gt;=0.5),"Moderate strength / some concerns","Low strength or major reporting gaps")))</x:f>
        <x:v>Low strength or major reporting gaps</x:v>
      </x:c>
      <x:c r="T106" s="1143" t="str">
        <x:f>IF(COUNT(F106:H106)&lt;2,"Unclear — insufficient reporting",IF(COUNTIF(F106:H106,0)&gt;0,"High concern on available evidence",IF(AND(F106=2,G106=2,H106=2),"Lower concern on available evidence","Some concerns on available evidence")))</x:f>
        <x:v>Unclear — insufficient reporting</x:v>
      </x:c>
      <x:c r="U106" s="1141" t="str">
        <x:v>Dataset/sample 1: However, current staging models are hardly interpretable, and most public datasets contain no clinical reasoning or interpretation beyond image-level labels. | Explanation faithfulness 1: A proxy or qualitative concept/explanation assessment is reported, but not a direct quantitative faithfulness test.</x:v>
      </x:c>
      <x:c r="V106" s="1141" t="str">
        <x:v>Moderate — complete preprint abstract</x:v>
      </x:c>
      <x:c r="W106" s="1141" t="str">
        <x:v>https://arxiv.org/abs/2503.09808</x:v>
      </x:c>
    </x:row>
    <x:row r="107" ht="88.5" customHeight="1">
      <x:c r="A107" s="1143" t="str">
        <x:v>ARXIV-10-026</x:v>
      </x:c>
      <x:c r="B107" s="1141" t="str">
        <x:v>Interpretable Retinal Disease Prediction Using Biology-Informed Heterogeneous Graph Representations</x:v>
      </x:c>
      <x:c r="C107" s="1141" t="str">
        <x:v>Direct retinal/ophthalmic evidence</x:v>
      </x:c>
      <x:c r="D107" s="1141" t="str">
        <x:v>Preprint</x:v>
      </x:c>
      <x:c r="E107" s="1143" t="str">
        <x:v>NR</x:v>
      </x:c>
      <x:c r="F107" s="1143" t="str">
        <x:v>NR</x:v>
      </x:c>
      <x:c r="G107" s="1143" t="str">
        <x:v>NR</x:v>
      </x:c>
      <x:c r="H107" s="1143" t="n">
        <x:v>1</x:v>
      </x:c>
      <x:c r="I107" s="1143" t="n">
        <x:v>1</x:v>
      </x:c>
      <x:c r="J107" s="1143" t="str">
        <x:v>NR</x:v>
      </x:c>
      <x:c r="K107" s="1143" t="n">
        <x:v>1</x:v>
      </x:c>
      <x:c r="L107" s="1143" t="str">
        <x:v>NR</x:v>
      </x:c>
      <x:c r="M107" s="1143" t="str">
        <x:v>NR</x:v>
      </x:c>
      <x:c r="N107" s="1143" t="n">
        <x:f>COUNT(E107:M107)</x:f>
        <x:v>3</x:v>
      </x:c>
      <x:c r="O107" s="1143" t="n">
        <x:f>SUM(E107:M107)</x:f>
        <x:v>3</x:v>
      </x:c>
      <x:c r="P107" s="1143" t="n">
        <x:f>N107*2</x:f>
        <x:v>6</x:v>
      </x:c>
      <x:c r="Q107" s="1145" t="n">
        <x:f>IF(P107=0,"",O107/P107)</x:f>
        <x:v>0.5</x:v>
      </x:c>
      <x:c r="R107" s="1145" t="n">
        <x:f>N107/9</x:f>
        <x:v>0.3333333333333333</x:v>
      </x:c>
      <x:c r="S107" s="1143" t="str">
        <x:f>IF(N107&lt;2,"Insufficiently reported",IF(AND(R107&gt;=0.67,Q107&gt;=0.75),"Higher strength on available evidence",IF(AND(R107&gt;=0.44,Q107&gt;=0.5),"Moderate strength / some concerns","Low strength or major reporting gaps")))</x:f>
        <x:v>Low strength or major reporting gaps</x:v>
      </x:c>
      <x:c r="T107" s="1143" t="str">
        <x:f>IF(COUNT(F107:H107)&lt;2,"Unclear — insufficient reporting",IF(COUNTIF(F107:H107,0)&gt;0,"High concern on available evidence",IF(AND(F107=2,G107=2,H107=2),"Lower concern on available evidence","Some concerns on available evidence")))</x:f>
        <x:v>Unclear — insufficient reporting</x:v>
      </x:c>
      <x:c r="U107" s="1141" t="str">
        <x:v>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107" s="1141" t="str">
        <x:v>Moderate — complete scholarly-record abstract</x:v>
      </x:c>
      <x:c r="W107" s="1141" t="str">
        <x:v>https://arxiv.org/pdf/2502.16697</x:v>
      </x:c>
    </x:row>
    <x:row r="108" ht="88.5" customHeight="1">
      <x:c r="A108" s="1143" t="str">
        <x:v>ARXIV-10-030</x:v>
      </x:c>
      <x:c r="B108" s="1141" t="str">
        <x:v>Explainable and Interpretable Diabetic Retinopathy Classification Based on Neural-Symbolic Learning</x:v>
      </x:c>
      <x:c r="C108" s="1141" t="str">
        <x:v>Direct retinal/ophthalmic evidence</x:v>
      </x:c>
      <x:c r="D108" s="1141" t="str">
        <x:v>Preprint</x:v>
      </x:c>
      <x:c r="E108" s="1143" t="n">
        <x:v>1</x:v>
      </x:c>
      <x:c r="F108" s="1143" t="str">
        <x:v>NR</x:v>
      </x:c>
      <x:c r="G108" s="1143" t="str">
        <x:v>NR</x:v>
      </x:c>
      <x:c r="H108" s="1143" t="str">
        <x:v>NR</x:v>
      </x:c>
      <x:c r="I108" s="1143" t="str">
        <x:v>NR</x:v>
      </x:c>
      <x:c r="J108" s="1143" t="str">
        <x:v>NR</x:v>
      </x:c>
      <x:c r="K108" s="1143" t="n">
        <x:v>1</x:v>
      </x:c>
      <x:c r="L108" s="1143" t="str">
        <x:v>NR</x:v>
      </x:c>
      <x:c r="M108" s="1143" t="str">
        <x:v>NR</x:v>
      </x:c>
      <x:c r="N108" s="1143" t="n">
        <x:f>COUNT(E108:M108)</x:f>
        <x:v>2</x:v>
      </x:c>
      <x:c r="O108" s="1143" t="n">
        <x:f>SUM(E108:M108)</x:f>
        <x:v>2</x:v>
      </x:c>
      <x:c r="P108" s="1143" t="n">
        <x:f>N108*2</x:f>
        <x:v>4</x:v>
      </x:c>
      <x:c r="Q108" s="1145" t="n">
        <x:f>IF(P108=0,"",O108/P108)</x:f>
        <x:v>0.5</x:v>
      </x:c>
      <x:c r="R108" s="1145" t="n">
        <x:f>N108/9</x:f>
        <x:v>0.2222222222222222</x:v>
      </x:c>
      <x:c r="S108" s="1143" t="str">
        <x:f>IF(N108&lt;2,"Insufficiently reported",IF(AND(R108&gt;=0.67,Q108&gt;=0.75),"Higher strength on available evidence",IF(AND(R108&gt;=0.44,Q108&gt;=0.5),"Moderate strength / some concerns","Low strength or major reporting gaps")))</x:f>
        <x:v>Low strength or major reporting gaps</x:v>
      </x:c>
      <x:c r="T108" s="1143" t="str">
        <x:f>IF(COUNT(F108:H108)&lt;2,"Unclear — insufficient reporting",IF(COUNTIF(F108:H108,0)&gt;0,"High concern on available evidence",IF(AND(F108=2,G108=2,H108=2),"Lower concern on available evidence","Some concerns on available evidence")))</x:f>
        <x:v>Unclear — insufficient reporting</x:v>
      </x:c>
      <x:c r="U108" s="1141" t="str">
        <x:v>Dataset/sample 1: IDRiD | Explanation faithfulness 1: A proxy or qualitative concept/explanation assessment is reported, but not a direct quantitative faithfulness test.</x:v>
      </x:c>
      <x:c r="V108" s="1141" t="str">
        <x:v>Moderate — complete scholarly-record abstract</x:v>
      </x:c>
      <x:c r="W108" s="1141" t="str">
        <x:v>https://arxiv.org/pdf/2204.00624</x:v>
      </x:c>
    </x:row>
    <x:row r="109" ht="88.5" customHeight="1">
      <x:c r="A109" s="1143" t="str">
        <x:v>ARXIV-11-002</x:v>
      </x:c>
      <x:c r="B109" s="1141" t="str">
        <x:v>Discovery Radiomics With CLEAR-DR: Interpretable Computer Aided Diagnosis of Diabetic Retinopathy (2017)</x:v>
      </x:c>
      <x:c r="C109" s="1141" t="str">
        <x:v>Direct retinal/ophthalmic evidence</x:v>
      </x:c>
      <x:c r="D109" s="1141" t="str">
        <x:v>Preprint</x:v>
      </x:c>
      <x:c r="E109" s="1143" t="str">
        <x:v>NR</x:v>
      </x:c>
      <x:c r="F109" s="1143" t="str">
        <x:v>NR</x:v>
      </x:c>
      <x:c r="G109" s="1143" t="str">
        <x:v>NR</x:v>
      </x:c>
      <x:c r="H109" s="1143" t="n">
        <x:v>1</x:v>
      </x:c>
      <x:c r="I109" s="1143" t="n">
        <x:v>1</x:v>
      </x:c>
      <x:c r="J109" s="1143" t="str">
        <x:v>NR</x:v>
      </x:c>
      <x:c r="K109" s="1143" t="n">
        <x:v>1</x:v>
      </x:c>
      <x:c r="L109" s="1143" t="str">
        <x:v>NR</x:v>
      </x:c>
      <x:c r="M109" s="1143" t="str">
        <x:v>NR</x:v>
      </x:c>
      <x:c r="N109" s="1143" t="n">
        <x:f>COUNT(E109:M109)</x:f>
        <x:v>3</x:v>
      </x:c>
      <x:c r="O109" s="1143" t="n">
        <x:f>SUM(E109:M109)</x:f>
        <x:v>3</x:v>
      </x:c>
      <x:c r="P109" s="1143" t="n">
        <x:f>N109*2</x:f>
        <x:v>6</x:v>
      </x:c>
      <x:c r="Q109" s="1145" t="n">
        <x:f>IF(P109=0,"",O109/P109)</x:f>
        <x:v>0.5</x:v>
      </x:c>
      <x:c r="R109" s="1145" t="n">
        <x:f>N109/9</x:f>
        <x:v>0.3333333333333333</x:v>
      </x:c>
      <x:c r="S109" s="1143" t="str">
        <x:f>IF(N109&lt;2,"Insufficiently reported",IF(AND(R109&gt;=0.67,Q109&gt;=0.75),"Higher strength on available evidence",IF(AND(R109&gt;=0.44,Q109&gt;=0.5),"Moderate strength / some concerns","Low strength or major reporting gaps")))</x:f>
        <x:v>Low strength or major reporting gaps</x:v>
      </x:c>
      <x:c r="T109" s="1143" t="str">
        <x:f>IF(COUNT(F109:H109)&lt;2,"Unclear — insufficient reporting",IF(COUNTIF(F109:H109,0)&gt;0,"High concern on available evidence",IF(AND(F109=2,G109=2,H109=2),"Lower concern on available evidence","Some concerns on available evidence")))</x:f>
        <x:v>Unclear — insufficient reporting</x:v>
      </x:c>
      <x:c r="U109" s="1141" t="str">
        <x:v>Annotation quality 1: Clinical-expert annotation or reference assessment is reported, but consensus/adjudication is unclear. | Ophthalmologist involvement 1: Clinical-expert involvement or comparison is mentioned, but its role is limited or incompletely described. | Explanation faithfulness 1: A proxy or qualitative concept/explanation assessment is reported, but not a direct quantitative faithfulness test.</x:v>
      </x:c>
      <x:c r="V109" s="1141" t="str">
        <x:v>Moderate — complete scholarly-record abstract</x:v>
      </x:c>
      <x:c r="W109" s="1141" t="str">
        <x:v>https://arxiv.org/pdf/1710.10675</x:v>
      </x:c>
    </x:row>
    <x:row r="110" ht="88.5" customHeight="1">
      <x:c r="A110" s="1143" t="str">
        <x:v>ARXIV-12-004</x:v>
      </x:c>
      <x:c r="B110" s="1141" t="str">
        <x:v>Unsupervised Identification of Disease Marker Candidates in Retinal OCT Imaging Data (2018)</x:v>
      </x:c>
      <x:c r="C110" s="1141" t="str">
        <x:v>Direct retinal/ophthalmic evidence</x:v>
      </x:c>
      <x:c r="D110" s="1141" t="str">
        <x:v>Preprint</x:v>
      </x:c>
      <x:c r="E110" s="1143" t="n">
        <x:v>1</x:v>
      </x:c>
      <x:c r="F110" s="1143" t="str">
        <x:v>NR</x:v>
      </x:c>
      <x:c r="G110" s="1143" t="str">
        <x:v>NR</x:v>
      </x:c>
      <x:c r="H110" s="1143" t="str">
        <x:v>NR</x:v>
      </x:c>
      <x:c r="I110" s="1143" t="str">
        <x:v>NR</x:v>
      </x:c>
      <x:c r="J110" s="1143" t="str">
        <x:v>NR</x:v>
      </x:c>
      <x:c r="K110" s="1143" t="n">
        <x:v>1</x:v>
      </x:c>
      <x:c r="L110" s="1143" t="str">
        <x:v>NR</x:v>
      </x:c>
      <x:c r="M110" s="1143" t="str">
        <x:v>NR</x:v>
      </x:c>
      <x:c r="N110" s="1143" t="n">
        <x:f>COUNT(E110:M110)</x:f>
        <x:v>2</x:v>
      </x:c>
      <x:c r="O110" s="1143" t="n">
        <x:f>SUM(E110:M110)</x:f>
        <x:v>2</x:v>
      </x:c>
      <x:c r="P110" s="1143" t="n">
        <x:f>N110*2</x:f>
        <x:v>4</x:v>
      </x:c>
      <x:c r="Q110" s="1145" t="n">
        <x:f>IF(P110=0,"",O110/P110)</x:f>
        <x:v>0.5</x:v>
      </x:c>
      <x:c r="R110" s="1145" t="n">
        <x:f>N110/9</x:f>
        <x:v>0.2222222222222222</x:v>
      </x:c>
      <x:c r="S110" s="1143" t="str">
        <x:f>IF(N110&lt;2,"Insufficiently reported",IF(AND(R110&gt;=0.67,Q110&gt;=0.75),"Higher strength on available evidence",IF(AND(R110&gt;=0.44,Q110&gt;=0.5),"Moderate strength / some concerns","Low strength or major reporting gaps")))</x:f>
        <x:v>Low strength or major reporting gaps</x:v>
      </x:c>
      <x:c r="T110" s="1143" t="str">
        <x:f>IF(COUNT(F110:H110)&lt;2,"Unclear — insufficient reporting",IF(COUNTIF(F110:H110,0)&gt;0,"High concern on available evidence",IF(AND(F110=2,G110=2,H110=2),"Lower concern on available evidence","Some concerns on available evidence")))</x:f>
        <x:v>Unclear — insufficient reporting</x:v>
      </x:c>
      <x:c r="U110" s="1141" t="str">
        <x:v>Dataset/sample 1: Using these markers to classify healthy-, early AMD- and late AMD cases yields an accuracy of 81.40%. | Explanation faithfulness 1: A proxy or qualitative concept/explanation assessment is reported, but not a direct quantitative faithfulness test.</x:v>
      </x:c>
      <x:c r="V110" s="1141" t="str">
        <x:v>Moderate — complete scholarly-record abstract</x:v>
      </x:c>
      <x:c r="W110" s="1141" t="str">
        <x:v>https://arxiv.org/pdf/1810.13404</x:v>
      </x:c>
    </x:row>
    <x:row r="111" ht="88.5" customHeight="1">
      <x:c r="A111" s="1143" t="str">
        <x:v>ARXIV-14-001</x:v>
      </x:c>
      <x:c r="B111" s="1141" t="str">
        <x:v>Interpretable Few-Shot Retinal Disease Diagnosis with Concept-Guided Prompting of Vision-Language Models (2025)</x:v>
      </x:c>
      <x:c r="C111" s="1141" t="str">
        <x:v>Direct retinal/ophthalmic evidence</x:v>
      </x:c>
      <x:c r="D111" s="1141" t="str">
        <x:v>Preprint</x:v>
      </x:c>
      <x:c r="E111" s="1143" t="n">
        <x:v>1</x:v>
      </x:c>
      <x:c r="F111" s="1143" t="str">
        <x:v>NR</x:v>
      </x:c>
      <x:c r="G111" s="1143" t="str">
        <x:v>NR</x:v>
      </x:c>
      <x:c r="H111" s="1143" t="str">
        <x:v>NR</x:v>
      </x:c>
      <x:c r="I111" s="1143" t="str">
        <x:v>NR</x:v>
      </x:c>
      <x:c r="J111" s="1143" t="str">
        <x:v>NR</x:v>
      </x:c>
      <x:c r="K111" s="1143" t="n">
        <x:v>1</x:v>
      </x:c>
      <x:c r="L111" s="1143" t="str">
        <x:v>NR</x:v>
      </x:c>
      <x:c r="M111" s="1143" t="str">
        <x:v>NR</x:v>
      </x:c>
      <x:c r="N111" s="1143" t="n">
        <x:f>COUNT(E111:M111)</x:f>
        <x:v>2</x:v>
      </x:c>
      <x:c r="O111" s="1143" t="n">
        <x:f>SUM(E111:M111)</x:f>
        <x:v>2</x:v>
      </x:c>
      <x:c r="P111" s="1143" t="n">
        <x:f>N111*2</x:f>
        <x:v>4</x:v>
      </x:c>
      <x:c r="Q111" s="1145" t="n">
        <x:f>IF(P111=0,"",O111/P111)</x:f>
        <x:v>0.5</x:v>
      </x:c>
      <x:c r="R111" s="1145" t="n">
        <x:f>N111/9</x:f>
        <x:v>0.2222222222222222</x:v>
      </x:c>
      <x:c r="S111" s="1143" t="str">
        <x:f>IF(N111&lt;2,"Insufficiently reported",IF(AND(R111&gt;=0.67,Q111&gt;=0.75),"Higher strength on available evidence",IF(AND(R111&gt;=0.44,Q111&gt;=0.5),"Moderate strength / some concerns","Low strength or major reporting gaps")))</x:f>
        <x:v>Low strength or major reporting gaps</x:v>
      </x:c>
      <x:c r="T111" s="1143" t="str">
        <x:f>IF(COUNT(F111:H111)&lt;2,"Unclear — insufficient reporting",IF(COUNTIF(F111:H111,0)&gt;0,"High concern on available evidence",IF(AND(F111=2,G111=2,H111=2),"Lower concern on available evidence","Some concerns on available evidence")))</x:f>
        <x:v>Unclear — insufficient reporting</x:v>
      </x:c>
      <x:c r="U111" s="1141" t="str">
        <x:v>Dataset/sample 1: Our extensive evaluation across two diverse retinal fundus image datasets illustrates substantial performance gains in VL-model based few-shot methodologies through our concept integration approach, demonstrating an average improvement of approximately 5.8% and 2.7% mean average precision for 16-shot learning and zero-shot (novel class) detection respectively. | Explanation faithfulness 1: A proxy or qualitative concept/explanation assessment is reported, but not a direct quantitative faithfulness test.</x:v>
      </x:c>
      <x:c r="V111" s="1141" t="str">
        <x:v>Moderate — complete preprint abstract</x:v>
      </x:c>
      <x:c r="W111" s="1141" t="str">
        <x:v>https://arxiv.org/abs/2503.02917</x:v>
      </x:c>
    </x:row>
    <x:row r="112" ht="88.5" customHeight="1">
      <x:c r="A112" s="1143" t="str">
        <x:v>CIT-071</x:v>
      </x:c>
      <x:c r="B112" s="1141" t="str">
        <x:v>Hybrid vision-language models for improved transparency in healthcare processes: The retinal diagnosis use case — La Rosa F; Dell'Acqua P; Fazio M; Villari M (2026)</x:v>
      </x:c>
      <x:c r="C112" s="1141" t="str">
        <x:v>Direct retinal/ophthalmic evidence</x:v>
      </x:c>
      <x:c r="D112" s="1141" t="str">
        <x:v>Journal article</x:v>
      </x:c>
      <x:c r="E112" s="1143" t="n">
        <x:v>1</x:v>
      </x:c>
      <x:c r="F112" s="1143" t="str">
        <x:v>NR</x:v>
      </x:c>
      <x:c r="G112" s="1143" t="str">
        <x:v>NR</x:v>
      </x:c>
      <x:c r="H112" s="1143" t="str">
        <x:v>NR</x:v>
      </x:c>
      <x:c r="I112" s="1143" t="str">
        <x:v>NR</x:v>
      </x:c>
      <x:c r="J112" s="1143" t="str">
        <x:v>NR</x:v>
      </x:c>
      <x:c r="K112" s="1143" t="n">
        <x:v>1</x:v>
      </x:c>
      <x:c r="L112" s="1143" t="str">
        <x:v>NR</x:v>
      </x:c>
      <x:c r="M112" s="1143" t="str">
        <x:v>NR</x:v>
      </x:c>
      <x:c r="N112" s="1143" t="n">
        <x:f>COUNT(E112:M112)</x:f>
        <x:v>2</x:v>
      </x:c>
      <x:c r="O112" s="1143" t="n">
        <x:f>SUM(E112:M112)</x:f>
        <x:v>2</x:v>
      </x:c>
      <x:c r="P112" s="1143" t="n">
        <x:f>N112*2</x:f>
        <x:v>4</x:v>
      </x:c>
      <x:c r="Q112" s="1145" t="n">
        <x:f>IF(P112=0,"",O112/P112)</x:f>
        <x:v>0.5</x:v>
      </x:c>
      <x:c r="R112" s="1145" t="n">
        <x:f>N112/9</x:f>
        <x:v>0.2222222222222222</x:v>
      </x:c>
      <x:c r="S112" s="1143" t="str">
        <x:f>IF(N112&lt;2,"Insufficiently reported",IF(AND(R112&gt;=0.67,Q112&gt;=0.75),"Higher strength on available evidence",IF(AND(R112&gt;=0.44,Q112&gt;=0.5),"Moderate strength / some concerns","Low strength or major reporting gaps")))</x:f>
        <x:v>Low strength or major reporting gaps</x:v>
      </x:c>
      <x:c r="T112" s="1143" t="str">
        <x:f>IF(COUNT(F112:H112)&lt;2,"Unclear — insufficient reporting",IF(COUNTIF(F112:H112,0)&gt;0,"High concern on available evidence",IF(AND(F112=2,G112=2,H112=2),"Lower concern on available evidence","Some concerns on available evidence")))</x:f>
        <x:v>Unclear — insufficient reporting</x:v>
      </x:c>
      <x:c r="U112" s="1141" t="str">
        <x:v>Dataset/sample 1: The approach is demonstrated on retinal diseases, where a ConvNeXt V2 model and Contrastive Language–Image Pretraining (CLIP) feature extraction approach are integrated for clinical classification and interpretation. | Explanation faithfulness 1: A proxy or qualitative concept/explanation assessment is reported, but not a direct quantitative faithfulness test.</x:v>
      </x:c>
      <x:c r="V112" s="1141" t="str">
        <x:v>Moderate — complete scholarly-record abstract</x:v>
      </x:c>
      <x:c r="W112" s="1141" t="str">
        <x:v>https://www.sciencedirect.com/science/article/pii/S0950705126001991</x:v>
      </x:c>
    </x:row>
    <x:row r="113" ht="88.5" customHeight="1">
      <x:c r="A113" s="1143" t="str">
        <x:v>CIT-100</x:v>
      </x:c>
      <x:c r="B113" s="1141" t="str">
        <x:v>Enhancing ophthalmology medical record management with multi-modal knowledge graphs — Gao W; Rong F; Shao L; Deng Z; Xiao D; Zhang R; Chen C; Gong Z; Niu Z; Li F; Wei W; Ma L (2024)</x:v>
      </x:c>
      <x:c r="C113" s="1141" t="str">
        <x:v>Direct retinal/ophthalmic evidence</x:v>
      </x:c>
      <x:c r="D113" s="1141" t="str">
        <x:v>Journal article</x:v>
      </x:c>
      <x:c r="E113" s="1143" t="n">
        <x:v>1</x:v>
      </x:c>
      <x:c r="F113" s="1143" t="str">
        <x:v>NR</x:v>
      </x:c>
      <x:c r="G113" s="1143" t="str">
        <x:v>NR</x:v>
      </x:c>
      <x:c r="H113" s="1143" t="str">
        <x:v>NR</x:v>
      </x:c>
      <x:c r="I113" s="1143" t="str">
        <x:v>NR</x:v>
      </x:c>
      <x:c r="J113" s="1143" t="str">
        <x:v>NR</x:v>
      </x:c>
      <x:c r="K113" s="1143" t="str">
        <x:v>NR</x:v>
      </x:c>
      <x:c r="L113" s="1143" t="str">
        <x:v>NR</x:v>
      </x:c>
      <x:c r="M113" s="1143" t="str">
        <x:v>NR</x:v>
      </x:c>
      <x:c r="N113" s="1143" t="n">
        <x:f>COUNT(E113:M113)</x:f>
        <x:v>1</x:v>
      </x:c>
      <x:c r="O113" s="1143" t="n">
        <x:f>SUM(E113:M113)</x:f>
        <x:v>1</x:v>
      </x:c>
      <x:c r="P113" s="1143" t="n">
        <x:f>N113*2</x:f>
        <x:v>2</x:v>
      </x:c>
      <x:c r="Q113" s="1145" t="n">
        <x:f>IF(P113=0,"",O113/P113)</x:f>
        <x:v>0.5</x:v>
      </x:c>
      <x:c r="R113" s="1145" t="n">
        <x:f>N113/9</x:f>
        <x:v>0.1111111111111111</x:v>
      </x:c>
      <x:c r="S113" s="1143" t="str">
        <x:f>IF(N113&lt;2,"Insufficiently reported",IF(AND(R113&gt;=0.67,Q113&gt;=0.75),"Higher strength on available evidence",IF(AND(R113&gt;=0.44,Q113&gt;=0.5),"Moderate strength / some concerns","Low strength or major reporting gaps")))</x:f>
        <x:v>Insufficiently reported</x:v>
      </x:c>
      <x:c r="T113" s="1143" t="str">
        <x:f>IF(COUNT(F113:H113)&lt;2,"Unclear — insufficient reporting",IF(COUNTIF(F113:H113,0)&gt;0,"High concern on available evidence",IF(AND(F113=2,G113=2,H113=2),"Lower concern on available evidence","Some concerns on available evidence")))</x:f>
        <x:v>Unclear — insufficient reporting</x:v>
      </x:c>
      <x:c r="U113" s="1141" t="str">
        <x:v>Dataset/sample 1: By implementing contrastive methods and feature fusion of node types, text, and numerical information in medical records, the CGAT-ADM model achieved an average precision of 0.8563 for the top 20 similar case retrievals, indicating high performance in identifying analogous diagnoses.</x:v>
      </x:c>
      <x:c r="V113" s="1141" t="str">
        <x:v>Moderate — complete scholarly-record abstract</x:v>
      </x:c>
      <x:c r="W113" s="1141" t="str">
        <x:v>https://www.nature.com/articles/s41598-024-73316-9</x:v>
      </x:c>
    </x:row>
    <x:row r="114" ht="88.5" customHeight="1">
      <x:c r="A114" s="1144" t="str">
        <x:v>CIT-101</x:v>
      </x:c>
      <x:c r="B114" s="1142" t="str">
        <x:v>Semantic web ontology for structured knowledge representation and clinical decision support in eye diseases — Anjum F; Maqbool F; Razzaq MS; Shehzad HMF; Ali S; Shah D; Tahir M; Ilyas M (2025)</x:v>
      </x:c>
      <x:c r="C114" s="1142" t="str">
        <x:v>Contextual medical concept-XAI evidence</x:v>
      </x:c>
      <x:c r="D114" s="1142" t="str">
        <x:v>Journal article</x:v>
      </x:c>
      <x:c r="E114" s="1144" t="str">
        <x:v>NR</x:v>
      </x:c>
      <x:c r="F114" s="1144" t="str">
        <x:v>NR</x:v>
      </x:c>
      <x:c r="G114" s="1144" t="str">
        <x:v>NR</x:v>
      </x:c>
      <x:c r="H114" s="1144" t="str">
        <x:v>NR</x:v>
      </x:c>
      <x:c r="I114" s="1144" t="str">
        <x:v>NR</x:v>
      </x:c>
      <x:c r="J114" s="1144" t="str">
        <x:v>NR</x:v>
      </x:c>
      <x:c r="K114" s="1144" t="str">
        <x:v>NR</x:v>
      </x:c>
      <x:c r="L114" s="1144" t="str">
        <x:v>NR</x:v>
      </x:c>
      <x:c r="M114" s="1144" t="str">
        <x:v>NR</x:v>
      </x:c>
      <x:c r="N114" s="1144" t="n">
        <x:f>COUNT(E114:M114)</x:f>
        <x:v>0</x:v>
      </x:c>
      <x:c r="O114" s="1144" t="n">
        <x:f>SUM(E114:M114)</x:f>
        <x:v>0</x:v>
      </x:c>
      <x:c r="P114" s="1144" t="n">
        <x:f>N114*2</x:f>
        <x:v>0</x:v>
      </x:c>
      <x:c r="Q114" s="1146" t="str">
        <x:f>IF(P114=0,"",O114/P114)</x:f>
      </x:c>
      <x:c r="R114" s="1146" t="n">
        <x:f>N114/9</x:f>
        <x:v>0</x:v>
      </x:c>
      <x:c r="S114" s="1144" t="str">
        <x:f>IF(N114&lt;2,"Insufficiently reported",IF(AND(R114&gt;=0.67,Q114&gt;=0.75),"Higher strength on available evidence",IF(AND(R114&gt;=0.44,Q114&gt;=0.5),"Moderate strength / some concerns","Low strength or major reporting gaps")))</x:f>
        <x:v>Insufficiently reported</x:v>
      </x:c>
      <x:c r="T114" s="1144" t="str">
        <x:f>IF(COUNT(F114:H114)&lt;2,"Unclear — insufficient reporting",IF(COUNTIF(F114:H114,0)&gt;0,"High concern on available evidence",IF(AND(F114=2,G114=2,H114=2),"Lower concern on available evidence","Some concerns on available evidence")))</x:f>
        <x:v>Unclear — insufficient reporting</x:v>
      </x:c>
      <x:c r="U114" s="1142" t="str">
        <x:v>No quality domain was assessable from the available abstract/indexed evidence; full-text verification is required.</x:v>
      </x:c>
      <x:c r="V114" s="1142" t="str">
        <x:v>Moderate — complete scholarly-record abstract</x:v>
      </x:c>
      <x:c r="W114" s="1142" t="str">
        <x:v>https://www.nature.com/articles/s41598-025-15885-x</x:v>
      </x:c>
    </x:row>
  </x:sheetData>
  <x:mergeCells>
    <x:mergeCell ref="A1:W1"/>
    <x:mergeCell ref="A2:W2"/>
  </x:mergeCells>
  <x:conditionalFormatting sqref="E6:M114">
    <x:cfRule type="cellIs" dxfId="51" priority="1" operator="equal">
      <x:formula>2</x:formula>
    </x:cfRule>
    <x:cfRule type="cellIs" dxfId="52" priority="2" operator="equal">
      <x:formula>1</x:formula>
    </x:cfRule>
    <x:cfRule type="cellIs" dxfId="53" priority="3" operator="equal">
      <x:formula>0</x:formula>
    </x:cfRule>
    <x:cfRule type="containsText" dxfId="54" priority="4" operator="containsText" text="NR"/>
  </x:conditionalFormatting>
  <x:conditionalFormatting sqref="S6:T114">
    <x:cfRule type="containsText" dxfId="55" priority="5" operator="containsText" text="High"/>
    <x:cfRule type="containsText" dxfId="56" priority="6" operator="containsText" text="Moderate"/>
  </x:conditionalFormatting>
  <x:pageMargins left="0.7" right="0.7" top="0.75" bottom="0.75" header="0.3" footer="0.3"/>
  <x:tableParts count="1">
    <x:tablePart xmlns:r="http://schemas.openxmlformats.org/officeDocument/2006/relationships" r:id="Rbe9fafe6bdff4a66"/>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4" hidden="0" customWidth="1"/>
    <x:col min="2" max="2" width="50" hidden="0" customWidth="1"/>
    <x:col min="3" max="3" width="28" hidden="0" customWidth="1"/>
    <x:col min="4" max="4" width="22" hidden="0" customWidth="1"/>
    <x:col min="5" max="5" width="40" hidden="0" customWidth="1"/>
    <x:col min="6" max="6" width="34" hidden="0" customWidth="1"/>
    <x:col min="7" max="7" width="42" hidden="0" customWidth="1"/>
    <x:col min="8" max="8" width="38" hidden="0" customWidth="1"/>
    <x:col min="9" max="9" width="38" hidden="0" customWidth="1"/>
    <x:col min="10" max="10" width="50" hidden="0" customWidth="1"/>
    <x:col min="11" max="11" width="52" hidden="0" customWidth="1"/>
    <x:col min="12" max="12" width="55" hidden="0" customWidth="1"/>
    <x:col min="13" max="13" width="38" hidden="0" customWidth="1"/>
    <x:col min="14" max="14" width="38" hidden="0" customWidth="1"/>
    <x:col min="15" max="15" width="34" hidden="0" customWidth="1"/>
    <x:col min="16" max="16" width="34" hidden="0" customWidth="1"/>
    <x:col min="17" max="17" width="46" hidden="0" customWidth="1"/>
    <x:col min="18" max="18" width="48" hidden="0" customWidth="1"/>
  </x:cols>
  <x:sheetData>
    <x:row r="1" ht="22.5" customHeight="1">
      <x:c r="A1" s="1127" t="str">
        <x:v>Evidence-Oriented Comparison Table — 109 Included Reports</x:v>
      </x:c>
      <x:c r="B1" s="1127"/>
      <x:c r="C1" s="1127"/>
      <x:c r="D1" s="1127"/>
      <x:c r="E1" s="1127"/>
      <x:c r="F1" s="1127"/>
      <x:c r="G1" s="1127"/>
      <x:c r="H1" s="1127"/>
      <x:c r="I1" s="1127"/>
      <x:c r="J1" s="1127"/>
      <x:c r="K1" s="1127"/>
      <x:c r="L1" s="1127"/>
      <x:c r="M1" s="1127"/>
      <x:c r="N1" s="1127"/>
      <x:c r="O1" s="1127"/>
      <x:c r="P1" s="1127"/>
      <x:c r="Q1" s="1127"/>
      <x:c r="R1" s="1127"/>
    </x:row>
    <x:row r="2" ht="37.5" customHeight="1">
      <x:c r="A2" s="1094" t="str">
        <x:v>Direct retinal/ophthalmic and contextual evidence are separated explicitly. NR/not reported fields are preserved rather than inferred. Quality evidence is abstract/indexed-record based and should be checked against full texts before submission.</x:v>
      </x:c>
      <x:c r="B2" s="1094"/>
      <x:c r="C2" s="1094"/>
      <x:c r="D2" s="1094"/>
      <x:c r="E2" s="1094"/>
      <x:c r="F2" s="1094"/>
      <x:c r="G2" s="1094"/>
      <x:c r="H2" s="1094"/>
      <x:c r="I2" s="1094"/>
      <x:c r="J2" s="1094"/>
      <x:c r="K2" s="1094"/>
      <x:c r="L2" s="1094"/>
      <x:c r="M2" s="1094"/>
      <x:c r="N2" s="1094"/>
      <x:c r="O2" s="1094"/>
      <x:c r="P2" s="1094"/>
      <x:c r="Q2" s="1094"/>
      <x:c r="R2" s="1094"/>
    </x:row>
    <x:row r="3" ht="31.5" customHeight="1">
      <x:c r="A3" s="1135" t="str">
        <x:v>Reports</x:v>
      </x:c>
      <x:c r="B3" s="1150" t="n">
        <x:f>COUNTA(A6:A114)</x:f>
        <x:v>109</x:v>
      </x:c>
      <x:c r="C3" s="1135" t="str">
        <x:v>Direct retinal</x:v>
      </x:c>
      <x:c r="D3" s="1150" t="n">
        <x:f>COUNTIF(C6:C114,"Direct retinal/ophthalmic evidence")</x:f>
        <x:v>47</x:v>
      </x:c>
      <x:c r="E3" s="1135" t="str">
        <x:v>Contextual</x:v>
      </x:c>
      <x:c r="F3" s="1150" t="n">
        <x:f>COUNTIF(C6:C114,"Contextual medical concept-XAI evidence")</x:f>
        <x:v>62</x:v>
      </x:c>
      <x:c r="G3" s="1135" t="str">
        <x:v>Dataset reported</x:v>
      </x:c>
      <x:c r="H3" s="1150" t="n">
        <x:f>COUNT('Quality Appraisal 109'!E6:E114)</x:f>
        <x:v>53</x:v>
      </x:c>
      <x:c r="I3" s="1135" t="str">
        <x:v>External validation reported</x:v>
      </x:c>
      <x:c r="J3" s="1150" t="n">
        <x:f>COUNT('Quality Appraisal 109'!F6:F114)</x:f>
        <x:v>12</x:v>
      </x:c>
      <x:c r="K3" s="1135" t="str">
        <x:v>Clinical-expert involvement</x:v>
      </x:c>
      <x:c r="L3" s="1150" t="n">
        <x:f>COUNT('Quality Appraisal 109'!I6:I114)</x:f>
        <x:v>28</x:v>
      </x:c>
      <x:c r="M3" s="1135" t="str">
        <x:v>Code reported</x:v>
      </x:c>
      <x:c r="N3" s="1150" t="n">
        <x:f>COUNT('Quality Appraisal 109'!J6:J114)</x:f>
        <x:v>14</x:v>
      </x:c>
      <x:c r="O3" s="1135" t="str">
        <x:v>Dedicated explanation evaluation</x:v>
      </x:c>
      <x:c r="P3" s="1150" t="n">
        <x:f>'Data Extraction 109'!J3</x:f>
        <x:v>13</x:v>
      </x:c>
      <x:c r="Q3" s="1135" t="str">
        <x:v>Limitations reported</x:v>
      </x:c>
      <x:c r="R3" s="1150" t="n">
        <x:f>'Data Extraction 109'!L3</x:f>
        <x:v>3</x:v>
      </x:c>
    </x:row>
    <x:row r="5" ht="43.5" customHeight="1">
      <x:c r="A5" s="1135" t="str">
        <x:v>Record ID</x:v>
      </x:c>
      <x:c r="B5" s="1135" t="str">
        <x:v>Study citation</x:v>
      </x:c>
      <x:c r="C5" s="1135" t="str">
        <x:v>Evidence role</x:v>
      </x:c>
      <x:c r="D5" s="1135" t="str">
        <x:v>Report type</x:v>
      </x:c>
      <x:c r="E5" s="1135" t="str">
        <x:v>Modality and disease/task</x:v>
      </x:c>
      <x:c r="F5" s="1135" t="str">
        <x:v>Method family</x:v>
      </x:c>
      <x:c r="G5" s="1135" t="str">
        <x:v>Method / architecture</x:v>
      </x:c>
      <x:c r="H5" s="1135" t="str">
        <x:v>Concept source</x:v>
      </x:c>
      <x:c r="I5" s="1135" t="str">
        <x:v>Explanation output</x:v>
      </x:c>
      <x:c r="J5" s="1135" t="str">
        <x:v>Dataset(s) / sample</x:v>
      </x:c>
      <x:c r="K5" s="1135" t="str">
        <x:v>Explanation evaluation / concept metric</x:v>
      </x:c>
      <x:c r="L5" s="1135" t="str">
        <x:v>Key result / predictive performance</x:v>
      </x:c>
      <x:c r="M5" s="1135" t="str">
        <x:v>External validation</x:v>
      </x:c>
      <x:c r="N5" s="1135" t="str">
        <x:v>Ophthalmologist assessment</x:v>
      </x:c>
      <x:c r="O5" s="1135" t="str">
        <x:v>Code availability</x:v>
      </x:c>
      <x:c r="P5" s="1135" t="str">
        <x:v>Quality interpretation</x:v>
      </x:c>
      <x:c r="Q5" s="1135" t="str">
        <x:v>Limitations</x:v>
      </x:c>
      <x:c r="R5" s="1135" t="str">
        <x:v>Source URL</x:v>
      </x:c>
    </x:row>
    <x:row r="6" ht="103.5" customHeight="1">
      <x:c r="A6" s="1143" t="str">
        <x:v>PM-001</x:v>
      </x:c>
      <x:c r="B6" s="1141" t="str">
        <x:v>Vision language models in ophthalmology — Lim G, Elangovan K, Jin L. (2024)</x:v>
      </x:c>
      <x:c r="C6" s="1141" t="str">
        <x:v>Direct retinal/ophthalmic evidence</x:v>
      </x:c>
      <x:c r="D6" s="1141" t="str">
        <x:v>Review/background report</x:v>
      </x:c>
      <x:c r="E6" s="1141" t="str">
        <x:v>Fundus photography; OCT — Ophthalmic disease</x:v>
      </x:c>
      <x:c r="F6" s="1141" t="str">
        <x:v>Vision-language / generative concept model</x:v>
      </x:c>
      <x:c r="G6" s="1141" t="str">
        <x:v>Concept-guided vision-language model (Transformer)</x:v>
      </x:c>
      <x:c r="H6" s="1141" t="str">
        <x:v>Text prompts, reports, or language-grounded concepts</x:v>
      </x:c>
      <x:c r="I6" s="1141" t="str">
        <x:v>Textual rationale and/or concept-grounded localisation</x:v>
      </x:c>
      <x:c r="J6" s="1141" t="str">
        <x:v>Dataset and sample size not reported in abstract.</x:v>
      </x:c>
      <x:c r="K6" s="1141" t="str">
        <x:v>Explanation evaluation not reported in abstract.</x:v>
      </x:c>
      <x:c r="L6" s="1141" t="str">
        <x:v>No quantitative result is reported in the abstract.</x:v>
      </x:c>
      <x:c r="M6" s="1143" t="str">
        <x:v>NR: External validation is not reported in the available abstract evidence.</x:v>
      </x:c>
      <x:c r="N6" s="1143" t="str">
        <x:v>NR: Ophthalmologist involvement is not reported in the available abstract evidence.</x:v>
      </x:c>
      <x:c r="O6" s="1143" t="str">
        <x:v>NR: Code availability is not reported in the available abstract evidence.</x:v>
      </x:c>
      <x:c r="P6" s="1143" t="str">
        <x:v>Insufficiently reported</x:v>
      </x:c>
      <x:c r="Q6" s="1141" t="str">
        <x:v>No study-specific limitation is reported in the abstract.</x:v>
      </x:c>
      <x:c r="R6" s="1141" t="str">
        <x:v>https://journals.lww.com/co-ophthalmology/fulltext/2024/11000/vision_language_models_in_ophthalmology.9.aspx</x:v>
      </x:c>
    </x:row>
    <x:row r="7" ht="103.5" customHeight="1">
      <x:c r="A7" s="1143" t="str">
        <x:v>PM-003</x:v>
      </x:c>
      <x:c r="B7" s="1141" t="str">
        <x:v>A multimodal vision–language model for generalizable annotation-free pathology localization — Yang H, Zhou HY, Liu J, Huang W, Li C, Li Z, Gao Y, Liu Q, Liang Y, Yang Q, Wu S, Tan T, Zheng H, Zhang K, Wang S. (2026)</x:v>
      </x:c>
      <x:c r="C7" s="1141" t="str">
        <x:v>Direct retinal/ophthalmic evidence</x:v>
      </x:c>
      <x:c r="D7" s="1141" t="str">
        <x:v>Journal article</x:v>
      </x:c>
      <x:c r="E7" s="1141" t="str">
        <x:v>Fundus photography; Histopathology; X-ray — Disease/task not reported in abstract</x:v>
      </x:c>
      <x:c r="F7" s="1141" t="str">
        <x:v>Vision-language / generative concept model</x:v>
      </x:c>
      <x:c r="G7" s="1141" t="str">
        <x:v>Concept-guided vision-language model</x:v>
      </x:c>
      <x:c r="H7" s="1141" t="str">
        <x:v>Text prompts, reports, or language-grounded concepts</x:v>
      </x:c>
      <x:c r="I7" s="1141" t="str">
        <x:v>Textual rationale and/or concept-grounded localisation</x:v>
      </x:c>
      <x:c r="J7" s="1141" t="str">
        <x:v>We conducted primary experiments on a dataset of 220,000 pairs of image–report chest X-ray images and performed validation across 8 external datasets encompassing 34 types of chest pathology.</x:v>
      </x:c>
      <x:c r="K7" s="1141" t="str">
        <x:v>No dedicated explanation-quality metric is reported in the abstract; interpretability is supported by the model design and/or qualitative concept, prototype, case, or rule outputs.</x:v>
      </x:c>
      <x:c r="L7" s="1141" t="str">
        <x:v>The results demonstrate that AFLoc outperforms state-of-the-art methods in both annotation-free localization and classification tasks. We show that AFLoc exhibits robust generalization capabilities, even surpassing human benchmarks in localizing five different types of pathological image.</x:v>
      </x:c>
      <x:c r="M7" s="1143" t="str">
        <x:v>2: Independent/external or cross-site validation is explicitly reported.</x:v>
      </x:c>
      <x:c r="N7" s="1143" t="str">
        <x:v>NR: Ophthalmologist involvement is not reported in the available abstract evidence.</x:v>
      </x:c>
      <x:c r="O7" s="1143" t="str">
        <x:v>NR: Code availability is not reported in the available abstract evidence.</x:v>
      </x:c>
      <x:c r="P7" s="1143" t="str">
        <x:v>Moderate strength / some concerns</x:v>
      </x:c>
      <x:c r="Q7" s="1141" t="str">
        <x:v>No study-specific limitation is reported in the abstract.</x:v>
      </x:c>
      <x:c r="R7" s="1141" t="str">
        <x:v>https://www.nature.com/articles/s41551-025-01574-7</x:v>
      </x:c>
    </x:row>
    <x:row r="8" ht="103.5" customHeight="1">
      <x:c r="A8" s="1143" t="str">
        <x:v>PM-004</x:v>
      </x:c>
      <x:c r="B8" s="1141" t="str">
        <x:v>An Interpretable and Accurate Deep-Learning Diagnosis Framework Modeled With Fully and Semi-Supervised Reciprocal Learning — Wang C, Chen Y, Liu F, Elliott M, Kwok CF, Pena-Solorzano C, Frazer H, McCarthy DJ, Carneiro G. (2024)</x:v>
      </x:c>
      <x:c r="C8" s="1141" t="str">
        <x:v>Direct retinal/ophthalmic evidence</x:v>
      </x:c>
      <x:c r="D8" s="1141" t="str">
        <x:v>Journal article</x:v>
      </x:c>
      <x:c r="E8" s="1141" t="str">
        <x:v>Modality not reported in abstract — Retinal disease / lesions; Breast disease / cancer; Brain tumour</x:v>
      </x:c>
      <x:c r="F8" s="1141" t="str">
        <x:v>Prototype- or case-based</x:v>
      </x:c>
      <x:c r="G8" s="1141" t="str">
        <x:v>Prototype-based / prototypical learning (Segmentation model, Knowledge distillation)</x:v>
      </x:c>
      <x:c r="H8" s="1141" t="str">
        <x:v>Learned prototypes / representative cases</x:v>
      </x:c>
      <x:c r="I8" s="1141" t="str">
        <x:v>Prototype/case examples or similarity evidence</x:v>
      </x:c>
      <x:c r="J8" s="1141" t="str">
        <x:v>Dataset and sample size not reported in abstract.</x:v>
      </x:c>
      <x:c r="K8" s="1141" t="str">
        <x:v>No dedicated explanation-quality metric is reported in the abstract; interpretability is supported by the model design and/or qualitative concept, prototype, case, or rule outputs.</x:v>
      </x:c>
      <x:c r="L8" s="1141" t="str">
        <x:v>This reciprocal learning paradigm enables InterNRL to be flexibly optimised under both fully- and semi-supervised learning scenarios, reaching state-of-the-art classification performance in both scenarios for the tasks of breast cancer and retinal disease diagnosis. Moreover, relying on weakly-labelled training images, InterNRL also achieves superior breast cancer localisation and brain tumour segmentation results than other competing methods.</x:v>
      </x:c>
      <x:c r="M8" s="1143" t="str">
        <x:v>NR: External validation is not reported in the available abstract evidence.</x:v>
      </x:c>
      <x:c r="N8" s="1143" t="str">
        <x:v>NR: Ophthalmologist involvement is not reported in the available abstract evidence.</x:v>
      </x:c>
      <x:c r="O8" s="1143" t="str">
        <x:v>NR: Code availability is not reported in the available abstract evidence.</x:v>
      </x:c>
      <x:c r="P8" s="1143" t="str">
        <x:v>Low strength or major reporting gaps</x:v>
      </x:c>
      <x:c r="Q8" s="1141" t="str">
        <x:v>No study-specific limitation is reported in the abstract.</x:v>
      </x:c>
      <x:c r="R8" s="1141" t="str">
        <x:v>https://ieeexplore.ieee.org/document/10225391/</x:v>
      </x:c>
    </x:row>
    <x:row r="9" ht="103.5" customHeight="1">
      <x:c r="A9" s="1143" t="str">
        <x:v>PM-005</x:v>
      </x:c>
      <x:c r="B9" s="1141" t="str">
        <x:v>Concept-based AI interpretability in physiological time-series data: Example of abnormality detection in electroencephalography — Brenner A, Knispel F, Fischer FP, Rossmanith P, Weber Y, Koch H, Röhrig R, Varghese J, Kutafina E. (2024)</x:v>
      </x:c>
      <x:c r="C9" s="1141" t="str">
        <x:v>Contextual medical concept-XAI evidence</x:v>
      </x:c>
      <x:c r="D9" s="1141" t="str">
        <x:v>Journal article</x:v>
      </x:c>
      <x:c r="E9" s="1141" t="str">
        <x:v>EEG time-series; Clinical time-series — EEG abnormality</x:v>
      </x:c>
      <x:c r="F9" s="1141" t="str">
        <x:v>Concept activation / post-hoc vector</x:v>
      </x:c>
      <x:c r="G9" s="1141" t="str">
        <x:v>Concept activation vectors / TCAV; Other concept-based model</x:v>
      </x:c>
      <x:c r="H9" s="1141" t="str">
        <x:v>Human-defined concept examples / activation vectors</x:v>
      </x:c>
      <x:c r="I9" s="1141" t="str">
        <x:v>Concept sensitivity / TCAV scores</x:v>
      </x:c>
      <x:c r="J9" s="1141" t="str">
        <x:v>Dataset and sample size not reported in abstract.</x:v>
      </x:c>
      <x:c r="K9" s="1141" t="str">
        <x:v>TCAV has the potential to improve interpretability of deep learning applied to multi-channel signals as well as to detect possible biases in the data.</x:v>
      </x:c>
      <x:c r="L9" s="1141" t="str">
        <x:v>The model provides state-of-the-art performance on raw EEG data and is publically available. TCAV has the potential to improve interpretability of deep learning applied to multi-channel signals as well as to detect possible biases in the data.</x:v>
      </x:c>
      <x:c r="M9" s="1143" t="str">
        <x:v>NR: External validation is not reported in the available abstract evidence.</x:v>
      </x:c>
      <x:c r="N9" s="1143" t="str">
        <x:v>NR: Ophthalmologist involvement is not reported in the available abstract evidence.</x:v>
      </x:c>
      <x:c r="O9" s="1143" t="str">
        <x:v>NR: Code availability is not reported in the available abstract evidence.</x:v>
      </x:c>
      <x:c r="P9" s="1143" t="str">
        <x:v>Low strength or major reporting gaps</x:v>
      </x:c>
      <x:c r="Q9" s="1141" t="str">
        <x:v>No study-specific limitation is reported in the abstract.</x:v>
      </x:c>
      <x:c r="R9" s="1141" t="str">
        <x:v>https://www.sciencedirect.com/science/article/pii/S0169260724004413</x:v>
      </x:c>
    </x:row>
    <x:row r="10" ht="103.5" customHeight="1">
      <x:c r="A10" s="1143" t="str">
        <x:v>PM-007</x:v>
      </x:c>
      <x:c r="B10" s="1141" t="str">
        <x:v>Robust and Interpretable Convolutional Neural Networks to Detect Glaucoma in Optical Coherence Tomography Images — Thakoor KA, Koorathota SC, Hood DC, Sajda P. (2021)</x:v>
      </x:c>
      <x:c r="C10" s="1141" t="str">
        <x:v>Direct retinal/ophthalmic evidence</x:v>
      </x:c>
      <x:c r="D10" s="1141" t="str">
        <x:v>Journal article</x:v>
      </x:c>
      <x:c r="E10" s="1141" t="str">
        <x:v>OCT — Glaucoma</x:v>
      </x:c>
      <x:c r="F10" s="1141" t="str">
        <x:v>Concept activation / post-hoc vector</x:v>
      </x:c>
      <x:c r="G10" s="1141" t="str">
        <x:v>Concept activation vectors / TCAV (CNN)</x:v>
      </x:c>
      <x:c r="H10" s="1141" t="str">
        <x:v>Human-defined concept examples / activation vectors</x:v>
      </x:c>
      <x:c r="I10" s="1141" t="str">
        <x:v>Concept sensitivity / TCAV scores</x:v>
      </x:c>
      <x:c r="J10" s="1141" t="str">
        <x:v>Dataset and sample size not reported in abstract.</x:v>
      </x:c>
      <x:c r="K10" s="1141" t="str">
        <x:v>Furthermore, we compare TCAV results to eye fixations of clinicians, to identify common decision-making features used by both AI and human experts. We find that employing fine-tuned transfer learning and CNN ensemble learning create end-to-end deep learning models with superior robustness compared to previously reported hybrid deep-learning/machine-learning models, and TCAV/eye-fixation comparison suggests the importance of three OCT report sub-images that are consistent with areas of interest fixated upon by OCT experts to detect glaucoma.</x:v>
      </x:c>
      <x:c r="L10" s="1141" t="str">
        <x:v>In this work, we develop CNN architectures that demonstrate robust detection of glaucoma in optical coherence tomography (OCT) images and test with concept activation vectors (TCAVs) to infer what image concepts CNNs use to generate predictions. We find that employing fine-tuned transfer learning and CNN ensemble learning create end-to-end deep learning models with superior robustness compared to previously reported hybrid deep-learning/machine-learning models, and TCAV/eye-fixation comparison suggests the importance of three OCT report sub-images that are consistent with areas of interest fixated upon by OCT experts to detect glaucoma.</x:v>
      </x:c>
      <x:c r="M10" s="1143" t="str">
        <x:v>NR: External validation is not reported in the available abstract evidence.</x:v>
      </x:c>
      <x:c r="N10" s="1143" t="str">
        <x:v>2: Direct ophthalmologist/clinical-expert annotation, assessment, or eye-tracking involvement is reported.</x:v>
      </x:c>
      <x:c r="O10" s="1143" t="str">
        <x:v>NR: Code availability is not reported in the available abstract evidence.</x:v>
      </x:c>
      <x:c r="P10" s="1143" t="str">
        <x:v>Moderate strength / some concerns</x:v>
      </x:c>
      <x:c r="Q10" s="1141" t="str">
        <x:v>No study-specific limitation is reported in the abstract.</x:v>
      </x:c>
      <x:c r="R10" s="1141" t="str">
        <x:v>https://doi.org/10.1109/TBME.2020.3043215</x:v>
      </x:c>
    </x:row>
    <x:row r="11" ht="103.5" customHeight="1">
      <x:c r="A11" s="1143" t="str">
        <x:v>PM-008</x:v>
      </x:c>
      <x:c r="B11" s="1141" t="str">
        <x:v>Neurosymbolic AI Framework for Explainable Retinal Disease Classification From OCT Images — Miladinovic A, Biscontin A, Ajcevic M, Kresevic S, Accardo A, Tognetto D, Inferrera L. (2026)</x:v>
      </x:c>
      <x:c r="C11" s="1141" t="str">
        <x:v>Direct retinal/ophthalmic evidence</x:v>
      </x:c>
      <x:c r="D11" s="1141" t="str">
        <x:v>Journal article</x:v>
      </x:c>
      <x:c r="E11" s="1141" t="str">
        <x:v>OCT — Retinal disease / lesions</x:v>
      </x:c>
      <x:c r="F11" s="1141" t="str">
        <x:v>Neuro-symbolic / logic / knowledge graph</x:v>
      </x:c>
      <x:c r="G11" s="1141" t="str">
        <x:v>Neuro-symbolic AI (CNN)</x:v>
      </x:c>
      <x:c r="H11" s="1141" t="str">
        <x:v>Ontology, knowledge graph, or symbolic rules</x:v>
      </x:c>
      <x:c r="I11" s="1141" t="str">
        <x:v>Rules, symbolic relations, or graph explanation</x:v>
      </x:c>
      <x:c r="J11" s="1141" t="str">
        <x:v>A total of 10,846 optical coherence tomography images were retrospectively collected and categorized into seven diagnostic classes: dry AMD, wet AMD, epiretinal membrane, full-thickness MH, lamellar MH, central serous chorioretinopathy, and healthy retinas.</x:v>
      </x:c>
      <x:c r="K11" s="1141" t="str">
        <x:v>No dedicated explanation-quality metric is reported in the abstract; interpretability is supported by the model design and/or qualitative concept, prototype, case, or rule outputs.</x:v>
      </x:c>
      <x:c r="L11" s="1141" t="str">
        <x:v>On the external dataset, it retained superior performance, macro-precision 0.85, recall 0.79, F1 0.78, versus the CNN (0.73/0.64/0.59). Conclusions: Our hybrid neurosymbolic framework introduces a unified paradigm that couples symbolic reasoning with a conventional CNN, improving diagnostic performance while delivering transparent, clinically interpretable decisions.</x:v>
      </x:c>
      <x:c r="M11" s="1143" t="str">
        <x:v>2: Independent/external or cross-site validation is explicitly reported.</x:v>
      </x:c>
      <x:c r="N11" s="1143" t="str">
        <x:v>NR: Ophthalmologist involvement is not reported in the available abstract evidence.</x:v>
      </x:c>
      <x:c r="O11" s="1143" t="str">
        <x:v>NR: Code availability is not reported in the available abstract evidence.</x:v>
      </x:c>
      <x:c r="P11" s="1143" t="str">
        <x:v>Low strength or major reporting gaps</x:v>
      </x:c>
      <x:c r="Q11" s="1141" t="str">
        <x:v>No study-specific limitation is reported in the abstract.</x:v>
      </x:c>
      <x:c r="R11" s="1141" t="str">
        <x:v>https://tvst.arvojournals.org/article.aspx?articleid=2811318</x:v>
      </x:c>
    </x:row>
    <x:row r="12" ht="103.5" customHeight="1">
      <x:c r="A12" s="1143" t="str">
        <x:v>PM-009</x:v>
      </x:c>
      <x:c r="B12" s="1141" t="str">
        <x:v>Grounded report generation for enhancing ophthalmic ultrasound interpretation using Vision-Language Segmentation models — Jin K, Sun Q, Kang D, Luo Z, Yu T, Han W, Zhang Y, Wang M, Shi D, Grzybowski A. (2026)</x:v>
      </x:c>
      <x:c r="C12" s="1141" t="str">
        <x:v>Direct retinal/ophthalmic evidence</x:v>
      </x:c>
      <x:c r="D12" s="1141" t="str">
        <x:v>Journal article</x:v>
      </x:c>
      <x:c r="E12" s="1141" t="str">
        <x:v>Ultrasound — Disease/task not reported in abstract</x:v>
      </x:c>
      <x:c r="F12" s="1141" t="str">
        <x:v>Vision-language / generative concept model</x:v>
      </x:c>
      <x:c r="G12" s="1141" t="str">
        <x:v>Concept-guided vision-language model (Segmentation model)</x:v>
      </x:c>
      <x:c r="H12" s="1141" t="str">
        <x:v>Text prompts, reports, or language-grounded concepts</x:v>
      </x:c>
      <x:c r="I12" s="1141" t="str">
        <x:v>Textual rationale and/or concept-grounded localisation</x:v>
      </x:c>
      <x:c r="J12" s="1141" t="str">
        <x:v>Using data from three hospitals, totaling 64,098 images and 21,355 reports, the VLS model achieved a BLEU4 score of 66.37 in internal test set, and 85.36 and 73.77 in external test sets.</x:v>
      </x:c>
      <x:c r="K12" s="1141" t="str">
        <x:v>No dedicated explanation-quality metric is reported in the abstract; interpretability is supported by the model design and/or qualitative concept, prototype, case, or rule outputs.</x:v>
      </x:c>
      <x:c r="L12" s="1141" t="str">
        <x:v>Overall diagnostic accuracy was 90.59% in internal and 71.87% in external test sets. This approach enhances diagnostic accuracy, reduces manual effort, and accelerates workflows, offering a promising solution for ophthalmic ultrasound interpretation.</x:v>
      </x:c>
      <x:c r="M12" s="1143" t="str">
        <x:v>1: Internal held-out, cross-validation, or multi-dataset evaluation is reported, but institutional independence is unclear.</x:v>
      </x:c>
      <x:c r="N12" s="1143" t="str">
        <x:v>1: Clinical-expert involvement or comparison is mentioned, but its role is limited or incompletely described.</x:v>
      </x:c>
      <x:c r="O12" s="1143" t="str">
        <x:v>NR: Code availability is not reported in the available abstract evidence.</x:v>
      </x:c>
      <x:c r="P12" s="1143" t="str">
        <x:v>Moderate strength / some concerns</x:v>
      </x:c>
      <x:c r="Q12" s="1141" t="str">
        <x:v>No study-specific limitation is reported in the abstract.</x:v>
      </x:c>
      <x:c r="R12" s="1141" t="str">
        <x:v>https://www.nature.com/articles/s41746-025-02300-y</x:v>
      </x:c>
    </x:row>
    <x:row r="13" ht="103.5" customHeight="1">
      <x:c r="A13" s="1143" t="str">
        <x:v>PM-012</x:v>
      </x:c>
      <x:c r="B13" s="1141" t="str">
        <x:v>Cross- and Intra-Image Prototypical Learning for Multi-Label Disease Diagnosis and Interpretation — Wang C, Liu F, Chen Y, Frazer H, Carneiro G. (2025)</x:v>
      </x:c>
      <x:c r="C13" s="1141" t="str">
        <x:v>Contextual medical concept-XAI evidence</x:v>
      </x:c>
      <x:c r="D13" s="1141" t="str">
        <x:v>Other/unclear report type</x:v>
      </x:c>
      <x:c r="E13" s="1141" t="str">
        <x:v>Fundus photography; X-ray — Disease/task not reported in abstract</x:v>
      </x:c>
      <x:c r="F13" s="1141" t="str">
        <x:v>Prototype- or case-based</x:v>
      </x:c>
      <x:c r="G13" s="1141" t="str">
        <x:v>Prototype-based / prototypical learning</x:v>
      </x:c>
      <x:c r="H13" s="1141" t="str">
        <x:v>Learned prototypes / representative cases</x:v>
      </x:c>
      <x:c r="I13" s="1141" t="str">
        <x:v>Prototype/case examples or similarity evidence</x:v>
      </x:c>
      <x:c r="J13" s="1141" t="str">
        <x:v>Extensive experiments show that our CIPL attains the state-of-the-art (SOTA) classification accuracy in two public multi-label benchmarks of disease diagnosis: thoracic radiography and fundus images.</x:v>
      </x:c>
      <x:c r="K13" s="1141" t="str">
        <x:v>No dedicated explanation-quality metric is reported in the abstract; interpretability is supported by the model design and/or qualitative concept, prototype, case, or rule outputs.</x:v>
      </x:c>
      <x:c r="L13" s="1141" t="str">
        <x:v>Extensive experiments show that our CIPL attains the state-of-the-art (SOTA) classification accuracy in two public multi-label benchmarks of disease diagnosis: thoracic radiography and fundus images. Quantitative interpretability results show that CIPL also has superiority in weakly-supervised thoracic disease localisation over other leading saliency- and prototype-based explanation methods.</x:v>
      </x:c>
      <x:c r="M13" s="1143" t="str">
        <x:v>NR: External validation is not reported in the available abstract evidence.</x:v>
      </x:c>
      <x:c r="N13" s="1143" t="str">
        <x:v>NR: Ophthalmologist involvement is not reported in the available abstract evidence.</x:v>
      </x:c>
      <x:c r="O13" s="1143" t="str">
        <x:v>NR: Code availability is not reported in the available abstract evidence.</x:v>
      </x:c>
      <x:c r="P13" s="1143" t="str">
        <x:v>Low strength or major reporting gaps</x:v>
      </x:c>
      <x:c r="Q13" s="1141" t="str">
        <x:v>No study-specific limitation is reported in the abstract.</x:v>
      </x:c>
      <x:c r="R13" s="1141" t="str">
        <x:v>https://ieeexplore.ieee.org/iel8/42/4359023/10887396.pdf</x:v>
      </x:c>
    </x:row>
    <x:row r="14" ht="103.5" customHeight="1">
      <x:c r="A14" s="1143" t="str">
        <x:v>PM-016</x:v>
      </x:c>
      <x:c r="B14" s="1141" t="str">
        <x:v>An Explainable AI Framework for Corneal Imaging Interpretation and Refractive Surgery Decision Support — Wang MH. (2025)</x:v>
      </x:c>
      <x:c r="C14" s="1141" t="str">
        <x:v>Contextual medical concept-XAI evidence</x:v>
      </x:c>
      <x:c r="D14" s="1141" t="str">
        <x:v>Other/unclear report type</x:v>
      </x:c>
      <x:c r="E14" s="1141" t="str">
        <x:v>Modality not reported in abstract — Disease/task not reported in abstract</x:v>
      </x:c>
      <x:c r="F14" s="1141" t="str">
        <x:v>Vision-language / generative concept model</x:v>
      </x:c>
      <x:c r="G14" s="1141" t="str">
        <x:v>Neuro-symbolic AI; Concept-guided vision-language model; Ontology / knowledge-guided explanation (Vision Transformer, CNN)</x:v>
      </x:c>
      <x:c r="H14" s="1141" t="str">
        <x:v>Text prompts, reports, or language-grounded concepts</x:v>
      </x:c>
      <x:c r="I14" s="1141" t="str">
        <x:v>Textual rationale and/or concept-grounded localisation</x:v>
      </x:c>
      <x:c r="J14" s="1141" t="str">
        <x:v>In a prospective cohort of 20 eyes, comprehensive IOLMaster 700 reports were analyzed through a four-stage pipeline: (1) automated extraction of key parameters—including corneal curvature, pachymetry, and axial biometry; (2) mapping of these quantitative features onto a curated corneal disease and refractive-surgery knowledge graph; (3) Bayesian probabilistic inference to evaluate early keratoconus and surgical eligibility; and (4) explainable multi-model LLM reporting, employing DeepSeek and GPT-4.0, to generate bilingual physician- and patient-facing narratives.</x:v>
      </x:c>
      <x:c r="K14" s="1141" t="str">
        <x:v>The generated bilingual reports were rated ≥4.8/5 for logical clarity, clinical usefulness, and comprehensibility, with representative cases fully concordant with expert judgment.</x:v>
      </x:c>
      <x:c r="L14" s="1141" t="str">
        <x:v>Comparative benchmarking against baseline CNN and ViT models demonstrated superior diagnostic accuracy (AUC = 0.95 ± 0.03 vs. The approach holds significant promise for improving early ectatic disease detection and supporting individualized refractive surgery planning in routine ophthalmic practice.</x:v>
      </x:c>
      <x:c r="M14" s="1143" t="str">
        <x:v>NR: External validation is not reported in the available abstract evidence.</x:v>
      </x:c>
      <x:c r="N14" s="1143" t="str">
        <x:v>NR: Ophthalmologist involvement is not reported in the available abstract evidence.</x:v>
      </x:c>
      <x:c r="O14" s="1143" t="str">
        <x:v>NR: Code availability is not reported in the available abstract evidence.</x:v>
      </x:c>
      <x:c r="P14" s="1143" t="str">
        <x:v>Insufficiently reported</x:v>
      </x:c>
      <x:c r="Q14" s="1141" t="str">
        <x:v>No study-specific limitation is reported in the abstract.</x:v>
      </x:c>
      <x:c r="R14" s="1141" t="str">
        <x:v>https://www.mdpi.com/2306-5354/12/11/1174</x:v>
      </x:c>
    </x:row>
    <x:row r="15" ht="103.5" customHeight="1">
      <x:c r="A15" s="1143" t="str">
        <x:v>PM-017</x:v>
      </x:c>
      <x:c r="B15" s="1141" t="str">
        <x:v>Explainable Artificial Intelligence Framework for Predicting Treatment Outcomes in Age-Related Macular Degeneration — Wang MH. (2025)</x:v>
      </x:c>
      <x:c r="C15" s="1141" t="str">
        <x:v>Direct retinal/ophthalmic evidence</x:v>
      </x:c>
      <x:c r="D15" s="1141" t="str">
        <x:v>Other/unclear report type</x:v>
      </x:c>
      <x:c r="E15" s="1141" t="str">
        <x:v>Fundus photography; OCT; Fluorescein angiography — Age-related macular degeneration</x:v>
      </x:c>
      <x:c r="F15" s="1141" t="str">
        <x:v>Vision-language / generative concept model</x:v>
      </x:c>
      <x:c r="G15" s="1141" t="str">
        <x:v>Neuro-symbolic AI; Concept-guided vision-language model; Ontology / knowledge-guided explanation (Segmentation model)</x:v>
      </x:c>
      <x:c r="H15" s="1141" t="str">
        <x:v>Text prompts, reports, or language-grounded concepts</x:v>
      </x:c>
      <x:c r="I15" s="1141" t="str">
        <x:v>Textual rationale and/or concept-grounded localisation</x:v>
      </x:c>
      <x:c r="J15" s="1141" t="str">
        <x:v>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x:v>
      </x:c>
      <x:c r="K15" s="1141" t="str">
        <x:v>No dedicated explanation-quality metric is reported in the abstract; interpretability is supported by the model design and/or qualitative concept, prototype, case, or rule outputs.</x:v>
      </x:c>
      <x:c r="L15" s="1141" t="str">
        <x:v>On an independent test set, the hybrid model achieved AUROC 0.94 ± 0.03, AUPRC 0.92 ± 0.04, and a Brier score of 0.07, significantly outperforming purely neural and classical Cox regression baselines (p ≤ 0.01).</x:v>
      </x:c>
      <x:c r="M15" s="1143" t="str">
        <x:v>2: Independent/external or cross-site validation is explicitly reported.</x:v>
      </x:c>
      <x:c r="N15" s="1143" t="str">
        <x:v>NR: Ophthalmologist involvement is not reported in the available abstract evidence.</x:v>
      </x:c>
      <x:c r="O15" s="1143" t="str">
        <x:v>NR: Code availability is not reported in the available abstract evidence.</x:v>
      </x:c>
      <x:c r="P15" s="1143" t="str">
        <x:v>Low strength or major reporting gaps</x:v>
      </x:c>
      <x:c r="Q15" s="1141" t="str">
        <x:v>No study-specific limitation is reported in the abstract.</x:v>
      </x:c>
      <x:c r="R15" s="1141" t="str">
        <x:v>https://www.mdpi.com/1424-8220/25/22/6879</x:v>
      </x:c>
    </x:row>
    <x:row r="16" ht="103.5" customHeight="1">
      <x:c r="A16" s="1143" t="str">
        <x:v>PM-018</x:v>
      </x:c>
      <x:c r="B16" s="1141" t="str">
        <x:v>Explainable neuro-symbolic artificial intelligence for automated interpretation of corneal topography and early keratoconus detection — Wang MH, Qin S. (2026)</x:v>
      </x:c>
      <x:c r="C16" s="1141" t="str">
        <x:v>Contextual medical concept-XAI evidence</x:v>
      </x:c>
      <x:c r="D16" s="1141" t="str">
        <x:v>Other/unclear report type</x:v>
      </x:c>
      <x:c r="E16" s="1141" t="str">
        <x:v>Modality not reported in abstract — Disease/task not reported in abstract</x:v>
      </x:c>
      <x:c r="F16" s="1141" t="str">
        <x:v>Vision-language / generative concept model</x:v>
      </x:c>
      <x:c r="G16" s="1141" t="str">
        <x:v>Neuro-symbolic AI; Concept-guided vision-language model; Ontology / knowledge-guided explanation (Vision Transformer, Transformer, CNN)</x:v>
      </x:c>
      <x:c r="H16" s="1141" t="str">
        <x:v>Text prompts, reports, or language-grounded concepts</x:v>
      </x:c>
      <x:c r="I16" s="1141" t="str">
        <x:v>Textual rationale and/or concept-grounded localisation</x:v>
      </x:c>
      <x:c r="J16" s="1141" t="str">
        <x:v>Results: In a prospective pilot cohort of 20 eyes, the proposed framework demonstrated strong diagnostic performance for early keratoconus detection, achieving an area under the receiver operating characteristic curve (AUC) of approximately 0.95.</x:v>
      </x:c>
      <x:c r="K16" s="1141" t="str">
        <x:v>No dedicated explanation-quality metric is reported in the abstract; interpretability is supported by the model design and/or qualitative concept, prototype, case, or rule outputs.</x:v>
      </x:c>
      <x:c r="L16" s="1141" t="str">
        <x:v>Results: In a prospective pilot cohort of 20 eyes, the proposed framework demonstrated strong diagnostic performance for early keratoconus detection, achieving an area under the receiver operating characteristic curve (AUC) of approximately 0.95. Sensitivity and specificity remained high across decision thresholds, and the system achieved a balanced F1 score for refractive surgery eligibility classification.</x:v>
      </x:c>
      <x:c r="M16" s="1143" t="str">
        <x:v>NR: External validation is not reported in the available abstract evidence.</x:v>
      </x:c>
      <x:c r="N16" s="1143" t="str">
        <x:v>NR: Ophthalmologist involvement is not reported in the available abstract evidence.</x:v>
      </x:c>
      <x:c r="O16" s="1143" t="str">
        <x:v>NR: Code availability is not reported in the available abstract evidence.</x:v>
      </x:c>
      <x:c r="P16" s="1143" t="str">
        <x:v>Low strength or major reporting gaps</x:v>
      </x:c>
      <x:c r="Q16" s="1141" t="str">
        <x:v>No study-specific limitation is reported in the abstract.</x:v>
      </x:c>
      <x:c r="R16" s="1141" t="str">
        <x:v>https://www.frontiersin.org/journals/artificial-intelligence/articles/10.3389/frai.2026.1713747/pdf</x:v>
      </x:c>
    </x:row>
    <x:row r="17" ht="103.5" customHeight="1">
      <x:c r="A17" s="1143" t="str">
        <x:v>PM-020</x:v>
      </x:c>
      <x:c r="B17" s="1141" t="str">
        <x:v>Compact vision language models enable efficient and interpretable optical coherence tomography through layer-specific multimodal learning — Haghighi T, Gholami S, Sokol JT, Biswas A, Lim JI, Leng T, Thompson AC, Tabkhi H, Alam MN. (2025)</x:v>
      </x:c>
      <x:c r="C17" s="1141" t="str">
        <x:v>Contextual medical concept-XAI evidence</x:v>
      </x:c>
      <x:c r="D17" s="1141" t="str">
        <x:v>Other/unclear report type</x:v>
      </x:c>
      <x:c r="E17" s="1141" t="str">
        <x:v>OCT — Diabetic retinopathy; Diabetic macular oedema; Retinal disease / lesions; Choroidal neoplasia / uveal melanoma; Ophthalmic disease</x:v>
      </x:c>
      <x:c r="F17" s="1141" t="str">
        <x:v>Vision-language / generative concept model</x:v>
      </x:c>
      <x:c r="G17" s="1141" t="str">
        <x:v>Concept-guided vision-language model (Vision Transformer)</x:v>
      </x:c>
      <x:c r="H17" s="1141" t="str">
        <x:v>Text prompts, reports, or language-grounded concepts</x:v>
      </x:c>
      <x:c r="I17" s="1141" t="str">
        <x:v>Textual rationale and/or concept-grounded localisation</x:v>
      </x:c>
      <x:c r="J17" s="1141" t="str">
        <x:v>We curated a multimodal dataset of 40,000 OCT B-scans from public repositories and private clinical cohorts, each paired with expert-validated summaries spanning six conditions: diabetic macular edema, diabetic retinopathy, geographic atrophy, drusen, choroidal neovascularization, and healthy retina.</x:v>
      </x:c>
      <x:c r="K17" s="1141" t="str">
        <x:v>No dedicated explanation-quality metric is reported in the abstract; interpretability is supported by the model design and/or qualitative concept, prototype, case, or rule outputs.</x:v>
      </x:c>
      <x:c r="L17" s="1141" t="str">
        <x:v>For disease classification, LO-VLM reaches 96% accuracy (F1 = 96%), outperforming ViT by 13% and exceeding medical VLM benchmarks by over 62% (p &lt; 0.05). LO-VLM achieves high accuracy and produces reports clinicians find useful.</x:v>
      </x:c>
      <x:c r="M17" s="1143" t="str">
        <x:v>NR: External validation is not reported in the available abstract evidence.</x:v>
      </x:c>
      <x:c r="N17" s="1143" t="str">
        <x:v>1: Clinical-expert involvement or comparison is mentioned, but its role is limited or incompletely described.</x:v>
      </x:c>
      <x:c r="O17" s="1143" t="str">
        <x:v>NR: Code availability is not reported in the available abstract evidence.</x:v>
      </x:c>
      <x:c r="P17" s="1143" t="str">
        <x:v>Moderate strength / some concerns</x:v>
      </x:c>
      <x:c r="Q17" s="1141" t="str">
        <x:v>No study-specific limitation is reported in the abstract.</x:v>
      </x:c>
      <x:c r="R17" s="1141" t="str">
        <x:v>https://www.nature.com/articles/s43856-025-01293-9</x:v>
      </x:c>
    </x:row>
    <x:row r="18" ht="103.5" customHeight="1">
      <x:c r="A18" s="1143" t="str">
        <x:v>PM-021</x:v>
      </x:c>
      <x:c r="B18" s="1141" t="str">
        <x:v>ORBIT‐AMD: Ordinal Risk, Bilateral Imaging, and Trajectory Learning for Age‐Related Macular Degeneration in Multi‐Cohorts — Cui X, Wen D, Yu-Wai-Man P, Li X. (2026)</x:v>
      </x:c>
      <x:c r="C18" s="1141" t="str">
        <x:v>Direct retinal/ophthalmic evidence</x:v>
      </x:c>
      <x:c r="D18" s="1141" t="str">
        <x:v>Other/unclear report type</x:v>
      </x:c>
      <x:c r="E18" s="1141" t="str">
        <x:v>Fundus photography; OCT — Age-related macular degeneration</x:v>
      </x:c>
      <x:c r="F18" s="1141" t="str">
        <x:v>Concept bottleneck / embedding / self-explaining</x:v>
      </x:c>
      <x:c r="G18" s="1141" t="str">
        <x:v>Concept bottleneck model</x:v>
      </x:c>
      <x:c r="H18" s="1141" t="str">
        <x:v>Supervised or learned intermediate concept layer</x:v>
      </x:c>
      <x:c r="I18" s="1141" t="str">
        <x:v>Intermediate concept predictions and class linkage</x:v>
      </x:c>
      <x:c r="J18" s="1141" t="str">
        <x:v>In a UK Biobank development/internal-testing cohort of 58 214 participants and 109 691 eyes, and an external Tianjin Medical University Eye Hospital cohort of 1996 participants and 3780 eyes, ORBIT-AMD achieved AUROC values of 0.984 internally and 0.975 externally for prevalent late-AMD detection.</x:v>
      </x:c>
      <x:c r="K18" s="1141" t="str">
        <x:v>No dedicated explanation-quality metric is reported in the abstract; interpretability is supported by the model design and/or qualitative concept, prototype, case, or rule outputs.</x:v>
      </x:c>
      <x:c r="L18" s="1141" t="str">
        <x:v>In a UK Biobank development/internal-testing cohort of 58 214 participants and 109 691 eyes, and an external Tianjin Medical University Eye Hospital cohort of 1996 participants and 3780 eyes, ORBIT-AMD achieved AUROC values of 0.984 internally and 0.975 externally for prevalent late-AMD detection. Five-year late-AMD progression prediction achieved AUROC values of 0.825 and 0.767, respectively.</x:v>
      </x:c>
      <x:c r="M18" s="1143" t="str">
        <x:v>NR: External validation is not reported in the available abstract evidence.</x:v>
      </x:c>
      <x:c r="N18" s="1143" t="str">
        <x:v>NR: Ophthalmologist involvement is not reported in the available abstract evidence.</x:v>
      </x:c>
      <x:c r="O18" s="1143" t="str">
        <x:v>NR: Code availability is not reported in the available abstract evidence.</x:v>
      </x:c>
      <x:c r="P18" s="1143" t="str">
        <x:v>Low strength or major reporting gaps</x:v>
      </x:c>
      <x:c r="Q18" s="1141" t="str">
        <x:v>No study-specific limitation is reported in the abstract.</x:v>
      </x:c>
      <x:c r="R18" s="1141" t="str">
        <x:v>https://advanced.onlinelibrary.wiley.com/doi/10.1002/advs.76361</x:v>
      </x:c>
    </x:row>
    <x:row r="19" ht="103.5" customHeight="1">
      <x:c r="A19" s="1143" t="str">
        <x:v>PM-024</x:v>
      </x:c>
      <x:c r="B19" s="1141" t="str">
        <x:v>Explainable multimodal AI and neuro-symbolic clinical decision support system for chronic eye disease management: a digital health implementation study — Wang MH, Lee SMY, Hou G, Wang Y, Alves JC, Xie R, He Y, Liu J, Fang X, Yang Y, Cai X, Zheng S, Yu Z, Lin EZ, Cheang C, Ian KK, Qin S. (2026)</x:v>
      </x:c>
      <x:c r="C19" s="1141" t="str">
        <x:v>Contextual medical concept-XAI evidence</x:v>
      </x:c>
      <x:c r="D19" s="1141" t="str">
        <x:v>Other/unclear report type</x:v>
      </x:c>
      <x:c r="E19" s="1141" t="str">
        <x:v>OCT — Ophthalmic disease</x:v>
      </x:c>
      <x:c r="F19" s="1141" t="str">
        <x:v>Vision-language / generative concept model</x:v>
      </x:c>
      <x:c r="G19" s="1141" t="str">
        <x:v>Neuro-symbolic AI; Concept-guided vision-language model; Ontology / knowledge-guided explanation</x:v>
      </x:c>
      <x:c r="H19" s="1141" t="str">
        <x:v>Text prompts, reports, or language-grounded concepts</x:v>
      </x:c>
      <x:c r="I19" s="1141" t="str">
        <x:v>Textual rationale and/or concept-grounded localisation</x:v>
      </x:c>
      <x:c r="J19" s="1141" t="str">
        <x:v>The system was applied to 24 de-identified unstructured clinical documents, including outpatient notes, operative reports, optical coherence tomography reports, and billing records.</x:v>
      </x:c>
      <x:c r="K19" s="1141" t="str">
        <x:v>No dedicated explanation-quality metric is reported in the abstract; interpretability is supported by the model design and/or qualitative concept, prototype, case, or rule outputs.</x:v>
      </x:c>
      <x:c r="L19" s="1141" t="str">
        <x:v>The proposed system improves documentation efficiency, coding accuracy, and auditability while reducing hidden administrative costs. Conclusion: AI-enabled administrative automation using a neuro-symbolic and LLM framework has the potential to significantly improve operational efficiency and reduce costs in AMD care, supporting the development of sustainable and value-based digital healthcare systems.</x:v>
      </x:c>
      <x:c r="M19" s="1143" t="str">
        <x:v>0: Evaluation is explicitly limited to a single centre/internal setting.</x:v>
      </x:c>
      <x:c r="N19" s="1143" t="str">
        <x:v>1: Clinical-expert involvement or comparison is mentioned, but its role is limited or incompletely described.</x:v>
      </x:c>
      <x:c r="O19" s="1143" t="str">
        <x:v>NR: Code availability is not reported in the available abstract evidence.</x:v>
      </x:c>
      <x:c r="P19" s="1143" t="str">
        <x:v>Low strength or major reporting gaps</x:v>
      </x:c>
      <x:c r="Q19" s="1141" t="str">
        <x:v>Although limited by a small sample size and single-center design, the framework provides a scalable and explainable architecture for AI-assisted administrative automation in digital health systems and chronic disease management.</x:v>
      </x:c>
      <x:c r="R19" s="1141" t="str">
        <x:v>https://www.frontiersin.org/journals/digital-health/articles/10.3389/fdgth.2026.1836890/full</x:v>
      </x:c>
    </x:row>
    <x:row r="20" ht="103.5" customHeight="1">
      <x:c r="A20" s="1143" t="str">
        <x:v>IEEE-001</x:v>
      </x:c>
      <x:c r="B20" s="1141" t="str">
        <x:v>Case Based Reasoning in Retina Abnormalities Detection — A. R. Chowdhury; S. Banerjee (2019)</x:v>
      </x:c>
      <x:c r="C20" s="1141" t="str">
        <x:v>Direct retinal/ophthalmic evidence</x:v>
      </x:c>
      <x:c r="D20" s="1141" t="str">
        <x:v>Conference paper</x:v>
      </x:c>
      <x:c r="E20" s="1141" t="str">
        <x:v>Fundus photography — Diabetic retinopathy; Age-related macular degeneration; Retinal disease / lesions</x:v>
      </x:c>
      <x:c r="F20" s="1141" t="str">
        <x:v>Prototype- or case-based</x:v>
      </x:c>
      <x:c r="G20" s="1141" t="str">
        <x:v>Case-based reasoning / example retrieval (Segmentation model)</x:v>
      </x:c>
      <x:c r="H20" s="1141" t="str">
        <x:v>Not explicit in abstract</x:v>
      </x:c>
      <x:c r="I20" s="1141" t="str">
        <x:v>Prototype/case examples or similarity evidence</x:v>
      </x:c>
      <x:c r="J20" s="1141" t="str">
        <x:v>Dataset and sample size not reported in abstract.</x:v>
      </x:c>
      <x:c r="K20" s="1141" t="str">
        <x:v>Explanation evaluation not reported in abstract.</x:v>
      </x:c>
      <x:c r="L20" s="1141" t="str">
        <x:v>The KNN classifier outperforms Naïve Bayes classifier and achieves 92.6% of average accuracy with an ROC of 0.952 in lesion classification.</x:v>
      </x:c>
      <x:c r="M20" s="1143" t="str">
        <x:v>NR: External validation is not reported in the available abstract evidence.</x:v>
      </x:c>
      <x:c r="N20" s="1143" t="str">
        <x:v>1: Clinical-expert involvement or comparison is mentioned, but its role is limited or incompletely described.</x:v>
      </x:c>
      <x:c r="O20" s="1143" t="str">
        <x:v>NR: Code availability is not reported in the available abstract evidence.</x:v>
      </x:c>
      <x:c r="P20" s="1143" t="str">
        <x:v>Low strength or major reporting gaps</x:v>
      </x:c>
      <x:c r="Q20" s="1141" t="str">
        <x:v>No study-specific limitation is reported in the abstract.</x:v>
      </x:c>
      <x:c r="R20" s="1141" t="str">
        <x:v>https://ieeexplore.ieee.org/iel7/9018167/9036148/09036318.pdf</x:v>
      </x:c>
    </x:row>
    <x:row r="21" ht="103.5" customHeight="1">
      <x:c r="A21" s="1143" t="str">
        <x:v>IEEE-002</x:v>
      </x:c>
      <x:c r="B21" s="1141" t="str">
        <x:v>Protostage-NET: A Clinically Guided Foundation Model With Prototypical Learning for Automated Amd Grading From Oct Images — M. Elsharkawy; M. El-Melegy; A. Ali; A. Mahmoud; M. Ghazal; A. Khalil; W. Wan... (2026)</x:v>
      </x:c>
      <x:c r="C21" s="1141" t="str">
        <x:v>Direct retinal/ophthalmic evidence</x:v>
      </x:c>
      <x:c r="D21" s="1141" t="str">
        <x:v>Conference paper</x:v>
      </x:c>
      <x:c r="E21" s="1141" t="str">
        <x:v>OCT — Age-related macular degeneration</x:v>
      </x:c>
      <x:c r="F21" s="1141" t="str">
        <x:v>Prototype- or case-based</x:v>
      </x:c>
      <x:c r="G21" s="1141" t="str">
        <x:v>Prototype-based / prototypical learning; Concept-guided vision-language model</x:v>
      </x:c>
      <x:c r="H21" s="1141" t="str">
        <x:v>Learned prototypes / representative cases</x:v>
      </x:c>
      <x:c r="I21" s="1141" t="str">
        <x:v>Prototype/case examples or similarity evidence</x:v>
      </x:c>
      <x:c r="J21" s="1141" t="str">
        <x:v>We evaluate ProtoStage-Net on a cohort of 954 OCT B-scans acquired from three different imaging devices.</x:v>
      </x:c>
      <x:c r="K21" s="1141" t="str">
        <x:v>Explanation evaluation not reported in abstract.</x:v>
      </x:c>
      <x:c r="L21" s="1141" t="str">
        <x:v>Our framework achieves a macro F1-score of 93.49 %, surpassing the baseline foundation model by more than 2 % and outperforming recent state-of-the-art methods.</x:v>
      </x:c>
      <x:c r="M21" s="1143" t="str">
        <x:v>NR: External validation is not reported in the available abstract evidence.</x:v>
      </x:c>
      <x:c r="N21" s="1143" t="str">
        <x:v>NR: Ophthalmologist involvement is not reported in the available abstract evidence.</x:v>
      </x:c>
      <x:c r="O21" s="1143" t="str">
        <x:v>NR: Code availability is not reported in the available abstract evidence.</x:v>
      </x:c>
      <x:c r="P21" s="1143" t="str">
        <x:v>Insufficiently reported</x:v>
      </x:c>
      <x:c r="Q21" s="1141" t="str">
        <x:v>No study-specific limitation is reported in the abstract.</x:v>
      </x:c>
      <x:c r="R21" s="1141" t="str">
        <x:v>https://ieeexplore.ieee.org/iel8/11515282/11515297/11515452.pdf</x:v>
      </x:c>
    </x:row>
    <x:row r="22" ht="103.5" customHeight="1">
      <x:c r="A22" s="1143" t="str">
        <x:v>IEEE-004</x:v>
      </x:c>
      <x:c r="B22" s="1141" t="str">
        <x:v>A Neuro-Symbolic Framework for Automated Glaucoma Detection using Optic Disc-Cup Segmentation and Deep Learning — T. Sangeetha; S. U; S. R. Arulprakash; S. R (2026)</x:v>
      </x:c>
      <x:c r="C22" s="1141" t="str">
        <x:v>Direct retinal/ophthalmic evidence</x:v>
      </x:c>
      <x:c r="D22" s="1141" t="str">
        <x:v>Conference paper</x:v>
      </x:c>
      <x:c r="E22" s="1141" t="str">
        <x:v>Fundus photography — Glaucoma</x:v>
      </x:c>
      <x:c r="F22" s="1141" t="str">
        <x:v>Neuro-symbolic / logic / knowledge graph</x:v>
      </x:c>
      <x:c r="G22" s="1141" t="str">
        <x:v>Neuro-symbolic AI (CNN, Segmentation model)</x:v>
      </x:c>
      <x:c r="H22" s="1141" t="str">
        <x:v>Ontology, knowledge graph, or symbolic rules</x:v>
      </x:c>
      <x:c r="I22" s="1141" t="str">
        <x:v>Rules, symbolic relations, or graph explanation</x:v>
      </x:c>
      <x:c r="J22" s="1141" t="str">
        <x:v>RIM-ONE, ImageNet. Meanwhile, a convolutional neural network model VGG-19 predicts images from glaucoma and provides confidence-aware predictions.</x:v>
      </x:c>
      <x:c r="K22" s="1141" t="str">
        <x:v>No dedicated explanation-quality metric is reported in the abstract; interpretability is supported by the model design and/or qualitative concept, prototype, case, or rule outputs.</x:v>
      </x:c>
      <x:c r="L22" s="1141" t="str">
        <x:v>Experiments on the RIM-ONE DL dataset demonstrate that our method outperforms both segmentation-based and classification-based methods, achieving an accuracy of 86.0%, sensitivity of 63.4%, specificity of 97.8% and AUC of 94.9%. The novelty of our work lies in an interpretable fusion between quantitative anatomical biomarker and deep-learned visual pattern, leading to a robust, explainable, and therapeutic-orientated procedure for automated glaucoma screening.</x:v>
      </x:c>
      <x:c r="M22" s="1143" t="str">
        <x:v>NR: External validation is not reported in the available abstract evidence.</x:v>
      </x:c>
      <x:c r="N22" s="1143" t="str">
        <x:v>NR: Ophthalmologist involvement is not reported in the available abstract evidence.</x:v>
      </x:c>
      <x:c r="O22" s="1143" t="str">
        <x:v>NR: Code availability is not reported in the available abstract evidence.</x:v>
      </x:c>
      <x:c r="P22" s="1143" t="str">
        <x:v>Low strength or major reporting gaps</x:v>
      </x:c>
      <x:c r="Q22" s="1141" t="str">
        <x:v>No study-specific limitation is reported in the abstract.</x:v>
      </x:c>
      <x:c r="R22" s="1141" t="str">
        <x:v>https://ieeexplore.ieee.org/abstract/document/11485500/</x:v>
      </x:c>
    </x:row>
    <x:row r="23" ht="103.5" customHeight="1">
      <x:c r="A23" s="1143" t="str">
        <x:v>IEEE-007</x:v>
      </x:c>
      <x:c r="B23" s="1141" t="str">
        <x:v>Fairness-Aware Multimodal Glaucoma Detection via Neurosymbolic Learning with Differentiable Clinical Constraints — A. Ferraro; M. Iammarino; F. Pecorelli; S. Mondal; G. De Pietro (2026)</x:v>
      </x:c>
      <x:c r="C23" s="1141" t="str">
        <x:v>Direct retinal/ophthalmic evidence</x:v>
      </x:c>
      <x:c r="D23" s="1141" t="str">
        <x:v>Conference paper</x:v>
      </x:c>
      <x:c r="E23" s="1141" t="str">
        <x:v>OCT — Glaucoma</x:v>
      </x:c>
      <x:c r="F23" s="1141" t="str">
        <x:v>Neuro-symbolic / logic / knowledge graph</x:v>
      </x:c>
      <x:c r="G23" s="1141" t="str">
        <x:v>Neuro-symbolic AI</x:v>
      </x:c>
      <x:c r="H23" s="1141" t="str">
        <x:v>Ontology, knowledge graph, or symbolic rules</x:v>
      </x:c>
      <x:c r="I23" s="1141" t="str">
        <x:v>Rules, symbolic relations, or graph explanation</x:v>
      </x:c>
      <x:c r="J23" s="1141" t="str">
        <x:v>Experiments on the Harvard FairDomain dataset demonstrate that neurosymbolic constraints improve predictive performance, achieving an accuracy of 0.766 and F1-score of 0.732 on a representative split, while reducing race and gender disparities without explicit fairness supervision.</x:v>
      </x:c>
      <x:c r="K23" s="1141" t="str">
        <x:v>No dedicated explanation-quality metric is reported in the abstract; interpretability is supported by the model design and/or qualitative concept, prototype, case, or rule outputs.</x:v>
      </x:c>
      <x:c r="L23" s="1141" t="str">
        <x:v>Multi-seed evaluation further confirms robustness, with the proposed model achieving the highest average F1-Score $(0.7262 \pm 0.005)$ and reducing the race TPR gap from 0.0836 to 0.0470 and the gender TPR gap from 0.0215 to 0.0047. In contrast, adversarial debiasing improves fairness at the cost of predictive performance, and their combination does not yield consistent gains, highlighting a nontrivial interaction between structured clinical constraints and adversarial settings.</x:v>
      </x:c>
      <x:c r="M23" s="1143" t="str">
        <x:v>NR: External validation is not reported in the available abstract evidence.</x:v>
      </x:c>
      <x:c r="N23" s="1143" t="str">
        <x:v>NR: Ophthalmologist involvement is not reported in the available abstract evidence.</x:v>
      </x:c>
      <x:c r="O23" s="1143" t="str">
        <x:v>NR: Code availability is not reported in the available abstract evidence.</x:v>
      </x:c>
      <x:c r="P23" s="1143" t="str">
        <x:v>Low strength or major reporting gaps</x:v>
      </x:c>
      <x:c r="Q23" s="1141" t="str">
        <x:v>No study-specific limitation is reported in the abstract.</x:v>
      </x:c>
      <x:c r="R23" s="1141" t="str">
        <x:v>https://doi.org/10.1109/MLISE70044.2026.11607573</x:v>
      </x:c>
    </x:row>
    <x:row r="24" ht="103.5" customHeight="1">
      <x:c r="A24" s="1143" t="str">
        <x:v>IEEE-013</x:v>
      </x:c>
      <x:c r="B24" s="1141" t="str">
        <x:v>ProtoD2C2: Prototype-Based Dual-Supervision, Dual-Consistency, and Dual-Contrastive Learning for OCT Fluid Segmentation — J. Liu; M. Zhang; Q. Tang; Y. Li; X. Wei; H. Zhang (2025)</x:v>
      </x:c>
      <x:c r="C24" s="1141" t="str">
        <x:v>Direct retinal/ophthalmic evidence</x:v>
      </x:c>
      <x:c r="D24" s="1141" t="str">
        <x:v>Conference paper</x:v>
      </x:c>
      <x:c r="E24" s="1141" t="str">
        <x:v>OCT — Disease/task not reported in abstract</x:v>
      </x:c>
      <x:c r="F24" s="1141" t="str">
        <x:v>Prototype- or case-based</x:v>
      </x:c>
      <x:c r="G24" s="1141" t="str">
        <x:v>Prototype-based / prototypical learning (Segmentation model)</x:v>
      </x:c>
      <x:c r="H24" s="1141" t="str">
        <x:v>Learned prototypes / representative cases</x:v>
      </x:c>
      <x:c r="I24" s="1141" t="str">
        <x:v>Prototype/case examples or similarity evidence</x:v>
      </x:c>
      <x:c r="J24" s="1141" t="str">
        <x:v>We evaluated our method on two public OCT fluid segmentation datasets RETOUCH and AROI, demonstrating superior performance compared to state-of-theart annotation-efficient segmentation approaches.</x:v>
      </x:c>
      <x:c r="K24" s="1141" t="str">
        <x:v>No dedicated explanation-quality metric is reported in the abstract; interpretability is supported by the model design and/or qualitative concept, prototype, case, or rule outputs.</x:v>
      </x:c>
      <x:c r="L24" s="1141" t="str">
        <x:v>We evaluated our method on two public OCT fluid segmentation datasets RETOUCH and AROI, demonstrating superior performance compared to state-of-theart annotation-efficient segmentation approaches.</x:v>
      </x:c>
      <x:c r="M24" s="1143" t="str">
        <x:v>NR: External validation is not reported in the available abstract evidence.</x:v>
      </x:c>
      <x:c r="N24" s="1143" t="str">
        <x:v>NR: Ophthalmologist involvement is not reported in the available abstract evidence.</x:v>
      </x:c>
      <x:c r="O24" s="1143" t="str">
        <x:v>NR: Code availability is not reported in the available abstract evidence.</x:v>
      </x:c>
      <x:c r="P24" s="1143" t="str">
        <x:v>Low strength or major reporting gaps</x:v>
      </x:c>
      <x:c r="Q24" s="1141" t="str">
        <x:v>No study-specific limitation is reported in the abstract.</x:v>
      </x:c>
      <x:c r="R24" s="1141" t="str">
        <x:v>https://doi.org/10.1109/BIBM66473.2025.11356061</x:v>
      </x:c>
    </x:row>
    <x:row r="25" ht="103.5" customHeight="1">
      <x:c r="A25" s="1143" t="str">
        <x:v>IEEE-019</x:v>
      </x:c>
      <x:c r="B25" s="1141" t="str">
        <x:v>On Interpretability of Deep Learning based Skin Lesion Classifiers using Concept Activation Vectors — A. Lucieri; M. N. Bajwa; S. Alexander Braun; M. I. Malik; A. Dengel; S. Ahmed (2020)</x:v>
      </x:c>
      <x:c r="C25" s="1141" t="str">
        <x:v>Contextual medical concept-XAI evidence</x:v>
      </x:c>
      <x:c r="D25" s="1141" t="str">
        <x:v>Conference paper</x:v>
      </x:c>
      <x:c r="E25" s="1141" t="str">
        <x:v>Modality not reported in abstract — Skin lesions / melanoma</x:v>
      </x:c>
      <x:c r="F25" s="1141" t="str">
        <x:v>Concept activation / post-hoc vector</x:v>
      </x:c>
      <x:c r="G25" s="1141" t="str">
        <x:v>Concept activation vectors / TCAV</x:v>
      </x:c>
      <x:c r="H25" s="1141" t="str">
        <x:v>Human-defined concept examples / activation vectors</x:v>
      </x:c>
      <x:c r="I25" s="1141" t="str">
        <x:v>Concept sensitivity / TCAV scores</x:v>
      </x:c>
      <x:c r="J25" s="1141" t="str">
        <x:v>Two well established and publicly available skin disease datasets, PH2and derm7pt, are used for experimentation.</x:v>
      </x:c>
      <x:c r="K25" s="1141" t="str">
        <x:v>No dedicated explanation-quality metric is reported in the abstract; interpretability is supported by the model design and/or qualitative concept, prototype, case, or rule outputs.</x:v>
      </x:c>
      <x:c r="L25" s="1141" t="str">
        <x:v>Deep learning based medical image classifiers have shown remarkable prowess in various application areas like ophthalmology, dermatology, pathology, and radiology.</x:v>
      </x:c>
      <x:c r="M25" s="1143" t="str">
        <x:v>NR: External validation is not reported in the available abstract evidence.</x:v>
      </x:c>
      <x:c r="N25" s="1143" t="str">
        <x:v>NR: Ophthalmologist involvement is not reported in the available abstract evidence.</x:v>
      </x:c>
      <x:c r="O25" s="1143" t="str">
        <x:v>NR: Code availability is not reported in the available abstract evidence.</x:v>
      </x:c>
      <x:c r="P25" s="1143" t="str">
        <x:v>Low strength or major reporting gaps</x:v>
      </x:c>
      <x:c r="Q25" s="1141" t="str">
        <x:v>No study-specific limitation is reported in the abstract.</x:v>
      </x:c>
      <x:c r="R25" s="1141" t="str">
        <x:v>https://ieeexplore.ieee.org/document/9206946/</x:v>
      </x:c>
    </x:row>
    <x:row r="26" ht="103.5" customHeight="1">
      <x:c r="A26" s="1143" t="str">
        <x:v>GS-01-002</x:v>
      </x:c>
      <x:c r="B26" s="1141" t="str">
        <x:v>Vision-Language Models Guided Graph Concept Reasoning for Interpretable Diabetic Retinopathy Diagnosis — O Xu XLuo, ¥ Lin. Cliu Y¥Hu Jli XLyu + Proceedings af tna AAAI 2026 (2026)</x:v>
      </x:c>
      <x:c r="C26" s="1141" t="str">
        <x:v>Direct retinal/ophthalmic evidence</x:v>
      </x:c>
      <x:c r="D26" s="1141" t="str">
        <x:v>Other/unclear report type</x:v>
      </x:c>
      <x:c r="E26" s="1141" t="str">
        <x:v>Modality not reported in abstract — Diabetic retinopathy; Retinal disease / lesions</x:v>
      </x:c>
      <x:c r="F26" s="1141" t="str">
        <x:v>Concept bottleneck / embedding / self-explaining</x:v>
      </x:c>
      <x:c r="G26" s="1141" t="str">
        <x:v>Concept bottleneck model; Concept-guided vision-language model; Other concept-based model</x:v>
      </x:c>
      <x:c r="H26" s="1141" t="str">
        <x:v>Text prompts, reports, or language-grounded concepts</x:v>
      </x:c>
      <x:c r="I26" s="1141" t="str">
        <x:v>Textual rationale and/or concept-grounded localisation</x:v>
      </x:c>
      <x:c r="J26" s="1141" t="str">
        <x:v>Dataset and sample size not reported in abstract.</x:v>
      </x:c>
      <x:c r="K26" s="1141" t="str">
        <x:v>No dedicated explanation-quality metric is reported in the abstract; interpretability is supported by the model design and/or qualitative concept, prototype, case, or rule outputs.</x:v>
      </x:c>
      <x:c r="L26" s="1141" t="str">
        <x:v>Experiments on two public DR benchmarks show that VLM-GCR achieves strong performance in both lesion and grading tasks, while delivering clear and clinically meaningful reasoning steps.</x:v>
      </x:c>
      <x:c r="M26" s="1143" t="str">
        <x:v>NR: External validation is not reported in the available abstract evidence.</x:v>
      </x:c>
      <x:c r="N26" s="1143" t="str">
        <x:v>1: Clinical-expert involvement or comparison is mentioned, but its role is limited or incompletely described.</x:v>
      </x:c>
      <x:c r="O26" s="1143" t="str">
        <x:v>NR: Code availability is not reported in the available abstract evidence.</x:v>
      </x:c>
      <x:c r="P26" s="1143" t="str">
        <x:v>Moderate strength / some concerns</x:v>
      </x:c>
      <x:c r="Q26" s="1141" t="str">
        <x:v>No study-specific limitation is reported in the abstract.</x:v>
      </x:c>
      <x:c r="R26" s="1141" t="str">
        <x:v>https://ojs.aaai.org/index.php/AAAI/article/view/39948/43909</x:v>
      </x:c>
    </x:row>
    <x:row r="27" ht="103.5" customHeight="1">
      <x:c r="A27" s="1143" t="str">
        <x:v>GS-01-005</x:v>
      </x:c>
      <x:c r="B27" s="1141" t="str">
        <x:v>Mitigating domain shift in concept bottleneck models for diabetic retinopathy grading via learnable concept projection — Yea ELee- Medical Imaging 2926 tage Perceptian §«—-2126</x:v>
      </x:c>
      <x:c r="C27" s="1141" t="str">
        <x:v>Direct retinal/ophthalmic evidence</x:v>
      </x:c>
      <x:c r="D27" s="1141" t="str">
        <x:v>Other/unclear report type</x:v>
      </x:c>
      <x:c r="E27" s="1141" t="str">
        <x:v>Fundus photography — Diabetic retinopathy; Retinal disease / lesions</x:v>
      </x:c>
      <x:c r="F27" s="1141" t="str">
        <x:v>Prototype- or case-based</x:v>
      </x:c>
      <x:c r="G27" s="1141" t="str">
        <x:v>Concept bottleneck model; Prototype-based / prototypical learning</x:v>
      </x:c>
      <x:c r="H27" s="1141" t="str">
        <x:v>Learned prototypes / representative cases</x:v>
      </x:c>
      <x:c r="I27" s="1141" t="str">
        <x:v>Prototype/case examples or similarity evidence</x:v>
      </x:c>
      <x:c r="J27" s="1141" t="str">
        <x:v>APTOS, Messidor-2, FGADR, DDR. This projector realigns backbone features with frozen concept prototypes when a new hospital domain arrives with as few as 10 labeled images per grade.</x:v>
      </x:c>
      <x:c r="K27" s="1141" t="str">
        <x:v>No dedicated explanation-quality metric is reported in the abstract; interpretability is supported by the model design and/or qualitative concept, prototype, case, or rule outputs.</x:v>
      </x:c>
      <x:c r="L27" s="1141" t="str">
        <x:v>The proposed method achieves 54.37% average accuracy and 0.48 quadratic weighted kappa after all sessions, outperforming the strongest baseline by 10 percentage points in accuracy while halving forgetting.</x:v>
      </x:c>
      <x:c r="M27" s="1143" t="str">
        <x:v>NR: External validation is not reported in the available abstract evidence.</x:v>
      </x:c>
      <x:c r="N27" s="1143" t="str">
        <x:v>1: Clinical-expert involvement or comparison is mentioned, but its role is limited or incompletely described.</x:v>
      </x:c>
      <x:c r="O27" s="1143" t="str">
        <x:v>NR: Code availability is not reported in the available abstract evidence.</x:v>
      </x:c>
      <x:c r="P27" s="1143" t="str">
        <x:v>Moderate strength / some concerns</x:v>
      </x:c>
      <x:c r="Q27" s="1141" t="str">
        <x:v>No study-specific limitation is reported in the abstract.</x:v>
      </x:c>
      <x:c r="R27" s="1141" t="str">
        <x:v>https://www.spiedigitallibrary.org/conference-proceedings-of-spie/13928/139280X/Mitigating-domain-shift-in-concept-bottleneck-models-for-diabetic-retinopathy/10.1117/12.3088213.full</x:v>
      </x:c>
    </x:row>
    <x:row r="28" ht="103.5" customHeight="1">
      <x:c r="A28" s="1143" t="str">
        <x:v>GS-01-006</x:v>
      </x:c>
      <x:c r="B28" s="1141" t="str">
        <x:v>Concept-Based Lesion Aware Transformer for Interpretable Retinal Disease Diagnosis — CwWer MY2 HLi Tohen (2024)</x:v>
      </x:c>
      <x:c r="C28" s="1141" t="str">
        <x:v>Direct retinal/ophthalmic evidence</x:v>
      </x:c>
      <x:c r="D28" s="1141" t="str">
        <x:v>Other/unclear report type</x:v>
      </x:c>
      <x:c r="E28" s="1141" t="str">
        <x:v>Fundus photography — Retinal disease / lesions</x:v>
      </x:c>
      <x:c r="F28" s="1141" t="str">
        <x:v>Concept bottleneck / embedding / self-explaining</x:v>
      </x:c>
      <x:c r="G28" s="1141" t="str">
        <x:v>Self-explaining / interpretable-by-design model; Other concept-based model (Transformer)</x:v>
      </x:c>
      <x:c r="H28" s="1141" t="str">
        <x:v>Not explicit in abstract</x:v>
      </x:c>
      <x:c r="I28" s="1141" t="str">
        <x:v>Concept/lesion localisation or segmentation map</x:v>
      </x:c>
      <x:c r="J28" s="1141" t="str">
        <x:v>Dataset and sample size not reported in abstract.</x:v>
      </x:c>
      <x:c r="K28" s="1141" t="str">
        <x:v>Experiments conducted on four fundus image datasets demonstrate that our method achieves favorable performance against state-of-the-art methods while providing faithful explanations and enabling concept-level interventions.</x:v>
      </x:c>
      <x:c r="L28" s="1141" t="str">
        <x:v>By integrating with image-level annotations, it achieves the alignment of lesion concepts with human cognition under the guidance of a retinal foundation model. Experiments conducted on four fundus image datasets demonstrate that our method achieves favorable performance against state-of-the-art methods while providing faithful explanations and enabling concept-level interventions.</x:v>
      </x:c>
      <x:c r="M28" s="1143" t="str">
        <x:v>NR: External validation is not reported in the available abstract evidence.</x:v>
      </x:c>
      <x:c r="N28" s="1143" t="str">
        <x:v>1: Clinical-expert involvement or comparison is mentioned, but its role is limited or incompletely described.</x:v>
      </x:c>
      <x:c r="O28" s="1143" t="str">
        <x:v>2: Public code/repository availability is explicitly reported.</x:v>
      </x:c>
      <x:c r="P28" s="1143" t="str">
        <x:v>Moderate strength / some concerns</x:v>
      </x:c>
      <x:c r="Q28" s="1141" t="str">
        <x:v>No study-specific limitation is reported in the abstract.</x:v>
      </x:c>
      <x:c r="R28" s="1141" t="str">
        <x:v>https://pubmed.ncbi.nlm.nih.gov/39012729/</x:v>
      </x:c>
    </x:row>
    <x:row r="29" ht="103.5" customHeight="1">
      <x:c r="A29" s="1143" t="str">
        <x:v>GS-01-007</x:v>
      </x:c>
      <x:c r="B29" s="1141" t="str">
        <x:v>AdaCBM: An Adaptive Concept Bottleneck Model for Explainable and Accurate Diagnosis — TF Chowdhury YMH Phan KLiao MSTo (2024)</x:v>
      </x:c>
      <x:c r="C29" s="1141" t="str">
        <x:v>Contextual medical concept-XAI evidence</x:v>
      </x:c>
      <x:c r="D29" s="1141" t="str">
        <x:v>Other/unclear report type</x:v>
      </x:c>
      <x:c r="E29" s="1141" t="str">
        <x:v>Modality not reported in abstract — Disease/task not reported in abstract</x:v>
      </x:c>
      <x:c r="F29" s="1141" t="str">
        <x:v>Concept bottleneck / embedding / self-explaining</x:v>
      </x:c>
      <x:c r="G29" s="1141" t="str">
        <x:v>Concept bottleneck model; Concept-guided vision-language model</x:v>
      </x:c>
      <x:c r="H29" s="1141" t="str">
        <x:v>Text prompts, reports, or language-grounded concepts</x:v>
      </x:c>
      <x:c r="I29" s="1141" t="str">
        <x:v>Textual rationale and/or concept-grounded localisation</x:v>
      </x:c>
      <x:c r="J29" s="1141" t="str">
        <x:v>Dataset and sample size not reported in abstract.</x:v>
      </x:c>
      <x:c r="K29" s="1141" t="str">
        <x:v>No dedicated explanation-quality metric is reported in the abstract; interpretability is supported by the model design and/or qualitative concept, prototype, case, or rule outputs.</x:v>
      </x:c>
      <x:c r="L29" s="1141" t="str">
        <x:v>While CLIP provides both explainability and zero-shot classification capability, its pre-training on generic image and text data may limit its classification accuracy and applicability to medical image diagnostic tasks, creating a transfer learning problem.</x:v>
      </x:c>
      <x:c r="M29" s="1143" t="str">
        <x:v>NR: External validation is not reported in the available abstract evidence.</x:v>
      </x:c>
      <x:c r="N29" s="1143" t="str">
        <x:v>NR: Ophthalmologist involvement is not reported in the available abstract evidence.</x:v>
      </x:c>
      <x:c r="O29" s="1143" t="str">
        <x:v>NR: Code availability is not reported in the available abstract evidence.</x:v>
      </x:c>
      <x:c r="P29" s="1143" t="str">
        <x:v>Insufficiently reported</x:v>
      </x:c>
      <x:c r="Q29" s="1141" t="str">
        <x:v>No study-specific limitation is reported in the abstract.</x:v>
      </x:c>
      <x:c r="R29" s="1141" t="str">
        <x:v>https://arxiv.org/abs/2408.02001</x:v>
      </x:c>
    </x:row>
    <x:row r="30" ht="103.5" customHeight="1">
      <x:c r="A30" s="1143" t="str">
        <x:v>GS-01-008</x:v>
      </x:c>
      <x:c r="B30" s="1141" t="str">
        <x:v>MVP-CBM:Multi-layer Visual Preference-enhanced Concept Bottleneck Model for Explainable Medical Image Classification — Cyvang Kgharg ¥Liv,2He. X90 (2025)</x:v>
      </x:c>
      <x:c r="C30" s="1141" t="str">
        <x:v>Contextual medical concept-XAI evidence</x:v>
      </x:c>
      <x:c r="D30" s="1141" t="str">
        <x:v>Other/unclear report type</x:v>
      </x:c>
      <x:c r="E30" s="1141" t="str">
        <x:v>Modality not reported in abstract — Disease/task not reported in abstract</x:v>
      </x:c>
      <x:c r="F30" s="1141" t="str">
        <x:v>Concept bottleneck / embedding / self-explaining</x:v>
      </x:c>
      <x:c r="G30" s="1141" t="str">
        <x:v>Concept bottleneck model</x:v>
      </x:c>
      <x:c r="H30" s="1141" t="str">
        <x:v>Supervised or learned intermediate concept layer</x:v>
      </x:c>
      <x:c r="I30" s="1141" t="str">
        <x:v>Intermediate concept predictions and class linkage</x:v>
      </x:c>
      <x:c r="J30" s="1141" t="str">
        <x:v>Dataset and sample size not reported in abstract.</x:v>
      </x:c>
      <x:c r="K30" s="1141" t="str">
        <x:v>No dedicated explanation-quality metric is reported in the abstract; interpretability is supported by the model design and/or qualitative concept, prototype, case, or rule outputs.</x:v>
      </x:c>
      <x:c r="L30" s="1141" t="str">
        <x:v>The concept bottleneck model (CBM), as a technique improving interpretability via linking predictions to human-understandable concepts, makes high-risk and life-critical medical image classification credible. Extensive experiments on several public medical classification benchmarks demonstrate that MVP-CBM achieves state-of-the-art accuracy and interoperability, verifying its superiority.</x:v>
      </x:c>
      <x:c r="M30" s="1143" t="str">
        <x:v>NR: External validation is not reported in the available abstract evidence.</x:v>
      </x:c>
      <x:c r="N30" s="1143" t="str">
        <x:v>NR: Ophthalmologist involvement is not reported in the available abstract evidence.</x:v>
      </x:c>
      <x:c r="O30" s="1143" t="str">
        <x:v>2: Public code/repository availability is explicitly reported.</x:v>
      </x:c>
      <x:c r="P30" s="1143" t="str">
        <x:v>Low strength or major reporting gaps</x:v>
      </x:c>
      <x:c r="Q30" s="1141" t="str">
        <x:v>No study-specific limitation is reported in the abstract.</x:v>
      </x:c>
      <x:c r="R30" s="1141" t="str">
        <x:v>https://arxiv.org/abs/2506.12568</x:v>
      </x:c>
    </x:row>
    <x:row r="31" ht="103.5" customHeight="1">
      <x:c r="A31" s="1143" t="str">
        <x:v>GS-01-009</x:v>
      </x:c>
      <x:c r="B31" s="1141" t="str">
        <x:v>Robust and Interpretable Medical Image Classifiers via Concept Bottleneck Models — AYar YwWang YZhong Zhe, PKarypis (2023)</x:v>
      </x:c>
      <x:c r="C31" s="1141" t="str">
        <x:v>Contextual medical concept-XAI evidence</x:v>
      </x:c>
      <x:c r="D31" s="1141" t="str">
        <x:v>Preprint</x:v>
      </x:c>
      <x:c r="E31" s="1141" t="str">
        <x:v>Modality not reported in abstract — Disease/task not reported in abstract</x:v>
      </x:c>
      <x:c r="F31" s="1141" t="str">
        <x:v>Concept bottleneck / embedding / self-explaining</x:v>
      </x:c>
      <x:c r="G31" s="1141" t="str">
        <x:v>Concept bottleneck model; Concept-guided vision-language model</x:v>
      </x:c>
      <x:c r="H31" s="1141" t="str">
        <x:v>Text prompts, reports, or language-grounded concepts</x:v>
      </x:c>
      <x:c r="I31" s="1141" t="str">
        <x:v>Textual rationale and/or concept-grounded localisation</x:v>
      </x:c>
      <x:c r="J31" s="1141" t="str">
        <x:v>Specifically, we first query clinical concepts from GPT-4, then transform latent image features into explicit concepts with a vision-language model.</x:v>
      </x:c>
      <x:c r="K31" s="1141" t="str">
        <x:v>No dedicated explanation-quality metric is reported in the abstract; interpretability is supported by the model design and/or qualitative concept, prototype, case, or rule outputs.</x:v>
      </x:c>
      <x:c r="L31" s="1141" t="str">
        <x:v>First, neural models tend to learn spurious correlations instead of desired features, which could fall short when generalizing to new domains (e.g., patients with different ages). On challenging datasets with strong confounding factors, our method can mitigate spurious correlations thus substantially outperform standard visual encoders and other baselines.</x:v>
      </x:c>
      <x:c r="M31" s="1143" t="str">
        <x:v>NR: External validation is not reported in the available abstract evidence.</x:v>
      </x:c>
      <x:c r="N31" s="1143" t="str">
        <x:v>NR: Ophthalmologist involvement is not reported in the available abstract evidence.</x:v>
      </x:c>
      <x:c r="O31" s="1143" t="str">
        <x:v>NR: Code availability is not reported in the available abstract evidence.</x:v>
      </x:c>
      <x:c r="P31" s="1143" t="str">
        <x:v>Low strength or major reporting gaps</x:v>
      </x:c>
      <x:c r="Q31" s="1141" t="str">
        <x:v>No study-specific limitation is reported in the abstract.</x:v>
      </x:c>
      <x:c r="R31" s="1141" t="str">
        <x:v>https://arxiv.org/pdf/2310.03182</x:v>
      </x:c>
    </x:row>
    <x:row r="32" ht="103.5" customHeight="1">
      <x:c r="A32" s="1143" t="str">
        <x:v>GS-01-011</x:v>
      </x:c>
      <x:c r="B32" s="1141" t="str">
        <x:v>Learning Optimal Summaries of Clinical Time-Series with Concept Bottleneck Models — CwWu § Parbhso M~avasi -MachineLearnngfor 2022 (2022)</x:v>
      </x:c>
      <x:c r="C32" s="1141" t="str">
        <x:v>Contextual medical concept-XAI evidence</x:v>
      </x:c>
      <x:c r="D32" s="1141" t="str">
        <x:v>Conference paper</x:v>
      </x:c>
      <x:c r="E32" s="1141" t="str">
        <x:v>Clinical time-series — Disease/task not reported in abstract</x:v>
      </x:c>
      <x:c r="F32" s="1141" t="str">
        <x:v>Concept bottleneck / embedding / self-explaining</x:v>
      </x:c>
      <x:c r="G32" s="1141" t="str">
        <x:v>Concept bottleneck model</x:v>
      </x:c>
      <x:c r="H32" s="1141" t="str">
        <x:v>Supervised or learned intermediate concept layer</x:v>
      </x:c>
      <x:c r="I32" s="1141" t="str">
        <x:v>Intermediate concept predictions and class linkage</x:v>
      </x:c>
      <x:c r="J32" s="1141" t="str">
        <x:v>Dataset and sample size not reported in abstract.</x:v>
      </x:c>
      <x:c r="K32" s="1141" t="str">
        <x:v>No dedicated explanation-quality metric is reported in the abstract; interpretability is supported by the model design and/or qualitative concept, prototype, case, or rule outputs.</x:v>
      </x:c>
      <x:c r="L32" s="1141" t="str">
        <x:v>Clinical experts must be able to understand the reasons behind a model’s recommendation before taking action, as it is crucial to assess for criteria other than accuracy, such as trust, safety, fairness, and robustness. On a real-world task of predicting vasopressor onset in ICU units, our algorithm achieves predictive performance comparable to state-of-the-art deep learning models while learning concise groupings conducive for clinical inspection.1</x:v>
      </x:c>
      <x:c r="M32" s="1143" t="str">
        <x:v>NR: External validation is not reported in the available abstract evidence.</x:v>
      </x:c>
      <x:c r="N32" s="1143" t="str">
        <x:v>NR: Ophthalmologist involvement is not reported in the available abstract evidence.</x:v>
      </x:c>
      <x:c r="O32" s="1143" t="str">
        <x:v>NR: Code availability is not reported in the available abstract evidence.</x:v>
      </x:c>
      <x:c r="P32" s="1143" t="str">
        <x:v>Low strength or major reporting gaps</x:v>
      </x:c>
      <x:c r="Q32" s="1141" t="str">
        <x:v>No study-specific limitation is reported in the abstract.</x:v>
      </x:c>
      <x:c r="R32" s="1141" t="str">
        <x:v>https://proceedings.mlr.press/v182/wu22a/wu22a.pdf</x:v>
      </x:c>
    </x:row>
    <x:row r="33" ht="103.5" customHeight="1">
      <x:c r="A33" s="1143" t="str">
        <x:v>GS-01-017</x:v>
      </x:c>
      <x:c r="B33" s="1141" t="str">
        <x:v>Spatially Grounded Concept Bottleneck Models for Trustworthy Breast Ultrasound Diagnosis — MR Tonriey DO She HY Adarbah. ANgere (2026)</x:v>
      </x:c>
      <x:c r="C33" s="1141" t="str">
        <x:v>Contextual medical concept-XAI evidence</x:v>
      </x:c>
      <x:c r="D33" s="1141" t="str">
        <x:v>Preprint</x:v>
      </x:c>
      <x:c r="E33" s="1141" t="str">
        <x:v>Ultrasound — Breast disease / cancer</x:v>
      </x:c>
      <x:c r="F33" s="1141" t="str">
        <x:v>Concept bottleneck / embedding / self-explaining</x:v>
      </x:c>
      <x:c r="G33" s="1141" t="str">
        <x:v>Concept bottleneck model</x:v>
      </x:c>
      <x:c r="H33" s="1141" t="str">
        <x:v>Supervised or learned intermediate concept layer</x:v>
      </x:c>
      <x:c r="I33" s="1141" t="str">
        <x:v>Intermediate concept predictions and class linkage</x:v>
      </x:c>
      <x:c r="J33" s="1141" t="str">
        <x:v>Dataset and sample size not reported in abstract.</x:v>
      </x:c>
      <x:c r="K33" s="1141" t="str">
        <x:v>No dedicated explanation-quality metric is reported in the abstract; interpretability is supported by the model design and/or qualitative concept, prototype, case, or rule outputs.</x:v>
      </x:c>
      <x:c r="L33" s="1141" t="str">
        <x:v>Across five-fold stratified group cross-validation, the proposed SG-CBM improves diagnostic AUROC and concept macro-AUROC while markedly increasing spatial alignment of concept evidence.</x:v>
      </x:c>
      <x:c r="M33" s="1143" t="str">
        <x:v>1: Internal held-out, cross-validation, or multi-dataset evaluation is reported, but institutional independence is unclear.</x:v>
      </x:c>
      <x:c r="N33" s="1143" t="str">
        <x:v>NR: Ophthalmologist involvement is not reported in the available abstract evidence.</x:v>
      </x:c>
      <x:c r="O33" s="1143" t="str">
        <x:v>NR: Code availability is not reported in the available abstract evidence.</x:v>
      </x:c>
      <x:c r="P33" s="1143" t="str">
        <x:v>Low strength or major reporting gaps</x:v>
      </x:c>
      <x:c r="Q33" s="1141" t="str">
        <x:v>No study-specific limitation is reported in the abstract.</x:v>
      </x:c>
      <x:c r="R33" s="1141" t="str">
        <x:v>https://arxiv.org/abs/2607.20691</x:v>
      </x:c>
    </x:row>
    <x:row r="34" ht="103.5" customHeight="1">
      <x:c r="A34" s="1143" t="str">
        <x:v>GS-01-021</x:v>
      </x:c>
      <x:c r="B34" s="1141" t="str">
        <x:v>A concept-based interpretable model for the diagnosis of choroid neoplasias using multimodal data — Yiwu, ¥ iu Y Yang MS Yao W Yang XShi...- Nature. 2025 (2025)</x:v>
      </x:c>
      <x:c r="C34" s="1141" t="str">
        <x:v>Direct retinal/ophthalmic evidence</x:v>
      </x:c>
      <x:c r="D34" s="1141" t="str">
        <x:v>Other/unclear report type</x:v>
      </x:c>
      <x:c r="E34" s="1141" t="str">
        <x:v>Modality not reported in abstract — Choroidal neoplasia / uveal melanoma</x:v>
      </x:c>
      <x:c r="F34" s="1141" t="str">
        <x:v>Other / method not specified in abstract</x:v>
      </x:c>
      <x:c r="G34" s="1141" t="str">
        <x:v>Other concept-based model</x:v>
      </x:c>
      <x:c r="H34" s="1141" t="str">
        <x:v>Ontology, knowledge graph, or symbolic rules</x:v>
      </x:c>
      <x:c r="I34" s="1141" t="str">
        <x:v>Rules, symbolic relations, or graph explanation</x:v>
      </x:c>
      <x:c r="J34" s="1141" t="str">
        <x:v>The dataset encompasses over 750 Asian patients with choroid neoplasm imaging and radiological reports.</x:v>
      </x:c>
      <x:c r="K34" s="1141" t="str">
        <x:v>No dedicated explanation-quality metric is reported in the abstract; interpretability is supported by the model design and/or qualitative concept, prototype, case, or rule outputs.</x:v>
      </x:c>
      <x:c r="L34" s="1141" t="str">
        <x:v>The model integrates domain-expert insights from radiological reports and differentiates three types of choroidal tumours, achieving an F1 score of 0.91. Its performance matches senior ophthalmologists and improves the diagnostic accuracy of less experienced clinicians by 42%.</x:v>
      </x:c>
      <x:c r="M34" s="1143" t="str">
        <x:v>NR: External validation is not reported in the available abstract evidence.</x:v>
      </x:c>
      <x:c r="N34" s="1143" t="str">
        <x:v>1: Clinical-expert involvement or comparison is mentioned, but its role is limited or incompletely described.</x:v>
      </x:c>
      <x:c r="O34" s="1143" t="str">
        <x:v>NR: Code availability is not reported in the available abstract evidence.</x:v>
      </x:c>
      <x:c r="P34" s="1143" t="str">
        <x:v>Moderate strength / some concerns</x:v>
      </x:c>
      <x:c r="Q34" s="1141" t="str">
        <x:v>No study-specific limitation is reported in the abstract.</x:v>
      </x:c>
      <x:c r="R34" s="1141" t="str">
        <x:v>https://pmc.ncbi.nlm.nih.gov/articles/PMC11994757/</x:v>
      </x:c>
    </x:row>
    <x:row r="35" ht="103.5" customHeight="1">
      <x:c r="A35" s="1143" t="str">
        <x:v>GS-01-022</x:v>
      </x:c>
      <x:c r="B35" s="1141" t="str">
        <x:v>Concepts from Neurons: Building Interpretable Medical Image Diagnostic Models by Dissecting Opaque Neural Networks — S Song H Wang X Zhang QO Dou (2025)</x:v>
      </x:c>
      <x:c r="C35" s="1141" t="str">
        <x:v>Contextual medical concept-XAI evidence</x:v>
      </x:c>
      <x:c r="D35" s="1141" t="str">
        <x:v>Other/unclear report type</x:v>
      </x:c>
      <x:c r="E35" s="1141" t="str">
        <x:v>Modality not reported in abstract — Disease/task not reported in abstract</x:v>
      </x:c>
      <x:c r="F35" s="1141" t="str">
        <x:v>Concept bottleneck / embedding / self-explaining</x:v>
      </x:c>
      <x:c r="G35" s="1141" t="str">
        <x:v>Concept bottleneck model</x:v>
      </x:c>
      <x:c r="H35" s="1141" t="str">
        <x:v>Supervised or learned intermediate concept layer</x:v>
      </x:c>
      <x:c r="I35" s="1141" t="str">
        <x:v>Intermediate concept predictions and class linkage</x:v>
      </x:c>
      <x:c r="J35" s="1141" t="str">
        <x:v>Dataset and sample size not reported in abstract.</x:v>
      </x:c>
      <x:c r="K35" s="1141" t="str">
        <x:v>No dedicated explanation-quality metric is reported in the abstract; interpretability is supported by the model design and/or qualitative concept, prototype, case, or rule outputs.</x:v>
      </x:c>
      <x:c r="L35" s="1141" t="str">
        <x:v>Deep learning has achieved remarkable success in medical image analysis, yet its translation to clinical settings is often impeded by the opaque nature of these models.</x:v>
      </x:c>
      <x:c r="M35" s="1143" t="str">
        <x:v>NR: External validation is not reported in the available abstract evidence.</x:v>
      </x:c>
      <x:c r="N35" s="1143" t="str">
        <x:v>NR: Ophthalmologist involvement is not reported in the available abstract evidence.</x:v>
      </x:c>
      <x:c r="O35" s="1143" t="str">
        <x:v>NR: Code availability is not reported in the available abstract evidence.</x:v>
      </x:c>
      <x:c r="P35" s="1143" t="str">
        <x:v>Insufficiently reported</x:v>
      </x:c>
      <x:c r="Q35" s="1141" t="str">
        <x:v>No study-specific limitation is reported in the abstract.</x:v>
      </x:c>
      <x:c r="R35" s="1141" t="str">
        <x:v>https://link.springer.com/chapter/10.1007/978-3-031-96625-5_1</x:v>
      </x:c>
    </x:row>
    <x:row r="36" ht="103.5" customHeight="1">
      <x:c r="A36" s="1143" t="str">
        <x:v>GS-01-028</x:v>
      </x:c>
      <x:c r="B36" s="1141" t="str">
        <x:v>Stable Vision Concept Transformers for Medical Diagnosis — Ley Slai yHua. S$ %ang JZhang (2025)</x:v>
      </x:c>
      <x:c r="C36" s="1141" t="str">
        <x:v>Contextual medical concept-XAI evidence</x:v>
      </x:c>
      <x:c r="D36" s="1141" t="str">
        <x:v>Conference paper</x:v>
      </x:c>
      <x:c r="E36" s="1141" t="str">
        <x:v>Modality not reported in abstract — Disease/task not reported in abstract</x:v>
      </x:c>
      <x:c r="F36" s="1141" t="str">
        <x:v>Concept bottleneck / embedding / self-explaining</x:v>
      </x:c>
      <x:c r="G36" s="1141" t="str">
        <x:v>Concept bottleneck model; Other concept-based model (Vision Transformer, Transformer)</x:v>
      </x:c>
      <x:c r="H36" s="1141" t="str">
        <x:v>Text prompts, reports, or language-grounded concepts</x:v>
      </x:c>
      <x:c r="I36" s="1141" t="str">
        <x:v>Intermediate concept predictions and class linkage</x:v>
      </x:c>
      <x:c r="J36" s="1141" t="str">
        <x:v>Dataset and sample size not reported in abstract.</x:v>
      </x:c>
      <x:c r="K36" s="1141" t="str">
        <x:v>No dedicated explanation-quality metric is reported in the abstract; interpretability is supported by the model design and/or qualitative concept, prototype, case, or rule outputs.</x:v>
      </x:c>
      <x:c r="L36" s="1141" t="str">
        <x:v>Comprehensive experiments on four medical datasets demonstrate that our VCT and SVCT maintain accuracy while remaining interpretable compared to baselines.</x:v>
      </x:c>
      <x:c r="M36" s="1143" t="str">
        <x:v>NR: External validation is not reported in the available abstract evidence.</x:v>
      </x:c>
      <x:c r="N36" s="1143" t="str">
        <x:v>NR: Ophthalmologist involvement is not reported in the available abstract evidence.</x:v>
      </x:c>
      <x:c r="O36" s="1143" t="str">
        <x:v>NR: Code availability is not reported in the available abstract evidence.</x:v>
      </x:c>
      <x:c r="P36" s="1143" t="str">
        <x:v>Insufficiently reported</x:v>
      </x:c>
      <x:c r="Q36" s="1141" t="str">
        <x:v>No study-specific limitation is reported in the abstract.</x:v>
      </x:c>
      <x:c r="R36" s="1141" t="str">
        <x:v>https://arxiv.org/abs/2506.05286</x:v>
      </x:c>
    </x:row>
    <x:row r="37" ht="103.5" customHeight="1">
      <x:c r="A37" s="1143" t="str">
        <x:v>GS-01-029</x:v>
      </x:c>
      <x:c r="B37" s="1141" t="str">
        <x:v>CBVLM: Training-free Explainable Concept-based Large Vision Language Models for Medical Image Classification — C Patricio. |Rio-Toro JS Cardesc LE Teixeira -Compulers in Bology , 2025 (2025)</x:v>
      </x:c>
      <x:c r="C37" s="1141" t="str">
        <x:v>Contextual medical concept-XAI evidence</x:v>
      </x:c>
      <x:c r="D37" s="1141" t="str">
        <x:v>Other/unclear report type</x:v>
      </x:c>
      <x:c r="E37" s="1141" t="str">
        <x:v>Modality not reported in abstract — Disease/task not reported in abstract</x:v>
      </x:c>
      <x:c r="F37" s="1141" t="str">
        <x:v>Concept bottleneck / embedding / self-explaining</x:v>
      </x:c>
      <x:c r="G37" s="1141" t="str">
        <x:v>Concept bottleneck model; Concept-guided vision-language model; Other concept-based model (Retrieval)</x:v>
      </x:c>
      <x:c r="H37" s="1141" t="str">
        <x:v>Text prompts, reports, or language-grounded concepts</x:v>
      </x:c>
      <x:c r="I37" s="1141" t="str">
        <x:v>Textual rationale and/or concept-grounded localisation</x:v>
      </x:c>
      <x:c r="J37" s="1141" t="str">
        <x:v>Dataset and sample size not reported in abstract.</x:v>
      </x:c>
      <x:c r="K37" s="1141" t="str">
        <x:v>No dedicated explanation-quality metric is reported in the abstract; interpretability is supported by the model design and/or qualitative concept, prototype, case, or rule outputs.</x:v>
      </x:c>
      <x:c r="L37" s="1141" t="str">
        <x:v>Then, we ask the LVLM to classify the image based on the previous concept predictions. We validate our approach with extensive experiments across four medical datasets and twelve LVLMs (both generic and medical) and show that CBVLM consistently outperforms CBMs and task-specific supervised methods without requiring any training and using just a few annotated examples.</x:v>
      </x:c>
      <x:c r="M37" s="1143" t="str">
        <x:v>NR: External validation is not reported in the available abstract evidence.</x:v>
      </x:c>
      <x:c r="N37" s="1143" t="str">
        <x:v>NR: Ophthalmologist involvement is not reported in the available abstract evidence.</x:v>
      </x:c>
      <x:c r="O37" s="1143" t="str">
        <x:v>2: Public code/repository availability is explicitly reported.</x:v>
      </x:c>
      <x:c r="P37" s="1143" t="str">
        <x:v>Low strength or major reporting gaps</x:v>
      </x:c>
      <x:c r="Q37" s="1141" t="str">
        <x:v>No study-specific limitation is reported in the abstract.</x:v>
      </x:c>
      <x:c r="R37" s="1141" t="str">
        <x:v>https://arxiv.org/abs/2501.12266</x:v>
      </x:c>
    </x:row>
    <x:row r="38" ht="103.5" customHeight="1">
      <x:c r="A38" s="1143" t="str">
        <x:v>GS-01-035</x:v>
      </x:c>
      <x:c r="B38" s="1141" t="str">
        <x:v>Concept-Aware Adaptive Multimodal Fusion With Knowledge Distillation for Medical Image Diagnosis — JLi XZherg ¥ Zheng YMeng (2025)</x:v>
      </x:c>
      <x:c r="C38" s="1141" t="str">
        <x:v>Contextual medical concept-XAI evidence</x:v>
      </x:c>
      <x:c r="D38" s="1141" t="str">
        <x:v>Other/unclear report type</x:v>
      </x:c>
      <x:c r="E38" s="1141" t="str">
        <x:v>Modality not reported in abstract — Glaucoma; Age-related macular degeneration</x:v>
      </x:c>
      <x:c r="F38" s="1141" t="str">
        <x:v>Vision-language / generative concept model</x:v>
      </x:c>
      <x:c r="G38" s="1141" t="str">
        <x:v>Concept-guided vision-language model; Other concept-based model (Knowledge distillation)</x:v>
      </x:c>
      <x:c r="H38" s="1141" t="str">
        <x:v>Text prompts, reports, or language-grounded concepts</x:v>
      </x:c>
      <x:c r="I38" s="1141" t="str">
        <x:v>Textual rationale and/or concept-grounded localisation</x:v>
      </x:c>
      <x:c r="J38" s="1141" t="str">
        <x:v>Harvard30k-Glaucoma, MMC-AMD, Derm7pt</x:v>
      </x:c>
      <x:c r="K38" s="1141" t="str">
        <x:v>No dedicated explanation-quality metric is reported in the abstract; interpretability is supported by the model design and/or qualitative concept, prototype, case, or rule outputs.</x:v>
      </x:c>
      <x:c r="L38" s="1141" t="str">
        <x:v>Experiments on Derm7pt, MMC-AMD and Harvard30k-Glaucoma show absolute Cohen's kappa improvements of 5.37%, 3.91% and 6.93%, respectively, over state-of-the-art methods.</x:v>
      </x:c>
      <x:c r="M38" s="1143" t="str">
        <x:v>NR: External validation is not reported in the available abstract evidence.</x:v>
      </x:c>
      <x:c r="N38" s="1143" t="str">
        <x:v>NR: Ophthalmologist involvement is not reported in the available abstract evidence.</x:v>
      </x:c>
      <x:c r="O38" s="1143" t="str">
        <x:v>NR: Code availability is not reported in the available abstract evidence.</x:v>
      </x:c>
      <x:c r="P38" s="1143" t="str">
        <x:v>Low strength or major reporting gaps</x:v>
      </x:c>
      <x:c r="Q38" s="1141" t="str">
        <x:v>No study-specific limitation is reported in the abstract.</x:v>
      </x:c>
      <x:c r="R38" s="1141" t="str">
        <x:v>https://pubmed.ncbi.nlm.nih.gov/42154716/</x:v>
      </x:c>
    </x:row>
    <x:row r="39" ht="103.5" customHeight="1">
      <x:c r="A39" s="1143" t="str">
        <x:v>GS-01-036</x:v>
      </x:c>
      <x:c r="B39" s="1141" t="str">
        <x:v>Can Vision-Language Models Enable More Efficient Concept-Based Learning with Less Supervision for Interpretable Lung Nodule Diagnosis? — B Ma D Madz.a-Madzou. J Ouyang K Gilhuys</x:v>
      </x:c>
      <x:c r="C39" s="1141" t="str">
        <x:v>Contextual medical concept-XAI evidence</x:v>
      </x:c>
      <x:c r="D39" s="1141" t="str">
        <x:v>Other/unclear report type</x:v>
      </x:c>
      <x:c r="E39" s="1141" t="str">
        <x:v>CT — Lung nodule / lung cancer</x:v>
      </x:c>
      <x:c r="F39" s="1141" t="str">
        <x:v>Vision-language / generative concept model</x:v>
      </x:c>
      <x:c r="G39" s="1141" t="str">
        <x:v>Concept-guided vision-language model; Other concept-based model</x:v>
      </x:c>
      <x:c r="H39" s="1141" t="str">
        <x:v>Text prompts, reports, or language-grounded concepts</x:v>
      </x:c>
      <x:c r="I39" s="1141" t="str">
        <x:v>Textual rationale and/or concept-grounded localisation</x:v>
      </x:c>
      <x:c r="J39" s="1141" t="str">
        <x:v>Dataset and sample size not reported in abstract.</x:v>
      </x:c>
      <x:c r="K39" s="1141" t="str">
        <x:v>No dedicated explanation-quality metric is reported in the abstract; interpretability is supported by the model design and/or qualitative concept, prototype, case, or rule outputs.</x:v>
      </x:c>
      <x:c r="L39" s="1141" t="str">
        <x:v>The indexed abstract summary reports that VLM-derived concepts can reduce supervision and improve interpretability and diagnostic performance, but are not yet sufficient for fully label-free concept-based learning.</x:v>
      </x:c>
      <x:c r="M39" s="1143" t="str">
        <x:v>NR: External validation is not reported in the available abstract evidence.</x:v>
      </x:c>
      <x:c r="N39" s="1143" t="str">
        <x:v>NR: Ophthalmologist involvement is not reported in the available abstract evidence.</x:v>
      </x:c>
      <x:c r="O39" s="1143" t="str">
        <x:v>NR: Code availability is not reported in the available abstract evidence.</x:v>
      </x:c>
      <x:c r="P39" s="1143" t="str">
        <x:v>Insufficiently reported</x:v>
      </x:c>
      <x:c r="Q39" s="1141" t="str">
        <x:v>The indexed abstract summary reports that VLM-derived concepts can reduce supervision and improve interpretability and diagnostic performance, but are not yet sufficient for fully label-free concept-based learning.</x:v>
      </x:c>
      <x:c r="R39" s="1141" t="str">
        <x:v>https://openreview.net/forum?id=OyOHg986R5</x:v>
      </x:c>
    </x:row>
    <x:row r="40" ht="103.5" customHeight="1">
      <x:c r="A40" s="1143" t="str">
        <x:v>GS-01-037</x:v>
      </x:c>
      <x:c r="B40" s="1141" t="str">
        <x:v>Training-free Test-time Improvement for Explainable Medical Image Classification — HHe J Tang. Ztu. K Li ¥ Lu (2025)</x:v>
      </x:c>
      <x:c r="C40" s="1141" t="str">
        <x:v>Contextual medical concept-XAI evidence</x:v>
      </x:c>
      <x:c r="D40" s="1141" t="str">
        <x:v>Other/unclear report type</x:v>
      </x:c>
      <x:c r="E40" s="1141" t="str">
        <x:v>Modality not reported in abstract — Disease/task not reported in abstract</x:v>
      </x:c>
      <x:c r="F40" s="1141" t="str">
        <x:v>Concept bottleneck / embedding / self-explaining</x:v>
      </x:c>
      <x:c r="G40" s="1141" t="str">
        <x:v>Concept bottleneck model</x:v>
      </x:c>
      <x:c r="H40" s="1141" t="str">
        <x:v>Supervised or learned intermediate concept layer</x:v>
      </x:c>
      <x:c r="I40" s="1141" t="str">
        <x:v>Intermediate concept predictions and class linkage</x:v>
      </x:c>
      <x:c r="J40" s="1141" t="str">
        <x:v>By leveraging minimal new data (e.g., 4 images per class) with only image-level labels, our approach enhances out-of-domain performance without sacrificing source domain accuracy through two key operations: masking misactivated confounding concepts and amplifying under-activated discriminative concepts.</x:v>
      </x:c>
      <x:c r="K40" s="1141" t="str">
        <x:v>No dedicated explanation-quality metric is reported in the abstract; interpretability is supported by the model design and/or qualitative concept, prototype, case, or rule outputs.</x:v>
      </x:c>
      <x:c r="L40" s="1141" t="str">
        <x:v>Furthermore, since CBM training requires explicit concept annotations, fine-tuning models solely with image-level labels could compromise concept prediction accuracy and faithfulness - a critical limitation given the high cost of acquiring expert-annotated concept labels in medical domains. By leveraging minimal new data (e.g., 4 images per class) with only image-level labels, our approach enhances out-of-domain performance without sacrificing source domain accuracy through two key operations: masking misactivated confounding concepts and amplifying under-activated discriminative concepts.</x:v>
      </x:c>
      <x:c r="M40" s="1143" t="str">
        <x:v>NR: External validation is not reported in the available abstract evidence.</x:v>
      </x:c>
      <x:c r="N40" s="1143" t="str">
        <x:v>NR: Ophthalmologist involvement is not reported in the available abstract evidence.</x:v>
      </x:c>
      <x:c r="O40" s="1143" t="str">
        <x:v>2: Public code/repository availability is explicitly reported.</x:v>
      </x:c>
      <x:c r="P40" s="1143" t="str">
        <x:v>Low strength or major reporting gaps</x:v>
      </x:c>
      <x:c r="Q40" s="1141" t="str">
        <x:v>No study-specific limitation is reported in the abstract.</x:v>
      </x:c>
      <x:c r="R40" s="1141" t="str">
        <x:v>https://arxiv.org/abs/2506.18070</x:v>
      </x:c>
    </x:row>
    <x:row r="41" ht="103.5" customHeight="1">
      <x:c r="A41" s="1143" t="str">
        <x:v>GS-01-040</x:v>
      </x:c>
      <x:c r="B41" s="1141" t="str">
        <x:v>ConceptSMILE: Auditing the Trustworthiness of Concept-Based Explainable AI — M Mo-lapowr. KAslanselat 2Dehghani (2026)</x:v>
      </x:c>
      <x:c r="C41" s="1141" t="str">
        <x:v>Contextual medical concept-XAI evidence</x:v>
      </x:c>
      <x:c r="D41" s="1141" t="str">
        <x:v>Preprint</x:v>
      </x:c>
      <x:c r="E41" s="1141" t="str">
        <x:v>Fundus photography — Disease/task not reported in abstract</x:v>
      </x:c>
      <x:c r="F41" s="1141" t="str">
        <x:v>Vision-language / generative concept model</x:v>
      </x:c>
      <x:c r="G41" s="1141" t="str">
        <x:v>Concept-guided vision-language model; Other concept-based model</x:v>
      </x:c>
      <x:c r="H41" s="1141" t="str">
        <x:v>Text prompts, reports, or language-grounded concepts</x:v>
      </x:c>
      <x:c r="I41" s="1141" t="str">
        <x:v>Textual rationale and/or concept-grounded localisation</x:v>
      </x:c>
      <x:c r="J41" s="1141" t="str">
        <x:v>Dataset and sample size not reported in abstract.</x:v>
      </x:c>
      <x:c r="K41" s="1141" t="str">
        <x:v>Reliability is assessed through attribution accuracy, surrogate fidelity, faithfulness, stability, and consistency. Results show that reliability varies across concepts and pathways: MedSAM achieves stronger spatial attribution and the highest surrogate fidelity ($R^2 = 0.8503$, $R_w^2 = 0.8465$), while the VLM pathway shows stronger vessel faithfulness and stronger stability under selected artefact conditions.</x:v>
      </x:c>
      <x:c r="L41" s="1141" t="str">
        <x:v>Reliability is assessed through attribution accuracy, surrogate fidelity, faithfulness, stability, and consistency. Results show that reliability varies across concepts and pathways: MedSAM achieves stronger spatial attribution and the highest surrogate fidelity ($R^2 = 0.8503$, $R_w^2 = 0.8465$), while the VLM pathway shows stronger vessel faithfulness and stronger stability under selected artefact conditions.</x:v>
      </x:c>
      <x:c r="M41" s="1143" t="str">
        <x:v>NR: External validation is not reported in the available abstract evidence.</x:v>
      </x:c>
      <x:c r="N41" s="1143" t="str">
        <x:v>NR: Ophthalmologist involvement is not reported in the available abstract evidence.</x:v>
      </x:c>
      <x:c r="O41" s="1143" t="str">
        <x:v>NR: Code availability is not reported in the available abstract evidence.</x:v>
      </x:c>
      <x:c r="P41" s="1143" t="str">
        <x:v>Low strength or major reporting gaps</x:v>
      </x:c>
      <x:c r="Q41" s="1141" t="str">
        <x:v>No study-specific limitation is reported in the abstract.</x:v>
      </x:c>
      <x:c r="R41" s="1141" t="str">
        <x:v>https://arxiv.org/pdf/2607.09649</x:v>
      </x:c>
    </x:row>
    <x:row r="42" ht="103.5" customHeight="1">
      <x:c r="A42" s="1143" t="str">
        <x:v>GS-01-046</x:v>
      </x:c>
      <x:c r="B42" s="1141" t="str">
        <x:v>A Concept-based approach to Voice Disorder Detection — 2Gha GCwayegra AKoudonas MFantni (2025)</x:v>
      </x:c>
      <x:c r="C42" s="1141" t="str">
        <x:v>Contextual medical concept-XAI evidence</x:v>
      </x:c>
      <x:c r="D42" s="1141" t="str">
        <x:v>Other/unclear report type</x:v>
      </x:c>
      <x:c r="E42" s="1141" t="str">
        <x:v>Voice / audio — Voice disorder</x:v>
      </x:c>
      <x:c r="F42" s="1141" t="str">
        <x:v>Concept bottleneck / embedding / self-explaining</x:v>
      </x:c>
      <x:c r="G42" s="1141" t="str">
        <x:v>Concept bottleneck model; Concept embedding model; Other concept-based model</x:v>
      </x:c>
      <x:c r="H42" s="1141" t="str">
        <x:v>Supervised or learned intermediate concept layer</x:v>
      </x:c>
      <x:c r="I42" s="1141" t="str">
        <x:v>Intermediate concept predictions and class linkage</x:v>
      </x:c>
      <x:c r="J42" s="1141" t="str">
        <x:v>Dataset and sample size not reported in abstract.</x:v>
      </x:c>
      <x:c r="K42" s="1141" t="str">
        <x:v>No dedicated explanation-quality metric is reported in the abstract; interpretability is supported by the model design and/or qualitative concept, prototype, case, or rule outputs.</x:v>
      </x:c>
      <x:c r="L42" s="1141" t="str">
        <x:v>This paper investigates an alternative approach based on Explainable AI (XAI), a field that aims to improve the interpretability of DNNs by providing different forms of explanations. Specifically, this works focuses on concept-based models such as Concept Bottleneck Model (CBM) and Concept Embedding Model (CEM) and how they can achieve performance comparable to traditional deep learning methods, while offering a more transparent and interpretable decision framework.</x:v>
      </x:c>
      <x:c r="M42" s="1143" t="str">
        <x:v>NR: External validation is not reported in the available abstract evidence.</x:v>
      </x:c>
      <x:c r="N42" s="1143" t="str">
        <x:v>NR: Ophthalmologist involvement is not reported in the available abstract evidence.</x:v>
      </x:c>
      <x:c r="O42" s="1143" t="str">
        <x:v>NR: Code availability is not reported in the available abstract evidence.</x:v>
      </x:c>
      <x:c r="P42" s="1143" t="str">
        <x:v>Insufficiently reported</x:v>
      </x:c>
      <x:c r="Q42" s="1141" t="str">
        <x:v>No study-specific limitation is reported in the abstract.</x:v>
      </x:c>
      <x:c r="R42" s="1141" t="str">
        <x:v>https://arxiv.org/abs/2507.17799</x:v>
      </x:c>
    </x:row>
    <x:row r="43" ht="103.5" customHeight="1">
      <x:c r="A43" s="1143" t="str">
        <x:v>GS-01-048</x:v>
      </x:c>
      <x:c r="B43" s="1141" t="str">
        <x:v>CONAN: CONcept-Oriented ANomaly Detector for Interpretable Zero-Shot Detection — Ylee Eleo JKwon, See KKim S¥u_ -Faciic-Asia Conference = 2026 (2026)</x:v>
      </x:c>
      <x:c r="C43" s="1141" t="str">
        <x:v>Contextual medical concept-XAI evidence</x:v>
      </x:c>
      <x:c r="D43" s="1141" t="str">
        <x:v>Other/unclear report type</x:v>
      </x:c>
      <x:c r="E43" s="1141" t="str">
        <x:v>Modality not reported in abstract — Disease/task not reported in abstract</x:v>
      </x:c>
      <x:c r="F43" s="1141" t="str">
        <x:v>Concept bottleneck / embedding / self-explaining</x:v>
      </x:c>
      <x:c r="G43" s="1141" t="str">
        <x:v>Concept bottleneck model; Concept-guided vision-language model</x:v>
      </x:c>
      <x:c r="H43" s="1141" t="str">
        <x:v>Text prompts, reports, or language-grounded concepts</x:v>
      </x:c>
      <x:c r="I43" s="1141" t="str">
        <x:v>Textual rationale and/or concept-grounded localisation</x:v>
      </x:c>
      <x:c r="J43" s="1141" t="str">
        <x:v>Dataset and sample size not reported in abstract.</x:v>
      </x:c>
      <x:c r="K43" s="1141" t="str">
        <x:v>No dedicated explanation-quality metric is reported in the abstract; interpretability is supported by the model design and/or qualitative concept, prototype, case, or rule outputs.</x:v>
      </x:c>
      <x:c r="L43" s="1141" t="str">
        <x:v>No quantitative result is reported in the abstract.</x:v>
      </x:c>
      <x:c r="M43" s="1143" t="str">
        <x:v>NR: External validation is not reported in the available abstract evidence.</x:v>
      </x:c>
      <x:c r="N43" s="1143" t="str">
        <x:v>NR: Ophthalmologist involvement is not reported in the available abstract evidence.</x:v>
      </x:c>
      <x:c r="O43" s="1143" t="str">
        <x:v>NR: Code availability is not reported in the available abstract evidence.</x:v>
      </x:c>
      <x:c r="P43" s="1143" t="str">
        <x:v>Low strength or major reporting gaps</x:v>
      </x:c>
      <x:c r="Q43" s="1141" t="str">
        <x:v>No study-specific limitation is reported in the abstract.</x:v>
      </x:c>
      <x:c r="R43" s="1141" t="str">
        <x:v>https://link.springer.com/10.1007/978-981-92-1947-6_44</x:v>
      </x:c>
    </x:row>
    <x:row r="44" ht="103.5" customHeight="1">
      <x:c r="A44" s="1143" t="str">
        <x:v>GS-01-050</x:v>
      </x:c>
      <x:c r="B44" s="1141" t="str">
        <x:v>NeRD: Neuro-Symbolic Rule Distillation for Efficient Ontology-Grounded Chain-of-Thought in Medical Image Diagnosis — HYang Yuigng SYai s Crow ELI, CO Poon (2026)</x:v>
      </x:c>
      <x:c r="C44" s="1141" t="str">
        <x:v>Contextual medical concept-XAI evidence</x:v>
      </x:c>
      <x:c r="D44" s="1141" t="str">
        <x:v>Preprint</x:v>
      </x:c>
      <x:c r="E44" s="1141" t="str">
        <x:v>Modality not reported in abstract — Disease/task not reported in abstract</x:v>
      </x:c>
      <x:c r="F44" s="1141" t="str">
        <x:v>Concept bottleneck / embedding / self-explaining</x:v>
      </x:c>
      <x:c r="G44" s="1141" t="str">
        <x:v>Concept bottleneck model; Neuro-symbolic AI; Ontology / knowledge-guided explanation</x:v>
      </x:c>
      <x:c r="H44" s="1141" t="str">
        <x:v>Ontology, knowledge graph, or symbolic rules</x:v>
      </x:c>
      <x:c r="I44" s="1141" t="str">
        <x:v>Rules, symbolic relations, or graph explanation</x:v>
      </x:c>
      <x:c r="J44" s="1141" t="str">
        <x:v>Dataset and sample size not reported in abstract.</x:v>
      </x:c>
      <x:c r="K44" s="1141" t="str">
        <x:v>No dedicated explanation-quality metric is reported in the abstract; interpretability is supported by the model design and/or qualitative concept, prototype, case, or rule outputs.</x:v>
      </x:c>
      <x:c r="L44" s="1141" t="str">
        <x:v>Our method further enables a first expert-in-the-loop study for Multimodal Chain-of-Thought-based diagnosis, achieving efficient and effective concept-level intervention.</x:v>
      </x:c>
      <x:c r="M44" s="1143" t="str">
        <x:v>NR: External validation is not reported in the available abstract evidence.</x:v>
      </x:c>
      <x:c r="N44" s="1143" t="str">
        <x:v>1: Clinical-expert involvement or comparison is mentioned, but its role is limited or incompletely described.</x:v>
      </x:c>
      <x:c r="O44" s="1143" t="str">
        <x:v>NR: Code availability is not reported in the available abstract evidence.</x:v>
      </x:c>
      <x:c r="P44" s="1143" t="str">
        <x:v>Low strength or major reporting gaps</x:v>
      </x:c>
      <x:c r="Q44" s="1141" t="str">
        <x:v>No study-specific limitation is reported in the abstract.</x:v>
      </x:c>
      <x:c r="R44" s="1141" t="str">
        <x:v>https://arxiv.org/abs/2606.15617</x:v>
      </x:c>
    </x:row>
    <x:row r="45" ht="103.5" customHeight="1">
      <x:c r="A45" s="1143" t="str">
        <x:v>GS-01-052</x:v>
      </x:c>
      <x:c r="B45" s="1141" t="str">
        <x:v>ViConEx-Med: Visual Concept Explainability via Multi-Concept Token Transformer for Medical Image Analysis — C Patricio. .F Teixeis .C Neves (2025)</x:v>
      </x:c>
      <x:c r="C45" s="1141" t="str">
        <x:v>Contextual medical concept-XAI evidence</x:v>
      </x:c>
      <x:c r="D45" s="1141" t="str">
        <x:v>Preprint</x:v>
      </x:c>
      <x:c r="E45" s="1141" t="str">
        <x:v>Modality not reported in abstract — Disease/task not reported in abstract</x:v>
      </x:c>
      <x:c r="F45" s="1141" t="str">
        <x:v>Concept bottleneck / embedding / self-explaining</x:v>
      </x:c>
      <x:c r="G45" s="1141" t="str">
        <x:v>Self-explaining / interpretable-by-design model; Other concept-based model (Transformer)</x:v>
      </x:c>
      <x:c r="H45" s="1141" t="str">
        <x:v>Not explicit in abstract</x:v>
      </x:c>
      <x:c r="I45" s="1141" t="str">
        <x:v>Concept/lesion localisation or segmentation map</x:v>
      </x:c>
      <x:c r="J45" s="1141" t="str">
        <x:v>Dataset and sample size not reported in abstract.</x:v>
      </x:c>
      <x:c r="K45" s="1141" t="str">
        <x:v>No dedicated explanation-quality metric is reported in the abstract; interpretability is supported by the model design and/or qualitative concept, prototype, case, or rule outputs.</x:v>
      </x:c>
      <x:c r="L45" s="1141" t="str">
        <x:v>Experiments on both synthetic and real-world medical datasets demonstrate that ViConEx-Med outperforms prior concept-based models and achieves competitive performance with black-box models in terms of both concept detection and localization precision. Our results suggest a promising direction for building inherently interpretable models grounded in visual concepts.</x:v>
      </x:c>
      <x:c r="M45" s="1143" t="str">
        <x:v>NR: External validation is not reported in the available abstract evidence.</x:v>
      </x:c>
      <x:c r="N45" s="1143" t="str">
        <x:v>NR: Ophthalmologist involvement is not reported in the available abstract evidence.</x:v>
      </x:c>
      <x:c r="O45" s="1143" t="str">
        <x:v>2: Public code/repository availability is explicitly reported.</x:v>
      </x:c>
      <x:c r="P45" s="1143" t="str">
        <x:v>Low strength or major reporting gaps</x:v>
      </x:c>
      <x:c r="Q45" s="1141" t="str">
        <x:v>No study-specific limitation is reported in the abstract.</x:v>
      </x:c>
      <x:c r="R45" s="1141" t="str">
        <x:v>https://arxiv.org/abs/2510.10174</x:v>
      </x:c>
    </x:row>
    <x:row r="46" ht="103.5" customHeight="1">
      <x:c r="A46" s="1143" t="str">
        <x:v>GS-01-054</x:v>
      </x:c>
      <x:c r="B46" s="1141" t="str">
        <x:v>XDR-LVLM: An Explainable Vision-Language Large Model for Diabetic Retinopathy Diagnosis — M lio. K Tanaka K Matsuds. A Nakaysma (2025)</x:v>
      </x:c>
      <x:c r="C46" s="1141" t="str">
        <x:v>Direct retinal/ophthalmic evidence</x:v>
      </x:c>
      <x:c r="D46" s="1141" t="str">
        <x:v>Preprint</x:v>
      </x:c>
      <x:c r="E46" s="1141" t="str">
        <x:v>Fundus photography — Diabetic retinopathy; Retinal disease / lesions</x:v>
      </x:c>
      <x:c r="F46" s="1141" t="str">
        <x:v>Vision-language / generative concept model</x:v>
      </x:c>
      <x:c r="G46" s="1141" t="str">
        <x:v>Concept-guided vision-language model</x:v>
      </x:c>
      <x:c r="H46" s="1141" t="str">
        <x:v>Text prompts, reports, or language-grounded concepts</x:v>
      </x:c>
      <x:c r="I46" s="1141" t="str">
        <x:v>Textual rationale and/or concept-grounded localisation</x:v>
      </x:c>
      <x:c r="J46" s="1141" t="str">
        <x:v>DDR. Extensive experiments on the Diabetic Retinopathy (DDR) dataset demonstrate that XDR-LVLM achieves state-of-the-art performance, with a Balanced Accuracy of 84.55% and an F1 Score of 79.92% for disease diagnosis, and superior results for concept detection (77.95% BACC, 66.88% F1).</x:v>
      </x:c>
      <x:c r="K46" s="1141" t="str">
        <x:v>Furthermore, human evaluations confirm the high fluency, accuracy, and clinical utility of the generated explanations, showcasing XDR-LVLM's ability to bridge the gap between automated diagnosis and clinical needs by providing robust and interpretable insights.</x:v>
      </x:c>
      <x:c r="L46" s="1141" t="str">
        <x:v>Extensive experiments on the Diabetic Retinopathy (DDR) dataset demonstrate that XDR-LVLM achieves state-of-the-art performance, with a Balanced Accuracy of 84.55% and an F1 Score of 79.92% for disease diagnosis, and superior results for concept detection (77.95% BACC, 66.88% F1). Furthermore, human evaluations confirm the high fluency, accuracy, and clinical utility of the generated explanations, showcasing XDR-LVLM's ability to bridge the gap between automated diagnosis and clinical needs by providing robust and interpretable insights.</x:v>
      </x:c>
      <x:c r="M46" s="1143" t="str">
        <x:v>NR: External validation is not reported in the available abstract evidence.</x:v>
      </x:c>
      <x:c r="N46" s="1143" t="str">
        <x:v>NR: Ophthalmologist involvement is not reported in the available abstract evidence.</x:v>
      </x:c>
      <x:c r="O46" s="1143" t="str">
        <x:v>NR: Code availability is not reported in the available abstract evidence.</x:v>
      </x:c>
      <x:c r="P46" s="1143" t="str">
        <x:v>Low strength or major reporting gaps</x:v>
      </x:c>
      <x:c r="Q46" s="1141" t="str">
        <x:v>No study-specific limitation is reported in the abstract.</x:v>
      </x:c>
      <x:c r="R46" s="1141" t="str">
        <x:v>https://arxiv.org/abs/2508.15168</x:v>
      </x:c>
    </x:row>
    <x:row r="47" ht="103.5" customHeight="1">
      <x:c r="A47" s="1143" t="str">
        <x:v>GS-01-055</x:v>
      </x:c>
      <x:c r="B47" s="1141" t="str">
        <x:v>Explainability Through Human-Centric Design for XAI in Lung Cancer Detection — ARafery RRamags: 4 Rajan (2025)</x:v>
      </x:c>
      <x:c r="C47" s="1141" t="str">
        <x:v>Contextual medical concept-XAI evidence</x:v>
      </x:c>
      <x:c r="D47" s="1141" t="str">
        <x:v>Preprint</x:v>
      </x:c>
      <x:c r="E47" s="1141" t="str">
        <x:v>X-ray — Lung nodule / lung cancer</x:v>
      </x:c>
      <x:c r="F47" s="1141" t="str">
        <x:v>Concept bottleneck / embedding / self-explaining</x:v>
      </x:c>
      <x:c r="G47" s="1141" t="str">
        <x:v>Concept bottleneck model</x:v>
      </x:c>
      <x:c r="H47" s="1141" t="str">
        <x:v>Automatically discovered latent concepts</x:v>
      </x:c>
      <x:c r="I47" s="1141" t="str">
        <x:v>Intermediate concept predictions and class linkage</x:v>
      </x:c>
      <x:c r="J47" s="1141" t="str">
        <x:v>Using a high-performing InceptionV3-based classifier and a public dataset of chest X-rays with radiology reports, we compare XpertXAI against leading post-hoc explainability methods and an unsupervised CBM, XCBs.</x:v>
      </x:c>
      <x:c r="K47" s="1141" t="str">
        <x:v>No dedicated explanation-quality metric is reported in the abstract; interpretability is supported by the model design and/or qualitative concept, prototype, case, or rule outputs.</x:v>
      </x:c>
      <x:c r="L47" s="1141" t="str">
        <x:v>Using a high-performing InceptionV3-based classifier and a public dataset of chest X-rays with radiology reports, we compare XpertXAI against leading post-hoc explainability methods and an unsupervised CBM, XCBs. XpertXAI not only outperforms these baselines in predictive accuracy but also delivers concept-level explanations that better align with expert reasoning.</x:v>
      </x:c>
      <x:c r="M47" s="1143" t="str">
        <x:v>NR: External validation is not reported in the available abstract evidence.</x:v>
      </x:c>
      <x:c r="N47" s="1143" t="str">
        <x:v>1: Clinical-expert involvement or comparison is mentioned, but its role is limited or incompletely described.</x:v>
      </x:c>
      <x:c r="O47" s="1143" t="str">
        <x:v>NR: Code availability is not reported in the available abstract evidence.</x:v>
      </x:c>
      <x:c r="P47" s="1143" t="str">
        <x:v>Moderate strength / some concerns</x:v>
      </x:c>
      <x:c r="Q47" s="1141" t="str">
        <x:v>No study-specific limitation is reported in the abstract.</x:v>
      </x:c>
      <x:c r="R47" s="1141" t="str">
        <x:v>https://arxiv.org/abs/2505.09755</x:v>
      </x:c>
    </x:row>
    <x:row r="48" ht="103.5" customHeight="1">
      <x:c r="A48" s="1143" t="str">
        <x:v>GS-01-056</x:v>
      </x:c>
      <x:c r="B48" s="1141" t="str">
        <x:v>Semi-Supervised Concept Infused Pseudo-Label Refining for Interpretable Diabetic Retinopathy Grading — ¥ Gao Ci\¥en, 4h QTan Ye (2026)</x:v>
      </x:c>
      <x:c r="C48" s="1141" t="str">
        <x:v>Direct retinal/ophthalmic evidence</x:v>
      </x:c>
      <x:c r="D48" s="1141" t="str">
        <x:v>Other/unclear report type</x:v>
      </x:c>
      <x:c r="E48" s="1141" t="str">
        <x:v>Modality not reported in abstract — Diabetic retinopathy; Retinal disease / lesions</x:v>
      </x:c>
      <x:c r="F48" s="1141" t="str">
        <x:v>Other / method not specified in abstract</x:v>
      </x:c>
      <x:c r="G48" s="1141" t="str">
        <x:v>Other concept-based model</x:v>
      </x:c>
      <x:c r="H48" s="1141" t="str">
        <x:v>Not explicit in abstract</x:v>
      </x:c>
      <x:c r="I48" s="1141" t="str">
        <x:v>Not reported in abstract</x:v>
      </x:c>
      <x:c r="J48" s="1141" t="str">
        <x:v>Dataset and sample size not reported in abstract.</x:v>
      </x:c>
      <x:c r="K48" s="1141" t="str">
        <x:v>No dedicated explanation-quality metric is reported in the abstract; interpretability is supported by the model design and/or qualitative concept, prototype, case, or rule outputs.</x:v>
      </x:c>
      <x:c r="L48" s="1141" t="str">
        <x:v>No quantitative result is reported in the abstract.</x:v>
      </x:c>
      <x:c r="M48" s="1143" t="str">
        <x:v>1: Internal held-out, cross-validation, or multi-dataset evaluation is reported, but institutional independence is unclear.</x:v>
      </x:c>
      <x:c r="N48" s="1143" t="str">
        <x:v>NR: Ophthalmologist involvement is not reported in the available abstract evidence.</x:v>
      </x:c>
      <x:c r="O48" s="1143" t="str">
        <x:v>NR: Code availability is not reported in the available abstract evidence.</x:v>
      </x:c>
      <x:c r="P48" s="1143" t="str">
        <x:v>Low strength or major reporting gaps</x:v>
      </x:c>
      <x:c r="Q48" s="1141" t="str">
        <x:v>No study-specific limitation is reported in the abstract.</x:v>
      </x:c>
      <x:c r="R48" s="1141" t="str">
        <x:v>https://doi.org/10.1109/ICASSP55912.2026.11462792</x:v>
      </x:c>
    </x:row>
    <x:row r="49" ht="103.5" customHeight="1">
      <x:c r="A49" s="1143" t="str">
        <x:v>GS-01-058</x:v>
      </x:c>
      <x:c r="B49" s="1141" t="str">
        <x:v>Open-Linguistic Concept Unified Learning for Cross-Site Interpretable Dermatology Image Diagnosis — Cy ddan luo, Wang Vien (2026)</x:v>
      </x:c>
      <x:c r="C49" s="1141" t="str">
        <x:v>Contextual medical concept-XAI evidence</x:v>
      </x:c>
      <x:c r="D49" s="1141" t="str">
        <x:v>Preprint</x:v>
      </x:c>
      <x:c r="E49" s="1141" t="str">
        <x:v>Dermoscopy / skin imaging — Skin lesions / melanoma</x:v>
      </x:c>
      <x:c r="F49" s="1141" t="str">
        <x:v>Prototype- or case-based</x:v>
      </x:c>
      <x:c r="G49" s="1141" t="str">
        <x:v>Prototype-based / prototypical learning; Concept-guided vision-language model; Other concept-based model</x:v>
      </x:c>
      <x:c r="H49" s="1141" t="str">
        <x:v>Learned prototypes / representative cases</x:v>
      </x:c>
      <x:c r="I49" s="1141" t="str">
        <x:v>Prototype/case examples or similarity evidence</x:v>
      </x:c>
      <x:c r="J49" s="1141" t="str">
        <x:v>Dataset and sample size not reported in abstract.</x:v>
      </x:c>
      <x:c r="K49" s="1141" t="str">
        <x:v>No dedicated explanation-quality metric is reported in the abstract; interpretability is supported by the model design and/or qualitative concept, prototype, case, or rule outputs.</x:v>
      </x:c>
      <x:c r="L49" s="1141" t="str">
        <x:v>UniCon resolves these challenges through three contributions: (1) A shared semantic representation space via a unified concept prototype codebook, seamlessly coordinating heterogeneous concept systems across modalities without dataset-specific retraining. (2) Open-linguistic based multi-faceted semantic specifications to overcome sparse textual label limitations, improving boundary sensitivity in uncertain clinical contexts. (3) A robust, cross-site adjustable intervention interface powered by reliability-gated bottleneck aggregation, enabling consistent reasoning and transferable clinician corrections. Extensive experiments demonstrate that beyond securing top-tier diagnostic accuracy, UniCon successfully bridges disparate clinical taxonomies, unlocking unprecedented cross-site intervention capabilities.</x:v>
      </x:c>
      <x:c r="M49" s="1143" t="str">
        <x:v>2: Independent/external or cross-site validation is explicitly reported.</x:v>
      </x:c>
      <x:c r="N49" s="1143" t="str">
        <x:v>1: Clinical-expert involvement or comparison is mentioned, but its role is limited or incompletely described.</x:v>
      </x:c>
      <x:c r="O49" s="1143" t="str">
        <x:v>2: Public code/repository availability is explicitly reported.</x:v>
      </x:c>
      <x:c r="P49" s="1143" t="str">
        <x:v>Moderate strength / some concerns</x:v>
      </x:c>
      <x:c r="Q49" s="1141" t="str">
        <x:v>No study-specific limitation is reported in the abstract.</x:v>
      </x:c>
      <x:c r="R49" s="1141" t="str">
        <x:v>https://arxiv.org/abs/2608.03225</x:v>
      </x:c>
    </x:row>
    <x:row r="50" ht="103.5" customHeight="1">
      <x:c r="A50" s="1143" t="str">
        <x:v>GS-01-062</x:v>
      </x:c>
      <x:c r="B50" s="1141" t="str">
        <x:v>Aligning Human Knowledge with Visual Concepts Towards Explainable Medical Image Classification — ¥Gae.D Gu MZhot DO Metaxas (2024)</x:v>
      </x:c>
      <x:c r="C50" s="1141" t="str">
        <x:v>Contextual medical concept-XAI evidence</x:v>
      </x:c>
      <x:c r="D50" s="1141" t="str">
        <x:v>Conference paper</x:v>
      </x:c>
      <x:c r="E50" s="1141" t="str">
        <x:v>Modality not reported in abstract — Disease/task not reported in abstract</x:v>
      </x:c>
      <x:c r="F50" s="1141" t="str">
        <x:v>Vision-language / generative concept model</x:v>
      </x:c>
      <x:c r="G50" s="1141" t="str">
        <x:v>Concept-guided vision-language model</x:v>
      </x:c>
      <x:c r="H50" s="1141" t="str">
        <x:v>Text prompts, reports, or language-grounded concepts</x:v>
      </x:c>
      <x:c r="I50" s="1141" t="str">
        <x:v>Textual rationale and/or concept-grounded localisation</x:v>
      </x:c>
      <x:c r="J50" s="1141" t="str">
        <x:v>Dataset and sample size not reported in abstract.</x:v>
      </x:c>
      <x:c r="K50" s="1141" t="str">
        <x:v>No dedicated explanation-quality metric is reported in the abstract; interpretability is supported by the model design and/or qualitative concept, prototype, case, or rule outputs.</x:v>
      </x:c>
      <x:c r="L50" s="1141" t="str">
        <x:v>Explicd initiates its process by querying domain knowledge from either large language models (LLMs) or human experts to establish diagnostic criteria across various concept axes (e.g., color, shape, texture, or specific patterns of diseases). Through extensive evaluation of five medical image classification benchmarks, Explicd has demonstrated its inherent explainability and extends to improve classification performance compared to traditional black-box models.</x:v>
      </x:c>
      <x:c r="M50" s="1143" t="str">
        <x:v>NR: External validation is not reported in the available abstract evidence.</x:v>
      </x:c>
      <x:c r="N50" s="1143" t="str">
        <x:v>1: Clinical-expert involvement or comparison is mentioned, but its role is limited or incompletely described.</x:v>
      </x:c>
      <x:c r="O50" s="1143" t="str">
        <x:v>2: Public code/repository availability is explicitly reported.</x:v>
      </x:c>
      <x:c r="P50" s="1143" t="str">
        <x:v>Low strength or major reporting gaps</x:v>
      </x:c>
      <x:c r="Q50" s="1141" t="str">
        <x:v>No study-specific limitation is reported in the abstract.</x:v>
      </x:c>
      <x:c r="R50" s="1141" t="str">
        <x:v>https://arxiv.org/abs/2406.05596</x:v>
      </x:c>
    </x:row>
    <x:row r="51" ht="103.5" customHeight="1">
      <x:c r="A51" s="1143" t="str">
        <x:v>GS-01-063</x:v>
      </x:c>
      <x:c r="B51" s="1141" t="str">
        <x:v>Interpretable Neuropsychiatric Diagnosis via Concept-Guided Graph Neural Networks — S Wang ZLei ZTan JLi JRasep AZrang. ~- arXiv praprintarXiy 2025 (2025)</x:v>
      </x:c>
      <x:c r="C51" s="1141" t="str">
        <x:v>Contextual medical concept-XAI evidence</x:v>
      </x:c>
      <x:c r="D51" s="1141" t="str">
        <x:v>Preprint</x:v>
      </x:c>
      <x:c r="E51" s="1141" t="str">
        <x:v>MRI — Disease/task not reported in abstract</x:v>
      </x:c>
      <x:c r="F51" s="1141" t="str">
        <x:v>Vision-language / generative concept model</x:v>
      </x:c>
      <x:c r="G51" s="1141" t="str">
        <x:v>Concept-guided vision-language model; Other concept-based model (GNN)</x:v>
      </x:c>
      <x:c r="H51" s="1141" t="str">
        <x:v>Text prompts, reports, or language-grounded concepts</x:v>
      </x:c>
      <x:c r="I51" s="1141" t="str">
        <x:v>Textual rationale and/or concept-grounded localisation</x:v>
      </x:c>
      <x:c r="J51" s="1141" t="str">
        <x:v>Dataset and sample size not reported in abstract.</x:v>
      </x:c>
      <x:c r="K51" s="1141" t="str">
        <x:v>No dedicated explanation-quality metric is reported in the abstract; interpretability is supported by the model design and/or qualitative concept, prototype, case, or rule outputs.</x:v>
      </x:c>
      <x:c r="L51" s="1141" t="str">
        <x:v>Extensive experiments across multiple psychiatric disorder datasets demonstrate that CONCEPTNEURO-augmented GNNs consistently outperform their vanilla counterparts, improving accuracy while providing transparent, clinically aligned explanations.</x:v>
      </x:c>
      <x:c r="M51" s="1143" t="str">
        <x:v>NR: External validation is not reported in the available abstract evidence.</x:v>
      </x:c>
      <x:c r="N51" s="1143" t="str">
        <x:v>NR: Ophthalmologist involvement is not reported in the available abstract evidence.</x:v>
      </x:c>
      <x:c r="O51" s="1143" t="str">
        <x:v>NR: Code availability is not reported in the available abstract evidence.</x:v>
      </x:c>
      <x:c r="P51" s="1143" t="str">
        <x:v>Insufficiently reported</x:v>
      </x:c>
      <x:c r="Q51" s="1141" t="str">
        <x:v>No study-specific limitation is reported in the abstract.</x:v>
      </x:c>
      <x:c r="R51" s="1141" t="str">
        <x:v>https://arxiv.org/abs/2510.03351</x:v>
      </x:c>
    </x:row>
    <x:row r="52" ht="103.5" customHeight="1">
      <x:c r="A52" s="1143" t="str">
        <x:v>GS-01-071</x:v>
      </x:c>
      <x:c r="B52" s="1141" t="str">
        <x:v>Aligning Characteristic Descriptors with Images for Human-Expert-like Explainability — BC Yalavarthi N Ratha (2024)</x:v>
      </x:c>
      <x:c r="C52" s="1141" t="str">
        <x:v>Contextual medical concept-XAI evidence</x:v>
      </x:c>
      <x:c r="D52" s="1141" t="str">
        <x:v>Preprint</x:v>
      </x:c>
      <x:c r="E52" s="1141" t="str">
        <x:v>X-ray — Disease/task not reported in abstract</x:v>
      </x:c>
      <x:c r="F52" s="1141" t="str">
        <x:v>Concept bottleneck / embedding / self-explaining</x:v>
      </x:c>
      <x:c r="G52" s="1141" t="str">
        <x:v>Concept bottleneck model</x:v>
      </x:c>
      <x:c r="H52" s="1141" t="str">
        <x:v>Supervised or learned intermediate concept layer</x:v>
      </x:c>
      <x:c r="I52" s="1141" t="str">
        <x:v>Intermediate concept predictions and class linkage</x:v>
      </x:c>
      <x:c r="J52" s="1141" t="str">
        <x:v>Dataset and sample size not reported in abstract.</x:v>
      </x:c>
      <x:c r="K52" s="1141" t="str">
        <x:v>No dedicated explanation-quality metric is reported in the abstract; interpretability is supported by the model design and/or qualitative concept, prototype, case, or rule outputs.</x:v>
      </x:c>
      <x:c r="L52" s="1141" t="str">
        <x:v>No quantitative result is reported in the abstract.</x:v>
      </x:c>
      <x:c r="M52" s="1143" t="str">
        <x:v>NR: External validation is not reported in the available abstract evidence.</x:v>
      </x:c>
      <x:c r="N52" s="1143" t="str">
        <x:v>1: Clinical-expert involvement or comparison is mentioned, but its role is limited or incompletely described.</x:v>
      </x:c>
      <x:c r="O52" s="1143" t="str">
        <x:v>NR: Code availability is not reported in the available abstract evidence.</x:v>
      </x:c>
      <x:c r="P52" s="1143" t="str">
        <x:v>Low strength or major reporting gaps</x:v>
      </x:c>
      <x:c r="Q52" s="1141" t="str">
        <x:v>No study-specific limitation is reported in the abstract.</x:v>
      </x:c>
      <x:c r="R52" s="1141" t="str">
        <x:v>https://arxiv.org/abs/2411.04008</x:v>
      </x:c>
    </x:row>
    <x:row r="53" ht="103.5" customHeight="1">
      <x:c r="A53" s="1143" t="str">
        <x:v>GS-01-076</x:v>
      </x:c>
      <x:c r="B53" s="1141" t="str">
        <x:v>Naming the Concepts Classifiers Rely On: Language-Anchored Decomposition for Faithful Explanation — AH Akash. 2 Bhusal. S Jones, DAAdjeroh = (2026)</x:v>
      </x:c>
      <x:c r="C53" s="1141" t="str">
        <x:v>Contextual medical concept-XAI evidence</x:v>
      </x:c>
      <x:c r="D53" s="1141" t="str">
        <x:v>Preprint</x:v>
      </x:c>
      <x:c r="E53" s="1141" t="str">
        <x:v>Modality not reported in abstract — Disease/task not reported in abstract</x:v>
      </x:c>
      <x:c r="F53" s="1141" t="str">
        <x:v>Vision-language / generative concept model</x:v>
      </x:c>
      <x:c r="G53" s="1141" t="str">
        <x:v>Concept-guided vision-language model</x:v>
      </x:c>
      <x:c r="H53" s="1141" t="str">
        <x:v>Text prompts, reports, or language-grounded concepts</x:v>
      </x:c>
      <x:c r="I53" s="1141" t="str">
        <x:v>Textual rationale and/or concept-grounded localisation</x:v>
      </x:c>
      <x:c r="J53" s="1141" t="str">
        <x:v>Dataset and sample size not reported in abstract.</x:v>
      </x:c>
      <x:c r="K53" s="1141" t="str">
        <x:v>No dedicated explanation-quality metric is reported in the abstract; interpretability is supported by the model design and/or qualitative concept, prototype, case, or rule outputs.</x:v>
      </x:c>
      <x:c r="L53" s="1141" t="str">
        <x:v>Removing this anchor preserves accuracy but collapses attribution faithfulness.</x:v>
      </x:c>
      <x:c r="M53" s="1143" t="str">
        <x:v>NR: External validation is not reported in the available abstract evidence.</x:v>
      </x:c>
      <x:c r="N53" s="1143" t="str">
        <x:v>NR: Ophthalmologist involvement is not reported in the available abstract evidence.</x:v>
      </x:c>
      <x:c r="O53" s="1143" t="str">
        <x:v>NR: Code availability is not reported in the available abstract evidence.</x:v>
      </x:c>
      <x:c r="P53" s="1143" t="str">
        <x:v>Insufficiently reported</x:v>
      </x:c>
      <x:c r="Q53" s="1141" t="str">
        <x:v>No study-specific limitation is reported in the abstract.</x:v>
      </x:c>
      <x:c r="R53" s="1141" t="str">
        <x:v>https://arxiv.org/abs/2607.07264</x:v>
      </x:c>
    </x:row>
    <x:row r="54" ht="103.5" customHeight="1">
      <x:c r="A54" s="1143" t="str">
        <x:v>GS-01-078</x:v>
      </x:c>
      <x:c r="B54" s="1141" t="str">
        <x:v>A Tool Bottleneck Framework for Clinically-Informed and Interpretable Medical Image Understanding — Clip 4G Wang. JHsy. J Ws EAdelj (2025)</x:v>
      </x:c>
      <x:c r="C54" s="1141" t="str">
        <x:v>Contextual medical concept-XAI evidence</x:v>
      </x:c>
      <x:c r="D54" s="1141" t="str">
        <x:v>Preprint</x:v>
      </x:c>
      <x:c r="E54" s="1141" t="str">
        <x:v>Histopathology — Skin lesions / melanoma</x:v>
      </x:c>
      <x:c r="F54" s="1141" t="str">
        <x:v>Vision-language / generative concept model</x:v>
      </x:c>
      <x:c r="G54" s="1141" t="str">
        <x:v>Concept-guided vision-language model</x:v>
      </x:c>
      <x:c r="H54" s="1141" t="str">
        <x:v>Text prompts, reports, or language-grounded concepts</x:v>
      </x:c>
      <x:c r="I54" s="1141" t="str">
        <x:v>Textual rationale and/or concept-grounded localisation</x:v>
      </x:c>
      <x:c r="J54" s="1141" t="str">
        <x:v>Dataset and sample size not reported in abstract.</x:v>
      </x:c>
      <x:c r="K54" s="1141" t="str">
        <x:v>No dedicated explanation-quality metric is reported in the abstract; interpretability is supported by the model design and/or qualitative concept, prototype, case, or rule outputs.</x:v>
      </x:c>
      <x:c r="L54" s="1141" t="str">
        <x:v>Overall, our framework not only improves tool-use in medical imaging contexts, but also yields more interpretable, clinically-grounded predictors. We evaluate TBF on tasks in histopathology and dermatology and find that these advantages enable our framework to perform on par with or better than deep learning-based classifiers, VLMs, and state-of-the-art tool-use frameworks, with particular gains in data-limited regimes.</x:v>
      </x:c>
      <x:c r="M54" s="1143" t="str">
        <x:v>NR: External validation is not reported in the available abstract evidence.</x:v>
      </x:c>
      <x:c r="N54" s="1143" t="str">
        <x:v>NR: Ophthalmologist involvement is not reported in the available abstract evidence.</x:v>
      </x:c>
      <x:c r="O54" s="1143" t="str">
        <x:v>2: Public code/repository availability is explicitly reported.</x:v>
      </x:c>
      <x:c r="P54" s="1143" t="str">
        <x:v>Low strength or major reporting gaps</x:v>
      </x:c>
      <x:c r="Q54" s="1141" t="str">
        <x:v>No study-specific limitation is reported in the abstract.</x:v>
      </x:c>
      <x:c r="R54" s="1141" t="str">
        <x:v>https://arxiv.org/abs/2512.21414</x:v>
      </x:c>
    </x:row>
    <x:row r="55" ht="103.5" customHeight="1">
      <x:c r="A55" s="1143" t="str">
        <x:v>GS-01-088</x:v>
      </x:c>
      <x:c r="B55" s="1141" t="str">
        <x:v>An Explainable Biomedical Foundation Model via Large-Scale Concept-Enhanced Vision-Language Pre-training — YNie SHe Y Bie ¥ Wang ZChen S$¥ang -a‘XivpraprintarX ©2125</x:v>
      </x:c>
      <x:c r="C55" s="1141" t="str">
        <x:v>Contextual medical concept-XAI evidence</x:v>
      </x:c>
      <x:c r="D55" s="1141" t="str">
        <x:v>Preprint</x:v>
      </x:c>
      <x:c r="E55" s="1141" t="str">
        <x:v>Modality not reported in abstract — Disease/task not reported in abstract</x:v>
      </x:c>
      <x:c r="F55" s="1141" t="str">
        <x:v>Vision-language / generative concept model</x:v>
      </x:c>
      <x:c r="G55" s="1141" t="str">
        <x:v>Concept-guided vision-language model</x:v>
      </x:c>
      <x:c r="H55" s="1141" t="str">
        <x:v>Text prompts, reports, or language-grounded concepts</x:v>
      </x:c>
      <x:c r="I55" s="1141" t="str">
        <x:v>Textual rationale and/or concept-grounded localisation</x:v>
      </x:c>
      <x:c r="J55" s="1141" t="str">
        <x:v>We curate MedConcept-23M, the largest pre-training dataset comprising 23 million image-text-concept triplets across diverse medical modalities, where clinical concepts are derived from the Unified Medical Language System.</x:v>
      </x:c>
      <x:c r="K55" s="1141" t="str">
        <x:v>No dedicated explanation-quality metric is reported in the abstract; interpretability is supported by the model design and/or qualitative concept, prototype, case, or rule outputs.</x:v>
      </x:c>
      <x:c r="L55" s="1141" t="str">
        <x:v>Extensive experiments demonstrate that ConceptCLIP outperforms existing state-of-the-art multimodal biomedical foundation models. Importantly, ConceptCLIP demonstrates superior diagnostic performance while providing human-understandable explanations validated by clinical experts.</x:v>
      </x:c>
      <x:c r="M55" s="1143" t="str">
        <x:v>NR: External validation is not reported in the available abstract evidence.</x:v>
      </x:c>
      <x:c r="N55" s="1143" t="str">
        <x:v>1: Clinical-expert involvement or comparison is mentioned, but its role is limited or incompletely described.</x:v>
      </x:c>
      <x:c r="O55" s="1143" t="str">
        <x:v>NR: Code availability is not reported in the available abstract evidence.</x:v>
      </x:c>
      <x:c r="P55" s="1143" t="str">
        <x:v>Moderate strength / some concerns</x:v>
      </x:c>
      <x:c r="Q55" s="1141" t="str">
        <x:v>No study-specific limitation is reported in the abstract.</x:v>
      </x:c>
      <x:c r="R55" s="1141" t="str">
        <x:v>https://arxiv.org/abs/2501.15579</x:v>
      </x:c>
    </x:row>
    <x:row r="56" ht="103.5" customHeight="1">
      <x:c r="A56" s="1143" t="str">
        <x:v>GS-01-089</x:v>
      </x:c>
      <x:c r="B56" s="1141" t="str">
        <x:v>ConVLM: Concept-Guided Vision-Language Models for Explainable Dermatological Diagnosis — A Davis</x:v>
      </x:c>
      <x:c r="C56" s="1141" t="str">
        <x:v>Contextual medical concept-XAI evidence</x:v>
      </x:c>
      <x:c r="D56" s="1141" t="str">
        <x:v>Other/unclear report type</x:v>
      </x:c>
      <x:c r="E56" s="1141" t="str">
        <x:v>Modality not reported in abstract — Skin lesions / melanoma</x:v>
      </x:c>
      <x:c r="F56" s="1141" t="str">
        <x:v>Vision-language / generative concept model</x:v>
      </x:c>
      <x:c r="G56" s="1141" t="str">
        <x:v>Concept-guided vision-language model; Other concept-based model</x:v>
      </x:c>
      <x:c r="H56" s="1141" t="str">
        <x:v>Text prompts, reports, or language-grounded concepts</x:v>
      </x:c>
      <x:c r="I56" s="1141" t="str">
        <x:v>Textual rationale and/or concept-grounded localisation</x:v>
      </x:c>
      <x:c r="J56" s="1141" t="str">
        <x:v>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x:v>
      </x:c>
      <x:c r="K56" s="1141" t="str">
        <x:v>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x:v>
      </x:c>
      <x:c r="L56" s="1141" t="str">
        <x:v>Experiments on the challenging SkinCon dataset demonstrate that ConVLM not only achieves competitive or superior diagnostic performance (87.21% BACC, 81.05% F1) but also significantly enhances model interpretability, as validated by human evaluation with dermatologists (4.6/5 clarity, 4.3/5 utility).</x:v>
      </x:c>
      <x:c r="M56" s="1143" t="str">
        <x:v>NR: External validation is not reported in the available abstract evidence.</x:v>
      </x:c>
      <x:c r="N56" s="1143" t="str">
        <x:v>NR: Ophthalmologist involvement is not reported in the available abstract evidence.</x:v>
      </x:c>
      <x:c r="O56" s="1143" t="str">
        <x:v>NR: Code availability is not reported in the available abstract evidence.</x:v>
      </x:c>
      <x:c r="P56" s="1143" t="str">
        <x:v>Low strength or major reporting gaps</x:v>
      </x:c>
      <x:c r="Q56" s="1141" t="str">
        <x:v>No study-specific limitation is reported in the abstract.</x:v>
      </x:c>
      <x:c r="R56" s="1141" t="str">
        <x:v>https://engrxiv.org/preprint/download/5064/8610/7159</x:v>
      </x:c>
    </x:row>
    <x:row r="57" ht="103.5" customHeight="1">
      <x:c r="A57" s="1143" t="str">
        <x:v>GS-01-096</x:v>
      </x:c>
      <x:c r="B57" s="1141" t="str">
        <x:v>AC-MIL: Weakly Supervised Atrial LGE-MRI Quality Assessment via Adversarial Concept Disentanglement — KM Sudan KHansen BOncky AMorris -arXev pregnnt ari = 2926</x:v>
      </x:c>
      <x:c r="C57" s="1141" t="str">
        <x:v>Contextual medical concept-XAI evidence</x:v>
      </x:c>
      <x:c r="D57" s="1141" t="str">
        <x:v>Other/unclear report type</x:v>
      </x:c>
      <x:c r="E57" s="1141" t="str">
        <x:v>MRI — Disease/task not reported in abstract</x:v>
      </x:c>
      <x:c r="F57" s="1141" t="str">
        <x:v>Other / method not specified in abstract</x:v>
      </x:c>
      <x:c r="G57" s="1141" t="str">
        <x:v>Concept-XAI method not specified in abstract</x:v>
      </x:c>
      <x:c r="H57" s="1141" t="str">
        <x:v>Ontology, knowledge graph, or symbolic rules</x:v>
      </x:c>
      <x:c r="I57" s="1141" t="str">
        <x:v>Rules, symbolic relations, or graph explanation</x:v>
      </x:c>
      <x:c r="J57" s="1141" t="str">
        <x:v>Dataset and sample size not reported in abstract.</x:v>
      </x:c>
      <x:c r="K57" s="1141" t="str">
        <x:v>No dedicated explanation-quality metric is reported in the abstract; interpretability is supported by the model design and/or qualitative concept, prototype, case, or rule outputs.</x:v>
      </x:c>
      <x:c r="L57" s="1141" t="str">
        <x:v>While Multiple Instance Learning (MIL) has emerged as a powerful tool for automated quality assessment under weak supervision, current state-of-the-art methods map localized visual evidence to a single, opaque global feature vector. Crucially, our framework achieves this deep clinical transparency while maintaining highly competitive ordinal grading performance against existing baselines.</x:v>
      </x:c>
      <x:c r="M57" s="1143" t="str">
        <x:v>NR: External validation is not reported in the available abstract evidence.</x:v>
      </x:c>
      <x:c r="N57" s="1143" t="str">
        <x:v>1: Clinical-expert involvement or comparison is mentioned, but its role is limited or incompletely described.</x:v>
      </x:c>
      <x:c r="O57" s="1143" t="str">
        <x:v>NR: Code availability is not reported in the available abstract evidence.</x:v>
      </x:c>
      <x:c r="P57" s="1143" t="str">
        <x:v>Moderate strength / some concerns</x:v>
      </x:c>
      <x:c r="Q57" s="1141" t="str">
        <x:v>No study-specific limitation is reported in the abstract.</x:v>
      </x:c>
      <x:c r="R57" s="1141" t="str">
        <x:v>https://arxiv.org/pdf/2604.10303</x:v>
      </x:c>
    </x:row>
    <x:row r="58" ht="103.5" customHeight="1">
      <x:c r="A58" s="1143" t="str">
        <x:v>GS-02-001</x:v>
      </x:c>
      <x:c r="B58" s="1141" t="str">
        <x:v>Prototype-Guided Promptable Retinal Lesion Segmentation from Coarse Annotations — O Yu, X Sing</x:v>
      </x:c>
      <x:c r="C58" s="1141" t="str">
        <x:v>Direct retinal/ophthalmic evidence</x:v>
      </x:c>
      <x:c r="D58" s="1141" t="str">
        <x:v>Other/unclear report type</x:v>
      </x:c>
      <x:c r="E58" s="1141" t="str">
        <x:v>Modality not reported in abstract — Retinal disease / lesions</x:v>
      </x:c>
      <x:c r="F58" s="1141" t="str">
        <x:v>Prototype- or case-based</x:v>
      </x:c>
      <x:c r="G58" s="1141" t="str">
        <x:v>Prototype-based / prototypical learning (Segmentation model)</x:v>
      </x:c>
      <x:c r="H58" s="1141" t="str">
        <x:v>Learned prototypes / representative cases</x:v>
      </x:c>
      <x:c r="I58" s="1141" t="str">
        <x:v>Prototype/case examples or similarity evidence</x:v>
      </x:c>
      <x:c r="J58" s="1141" t="str">
        <x:v>IDRiD, DDR</x:v>
      </x:c>
      <x:c r="K58" s="1141" t="str">
        <x:v>No dedicated explanation-quality metric is reported in the abstract; interpretability is supported by the model design and/or qualitative concept, prototype, case, or rule outputs.</x:v>
      </x:c>
      <x:c r="L58" s="1141" t="str">
        <x:v>Experimental results demonstrate that our prototype-based model significantly outperforms fully supervised and non-prototypical promptable baselines, achieving more accurate and robust segmentation, particularly for challenging and variable lesions.</x:v>
      </x:c>
      <x:c r="M58" s="1143" t="str">
        <x:v>NR: External validation is not reported in the available abstract evidence.</x:v>
      </x:c>
      <x:c r="N58" s="1143" t="str">
        <x:v>1: Clinical-expert involvement or comparison is mentioned, but its role is limited or incompletely described.</x:v>
      </x:c>
      <x:c r="O58" s="1143" t="str">
        <x:v>NR: Code availability is not reported in the available abstract evidence.</x:v>
      </x:c>
      <x:c r="P58" s="1143" t="str">
        <x:v>Moderate strength / some concerns</x:v>
      </x:c>
      <x:c r="Q58" s="1141" t="str">
        <x:v>No study-specific limitation is reported in the abstract.</x:v>
      </x:c>
      <x:c r="R58" s="1141" t="str">
        <x:v>https://www.mdpi.com/2079-9292/14/16/3252</x:v>
      </x:c>
    </x:row>
    <x:row r="59" ht="103.5" customHeight="1">
      <x:c r="A59" s="1143" t="str">
        <x:v>GS-02-007</x:v>
      </x:c>
      <x:c r="B59" s="1141" t="str">
        <x:v>A novel few-shot classification framework for diabetic retinopathy detection and grading — MMuugappar NB Prakash R Jeya</x:v>
      </x:c>
      <x:c r="C59" s="1141" t="str">
        <x:v>Direct retinal/ophthalmic evidence</x:v>
      </x:c>
      <x:c r="D59" s="1141" t="str">
        <x:v>Other/unclear report type</x:v>
      </x:c>
      <x:c r="E59" s="1141" t="str">
        <x:v>Fundus photography — Diabetic retinopathy; Retinal disease / lesions</x:v>
      </x:c>
      <x:c r="F59" s="1141" t="str">
        <x:v>Prototype- or case-based</x:v>
      </x:c>
      <x:c r="G59" s="1141" t="str">
        <x:v>Prototype-based / prototypical learning</x:v>
      </x:c>
      <x:c r="H59" s="1141" t="str">
        <x:v>Learned prototypes / representative cases</x:v>
      </x:c>
      <x:c r="I59" s="1141" t="str">
        <x:v>Prototype/case examples or similarity evidence</x:v>
      </x:c>
      <x:c r="J59" s="1141" t="str">
        <x:v>We developed a DRNet based on the APTOS2019 dataset for diabetic detection and grading.</x:v>
      </x:c>
      <x:c r="K59" s="1141" t="str">
        <x:v>No dedicated explanation-quality metric is reported in the abstract; interpretability is supported by the model design and/or qualitative concept, prototype, case, or rule outputs.</x:v>
      </x:c>
      <x:c r="L59" s="1141" t="str">
        <x:v>As a result, the system achieves 99.73 % accuracy, 99.82 % sensitivity, 99.63 % specificity in DR detection, 98.18 % accuracy, 97.41% sensitivity, and 99.55% specificity in DR grading.</x:v>
      </x:c>
      <x:c r="M59" s="1143" t="str">
        <x:v>NR: External validation is not reported in the available abstract evidence.</x:v>
      </x:c>
      <x:c r="N59" s="1143" t="str">
        <x:v>1: Clinical-expert involvement or comparison is mentioned, but its role is limited or incompletely described.</x:v>
      </x:c>
      <x:c r="O59" s="1143" t="str">
        <x:v>NR: Code availability is not reported in the available abstract evidence.</x:v>
      </x:c>
      <x:c r="P59" s="1143" t="str">
        <x:v>Moderate strength / some concerns</x:v>
      </x:c>
      <x:c r="Q59" s="1141" t="str">
        <x:v>No study-specific limitation is reported in the abstract.</x:v>
      </x:c>
      <x:c r="R59" s="1141" t="str">
        <x:v>https://irep.ntu.ac.uk/id/eprint/47016/1/1596874_Mahmud.pdf</x:v>
      </x:c>
    </x:row>
    <x:row r="60" ht="103.5" customHeight="1">
      <x:c r="A60" s="1143" t="str">
        <x:v>GS-02-009</x:v>
      </x:c>
      <x:c r="B60" s="1141" t="str">
        <x:v>HybridFusionNet: A Distributed Prototype-Guided Multi-Scale Transformer–CNN Framework for Robust and Interpretable Diabetic Retinopathy Detection — KV Shanthala KC Kundue (2026)</x:v>
      </x:c>
      <x:c r="C60" s="1141" t="str">
        <x:v>Direct retinal/ophthalmic evidence</x:v>
      </x:c>
      <x:c r="D60" s="1141" t="str">
        <x:v>Other/unclear report type</x:v>
      </x:c>
      <x:c r="E60" s="1141" t="str">
        <x:v>Modality not reported in abstract — Diabetic retinopathy; Retinal disease / lesions</x:v>
      </x:c>
      <x:c r="F60" s="1141" t="str">
        <x:v>Prototype- or case-based</x:v>
      </x:c>
      <x:c r="G60" s="1141" t="str">
        <x:v>Prototype-based / prototypical learning (Vision Transformer, Transformer, CNN)</x:v>
      </x:c>
      <x:c r="H60" s="1141" t="str">
        <x:v>Learned prototypes / representative cases</x:v>
      </x:c>
      <x:c r="I60" s="1141" t="str">
        <x:v>Prototype/case examples or similarity evidence</x:v>
      </x:c>
      <x:c r="J60" s="1141" t="str">
        <x:v>APTOS 2019, EyePACS, Messidor-2. Experiments conducted on EyePACS, APTOS 2019, and Messidor-2 datasets demonstrated that HybridFusionNet achieves 95.8% accuracy, 0.934 sensitivity, 0.972 specificity, and a quadratic weighted kappa of 0.912, outperforming state-of-the-art baselines.</x:v>
      </x:c>
      <x:c r="K60" s="1141" t="str">
        <x:v>No dedicated explanation-quality metric is reported in the abstract; interpretability is supported by the model design and/or qualitative concept, prototype, case, or rule outputs.</x:v>
      </x:c>
      <x:c r="L60" s="1141" t="str">
        <x:v>Experiments conducted on EyePACS, APTOS 2019, and Messidor-2 datasets demonstrated that HybridFusionNet achieves 95.8% accuracy, 0.934 sensitivity, 0.972 specificity, and a quadratic weighted kappa of 0.912, outperforming state-of-the-art baselines. The model achieves ~78 ms inference per image, a 14× training speedup, and 40% reduced memory footprint compared to conventional vision transformers, ensuring feasibility for real-time and resource-constrained clinical settings.</x:v>
      </x:c>
      <x:c r="M60" s="1143" t="str">
        <x:v>NR: External validation is not reported in the available abstract evidence.</x:v>
      </x:c>
      <x:c r="N60" s="1143" t="str">
        <x:v>NR: Ophthalmologist involvement is not reported in the available abstract evidence.</x:v>
      </x:c>
      <x:c r="O60" s="1143" t="str">
        <x:v>NR: Code availability is not reported in the available abstract evidence.</x:v>
      </x:c>
      <x:c r="P60" s="1143" t="str">
        <x:v>Low strength or major reporting gaps</x:v>
      </x:c>
      <x:c r="Q60" s="1141" t="str">
        <x:v>No study-specific limitation is reported in the abstract.</x:v>
      </x:c>
      <x:c r="R60" s="1141" t="str">
        <x:v>https://www.sciencedirect.com/journal/procedia-computer-science/vol/283/suppl/C?page=2</x:v>
      </x:c>
    </x:row>
    <x:row r="61" ht="103.5" customHeight="1">
      <x:c r="A61" s="1143" t="str">
        <x:v>GS-02-012</x:v>
      </x:c>
      <x:c r="B61" s="1141" t="str">
        <x:v>Transformer-Based Multi-Prototype Approach for Diabetic Macular Edema Analysis in OCT Images — PL Vizal Jde Moura UNove MCnega -ICASSP 2023-2023 = 2023 (2023)</x:v>
      </x:c>
      <x:c r="C61" s="1141" t="str">
        <x:v>Direct retinal/ophthalmic evidence</x:v>
      </x:c>
      <x:c r="D61" s="1141" t="str">
        <x:v>Other/unclear report type</x:v>
      </x:c>
      <x:c r="E61" s="1141" t="str">
        <x:v>OCT — Diabetic macular oedema</x:v>
      </x:c>
      <x:c r="F61" s="1141" t="str">
        <x:v>Prototype- or case-based</x:v>
      </x:c>
      <x:c r="G61" s="1141" t="str">
        <x:v>Prototype-based / prototypical learning (Vision Transformer, Transformer)</x:v>
      </x:c>
      <x:c r="H61" s="1141" t="str">
        <x:v>Learned prototypes / representative cases</x:v>
      </x:c>
      <x:c r="I61" s="1141" t="str">
        <x:v>Prototype/case examples or similarity evidence</x:v>
      </x:c>
      <x:c r="J61" s="1141" t="str">
        <x:v>Dataset and sample size not reported in abstract.</x:v>
      </x:c>
      <x:c r="K61" s="1141" t="str">
        <x:v>No dedicated explanation-quality metric is reported in the abstract; interpretability is supported by the model design and/or qualitative concept, prototype, case, or rule outputs.</x:v>
      </x:c>
      <x:c r="L61" s="1141" t="str">
        <x:v>Our proposal achieved robust results in two representative OCT devices, with a mean accuracy of 0.9099 ± 0.0083 and 0.8582 ± 0.0126 for CME and DRT-type fluid accumulations, respectively.</x:v>
      </x:c>
      <x:c r="M61" s="1143" t="str">
        <x:v>NR: External validation is not reported in the available abstract evidence.</x:v>
      </x:c>
      <x:c r="N61" s="1143" t="str">
        <x:v>1: Clinical-expert involvement or comparison is mentioned, but its role is limited or incompletely described.</x:v>
      </x:c>
      <x:c r="O61" s="1143" t="str">
        <x:v>NR: Code availability is not reported in the available abstract evidence.</x:v>
      </x:c>
      <x:c r="P61" s="1143" t="str">
        <x:v>Moderate strength / some concerns</x:v>
      </x:c>
      <x:c r="Q61" s="1141" t="str">
        <x:v>No study-specific limitation is reported in the abstract.</x:v>
      </x:c>
      <x:c r="R61" s="1141" t="str">
        <x:v>https://ieeexplore.ieee.org/iel7/10094559/10094560/10095039.pdf</x:v>
      </x:c>
    </x:row>
    <x:row r="62" ht="103.5" customHeight="1">
      <x:c r="A62" s="1143" t="str">
        <x:v>GS-02-017</x:v>
      </x:c>
      <x:c r="B62" s="1141" t="str">
        <x:v>Automatic Grading of Age-Related Cataract via Progressive Ordinal Attention and Topology-Constrained Prototype Learning — 2X%u Cvian XHu Wang. Y Hu. 2 Zhang (2026)</x:v>
      </x:c>
      <x:c r="C62" s="1141" t="str">
        <x:v>Direct retinal/ophthalmic evidence</x:v>
      </x:c>
      <x:c r="D62" s="1141" t="str">
        <x:v>Other/unclear report type</x:v>
      </x:c>
      <x:c r="E62" s="1141" t="str">
        <x:v>Modality not reported in abstract — Cataract</x:v>
      </x:c>
      <x:c r="F62" s="1141" t="str">
        <x:v>Prototype- or case-based</x:v>
      </x:c>
      <x:c r="G62" s="1141" t="str">
        <x:v>Prototype-based / prototypical learning (Transformer, CNN)</x:v>
      </x:c>
      <x:c r="H62" s="1141" t="str">
        <x:v>Learned prototypes / representative cases</x:v>
      </x:c>
      <x:c r="I62" s="1141" t="str">
        <x:v>Prototype/case examples or similarity evidence</x:v>
      </x:c>
      <x:c r="J62" s="1141" t="str">
        <x:v>Dataset and sample size not reported in abstract.</x:v>
      </x:c>
      <x:c r="K62" s="1141" t="str">
        <x:v>No dedicated explanation-quality metric is reported in the abstract; interpretability is supported by the model design and/or qualitative concept, prototype, case, or rule outputs.</x:v>
      </x:c>
      <x:c r="L62" s="1141" t="str">
        <x:v>Experimental results demonstrate that POA-Net achieves an accuracy of 89.20% and a weighted kappa coefficient of 93.82%, outperforming several state-of-the-art convolutional and Transformer-based methods. The model shows improved capability in distinguishing adjacent severity levels and exhibits strong agreement with clinical annotations.</x:v>
      </x:c>
      <x:c r="M62" s="1143" t="str">
        <x:v>NR: External validation is not reported in the available abstract evidence.</x:v>
      </x:c>
      <x:c r="N62" s="1143" t="str">
        <x:v>NR: Ophthalmologist involvement is not reported in the available abstract evidence.</x:v>
      </x:c>
      <x:c r="O62" s="1143" t="str">
        <x:v>NR: Code availability is not reported in the available abstract evidence.</x:v>
      </x:c>
      <x:c r="P62" s="1143" t="str">
        <x:v>Insufficiently reported</x:v>
      </x:c>
      <x:c r="Q62" s="1141" t="str">
        <x:v>No study-specific limitation is reported in the abstract.</x:v>
      </x:c>
      <x:c r="R62" s="1141" t="str">
        <x:v>https://link.springer.com/content/pdf/10.1007/s10278-026-02144-2.pdf</x:v>
      </x:c>
    </x:row>
    <x:row r="63" ht="103.5" customHeight="1">
      <x:c r="A63" s="1143" t="str">
        <x:v>GS-02-046</x:v>
      </x:c>
      <x:c r="B63" s="1141" t="str">
        <x:v>RetinoFusionNet: A Scalable and Interpretable Vision Transformer Framework for Diabetic Retinopathy Detection — KY Shanthala KC Kundue (2026)</x:v>
      </x:c>
      <x:c r="C63" s="1141" t="str">
        <x:v>Direct retinal/ophthalmic evidence</x:v>
      </x:c>
      <x:c r="D63" s="1141" t="str">
        <x:v>Other/unclear report type</x:v>
      </x:c>
      <x:c r="E63" s="1141" t="str">
        <x:v>Fundus photography — Diabetic retinopathy; Retinal disease / lesions</x:v>
      </x:c>
      <x:c r="F63" s="1141" t="str">
        <x:v>Prototype- or case-based</x:v>
      </x:c>
      <x:c r="G63" s="1141" t="str">
        <x:v>Prototype-based / prototypical learning (Vision Transformer, Transformer)</x:v>
      </x:c>
      <x:c r="H63" s="1141" t="str">
        <x:v>Learned prototypes / representative cases</x:v>
      </x:c>
      <x:c r="I63" s="1141" t="str">
        <x:v>Prototype/case examples or similarity evidence</x:v>
      </x:c>
      <x:c r="J63" s="1141" t="str">
        <x:v>APTOS 2019, EyePACS, Messidor-2. Comprehensive evaluation on EyePACS, APTOS 2019, and Messidor-2 datasets demonstrates state-of-the-art accuracy with only a 4.1–4.5% cross-dataset drop, outperforming ViT and ProtoPNet, which show a decline of 8.3–12.1%.</x:v>
      </x:c>
      <x:c r="K63" s="1141" t="str">
        <x:v>No dedicated explanation-quality metric is reported in the abstract; interpretability is supported by the model design and/or qualitative concept, prototype, case, or rule outputs.</x:v>
      </x:c>
      <x:c r="L63" s="1141" t="str">
        <x:v>Comprehensive evaluation on EyePACS, APTOS 2019, and Messidor-2 datasets demonstrates state-of-the-art accuracy with only a 4.1–4.5% cross-dataset drop, outperforming ViT and ProtoPNet, which show a decline of 8.3–12.1%. RetinoFusionNet also achieves a per-image inference time of 78 ms, reduces memory usage by 42% compared to standard ViTs, and operates at just 14.6 GFLOPs, confirming its robustness and deployment feasibility.</x:v>
      </x:c>
      <x:c r="M63" s="1143" t="str">
        <x:v>1: Internal held-out, cross-validation, or multi-dataset evaluation is reported, but institutional independence is unclear.</x:v>
      </x:c>
      <x:c r="N63" s="1143" t="str">
        <x:v>NR: Ophthalmologist involvement is not reported in the available abstract evidence.</x:v>
      </x:c>
      <x:c r="O63" s="1143" t="str">
        <x:v>NR: Code availability is not reported in the available abstract evidence.</x:v>
      </x:c>
      <x:c r="P63" s="1143" t="str">
        <x:v>Moderate strength / some concerns</x:v>
      </x:c>
      <x:c r="Q63" s="1141" t="str">
        <x:v>No study-specific limitation is reported in the abstract.</x:v>
      </x:c>
      <x:c r="R63" s="1141" t="str">
        <x:v>https://www.etasr.com/index.php/ETASR/article/download/15311/6142</x:v>
      </x:c>
    </x:row>
    <x:row r="64" ht="103.5" customHeight="1">
      <x:c r="A64" s="1143" t="str">
        <x:v>GS-02-054</x:v>
      </x:c>
      <x:c r="B64" s="1141" t="str">
        <x:v>HOPE: Hybrid-Granularity Ordinal Prototype Learning for Progression Prediction of Mild Cognitive Impairment — CwWang ¥YLei.TChen J Zhang YLi -IEEE Journalaf =. 2024 (2024)</x:v>
      </x:c>
      <x:c r="C64" s="1141" t="str">
        <x:v>Contextual medical concept-XAI evidence</x:v>
      </x:c>
      <x:c r="D64" s="1141" t="str">
        <x:v>Other/unclear report type</x:v>
      </x:c>
      <x:c r="E64" s="1141" t="str">
        <x:v>Modality not reported in abstract — MCI / Alzheimer's disease</x:v>
      </x:c>
      <x:c r="F64" s="1141" t="str">
        <x:v>Prototype- or case-based</x:v>
      </x:c>
      <x:c r="G64" s="1141" t="str">
        <x:v>Prototype-based / prototypical learning</x:v>
      </x:c>
      <x:c r="H64" s="1141" t="str">
        <x:v>Learned prototypes / representative cases</x:v>
      </x:c>
      <x:c r="I64" s="1141" t="str">
        <x:v>Prototype/case examples or similarity evidence</x:v>
      </x:c>
      <x:c r="J64" s="1141" t="str">
        <x:v>ADNI, NACC. Experiments on the internal ADNI and external NACC datasets demonstrate superiority over state-of-the-art methods and interpretability.</x:v>
      </x:c>
      <x:c r="K64" s="1141" t="str">
        <x:v>No dedicated explanation-quality metric is reported in the abstract; interpretability is supported by the model design and/or qualitative concept, prototype, case, or rule outputs.</x:v>
      </x:c>
      <x:c r="L64" s="1141" t="str">
        <x:v>Experiments on the internal ADNI and external NACC datasets demonstrate superiority over state-of-the-art methods and interpretability.</x:v>
      </x:c>
      <x:c r="M64" s="1143" t="str">
        <x:v>NR: External validation is not reported in the available abstract evidence.</x:v>
      </x:c>
      <x:c r="N64" s="1143" t="str">
        <x:v>NR: Ophthalmologist involvement is not reported in the available abstract evidence.</x:v>
      </x:c>
      <x:c r="O64" s="1143" t="str">
        <x:v>NR: Code availability is not reported in the available abstract evidence.</x:v>
      </x:c>
      <x:c r="P64" s="1143" t="str">
        <x:v>Low strength or major reporting gaps</x:v>
      </x:c>
      <x:c r="Q64" s="1141" t="str">
        <x:v>No study-specific limitation is reported in the abstract.</x:v>
      </x:c>
      <x:c r="R64" s="1141" t="str">
        <x:v>https://pubmed.ncbi.nlm.nih.gov/38261490/</x:v>
      </x:c>
    </x:row>
    <x:row r="65" ht="103.5" customHeight="1">
      <x:c r="A65" s="1143" t="str">
        <x:v>GS-02-087</x:v>
      </x:c>
      <x:c r="B65" s="1141" t="str">
        <x:v>Pathology-Aware Prototype Evolution via LLM-Driven Semantic Disambiguation for Multicenter Diabetic Retinopathy Diagnosis — CZhy ¥ wir . Shao JLin ¥'Warg- 2roceadings af tha 33rd ACH | 2025. dl acm arg (2025)</x:v>
      </x:c>
      <x:c r="C65" s="1141" t="str">
        <x:v>Direct retinal/ophthalmic evidence</x:v>
      </x:c>
      <x:c r="D65" s="1141" t="str">
        <x:v>Other/unclear report type</x:v>
      </x:c>
      <x:c r="E65" s="1141" t="str">
        <x:v>Modality not reported in abstract — Diabetic retinopathy; Retinal disease / lesions</x:v>
      </x:c>
      <x:c r="F65" s="1141" t="str">
        <x:v>Prototype- or case-based</x:v>
      </x:c>
      <x:c r="G65" s="1141" t="str">
        <x:v>Prototype-based / prototypical learning; Concept-guided vision-language model</x:v>
      </x:c>
      <x:c r="H65" s="1141" t="str">
        <x:v>Learned prototypes / representative cases</x:v>
      </x:c>
      <x:c r="I65" s="1141" t="str">
        <x:v>Prototype/case examples or similarity evidence</x:v>
      </x:c>
      <x:c r="J65" s="1141" t="str">
        <x:v>Extensive experiments across eight public datasets demonstrate that our approach achieves pathology-guided prototype evolution while outperforming state-of-the-art methods.</x:v>
      </x:c>
      <x:c r="K65" s="1141" t="str">
        <x:v>No dedicated explanation-quality metric is reported in the abstract; interpretability is supported by the model design and/or qualitative concept, prototype, case, or rule outputs.</x:v>
      </x:c>
      <x:c r="L65" s="1141" t="str">
        <x:v>Extensive experiments across eight public datasets demonstrate that our approach achieves pathology-guided prototype evolution while outperforming state-of-the-art methods.</x:v>
      </x:c>
      <x:c r="M65" s="1143" t="str">
        <x:v>NR: External validation is not reported in the available abstract evidence.</x:v>
      </x:c>
      <x:c r="N65" s="1143" t="str">
        <x:v>NR: Ophthalmologist involvement is not reported in the available abstract evidence.</x:v>
      </x:c>
      <x:c r="O65" s="1143" t="str">
        <x:v>2: Public code/repository availability is explicitly reported.</x:v>
      </x:c>
      <x:c r="P65" s="1143" t="str">
        <x:v>Low strength or major reporting gaps</x:v>
      </x:c>
      <x:c r="Q65" s="1141" t="str">
        <x:v>No study-specific limitation is reported in the abstract.</x:v>
      </x:c>
      <x:c r="R65" s="1141" t="str">
        <x:v>https://arxiv.org/pdf/2511.22033</x:v>
      </x:c>
    </x:row>
    <x:row r="66" ht="103.5" customHeight="1">
      <x:c r="A66" s="1143" t="str">
        <x:v>GS-03-001</x:v>
      </x:c>
      <x:c r="B66" s="1141" t="str">
        <x:v>Case-Based Expert System for Early Detection of Diabetic Retinopathy — R Barman SK Biswas D Das, 3 Furkayastha -Inleltgent Ccmputing 2021 (2021)</x:v>
      </x:c>
      <x:c r="C66" s="1141" t="str">
        <x:v>Direct retinal/ophthalmic evidence</x:v>
      </x:c>
      <x:c r="D66" s="1141" t="str">
        <x:v>Other/unclear report type</x:v>
      </x:c>
      <x:c r="E66" s="1141" t="str">
        <x:v>Modality not reported in abstract — Diabetic retinopathy; Retinal disease / lesions</x:v>
      </x:c>
      <x:c r="F66" s="1141" t="str">
        <x:v>Other / method not specified in abstract</x:v>
      </x:c>
      <x:c r="G66" s="1141" t="str">
        <x:v>Concept-XAI method not specified in abstract</x:v>
      </x:c>
      <x:c r="H66" s="1141" t="str">
        <x:v>Not explicit in abstract</x:v>
      </x:c>
      <x:c r="I66" s="1141" t="str">
        <x:v>Not reported in abstract</x:v>
      </x:c>
      <x:c r="J66" s="1141" t="str">
        <x:v>Dataset and sample size not reported in abstract.</x:v>
      </x:c>
      <x:c r="K66" s="1141" t="str">
        <x:v>Explanation evaluation not reported in abstract.</x:v>
      </x:c>
      <x:c r="L66" s="1141" t="str">
        <x:v>No quantitative result is reported in the abstract.</x:v>
      </x:c>
      <x:c r="M66" s="1143" t="str">
        <x:v>NR: External validation is not reported in the available abstract evidence.</x:v>
      </x:c>
      <x:c r="N66" s="1143" t="str">
        <x:v>NR: Ophthalmologist involvement is not reported in the available abstract evidence.</x:v>
      </x:c>
      <x:c r="O66" s="1143" t="str">
        <x:v>NR: Code availability is not reported in the available abstract evidence.</x:v>
      </x:c>
      <x:c r="P66" s="1143" t="str">
        <x:v>Insufficiently reported</x:v>
      </x:c>
      <x:c r="Q66" s="1141" t="str">
        <x:v>No study-specific limitation is reported in the abstract.</x:v>
      </x:c>
      <x:c r="R66" s="1141" t="str">
        <x:v>https://link.springer.com/chapter/10.1007/978-981-16-1295-4_27</x:v>
      </x:c>
    </x:row>
    <x:row r="67" ht="103.5" customHeight="1">
      <x:c r="A67" s="1143" t="str">
        <x:v>GS-03-003</x:v>
      </x:c>
      <x:c r="B67" s="1141" t="str">
        <x:v>A cybernetic systems approach to abnormality detection in retina images using case based reasoning — ARoy Chowdhury $ Barerjze. T Chatterjee «SN Appiad Sciences 2020 (2020)</x:v>
      </x:c>
      <x:c r="C67" s="1141" t="str">
        <x:v>Direct retinal/ophthalmic evidence</x:v>
      </x:c>
      <x:c r="D67" s="1141" t="str">
        <x:v>Other/unclear report type</x:v>
      </x:c>
      <x:c r="E67" s="1141" t="str">
        <x:v>Fundus photography — Retinal disease / lesions</x:v>
      </x:c>
      <x:c r="F67" s="1141" t="str">
        <x:v>Prototype- or case-based</x:v>
      </x:c>
      <x:c r="G67" s="1141" t="str">
        <x:v>Case-based reasoning / example retrieval (Retrieval)</x:v>
      </x:c>
      <x:c r="H67" s="1141" t="str">
        <x:v>Not explicit in abstract</x:v>
      </x:c>
      <x:c r="I67" s="1141" t="str">
        <x:v>Prototype/case examples or similarity evidence</x:v>
      </x:c>
      <x:c r="J67" s="1141" t="str">
        <x:v>Dataset and sample size not reported in abstract.</x:v>
      </x:c>
      <x:c r="K67" s="1141" t="str">
        <x:v>Explanation evaluation not reported in abstract.</x:v>
      </x:c>
      <x:c r="L67" s="1141" t="str">
        <x:v>It is found that random forest classifier outperforms all the other classifiers for the detection of both bright and dark lesion classes and achieves 94.8% and 95.1% accuracy, respectively with ROC area 0.977 and 0.98, respectively.</x:v>
      </x:c>
      <x:c r="M67" s="1143" t="str">
        <x:v>NR: External validation is not reported in the available abstract evidence.</x:v>
      </x:c>
      <x:c r="N67" s="1143" t="str">
        <x:v>NR: Ophthalmologist involvement is not reported in the available abstract evidence.</x:v>
      </x:c>
      <x:c r="O67" s="1143" t="str">
        <x:v>NR: Code availability is not reported in the available abstract evidence.</x:v>
      </x:c>
      <x:c r="P67" s="1143" t="str">
        <x:v>Insufficiently reported</x:v>
      </x:c>
      <x:c r="Q67" s="1141" t="str">
        <x:v>No study-specific limitation is reported in the abstract.</x:v>
      </x:c>
      <x:c r="R67" s="1141" t="str">
        <x:v>https://link.springer.com/article/10.1007/s42452-020-3187-0</x:v>
      </x:c>
    </x:row>
    <x:row r="68" ht="103.5" customHeight="1">
      <x:c r="A68" s="1143" t="str">
        <x:v>GS-03-004</x:v>
      </x:c>
      <x:c r="B68" s="1141" t="str">
        <x:v>Retrieval of Similar Cases to Improve the Diagnosis of Diabetic Retinopathy — ASacz-Rarros LAriza-.dpez (2023)</x:v>
      </x:c>
      <x:c r="C68" s="1141" t="str">
        <x:v>Direct retinal/ophthalmic evidence</x:v>
      </x:c>
      <x:c r="D68" s="1141" t="str">
        <x:v>Other/unclear report type</x:v>
      </x:c>
      <x:c r="E68" s="1141" t="str">
        <x:v>Fundus photography — Diabetic retinopathy; Retinal disease / lesions</x:v>
      </x:c>
      <x:c r="F68" s="1141" t="str">
        <x:v>Prototype- or case-based</x:v>
      </x:c>
      <x:c r="G68" s="1141" t="str">
        <x:v>Case-based reasoning / example retrieval (Retrieval)</x:v>
      </x:c>
      <x:c r="H68" s="1141" t="str">
        <x:v>Not explicit in abstract</x:v>
      </x:c>
      <x:c r="I68" s="1141" t="str">
        <x:v>Prototype/case examples or similarity evidence</x:v>
      </x:c>
      <x:c r="J68" s="1141" t="str">
        <x:v>Dataset and sample size not reported in abstract.</x:v>
      </x:c>
      <x:c r="K68" s="1141" t="str">
        <x:v>Explanation evaluation not reported in abstract.</x:v>
      </x:c>
      <x:c r="L68" s="1141" t="str">
        <x:v>No quantitative result is reported in the abstract.</x:v>
      </x:c>
      <x:c r="M68" s="1143" t="str">
        <x:v>NR: External validation is not reported in the available abstract evidence.</x:v>
      </x:c>
      <x:c r="N68" s="1143" t="str">
        <x:v>NR: Ophthalmologist involvement is not reported in the available abstract evidence.</x:v>
      </x:c>
      <x:c r="O68" s="1143" t="str">
        <x:v>NR: Code availability is not reported in the available abstract evidence.</x:v>
      </x:c>
      <x:c r="P68" s="1143" t="str">
        <x:v>Insufficiently reported</x:v>
      </x:c>
      <x:c r="Q68" s="1141" t="str">
        <x:v>No study-specific limitation is reported in the abstract.</x:v>
      </x:c>
      <x:c r="R68" s="1141" t="str">
        <x:v>https://link.springer.com/chapter/10.1007/978-3-031-40177-0_26</x:v>
      </x:c>
    </x:row>
    <x:row r="69" ht="103.5" customHeight="1">
      <x:c r="A69" s="1143" t="str">
        <x:v>GS-03-005</x:v>
      </x:c>
      <x:c r="B69" s="1141" t="str">
        <x:v>Case-Based Reasoning for Elderly Eye Disease Diagnosis Using Manhattan Distance and Dempster-Shafer — MMitusndavani LC Makcdompit -CoglTo Sra = 2026 (2026)</x:v>
      </x:c>
      <x:c r="C69" s="1141" t="str">
        <x:v>Contextual medical concept-XAI evidence</x:v>
      </x:c>
      <x:c r="D69" s="1141" t="str">
        <x:v>Other/unclear report type</x:v>
      </x:c>
      <x:c r="E69" s="1141" t="str">
        <x:v>Modality not reported in abstract — Ophthalmic disease</x:v>
      </x:c>
      <x:c r="F69" s="1141" t="str">
        <x:v>Prototype- or case-based</x:v>
      </x:c>
      <x:c r="G69" s="1141" t="str">
        <x:v>Case-based reasoning / example retrieval (Retrieval)</x:v>
      </x:c>
      <x:c r="H69" s="1141" t="str">
        <x:v>Not explicit in abstract</x:v>
      </x:c>
      <x:c r="I69" s="1141" t="str">
        <x:v>Prototype/case examples or similarity evidence</x:v>
      </x:c>
      <x:c r="J69" s="1141" t="str">
        <x:v>The system covers six elderly eye diseases, namely ocular infection, cataract, glaucoma, presbyopia, dry eye disease, and retinopathy, represented by 22 symptoms and validated clinical cases from Klinik Mata Totabuan.</x:v>
      </x:c>
      <x:c r="K69" s="1141" t="str">
        <x:v>No dedicated explanation-quality metric is reported in the abstract; interpretability is supported by the model design and/or qualitative concept, prototype, case, or rule outputs.</x:v>
      </x:c>
      <x:c r="L69" s="1141" t="str">
        <x:v>The proposed system achieved an overall accuracy of 93%, with disease-specific performance ranging from 87.5% to 94.4%. These results indicate that the proposed integration can support faster, measurable, and interpretable early diagnosis of elderly eye diseases in resource-limited clinical settings.</x:v>
      </x:c>
      <x:c r="M69" s="1143" t="str">
        <x:v>NR: External validation is not reported in the available abstract evidence.</x:v>
      </x:c>
      <x:c r="N69" s="1143" t="str">
        <x:v>NR: Ophthalmologist involvement is not reported in the available abstract evidence.</x:v>
      </x:c>
      <x:c r="O69" s="1143" t="str">
        <x:v>NR: Code availability is not reported in the available abstract evidence.</x:v>
      </x:c>
      <x:c r="P69" s="1143" t="str">
        <x:v>Low strength or major reporting gaps</x:v>
      </x:c>
      <x:c r="Q69" s="1141" t="str">
        <x:v>No study-specific limitation is reported in the abstract.</x:v>
      </x:c>
      <x:c r="R69" s="1141" t="str">
        <x:v>https://cogito.unklab.ac.id/index.php/cogito/article/download/1050/428/4268</x:v>
      </x:c>
    </x:row>
    <x:row r="70" ht="103.5" customHeight="1">
      <x:c r="A70" s="1143" t="str">
        <x:v>GS-03-010</x:v>
      </x:c>
      <x:c r="B70" s="1141" t="str">
        <x:v>Interpretable Mammographic Image Classification using Case-Based Reasoning and Deep Learning — AlBamett FR Schware Cao CChen YRe&gt; -arXiv preprint arXiv, 2021 (2021)</x:v>
      </x:c>
      <x:c r="C70" s="1141" t="str">
        <x:v>Contextual medical concept-XAI evidence</x:v>
      </x:c>
      <x:c r="D70" s="1141" t="str">
        <x:v>Other/unclear report type</x:v>
      </x:c>
      <x:c r="E70" s="1141" t="str">
        <x:v>Mammography — Breast disease / cancer</x:v>
      </x:c>
      <x:c r="F70" s="1141" t="str">
        <x:v>Prototype- or case-based</x:v>
      </x:c>
      <x:c r="G70" s="1141" t="str">
        <x:v>Prototype-based / prototypical learning; Case-based reasoning / example retrieval; Self-explaining / interpretable-by-design model</x:v>
      </x:c>
      <x:c r="H70" s="1141" t="str">
        <x:v>Learned prototypes / representative cases</x:v>
      </x:c>
      <x:c r="I70" s="1141" t="str">
        <x:v>Prototype/case examples or similarity evidence</x:v>
      </x:c>
      <x:c r="J70" s="1141" t="str">
        <x:v>Dataset and sample size not reported in abstract.</x:v>
      </x:c>
      <x:c r="K70" s="1141" t="str">
        <x:v>No dedicated explanation-quality metric is reported in the abstract; interpretability is supported by the model design and/or qualitative concept, prototype, case, or rule outputs.</x:v>
      </x:c>
      <x:c r="L70" s="1141" t="str">
        <x:v>Inherently interpretable networks address this need by explaining the rationale behind each decision while maintaining equal or higher accuracy compared to black-box models. Compared to other methods, our model detects clinical features (mass margins) with equal or higher accuracy, provides a more detailed explanation of its prediction, and is better able to differentiate the classification-relevant parts of the image.</x:v>
      </x:c>
      <x:c r="M70" s="1143" t="str">
        <x:v>NR: External validation is not reported in the available abstract evidence.</x:v>
      </x:c>
      <x:c r="N70" s="1143" t="str">
        <x:v>1: Clinical-expert involvement or comparison is mentioned, but its role is limited or incompletely described.</x:v>
      </x:c>
      <x:c r="O70" s="1143" t="str">
        <x:v>NR: Code availability is not reported in the available abstract evidence.</x:v>
      </x:c>
      <x:c r="P70" s="1143" t="str">
        <x:v>Low strength or major reporting gaps</x:v>
      </x:c>
      <x:c r="Q70" s="1141" t="str">
        <x:v>No study-specific limitation is reported in the abstract.</x:v>
      </x:c>
      <x:c r="R70" s="1141" t="str">
        <x:v>https://arxiv.org/abs/2107.05605</x:v>
      </x:c>
    </x:row>
    <x:row r="71" ht="103.5" customHeight="1">
      <x:c r="A71" s="1143" t="str">
        <x:v>GS-03-013</x:v>
      </x:c>
      <x:c r="B71" s="1141" t="str">
        <x:v>Explainable Prediction of Chronic Renal Disease in the Colombian Population Using Neural Networks and Case-Based Reasoning — GR Vasquez-Morsles SM Marinez-Monterrubio -lsee =. 20:19</x:v>
      </x:c>
      <x:c r="C71" s="1141" t="str">
        <x:v>Contextual medical concept-XAI evidence</x:v>
      </x:c>
      <x:c r="D71" s="1141" t="str">
        <x:v>Other/unclear report type</x:v>
      </x:c>
      <x:c r="E71" s="1141" t="str">
        <x:v>Modality not reported in abstract — Disease/task not reported in abstract</x:v>
      </x:c>
      <x:c r="F71" s="1141" t="str">
        <x:v>Prototype- or case-based</x:v>
      </x:c>
      <x:c r="G71" s="1141" t="str">
        <x:v>Case-based reasoning / example retrieval</x:v>
      </x:c>
      <x:c r="H71" s="1141" t="str">
        <x:v>Not explicit in abstract</x:v>
      </x:c>
      <x:c r="I71" s="1141" t="str">
        <x:v>Prototype/case examples or similarity evidence</x:v>
      </x:c>
      <x:c r="J71" s="1141" t="str">
        <x:v>Dataset and sample size not reported in abstract.</x:v>
      </x:c>
      <x:c r="K71" s="1141" t="str">
        <x:v>No dedicated explanation-quality metric is reported in the abstract; interpretability is supported by the model design and/or qualitative concept, prototype, case, or rule outputs.</x:v>
      </x:c>
      <x:c r="L71" s="1141" t="str">
        <x:v>Once the model is trained and evaluation metrics for classification algorithms are applied, the model achieves 95% accuracy in the test data set, making its application for disease prognosis feasible.</x:v>
      </x:c>
      <x:c r="M71" s="1143" t="str">
        <x:v>NR: External validation is not reported in the available abstract evidence.</x:v>
      </x:c>
      <x:c r="N71" s="1143" t="str">
        <x:v>NR: Ophthalmologist involvement is not reported in the available abstract evidence.</x:v>
      </x:c>
      <x:c r="O71" s="1143" t="str">
        <x:v>NR: Code availability is not reported in the available abstract evidence.</x:v>
      </x:c>
      <x:c r="P71" s="1143" t="str">
        <x:v>Insufficiently reported</x:v>
      </x:c>
      <x:c r="Q71" s="1141" t="str">
        <x:v>No study-specific limitation is reported in the abstract.</x:v>
      </x:c>
      <x:c r="R71" s="1141" t="str">
        <x:v>https://doi.org/10.1109/ACCESS.2019.2948430</x:v>
      </x:c>
    </x:row>
    <x:row r="72" ht="103.5" customHeight="1">
      <x:c r="A72" s="1143" t="str">
        <x:v>GS-03-038</x:v>
      </x:c>
      <x:c r="B72" s="1141" t="str">
        <x:v>A Case-Based Reasoning Model Powered by Deep Learning for Radiology Report Recommendation. — EA Deminguez, E Se~ano. O Manriq.e =</x:v>
      </x:c>
      <x:c r="C72" s="1141" t="str">
        <x:v>Contextual medical concept-XAI evidence</x:v>
      </x:c>
      <x:c r="D72" s="1141" t="str">
        <x:v>Other/unclear report type</x:v>
      </x:c>
      <x:c r="E72" s="1141" t="str">
        <x:v>Modality not reported in abstract — Disease/task not reported in abstract</x:v>
      </x:c>
      <x:c r="F72" s="1141" t="str">
        <x:v>Prototype- or case-based</x:v>
      </x:c>
      <x:c r="G72" s="1141" t="str">
        <x:v>Case-based reasoning / example retrieval</x:v>
      </x:c>
      <x:c r="H72" s="1141" t="str">
        <x:v>Not explicit in abstract</x:v>
      </x:c>
      <x:c r="I72" s="1141" t="str">
        <x:v>Prototype/case examples or similarity evidence</x:v>
      </x:c>
      <x:c r="J72" s="1141" t="str">
        <x:v>Dataset and sample size not reported in abstract.</x:v>
      </x:c>
      <x:c r="K72" s="1141" t="str">
        <x:v>No dedicated explanation-quality metric is reported in the abstract; interpretability is supported by the model design and/or qualitative concept, prototype, case, or rule outputs.</x:v>
      </x:c>
      <x:c r="L72" s="1141" t="str">
        <x:v>Additional tests on the optimization degree of the case base are also performed, evidencing how the proposed framework can optimize this base to achieve optimal performance.</x:v>
      </x:c>
      <x:c r="M72" s="1143" t="str">
        <x:v>NR: External validation is not reported in the available abstract evidence.</x:v>
      </x:c>
      <x:c r="N72" s="1143" t="str">
        <x:v>NR: Ophthalmologist involvement is not reported in the available abstract evidence.</x:v>
      </x:c>
      <x:c r="O72" s="1143" t="str">
        <x:v>NR: Code availability is not reported in the available abstract evidence.</x:v>
      </x:c>
      <x:c r="P72" s="1143" t="str">
        <x:v>Insufficiently reported</x:v>
      </x:c>
      <x:c r="Q72" s="1141" t="str">
        <x:v>No study-specific limitation is reported in the abstract.</x:v>
      </x:c>
      <x:c r="R72" s="1141" t="str">
        <x:v>https://www.ijimai.org/index.php/ijimai/article/download/622/737/1115</x:v>
      </x:c>
    </x:row>
    <x:row r="73" ht="103.5" customHeight="1">
      <x:c r="A73" s="1143" t="str">
        <x:v>GS-03-078</x:v>
      </x:c>
      <x:c r="B73" s="1141" t="str">
        <x:v>Optimized Hybrid Quantum–Classical GAN with Case-based Reasoning Feature Fusion for Multiclass Brain Tumor Classification — RV Krshna. P Snnivas</x:v>
      </x:c>
      <x:c r="C73" s="1141" t="str">
        <x:v>Contextual medical concept-XAI evidence</x:v>
      </x:c>
      <x:c r="D73" s="1141" t="str">
        <x:v>Other/unclear report type</x:v>
      </x:c>
      <x:c r="E73" s="1141" t="str">
        <x:v>MRI — Brain tumour</x:v>
      </x:c>
      <x:c r="F73" s="1141" t="str">
        <x:v>Prototype- or case-based</x:v>
      </x:c>
      <x:c r="G73" s="1141" t="str">
        <x:v>Case-based reasoning / example retrieval</x:v>
      </x:c>
      <x:c r="H73" s="1141" t="str">
        <x:v>Not explicit in abstract</x:v>
      </x:c>
      <x:c r="I73" s="1141" t="str">
        <x:v>Prototype/case examples or similarity evidence</x:v>
      </x:c>
      <x:c r="J73" s="1141" t="str">
        <x:v>The model is proven to be effective as evidenced by experimental analysis of a publicly available MRI dataset, which attains 98.3% recall, 98% precision, 98.5% F-score, and 99.2% classification rate with an error rate of 0.8% which is superior to a number of conventional and deep learning-based models.</x:v>
      </x:c>
      <x:c r="K73" s="1141" t="str">
        <x:v>No dedicated explanation-quality metric is reported in the abstract; interpretability is supported by the model design and/or qualitative concept, prototype, case, or rule outputs.</x:v>
      </x:c>
      <x:c r="L73" s="1141" t="str">
        <x:v>The model is proven to be effective as evidenced by experimental analysis of a publicly available MRI dataset, which attains 98.3% recall, 98% precision, 98.5% F-score, and 99.2% classification rate with an error rate of 0.8% which is superior to a number of conventional and deep learning-based models.</x:v>
      </x:c>
      <x:c r="M73" s="1143" t="str">
        <x:v>NR: External validation is not reported in the available abstract evidence.</x:v>
      </x:c>
      <x:c r="N73" s="1143" t="str">
        <x:v>NR: Ophthalmologist involvement is not reported in the available abstract evidence.</x:v>
      </x:c>
      <x:c r="O73" s="1143" t="str">
        <x:v>NR: Code availability is not reported in the available abstract evidence.</x:v>
      </x:c>
      <x:c r="P73" s="1143" t="str">
        <x:v>Low strength or major reporting gaps</x:v>
      </x:c>
      <x:c r="Q73" s="1141" t="str">
        <x:v>No study-specific limitation is reported in the abstract.</x:v>
      </x:c>
      <x:c r="R73" s="1141" t="str">
        <x:v>https://www.tandfonline.com/doi/full/10.1080/03772063.2026.2660810</x:v>
      </x:c>
    </x:row>
    <x:row r="74" ht="103.5" customHeight="1">
      <x:c r="A74" s="1143" t="str">
        <x:v>GS-03-094</x:v>
      </x:c>
      <x:c r="B74" s="1141" t="str">
        <x:v>Case-Based Reasoning of a Deep Learning Network for Prediction of Early-Stage Oesophageal Cancer — X Gao B Braden L Zhavg STsyor WRanj (2019)</x:v>
      </x:c>
      <x:c r="C74" s="1141" t="str">
        <x:v>Contextual medical concept-XAI evidence</x:v>
      </x:c>
      <x:c r="D74" s="1141" t="str">
        <x:v>Other/unclear report type</x:v>
      </x:c>
      <x:c r="E74" s="1141" t="str">
        <x:v>Modality not reported in abstract — Disease/task not reported in abstract</x:v>
      </x:c>
      <x:c r="F74" s="1141" t="str">
        <x:v>Prototype- or case-based</x:v>
      </x:c>
      <x:c r="G74" s="1141" t="str">
        <x:v>Case-based reasoning / example retrieval</x:v>
      </x:c>
      <x:c r="H74" s="1141" t="str">
        <x:v>Ontology, knowledge graph, or symbolic rules</x:v>
      </x:c>
      <x:c r="I74" s="1141" t="str">
        <x:v>Prototype/case examples or similarity evidence</x:v>
      </x:c>
      <x:c r="J74" s="1141" t="str">
        <x:v>Dataset and sample size not reported in abstract.</x:v>
      </x:c>
      <x:c r="K74" s="1141" t="str">
        <x:v>No dedicated explanation-quality metric is reported in the abstract; interpretability is supported by the model design and/or qualitative concept, prototype, case, or rule outputs.</x:v>
      </x:c>
      <x:c r="L74" s="1141" t="str">
        <x:v>When training with 2000 samples for the two classes of ‘high grade’ and ‘suspicious’, the testing result delivers an accuracy of 77%, implying the impact of sample sizes. Future work includes collection of large annotated dataset and improving classification accuracy.</x:v>
      </x:c>
      <x:c r="M74" s="1143" t="str">
        <x:v>NR: External validation is not reported in the available abstract evidence.</x:v>
      </x:c>
      <x:c r="N74" s="1143" t="str">
        <x:v>1: Clinical-expert involvement or comparison is mentioned, but its role is limited or incompletely described.</x:v>
      </x:c>
      <x:c r="O74" s="1143" t="str">
        <x:v>NR: Code availability is not reported in the available abstract evidence.</x:v>
      </x:c>
      <x:c r="P74" s="1143" t="str">
        <x:v>Moderate strength / some concerns</x:v>
      </x:c>
      <x:c r="Q74" s="1141" t="str">
        <x:v>Future work includes collection of large annotated dataset and improving classification accuracy.</x:v>
      </x:c>
      <x:c r="R74" s="1141" t="str">
        <x:v>https://www.bcs-sgai.org/expertupdate/papers/20-1/2019_paper_1.pdf</x:v>
      </x:c>
    </x:row>
    <x:row r="75" ht="103.5" customHeight="1">
      <x:c r="A75" s="1143" t="str">
        <x:v>GS-03-099</x:v>
      </x:c>
      <x:c r="B75" s="1141" t="str">
        <x:v>Knowledge Amplification Using Randomization in Case-Based Reasoning — Case Study: Severity of Mammography Mass — MB Benaiba-Lagrid</x:v>
      </x:c>
      <x:c r="C75" s="1141" t="str">
        <x:v>Contextual medical concept-XAI evidence</x:v>
      </x:c>
      <x:c r="D75" s="1141" t="str">
        <x:v>Other/unclear report type</x:v>
      </x:c>
      <x:c r="E75" s="1141" t="str">
        <x:v>Mammography — Breast disease / cancer</x:v>
      </x:c>
      <x:c r="F75" s="1141" t="str">
        <x:v>Prototype- or case-based</x:v>
      </x:c>
      <x:c r="G75" s="1141" t="str">
        <x:v>Case-based reasoning / example retrieval</x:v>
      </x:c>
      <x:c r="H75" s="1141" t="str">
        <x:v>Not explicit in abstract</x:v>
      </x:c>
      <x:c r="I75" s="1141" t="str">
        <x:v>Prototype/case examples or similarity evidence</x:v>
      </x:c>
      <x:c r="J75" s="1141" t="str">
        <x:v>Dataset and sample size not reported in abstract.</x:v>
      </x:c>
      <x:c r="K75" s="1141" t="str">
        <x:v>No dedicated explanation-quality metric is reported in the abstract; interpretability is supported by the model design and/or qualitative concept, prototype, case, or rule outputs.</x:v>
      </x:c>
      <x:c r="L75" s="1141" t="str">
        <x:v>Case-based reasoning solves new problems by reusing previous cases, but efficient knowledge-base expansion can generate invalid cases. Experiments predicting mammography-mass severity indicate that the approach can significantly improve the resolution efficiency of case-based reasoning.</x:v>
      </x:c>
      <x:c r="M75" s="1143" t="str">
        <x:v>NR: External validation is not reported in the available abstract evidence.</x:v>
      </x:c>
      <x:c r="N75" s="1143" t="str">
        <x:v>NR: Ophthalmologist involvement is not reported in the available abstract evidence.</x:v>
      </x:c>
      <x:c r="O75" s="1143" t="str">
        <x:v>NR: Code availability is not reported in the available abstract evidence.</x:v>
      </x:c>
      <x:c r="P75" s="1143" t="str">
        <x:v>Insufficiently reported</x:v>
      </x:c>
      <x:c r="Q75" s="1141" t="str">
        <x:v>No study-specific limitation is reported in the abstract.</x:v>
      </x:c>
      <x:c r="R75" s="1141" t="str">
        <x:v>https://doi.org/10.1109/IRI.2018.00031</x:v>
      </x:c>
    </x:row>
    <x:row r="76" ht="103.5" customHeight="1">
      <x:c r="A76" s="1143" t="str">
        <x:v>GS-04-003</x:v>
      </x:c>
      <x:c r="B76" s="1141" t="str">
        <x:v>Neurosymbolic AI Approach for Dry and Wet AMD Classification Using OCT Images — Atdilsdinowe 4 Biscontin. MAéevie AAccardo = (2025)</x:v>
      </x:c>
      <x:c r="C76" s="1141" t="str">
        <x:v>Direct retinal/ophthalmic evidence</x:v>
      </x:c>
      <x:c r="D76" s="1141" t="str">
        <x:v>Other/unclear report type</x:v>
      </x:c>
      <x:c r="E76" s="1141" t="str">
        <x:v>OCT — Age-related macular degeneration</x:v>
      </x:c>
      <x:c r="F76" s="1141" t="str">
        <x:v>Neuro-symbolic / logic / knowledge graph</x:v>
      </x:c>
      <x:c r="G76" s="1141" t="str">
        <x:v>Neuro-symbolic AI (CNN)</x:v>
      </x:c>
      <x:c r="H76" s="1141" t="str">
        <x:v>Ontology, knowledge graph, or symbolic rules</x:v>
      </x:c>
      <x:c r="I76" s="1141" t="str">
        <x:v>Rules, symbolic relations, or graph explanation</x:v>
      </x:c>
      <x:c r="J76" s="1141" t="str">
        <x:v>Dataset and sample size not reported in abstract.</x:v>
      </x:c>
      <x:c r="K76" s="1141" t="str">
        <x:v>Explanation evaluation not reported in abstract.</x:v>
      </x:c>
      <x:c r="L76" s="1141" t="str">
        <x:v>Accurate classification between dry and wet age-related macular degeneration (AMD) is crucial for determining appropriate treatment strategies and improving patient outcomes.</x:v>
      </x:c>
      <x:c r="M76" s="1143" t="str">
        <x:v>NR: External validation is not reported in the available abstract evidence.</x:v>
      </x:c>
      <x:c r="N76" s="1143" t="str">
        <x:v>NR: Ophthalmologist involvement is not reported in the available abstract evidence.</x:v>
      </x:c>
      <x:c r="O76" s="1143" t="str">
        <x:v>NR: Code availability is not reported in the available abstract evidence.</x:v>
      </x:c>
      <x:c r="P76" s="1143" t="str">
        <x:v>Insufficiently reported</x:v>
      </x:c>
      <x:c r="Q76" s="1141" t="str">
        <x:v>No study-specific limitation is reported in the abstract.</x:v>
      </x:c>
      <x:c r="R76" s="1141" t="str">
        <x:v>https://link.springer.com/chapter/10.1007/978-3-031-96538-8_10</x:v>
      </x:c>
    </x:row>
    <x:row r="77" ht="103.5" customHeight="1">
      <x:c r="A77" s="1143" t="str">
        <x:v>GS-04-006</x:v>
      </x:c>
      <x:c r="B77" s="1141" t="str">
        <x:v>KG-DG: Knowledge-Guided Domain Generalization via Neuro-Symbolic Fusion — M Jrsoj ABanetjae S Gupta</x:v>
      </x:c>
      <x:c r="C77" s="1141" t="str">
        <x:v>Contextual medical concept-XAI evidence</x:v>
      </x:c>
      <x:c r="D77" s="1141" t="str">
        <x:v>Review/background report</x:v>
      </x:c>
      <x:c r="E77" s="1141" t="str">
        <x:v>Modality not reported in abstract — Retinal disease / lesions</x:v>
      </x:c>
      <x:c r="F77" s="1141" t="str">
        <x:v>Neuro-symbolic / logic / knowledge graph</x:v>
      </x:c>
      <x:c r="G77" s="1141" t="str">
        <x:v>Neuro-symbolic AI; Ontology / knowledge-guided explanation (Vision Transformer, Transformer, Segmentation model)</x:v>
      </x:c>
      <x:c r="H77" s="1141" t="str">
        <x:v>Ontology, knowledge graph, or symbolic rules</x:v>
      </x:c>
      <x:c r="I77" s="1141" t="str">
        <x:v>Rules, symbolic relations, or graph explanation</x:v>
      </x:c>
      <x:c r="J77" s="1141" t="str">
        <x:v>APTOS, EyePACS, Messidor-1, Messidor-2</x:v>
      </x:c>
      <x:c r="K77" s="1141" t="str">
        <x:v>No dedicated explanation-quality metric is reported in the abstract; interpretability is supported by the model design and/or qualitative concept, prototype, case, or rule outputs.</x:v>
      </x:c>
      <x:c r="L77" s="1141" t="str">
        <x:v>Experiments on APTOS, EyePACS, Messidor-1 and Messidor-2 show up to 5.2% accuracy improvement in cross-domain settings and 6% over baseline vision transformers. Lesion-based symbolic features achieve 84.65% accuracy, supporting their role as clinical regularizers.</x:v>
      </x:c>
      <x:c r="M77" s="1143" t="str">
        <x:v>NR: External validation is not reported in the available abstract evidence.</x:v>
      </x:c>
      <x:c r="N77" s="1143" t="str">
        <x:v>NR: Ophthalmologist involvement is not reported in the available abstract evidence.</x:v>
      </x:c>
      <x:c r="O77" s="1143" t="str">
        <x:v>NR: Code availability is not reported in the available abstract evidence.</x:v>
      </x:c>
      <x:c r="P77" s="1143" t="str">
        <x:v>Low strength or major reporting gaps</x:v>
      </x:c>
      <x:c r="Q77" s="1141" t="str">
        <x:v>No study-specific limitation is reported in the abstract.</x:v>
      </x:c>
      <x:c r="R77" s="1141" t="str">
        <x:v>https://openreview.net/forum?id=xAtYHNe0Ey</x:v>
      </x:c>
    </x:row>
    <x:row r="78" ht="103.5" customHeight="1">
      <x:c r="A78" s="1143" t="str">
        <x:v>GS-04-023</x:v>
      </x:c>
      <x:c r="B78" s="1141" t="str">
        <x:v>DeepInfusion: A Dynamic Infusion-Based Neuro-Symbolic AI Model for Segmentation of Intracranial Aneurysms — | Abduilah. A Javed KM Malik G Malik (2023)</x:v>
      </x:c>
      <x:c r="C78" s="1141" t="str">
        <x:v>Contextual medical concept-XAI evidence</x:v>
      </x:c>
      <x:c r="D78" s="1141" t="str">
        <x:v>Other/unclear report type</x:v>
      </x:c>
      <x:c r="E78" s="1141" t="str">
        <x:v>DSA — Intracranial aneurysm</x:v>
      </x:c>
      <x:c r="F78" s="1141" t="str">
        <x:v>Neuro-symbolic / logic / knowledge graph</x:v>
      </x:c>
      <x:c r="G78" s="1141" t="str">
        <x:v>Neuro-symbolic AI (Segmentation model)</x:v>
      </x:c>
      <x:c r="H78" s="1141" t="str">
        <x:v>Ontology, knowledge graph, or symbolic rules</x:v>
      </x:c>
      <x:c r="I78" s="1141" t="str">
        <x:v>Rules, symbolic relations, or graph explanation</x:v>
      </x:c>
      <x:c r="J78" s="1141" t="str">
        <x:v>DRIVE, Kvasir-SEG. It is evaluated on 409 in-house DSA images, achieving 96.76% IoU and 94.15% F1 on unseen images.</x:v>
      </x:c>
      <x:c r="K78" s="1141" t="str">
        <x:v>No dedicated explanation-quality metric is reported in the abstract; interpretability is supported by the model design and/or qualitative concept, prototype, case, or rule outputs.</x:v>
      </x:c>
      <x:c r="L78" s="1141" t="str">
        <x:v>It is evaluated on 409 in-house DSA images, achieving 96.76% IoU and 94.15% F1 on unseen images. Tests on the public Kvasir-SEG polyp dataset and DRIVE retinal-vessel dataset show improvement over existing methods and indicate cross-task generalizability.</x:v>
      </x:c>
      <x:c r="M78" s="1143" t="str">
        <x:v>NR: External validation is not reported in the available abstract evidence.</x:v>
      </x:c>
      <x:c r="N78" s="1143" t="str">
        <x:v>NR: Ophthalmologist involvement is not reported in the available abstract evidence.</x:v>
      </x:c>
      <x:c r="O78" s="1143" t="str">
        <x:v>NR: Code availability is not reported in the available abstract evidence.</x:v>
      </x:c>
      <x:c r="P78" s="1143" t="str">
        <x:v>Low strength or major reporting gaps</x:v>
      </x:c>
      <x:c r="Q78" s="1141" t="str">
        <x:v>No study-specific limitation is reported in the abstract.</x:v>
      </x:c>
      <x:c r="R78" s="1141" t="str">
        <x:v>https://doi.org/10.1016/j.neucom.2023.126510</x:v>
      </x:c>
    </x:row>
    <x:row r="79" ht="103.5" customHeight="1">
      <x:c r="A79" s="1143" t="str">
        <x:v>GS-04-033</x:v>
      </x:c>
      <x:c r="B79" s="1141" t="str">
        <x:v>Interpretable hybrid CNN–ViT framework with neuro-symbolic clinical decision support for early cervical cancer diagnosis — HT Halawani EM Seran EMAsen Othman .. (2026)</x:v>
      </x:c>
      <x:c r="C79" s="1141" t="str">
        <x:v>Contextual medical concept-XAI evidence</x:v>
      </x:c>
      <x:c r="D79" s="1141" t="str">
        <x:v>Other/unclear report type</x:v>
      </x:c>
      <x:c r="E79" s="1141" t="str">
        <x:v>Modality not reported in abstract — Disease/task not reported in abstract</x:v>
      </x:c>
      <x:c r="F79" s="1141" t="str">
        <x:v>Neuro-symbolic / logic / knowledge graph</x:v>
      </x:c>
      <x:c r="G79" s="1141" t="str">
        <x:v>Neuro-symbolic AI; Ontology / knowledge-guided explanation (Vision Transformer, Transformer, CNN)</x:v>
      </x:c>
      <x:c r="H79" s="1141" t="str">
        <x:v>Ontology, knowledge graph, or symbolic rules</x:v>
      </x:c>
      <x:c r="I79" s="1141" t="str">
        <x:v>Textual rationale and/or concept-grounded localisation</x:v>
      </x:c>
      <x:c r="J79" s="1141" t="str">
        <x:v>Experimental results showed that the proposed hybrid model achieved an average AUC of 99.23%, sensitivity of 98.86%, and accuracy of 98.80% on the SIPaKMeD dataset.</x:v>
      </x:c>
      <x:c r="K79" s="1141" t="str">
        <x:v>No dedicated explanation-quality metric is reported in the abstract; interpretability is supported by the model design and/or qualitative concept, prototype, case, or rule outputs.</x:v>
      </x:c>
      <x:c r="L79" s="1141" t="str">
        <x:v>In addition, an IoU-based Grad-CAM localization framework was introduced to quantify the spatial agreement between activation regions and morphology-guided biomarker reference masks. Experimental results showed that the proposed hybrid model achieved an average AUC of 99.23%, sensitivity of 98.86%, and accuracy of 98.80% on the SIPaKMeD dataset.</x:v>
      </x:c>
      <x:c r="M79" s="1143" t="str">
        <x:v>NR: External validation is not reported in the available abstract evidence.</x:v>
      </x:c>
      <x:c r="N79" s="1143" t="str">
        <x:v>NR: Ophthalmologist involvement is not reported in the available abstract evidence.</x:v>
      </x:c>
      <x:c r="O79" s="1143" t="str">
        <x:v>NR: Code availability is not reported in the available abstract evidence.</x:v>
      </x:c>
      <x:c r="P79" s="1143" t="str">
        <x:v>Low strength or major reporting gaps</x:v>
      </x:c>
      <x:c r="Q79" s="1141" t="str">
        <x:v>No study-specific limitation is reported in the abstract.</x:v>
      </x:c>
      <x:c r="R79" s="1141" t="str">
        <x:v>https://www.nature.com/articles/s41598-026-58334-z.pdf</x:v>
      </x:c>
    </x:row>
    <x:row r="80" ht="103.5" customHeight="1">
      <x:c r="A80" s="1143" t="str">
        <x:v>GS-04-034</x:v>
      </x:c>
      <x:c r="B80" s="1141" t="str">
        <x:v>Trustworthy retinopathy of prematurity diagnosis using explainable vision-language model — HZ Netra RM Ghadban (2026)</x:v>
      </x:c>
      <x:c r="C80" s="1141" t="str">
        <x:v>Contextual medical concept-XAI evidence</x:v>
      </x:c>
      <x:c r="D80" s="1141" t="str">
        <x:v>Other/unclear report type</x:v>
      </x:c>
      <x:c r="E80" s="1141" t="str">
        <x:v>Fundus photography — Retinal disease / lesions</x:v>
      </x:c>
      <x:c r="F80" s="1141" t="str">
        <x:v>Vision-language / generative concept model</x:v>
      </x:c>
      <x:c r="G80" s="1141" t="str">
        <x:v>Neuro-symbolic AI; Concept-guided vision-language model (Vision Transformer, Transformer)</x:v>
      </x:c>
      <x:c r="H80" s="1141" t="str">
        <x:v>Text prompts, reports, or language-grounded concepts</x:v>
      </x:c>
      <x:c r="I80" s="1141" t="str">
        <x:v>Textual rationale and/or concept-grounded localisation</x:v>
      </x:c>
      <x:c r="J80" s="1141" t="str">
        <x:v>Evaluations on benchmark ROP datasets, paired with semi-structured NICU reports, demonstrate that the multimodal system improves diagnostic AUC by 7-9 % compared to image-only baselines, and delivers dual explanations through Grad-CAM heatmaps and SHAP token-level attributions.</x:v>
      </x:c>
      <x:c r="K80" s="1141" t="str">
        <x:v>No dedicated explanation-quality metric is reported in the abstract; interpretability is supported by the model design and/or qualitative concept, prototype, case, or rule outputs.</x:v>
      </x:c>
      <x:c r="L80" s="1141" t="str">
        <x:v>Evaluations on benchmark ROP datasets, paired with semi-structured NICU reports, demonstrate that the multimodal system improves diagnostic AUC by 7-9 % compared to image-only baselines, and delivers dual explanations through Grad-CAM heatmaps and SHAP token-level attributions. Structured clinician feedback confirms that the system’s explanations align with expert annotations and improve interpretability and trust.</x:v>
      </x:c>
      <x:c r="M80" s="1143" t="str">
        <x:v>NR: External validation is not reported in the available abstract evidence.</x:v>
      </x:c>
      <x:c r="N80" s="1143" t="str">
        <x:v>1: Clinical-expert involvement or comparison is mentioned, but its role is limited or incompletely described.</x:v>
      </x:c>
      <x:c r="O80" s="1143" t="str">
        <x:v>NR: Code availability is not reported in the available abstract evidence.</x:v>
      </x:c>
      <x:c r="P80" s="1143" t="str">
        <x:v>Moderate strength / some concerns</x:v>
      </x:c>
      <x:c r="Q80" s="1141" t="str">
        <x:v>No study-specific limitation is reported in the abstract.</x:v>
      </x:c>
      <x:c r="R80" s="1141" t="str">
        <x:v>https://classic.jase.tku.edu.tw/articles/jase-202607-30-006</x:v>
      </x:c>
    </x:row>
    <x:row r="81" ht="103.5" customHeight="1">
      <x:c r="A81" s="1143" t="str">
        <x:v>GS-04-099</x:v>
      </x:c>
      <x:c r="B81" s="1141" t="str">
        <x:v>MedXAI: A Retrieval-Augmented and Self-Verifying Framework for Knowledge-Guided Medical Image Analysis — MJrsoj ABanerjae F Shaikh 9 (2025)</x:v>
      </x:c>
      <x:c r="C81" s="1141" t="str">
        <x:v>Contextual medical concept-XAI evidence</x:v>
      </x:c>
      <x:c r="D81" s="1141" t="str">
        <x:v>Other/unclear report type</x:v>
      </x:c>
      <x:c r="E81" s="1141" t="str">
        <x:v>Modality not reported in abstract — Diabetic retinopathy; Retinal disease / lesions</x:v>
      </x:c>
      <x:c r="F81" s="1141" t="str">
        <x:v>Other / method not specified in abstract</x:v>
      </x:c>
      <x:c r="G81" s="1141" t="str">
        <x:v>Concept-XAI method not specified in abstract (Retrieval)</x:v>
      </x:c>
      <x:c r="H81" s="1141" t="str">
        <x:v>Ontology, knowledge graph, or symbolic rules</x:v>
      </x:c>
      <x:c r="I81" s="1141" t="str">
        <x:v>Rules, symbolic relations, or graph explanation</x:v>
      </x:c>
      <x:c r="J81" s="1141" t="str">
        <x:v>Ex periments on ten multicenter datasets show consistent gains, including a 3% improvement in cross-domain generalization and a 10% improvmnet in F1 score of rare class, substantially outperforming strong deep learning baselines.</x:v>
      </x:c>
      <x:c r="K81" s="1141" t="str">
        <x:v>Ablations confirm that the symbolic components act as effective clinical priors and regularizers, improving robustness under distribution shift.</x:v>
      </x:c>
      <x:c r="L81" s="1141" t="str">
        <x:v>Ablations confirm that the symbolic components act as effective clinical priors and regularizers, improving robustness under distribution shift. MedXAI delivers clinically aligned explanations while achieving superior in-domain and cross-domain performance, particularly for rare diseases in multimodal medical AI.</x:v>
      </x:c>
      <x:c r="M81" s="1143" t="str">
        <x:v>NR: External validation is not reported in the available abstract evidence.</x:v>
      </x:c>
      <x:c r="N81" s="1143" t="str">
        <x:v>1: Clinical-expert involvement or comparison is mentioned, but its role is limited or incompletely described.</x:v>
      </x:c>
      <x:c r="O81" s="1143" t="str">
        <x:v>NR: Code availability is not reported in the available abstract evidence.</x:v>
      </x:c>
      <x:c r="P81" s="1143" t="str">
        <x:v>Moderate strength / some concerns</x:v>
      </x:c>
      <x:c r="Q81" s="1141" t="str">
        <x:v>No study-specific limitation is reported in the abstract.</x:v>
      </x:c>
      <x:c r="R81" s="1141" t="str">
        <x:v>https://arxiv.org/abs/2512.10098</x:v>
      </x:c>
    </x:row>
    <x:row r="82" ht="103.5" customHeight="1">
      <x:c r="A82" s="1143" t="str">
        <x:v>GS-05-093</x:v>
      </x:c>
      <x:c r="B82" s="1141" t="str">
        <x:v>Diagnose Like a Radiologist: Hybrid Neuro-Probabilistic Reasoning for Attribute-Based Medical Image Diagnosis — G Zhao, DFang C Chen Z2hou = (2021)</x:v>
      </x:c>
      <x:c r="C82" s="1141" t="str">
        <x:v>Contextual medical concept-XAI evidence</x:v>
      </x:c>
      <x:c r="D82" s="1141" t="str">
        <x:v>Other/unclear report type</x:v>
      </x:c>
      <x:c r="E82" s="1141" t="str">
        <x:v>CT; X-ray — Disease/task not reported in abstract</x:v>
      </x:c>
      <x:c r="F82" s="1141" t="str">
        <x:v>Other / method not specified in abstract</x:v>
      </x:c>
      <x:c r="G82" s="1141" t="str">
        <x:v>Concept-XAI method not specified in abstract (CNN)</x:v>
      </x:c>
      <x:c r="H82" s="1141" t="str">
        <x:v>Ontology, knowledge graph, or symbolic rules</x:v>
      </x:c>
      <x:c r="I82" s="1141" t="str">
        <x:v>Rules, symbolic relations, or graph explanation</x:v>
      </x:c>
      <x:c r="J82" s="1141" t="str">
        <x:v>LIDC-IDRI. On the LIDC-IDRI benchmark dataset for benign-malignant classification of pulmonary nodules in CT images, our method achieves a new state-of-the-art accuracy of 95.36% and an AUC of 96.54%.</x:v>
      </x:c>
      <x:c r="K82" s="1141" t="str">
        <x:v>Our ablation study indicates that our hybrid algorithm achieves a much better generalization performance than a pure neural network architecture under very limited training data.</x:v>
      </x:c>
      <x:c r="L82" s="1141" t="str">
        <x:v>Our method also achieves a 3.24% accuracy improvement on an in-house chest X-ray image dataset for tuberculosis diagnosis. Our ablation study indicates that our hybrid algorithm achieves a much better generalization performance than a pure neural network architecture under very limited training data.</x:v>
      </x:c>
      <x:c r="M82" s="1143" t="str">
        <x:v>NR: External validation is not reported in the available abstract evidence.</x:v>
      </x:c>
      <x:c r="N82" s="1143" t="str">
        <x:v>1: Clinical-expert involvement or comparison is mentioned, but its role is limited or incompletely described.</x:v>
      </x:c>
      <x:c r="O82" s="1143" t="str">
        <x:v>NR: Code availability is not reported in the available abstract evidence.</x:v>
      </x:c>
      <x:c r="P82" s="1143" t="str">
        <x:v>Moderate strength / some concerns</x:v>
      </x:c>
      <x:c r="Q82" s="1141" t="str">
        <x:v>No study-specific limitation is reported in the abstract.</x:v>
      </x:c>
      <x:c r="R82" s="1141" t="str">
        <x:v>https://arxiv.org/pdf/2208.09282</x:v>
      </x:c>
    </x:row>
    <x:row r="83" ht="103.5" customHeight="1">
      <x:c r="A83" s="1143" t="str">
        <x:v>GS-06-002</x:v>
      </x:c>
      <x:c r="B83" s="1141" t="str">
        <x:v>Interpretability Beyond Feature Attribution: Quantitative Testing with Concept Activation Vectors (TCAV) — Bim. M\Watlenbsrg J Silme: C Cai (2018)</x:v>
      </x:c>
      <x:c r="C83" s="1141" t="str">
        <x:v>Contextual medical concept-XAI evidence</x:v>
      </x:c>
      <x:c r="D83" s="1141" t="str">
        <x:v>Conference paper</x:v>
      </x:c>
      <x:c r="E83" s="1141" t="str">
        <x:v>Modality not reported in abstract — Disease/task not reported in abstract</x:v>
      </x:c>
      <x:c r="F83" s="1141" t="str">
        <x:v>Concept activation / post-hoc vector</x:v>
      </x:c>
      <x:c r="G83" s="1141" t="str">
        <x:v>Concept activation vectors / TCAV</x:v>
      </x:c>
      <x:c r="H83" s="1141" t="str">
        <x:v>Human-defined concept examples / activation vectors</x:v>
      </x:c>
      <x:c r="I83" s="1141" t="str">
        <x:v>Concept sensitivity / TCAV scores</x:v>
      </x:c>
      <x:c r="J83" s="1141" t="str">
        <x:v>Dataset and sample size not reported in abstract.</x:v>
      </x:c>
      <x:c r="K83" s="1141" t="str">
        <x:v>No dedicated explanation-quality metric is reported in the abstract; interpretability is supported by the model design and/or qualitative concept, prototype, case, or rule outputs.</x:v>
      </x:c>
      <x:c r="L83" s="1141" t="str">
        <x:v>No quantitative result is reported in the abstract.</x:v>
      </x:c>
      <x:c r="M83" s="1143" t="str">
        <x:v>NR: External validation is not reported in the available abstract evidence.</x:v>
      </x:c>
      <x:c r="N83" s="1143" t="str">
        <x:v>NR: Ophthalmologist involvement is not reported in the available abstract evidence.</x:v>
      </x:c>
      <x:c r="O83" s="1143" t="str">
        <x:v>NR: Code availability is not reported in the available abstract evidence.</x:v>
      </x:c>
      <x:c r="P83" s="1143" t="str">
        <x:v>Insufficiently reported</x:v>
      </x:c>
      <x:c r="Q83" s="1141" t="str">
        <x:v>No study-specific limitation is reported in the abstract.</x:v>
      </x:c>
      <x:c r="R83" s="1141" t="str">
        <x:v>https://arxiv.org/abs/1711.11279</x:v>
      </x:c>
    </x:row>
    <x:row r="84" ht="103.5" customHeight="1">
      <x:c r="A84" s="1143" t="str">
        <x:v>GS-06-003</x:v>
      </x:c>
      <x:c r="B84" s="1141" t="str">
        <x:v>AI based Deep Radiomics for Quantification of Macular Edema: A Continuous, Non-categorical, Numerical Score for Personalized Medicine — APurl, R Krueger (2024)</x:v>
      </x:c>
      <x:c r="C84" s="1141" t="str">
        <x:v>Direct retinal/ophthalmic evidence</x:v>
      </x:c>
      <x:c r="D84" s="1141" t="str">
        <x:v>Other/unclear report type</x:v>
      </x:c>
      <x:c r="E84" s="1141" t="str">
        <x:v>OCT — Disease/task not reported in abstract</x:v>
      </x:c>
      <x:c r="F84" s="1141" t="str">
        <x:v>Other / method not specified in abstract</x:v>
      </x:c>
      <x:c r="G84" s="1141" t="str">
        <x:v>Concept-XAI method not specified in abstract (CNN)</x:v>
      </x:c>
      <x:c r="H84" s="1141" t="str">
        <x:v>Not explicit in abstract</x:v>
      </x:c>
      <x:c r="I84" s="1141" t="str">
        <x:v>Not reported in abstract</x:v>
      </x:c>
      <x:c r="J84" s="1141" t="str">
        <x:v>It captured complex nonlinear relationships from edema features in an image, that correlated well with the disease severity, response to treatment, the prognostically significant internal pattern of edema, and its invisible spread into the surrounding regions.</x:v>
      </x:c>
      <x:c r="K84" s="1141" t="str">
        <x:v>No dedicated explanation-quality metric is reported in the abstract; interpretability is supported by the model design and/or qualitative concept, prototype, case, or rule outputs.</x:v>
      </x:c>
      <x:c r="L84" s="1141" t="str">
        <x:v>No quantitative result is reported in the abstract.</x:v>
      </x:c>
      <x:c r="M84" s="1143" t="str">
        <x:v>NR: External validation is not reported in the available abstract evidence.</x:v>
      </x:c>
      <x:c r="N84" s="1143" t="str">
        <x:v>NR: Ophthalmologist involvement is not reported in the available abstract evidence.</x:v>
      </x:c>
      <x:c r="O84" s="1143" t="str">
        <x:v>NR: Code availability is not reported in the available abstract evidence.</x:v>
      </x:c>
      <x:c r="P84" s="1143" t="str">
        <x:v>Low strength or major reporting gaps</x:v>
      </x:c>
      <x:c r="Q84" s="1141" t="str">
        <x:v>No study-specific limitation is reported in the abstract.</x:v>
      </x:c>
      <x:c r="R84" s="1141" t="str">
        <x:v>https://doi.org/10.21203/rs.3.rs-4854925/v1</x:v>
      </x:c>
    </x:row>
    <x:row r="85" ht="103.5" customHeight="1">
      <x:c r="A85" s="1143" t="str">
        <x:v>GS-06-014</x:v>
      </x:c>
      <x:c r="B85" s="1141" t="str">
        <x:v>Developing Explainable Machine Learning Model using Augmented Concept Activation Vector — R Hassanpcur K Ozlaprak MN Netlen, TBusker = (2024)</x:v>
      </x:c>
      <x:c r="C85" s="1141" t="str">
        <x:v>Contextual medical concept-XAI evidence</x:v>
      </x:c>
      <x:c r="D85" s="1141" t="str">
        <x:v>Preprint</x:v>
      </x:c>
      <x:c r="E85" s="1141" t="str">
        <x:v>Fundus photography — Disease/task not reported in abstract</x:v>
      </x:c>
      <x:c r="F85" s="1141" t="str">
        <x:v>Concept activation / post-hoc vector</x:v>
      </x:c>
      <x:c r="G85" s="1141" t="str">
        <x:v>Concept activation vectors / TCAV</x:v>
      </x:c>
      <x:c r="H85" s="1141" t="str">
        <x:v>Human-defined concept examples / activation vectors</x:v>
      </x:c>
      <x:c r="I85" s="1141" t="str">
        <x:v>Concept sensitivity / TCAV scores</x:v>
      </x:c>
      <x:c r="J85" s="1141" t="str">
        <x:v>Dataset and sample size not reported in abstract.</x:v>
      </x:c>
      <x:c r="K85" s="1141" t="str">
        <x:v>No dedicated explanation-quality metric is reported in the abstract; interpretability is supported by the model design and/or qualitative concept, prototype, case, or rule outputs.</x:v>
      </x:c>
      <x:c r="L85" s="1141" t="str">
        <x:v>No quantitative result is reported in the abstract.</x:v>
      </x:c>
      <x:c r="M85" s="1143" t="str">
        <x:v>NR: External validation is not reported in the available abstract evidence.</x:v>
      </x:c>
      <x:c r="N85" s="1143" t="str">
        <x:v>NR: Ophthalmologist involvement is not reported in the available abstract evidence.</x:v>
      </x:c>
      <x:c r="O85" s="1143" t="str">
        <x:v>NR: Code availability is not reported in the available abstract evidence.</x:v>
      </x:c>
      <x:c r="P85" s="1143" t="str">
        <x:v>Insufficiently reported</x:v>
      </x:c>
      <x:c r="Q85" s="1141" t="str">
        <x:v>No study-specific limitation is reported in the abstract.</x:v>
      </x:c>
      <x:c r="R85" s="1141" t="str">
        <x:v>https://arxiv.org/pdf/2412.19208</x:v>
      </x:c>
    </x:row>
    <x:row r="86" ht="103.5" customHeight="1">
      <x:c r="A86" s="1143" t="str">
        <x:v>GS-06-015</x:v>
      </x:c>
      <x:c r="B86" s="1141" t="str">
        <x:v>ExAID: A Multimodal Explanation Framework for Computer-Aided Diagnosis of Skin Lesions — Aluceri WIN Bapyva SABraun MI Malik -Compuler Mathads and | 2022. Elsev-er (2022)</x:v>
      </x:c>
      <x:c r="C86" s="1141" t="str">
        <x:v>Contextual medical concept-XAI evidence</x:v>
      </x:c>
      <x:c r="D86" s="1141" t="str">
        <x:v>Other/unclear report type</x:v>
      </x:c>
      <x:c r="E86" s="1141" t="str">
        <x:v>Dermoscopy / skin imaging — Skin lesions / melanoma</x:v>
      </x:c>
      <x:c r="F86" s="1141" t="str">
        <x:v>Concept activation / post-hoc vector</x:v>
      </x:c>
      <x:c r="G86" s="1141" t="str">
        <x:v>Concept activation vectors / TCAV; Other concept-based model</x:v>
      </x:c>
      <x:c r="H86" s="1141" t="str">
        <x:v>Human-defined concept examples / activation vectors</x:v>
      </x:c>
      <x:c r="I86" s="1141" t="str">
        <x:v>Concept sensitivity / TCAV scores</x:v>
      </x:c>
      <x:c r="J86" s="1141" t="str">
        <x:v>Dataset and sample size not reported in abstract.</x:v>
      </x:c>
      <x:c r="K86" s="1141" t="str">
        <x:v>No dedicated explanation-quality metric is reported in the abstract; interpretability is supported by the model design and/or qualitative concept, prototype, case, or rule outputs.</x:v>
      </x:c>
      <x:c r="L86" s="1141" t="str">
        <x:v>No quantitative result is reported in the abstract.</x:v>
      </x:c>
      <x:c r="M86" s="1143" t="str">
        <x:v>NR: External validation is not reported in the available abstract evidence.</x:v>
      </x:c>
      <x:c r="N86" s="1143" t="str">
        <x:v>NR: Ophthalmologist involvement is not reported in the available abstract evidence.</x:v>
      </x:c>
      <x:c r="O86" s="1143" t="str">
        <x:v>NR: Code availability is not reported in the available abstract evidence.</x:v>
      </x:c>
      <x:c r="P86" s="1143" t="str">
        <x:v>Insufficiently reported</x:v>
      </x:c>
      <x:c r="Q86" s="1141" t="str">
        <x:v>No study-specific limitation is reported in the abstract.</x:v>
      </x:c>
      <x:c r="R86" s="1141" t="str">
        <x:v>https://arxiv.org/abs/2201.01249</x:v>
      </x:c>
    </x:row>
    <x:row r="87" ht="103.5" customHeight="1">
      <x:c r="A87" s="1143" t="str">
        <x:v>GS-06-017</x:v>
      </x:c>
      <x:c r="B87" s="1141" t="str">
        <x:v>Robust and Interpretable Chest X-ray Classification via Diffusion Purification and Concept-Based Adversarial Detection — AK Alj (2025)</x:v>
      </x:c>
      <x:c r="C87" s="1141" t="str">
        <x:v>Contextual medical concept-XAI evidence</x:v>
      </x:c>
      <x:c r="D87" s="1141" t="str">
        <x:v>Other/unclear report type</x:v>
      </x:c>
      <x:c r="E87" s="1141" t="str">
        <x:v>X-ray — Disease/task not reported in abstract</x:v>
      </x:c>
      <x:c r="F87" s="1141" t="str">
        <x:v>Other / method not specified in abstract</x:v>
      </x:c>
      <x:c r="G87" s="1141" t="str">
        <x:v>Other concept-based model (Retrieval)</x:v>
      </x:c>
      <x:c r="H87" s="1141" t="str">
        <x:v>Not explicit in abstract</x:v>
      </x:c>
      <x:c r="I87" s="1141" t="str">
        <x:v>Not reported in abstract</x:v>
      </x:c>
      <x:c r="J87" s="1141" t="str">
        <x:v>Furthermore, a Random Forest model classifies the features obtained from the ResNet18 model into harmful and non-harmful image.</x:v>
      </x:c>
      <x:c r="K87" s="1141" t="str">
        <x:v>Explanation evaluation not reported in abstract.</x:v>
      </x:c>
      <x:c r="L87" s="1141" t="str">
        <x:v>The experimental results show that the proposed framework can detect more than 99% of adversarial samples.</x:v>
      </x:c>
      <x:c r="M87" s="1143" t="str">
        <x:v>NR: External validation is not reported in the available abstract evidence.</x:v>
      </x:c>
      <x:c r="N87" s="1143" t="str">
        <x:v>NR: Ophthalmologist involvement is not reported in the available abstract evidence.</x:v>
      </x:c>
      <x:c r="O87" s="1143" t="str">
        <x:v>NR: Code availability is not reported in the available abstract evidence.</x:v>
      </x:c>
      <x:c r="P87" s="1143" t="str">
        <x:v>Low strength or major reporting gaps</x:v>
      </x:c>
      <x:c r="Q87" s="1141" t="str">
        <x:v>No study-specific limitation is reported in the abstract.</x:v>
      </x:c>
      <x:c r="R87" s="1141" t="str">
        <x:v>https://jou.jobrs.edu.iq/index.php/home/article/view/375/147</x:v>
      </x:c>
    </x:row>
    <x:row r="88" ht="103.5" customHeight="1">
      <x:c r="A88" s="1143" t="str">
        <x:v>GS-06-026</x:v>
      </x:c>
      <x:c r="B88" s="1141" t="str">
        <x:v>Robust, Interpretable, and Portable Deep Learning Systems for Detection of Ophthalmic Diseases — K4é Thakoor</x:v>
      </x:c>
      <x:c r="C88" s="1141" t="str">
        <x:v>Direct retinal/ophthalmic evidence</x:v>
      </x:c>
      <x:c r="D88" s="1141" t="str">
        <x:v>Other/unclear report type</x:v>
      </x:c>
      <x:c r="E88" s="1141" t="str">
        <x:v>OCT — Ophthalmic disease</x:v>
      </x:c>
      <x:c r="F88" s="1141" t="str">
        <x:v>Other / method not specified in abstract</x:v>
      </x:c>
      <x:c r="G88" s="1141" t="str">
        <x:v>Concept-XAI method not specified in abstract</x:v>
      </x:c>
      <x:c r="H88" s="1141" t="str">
        <x:v>Not explicit in abstract</x:v>
      </x:c>
      <x:c r="I88" s="1141" t="str">
        <x:v>Not reported in abstract</x:v>
      </x:c>
      <x:c r="J88" s="1141" t="str">
        <x:v>Dataset and sample size not reported in abstract.</x:v>
      </x:c>
      <x:c r="K88" s="1141" t="str">
        <x:v>No dedicated explanation-quality metric is reported in the abstract; interpretability is supported by the model design and/or qualitative concept, prototype, case, or rule outputs.</x:v>
      </x:c>
      <x:c r="L88" s="1141" t="str">
        <x:v>The indexed abstract summary focuses on robust, interpretable and portable deep-learning systems for detecting ophthalmic diseases, particularly glaucoma and age-related macular degeneration, using ophthalmic imaging including optical coherence tomography.</x:v>
      </x:c>
      <x:c r="M88" s="1143" t="str">
        <x:v>NR: External validation is not reported in the available abstract evidence.</x:v>
      </x:c>
      <x:c r="N88" s="1143" t="str">
        <x:v>NR: Ophthalmologist involvement is not reported in the available abstract evidence.</x:v>
      </x:c>
      <x:c r="O88" s="1143" t="str">
        <x:v>NR: Code availability is not reported in the available abstract evidence.</x:v>
      </x:c>
      <x:c r="P88" s="1143" t="str">
        <x:v>Low strength or major reporting gaps</x:v>
      </x:c>
      <x:c r="Q88" s="1141" t="str">
        <x:v>No study-specific limitation is reported in the abstract.</x:v>
      </x:c>
      <x:c r="R88" s="1141" t="str">
        <x:v>https://academiccommons.columbia.edu/doi/10.7916/7gz3-xy09/download</x:v>
      </x:c>
    </x:row>
    <x:row r="89" ht="103.5" customHeight="1">
      <x:c r="A89" s="1143" t="str">
        <x:v>GS-08-005</x:v>
      </x:c>
      <x:c r="B89" s="1141" t="str">
        <x:v>Translating theory into practice: assessing the privacy implications of concept-based explanations for biomedical AI — Aluceri ADe-ge. S Ahmed (2023)</x:v>
      </x:c>
      <x:c r="C89" s="1141" t="str">
        <x:v>Contextual medical concept-XAI evidence</x:v>
      </x:c>
      <x:c r="D89" s="1141" t="str">
        <x:v>Other/unclear report type</x:v>
      </x:c>
      <x:c r="E89" s="1141" t="str">
        <x:v>Modality not reported in abstract — Disease/task not reported in abstract</x:v>
      </x:c>
      <x:c r="F89" s="1141" t="str">
        <x:v>Other / method not specified in abstract</x:v>
      </x:c>
      <x:c r="G89" s="1141" t="str">
        <x:v>Other concept-based model</x:v>
      </x:c>
      <x:c r="H89" s="1141" t="str">
        <x:v>Text prompts, reports, or language-grounded concepts</x:v>
      </x:c>
      <x:c r="I89" s="1141" t="str">
        <x:v>Textual rationale and/or concept-grounded localisation</x:v>
      </x:c>
      <x:c r="J89" s="1141" t="str">
        <x:v>EyePACS, ISIC. An extensive privacy benchmark is conducted on three different state-of-the-art model architectures (ResNet50, NFNet, ConvNeXt) trained on two biomedical (ISIC and EyePACS) and one synthetic dataset (SCDB).</x:v>
      </x:c>
      <x:c r="K89" s="1141" t="str">
        <x:v>No dedicated explanation-quality metric is reported in the abstract; interpretability is supported by the model design and/or qualitative concept, prototype, case, or rule outputs.</x:v>
      </x:c>
      <x:c r="L89" s="1141" t="str">
        <x:v>Artificial Intelligence (AI) has achieved remarkable success in image generation, image analysis, and language modeling, making data-driven techniques increasingly relevant in practical real-world applications, promising enhanced creativity and efficiency for human users. An extensive privacy benchmark is conducted on three different state-of-the-art model architectures (ResNet50, NFNet, ConvNeXt) trained on two biomedical (ISIC and EyePACS) and one synthetic dataset (SCDB).</x:v>
      </x:c>
      <x:c r="M89" s="1143" t="str">
        <x:v>NR: External validation is not reported in the available abstract evidence.</x:v>
      </x:c>
      <x:c r="N89" s="1143" t="str">
        <x:v>NR: Ophthalmologist involvement is not reported in the available abstract evidence.</x:v>
      </x:c>
      <x:c r="O89" s="1143" t="str">
        <x:v>NR: Code availability is not reported in the available abstract evidence.</x:v>
      </x:c>
      <x:c r="P89" s="1143" t="str">
        <x:v>Low strength or major reporting gaps</x:v>
      </x:c>
      <x:c r="Q89" s="1141" t="str">
        <x:v>No study-specific limitation is reported in the abstract.</x:v>
      </x:c>
      <x:c r="R89" s="1141" t="str">
        <x:v>https://www.frontiersin.org/journals/bioinformatics/articles/10.3389/fbinf.2023.1194993/full</x:v>
      </x:c>
    </x:row>
    <x:row r="90" ht="103.5" customHeight="1">
      <x:c r="A90" s="1143" t="str">
        <x:v>GS-08-010</x:v>
      </x:c>
      <x:c r="B90" s="1141" t="str">
        <x:v>Towards Automatic Concept-based Explanations — AGhorbani JiYexier JY Zou -Advances nveural 2019 (2019)</x:v>
      </x:c>
      <x:c r="C90" s="1141" t="str">
        <x:v>Contextual medical concept-XAI evidence</x:v>
      </x:c>
      <x:c r="D90" s="1141" t="str">
        <x:v>Conference paper</x:v>
      </x:c>
      <x:c r="E90" s="1141" t="str">
        <x:v>Modality not reported in abstract — Disease/task not reported in abstract</x:v>
      </x:c>
      <x:c r="F90" s="1141" t="str">
        <x:v>Other / method not specified in abstract</x:v>
      </x:c>
      <x:c r="G90" s="1141" t="str">
        <x:v>Other concept-based model</x:v>
      </x:c>
      <x:c r="H90" s="1141" t="str">
        <x:v>Not explicit in abstract</x:v>
      </x:c>
      <x:c r="I90" s="1141" t="str">
        <x:v>Not reported in abstract</x:v>
      </x:c>
      <x:c r="J90" s="1141" t="str">
        <x:v>Dataset and sample size not reported in abstract.</x:v>
      </x:c>
      <x:c r="K90" s="1141" t="str">
        <x:v>No dedicated explanation-quality metric is reported in the abstract; interpretability is supported by the model design and/or qualitative concept, prototype, case, or rule outputs.</x:v>
      </x:c>
      <x:c r="L90" s="1141" t="str">
        <x:v>No quantitative result is reported in the abstract.</x:v>
      </x:c>
      <x:c r="M90" s="1143" t="str">
        <x:v>NR: External validation is not reported in the available abstract evidence.</x:v>
      </x:c>
      <x:c r="N90" s="1143" t="str">
        <x:v>NR: Ophthalmologist involvement is not reported in the available abstract evidence.</x:v>
      </x:c>
      <x:c r="O90" s="1143" t="str">
        <x:v>NR: Code availability is not reported in the available abstract evidence.</x:v>
      </x:c>
      <x:c r="P90" s="1143" t="str">
        <x:v>Insufficiently reported</x:v>
      </x:c>
      <x:c r="Q90" s="1141" t="str">
        <x:v>No study-specific limitation is reported in the abstract.</x:v>
      </x:c>
      <x:c r="R90" s="1141" t="str">
        <x:v>https://proceedings.neurips.cc/paper_files/paper/9126-towards-automatic-concept-based-explanations.pdf</x:v>
      </x:c>
    </x:row>
    <x:row r="91" ht="103.5" customHeight="1">
      <x:c r="A91" s="1143" t="str">
        <x:v>GS-08-016</x:v>
      </x:c>
      <x:c r="B91" s="1141" t="str">
        <x:v>Concept-based Explanation for Fine-grained Images and Its Application in Infectious Keratitis Classification — 2Fang. « Kuang ¥ Ln F Wu YF Yas (2020)</x:v>
      </x:c>
      <x:c r="C91" s="1141" t="str">
        <x:v>Contextual medical concept-XAI evidence</x:v>
      </x:c>
      <x:c r="D91" s="1141" t="str">
        <x:v>Conference paper</x:v>
      </x:c>
      <x:c r="E91" s="1141" t="str">
        <x:v>Modality not reported in abstract — Disease/task not reported in abstract</x:v>
      </x:c>
      <x:c r="F91" s="1141" t="str">
        <x:v>Other / method not specified in abstract</x:v>
      </x:c>
      <x:c r="G91" s="1141" t="str">
        <x:v>Other concept-based model</x:v>
      </x:c>
      <x:c r="H91" s="1141" t="str">
        <x:v>Not explicit in abstract</x:v>
      </x:c>
      <x:c r="I91" s="1141" t="str">
        <x:v>Not reported in abstract</x:v>
      </x:c>
      <x:c r="J91" s="1141" t="str">
        <x:v>Dataset and sample size not reported in abstract.</x:v>
      </x:c>
      <x:c r="K91" s="1141" t="str">
        <x:v>No dedicated explanation-quality metric is reported in the abstract; interpretability is supported by the model design and/or qualitative concept, prototype, case, or rule outputs.</x:v>
      </x:c>
      <x:c r="L91" s="1141" t="str">
        <x:v>Based on our discovered explainable visual concepts, we further propose a visual concept enhanced framework for infectious keratitis classification. Extensive empirical experiments demonstrate that (i) our discovered visual concepts are highly coherent with the physicians? understanding and interpretation, and (ii) our visual concept enhanced model achieves significant improvement on the performance of infectious keratitis classification.</x:v>
      </x:c>
      <x:c r="M91" s="1143" t="str">
        <x:v>NR: External validation is not reported in the available abstract evidence.</x:v>
      </x:c>
      <x:c r="N91" s="1143" t="str">
        <x:v>NR: Ophthalmologist involvement is not reported in the available abstract evidence.</x:v>
      </x:c>
      <x:c r="O91" s="1143" t="str">
        <x:v>NR: Code availability is not reported in the available abstract evidence.</x:v>
      </x:c>
      <x:c r="P91" s="1143" t="str">
        <x:v>Insufficiently reported</x:v>
      </x:c>
      <x:c r="Q91" s="1141" t="str">
        <x:v>No study-specific limitation is reported in the abstract.</x:v>
      </x:c>
      <x:c r="R91" s="1141" t="str">
        <x:v>https://kunkuang.github.io/papers/MM20-concept.pdf</x:v>
      </x:c>
    </x:row>
    <x:row r="92" ht="103.5" customHeight="1">
      <x:c r="A92" s="1143" t="str">
        <x:v>ARXIV-01-001</x:v>
      </x:c>
      <x:c r="B92" s="1141" t="str">
        <x:v>Looking into Concept Explanation Methods for Diabetic Retinopathy Classification (2024)</x:v>
      </x:c>
      <x:c r="C92" s="1141" t="str">
        <x:v>Direct retinal/ophthalmic evidence</x:v>
      </x:c>
      <x:c r="D92" s="1141" t="str">
        <x:v>Preprint</x:v>
      </x:c>
      <x:c r="E92" s="1141" t="str">
        <x:v>Fundus photography — Diabetic retinopathy; Retinal disease / lesions</x:v>
      </x:c>
      <x:c r="F92" s="1141" t="str">
        <x:v>Concept activation / post-hoc vector</x:v>
      </x:c>
      <x:c r="G92" s="1141" t="str">
        <x:v>Concept bottleneck model; Concept activation vectors / TCAV; Other concept-based model</x:v>
      </x:c>
      <x:c r="H92" s="1141" t="str">
        <x:v>Human-defined concept examples / activation vectors</x:v>
      </x:c>
      <x:c r="I92" s="1141" t="str">
        <x:v>Concept sensitivity / TCAV scores</x:v>
      </x:c>
      <x:c r="J92" s="1141" t="str">
        <x:v>Dataset and sample size not reported in abstract.</x:v>
      </x:c>
      <x:c r="K92" s="1141" t="str">
        <x:v>No dedicated explanation-quality metric is reported in the abstract; interpretability is supported by the model design and/or qualitative concept, prototype, case, or rule outputs.</x:v>
      </x:c>
      <x:c r="L92" s="1141" t="str">
        <x:v>No quantitative result is reported in the abstract.</x:v>
      </x:c>
      <x:c r="M92" s="1143" t="str">
        <x:v>NR: External validation is not reported in the available abstract evidence.</x:v>
      </x:c>
      <x:c r="N92" s="1143" t="str">
        <x:v>1: Clinical-expert involvement or comparison is mentioned, but its role is limited or incompletely described.</x:v>
      </x:c>
      <x:c r="O92" s="1143" t="str">
        <x:v>2: Public code/repository availability is explicitly reported.</x:v>
      </x:c>
      <x:c r="P92" s="1143" t="str">
        <x:v>Moderate strength / some concerns</x:v>
      </x:c>
      <x:c r="Q92" s="1141" t="str">
        <x:v>No study-specific limitation is reported in the abstract.</x:v>
      </x:c>
      <x:c r="R92" s="1141" t="str">
        <x:v>https://arxiv.org/pdf/2410.03188</x:v>
      </x:c>
    </x:row>
    <x:row r="93" ht="103.5" customHeight="1">
      <x:c r="A93" s="1143" t="str">
        <x:v>ARXIV-02-006</x:v>
      </x:c>
      <x:c r="B93" s="1141" t="str">
        <x:v>Prototype-Guided and Lightweight Adapters for Inherent Interpretation and Generalisation in Federated Learning — Samuel Ofosu mensah, Kerol Djoumessi Philgp Berens Abstract fextorsted learning 1) provides a promicing paradigm fhe colluber ately traning machine... © ave ‘astemseenl iy, 2 eeggety mercury 2S Caenomante: pages 4 Npseee, materoed'ne MKCAL ALP and ten ders nee 7. e0hte2906. 10609 (pel ps, other GB at PIPVIT: Patch-based Visual Interpretable Prototypes for Retinal Image Analysis</x:v>
      </x:c>
      <x:c r="C93" s="1141" t="str">
        <x:v>Contextual medical concept-XAI evidence</x:v>
      </x:c>
      <x:c r="D93" s="1141" t="str">
        <x:v>Preprint</x:v>
      </x:c>
      <x:c r="E93" s="1141" t="str">
        <x:v>Fundus photography — Disease/task not reported in abstract</x:v>
      </x:c>
      <x:c r="F93" s="1141" t="str">
        <x:v>Prototype- or case-based</x:v>
      </x:c>
      <x:c r="G93" s="1141" t="str">
        <x:v>Prototype-based / prototypical learning; Self-explaining / interpretable-by-design model (Federated learning)</x:v>
      </x:c>
      <x:c r="H93" s="1141" t="str">
        <x:v>Learned prototypes / representative cases</x:v>
      </x:c>
      <x:c r="I93" s="1141" t="str">
        <x:v>Prototype/case examples or similarity evidence</x:v>
      </x:c>
      <x:c r="J93" s="1141" t="str">
        <x:v>Dataset and sample size not reported in abstract.</x:v>
      </x:c>
      <x:c r="K93" s="1141" t="str">
        <x:v>No dedicated explanation-quality metric is reported in the abstract; interpretability is supported by the model design and/or qualitative concept, prototype, case, or rule outputs.</x:v>
      </x:c>
      <x:c r="L93" s="1141" t="str">
        <x:v>We demonstrate inherent interpretable capabilities and perform a classification task, which shows improvements in accuracy over baseline algorithms.</x:v>
      </x:c>
      <x:c r="M93" s="1143" t="str">
        <x:v>NR: External validation is not reported in the available abstract evidence.</x:v>
      </x:c>
      <x:c r="N93" s="1143" t="str">
        <x:v>NR: Ophthalmologist involvement is not reported in the available abstract evidence.</x:v>
      </x:c>
      <x:c r="O93" s="1143" t="str">
        <x:v>NR: Code availability is not reported in the available abstract evidence.</x:v>
      </x:c>
      <x:c r="P93" s="1143" t="str">
        <x:v>Low strength or major reporting gaps</x:v>
      </x:c>
      <x:c r="Q93" s="1141" t="str">
        <x:v>No study-specific limitation is reported in the abstract.</x:v>
      </x:c>
      <x:c r="R93" s="1141" t="str">
        <x:v>https://arxiv.org/abs/2507.05852</x:v>
      </x:c>
    </x:row>
    <x:row r="94" ht="103.5" customHeight="1">
      <x:c r="A94" s="1143" t="str">
        <x:v>ARXIV-02-007</x:v>
      </x:c>
      <x:c r="B94" s="1141" t="str">
        <x:v>PiPViT: Patch-based Visual Interpretable Prototypes for retinal image analysis — Marzich Oghbsie, Tesesa Araujo, Hrvoje Bagunowt Abstract Backgrcund and Otyective Protetype Saute methecs Imerave weerpeetabilty by ~ how Subested 13 June, U5, v1 subsised 12 June, 22S, ortimally announced jane 2025 8 arkie2AOE 5168 [pet other] CEEB This actually looks like that: Proto-BagNets for local and global interpretability-by-design</x:v>
      </x:c>
      <x:c r="C94" s="1141" t="str">
        <x:v>Direct retinal/ophthalmic evidence</x:v>
      </x:c>
      <x:c r="D94" s="1141" t="str">
        <x:v>Preprint</x:v>
      </x:c>
      <x:c r="E94" s="1141" t="str">
        <x:v>OCT — Disease/task not reported in abstract</x:v>
      </x:c>
      <x:c r="F94" s="1141" t="str">
        <x:v>Prototype- or case-based</x:v>
      </x:c>
      <x:c r="G94" s="1141" t="str">
        <x:v>Prototype-based / prototypical learning; Self-explaining / interpretable-by-design model (Vision Transformer, Transformer)</x:v>
      </x:c>
      <x:c r="H94" s="1141" t="str">
        <x:v>Learned prototypes / representative cases</x:v>
      </x:c>
      <x:c r="I94" s="1141" t="str">
        <x:v>Prototype/case examples or similarity evidence</x:v>
      </x:c>
      <x:c r="J94" s="1141" t="str">
        <x:v>Dataset and sample size not reported in abstract.</x:v>
      </x:c>
      <x:c r="K94" s="1141" t="str">
        <x:v>No dedicated explanation-quality metric is reported in the abstract; interpretability is supported by the model design and/or qualitative concept, prototype, case, or rule outputs.</x:v>
      </x:c>
      <x:c r="L94" s="1141" t="str">
        <x:v>Results: We evaluated PiPViT on retinal OCT image classification across four datasets, where it achieved competitive quantitative performance compared to state-of-the-art methods while delivering more meaningful explanations.</x:v>
      </x:c>
      <x:c r="M94" s="1143" t="str">
        <x:v>1: Internal held-out, cross-validation, or multi-dataset evaluation is reported, but institutional independence is unclear.</x:v>
      </x:c>
      <x:c r="N94" s="1143" t="str">
        <x:v>1: Clinical-expert involvement or comparison is mentioned, but its role is limited or incompletely described.</x:v>
      </x:c>
      <x:c r="O94" s="1143" t="str">
        <x:v>2: Public code/repository availability is explicitly reported.</x:v>
      </x:c>
      <x:c r="P94" s="1143" t="str">
        <x:v>Moderate strength / some concerns</x:v>
      </x:c>
      <x:c r="Q94" s="1141" t="str">
        <x:v>No study-specific limitation is reported in the abstract.</x:v>
      </x:c>
      <x:c r="R94" s="1141" t="str">
        <x:v>https://arxiv.org/pdf/2506.10669</x:v>
      </x:c>
    </x:row>
    <x:row r="95" ht="103.5" customHeight="1">
      <x:c r="A95" s="1143" t="str">
        <x:v>ARXIV-02-012</x:v>
      </x:c>
      <x:c r="B95" s="1141" t="str">
        <x:v>LAVA: Granular Neuron-Level Explainable AI for Alzheimer's Disease Assessment from Fundus Images — Noostin Yuusetcadets Chetie Ine Adolfo Reeniree Cerriora. jingu ben, Rocgu berg. My 1. Uhr</x:v>
      </x:c>
      <x:c r="C95" s="1141" t="str">
        <x:v>Direct retinal/ophthalmic evidence</x:v>
      </x:c>
      <x:c r="D95" s="1141" t="str">
        <x:v>Preprint</x:v>
      </x:c>
      <x:c r="E95" s="1141" t="str">
        <x:v>Fundus photography — MCI / Alzheimer's disease</x:v>
      </x:c>
      <x:c r="F95" s="1141" t="str">
        <x:v>Prototype- or case-based</x:v>
      </x:c>
      <x:c r="G95" s="1141" t="str">
        <x:v>Prototype-based / prototypical learning (CNN)</x:v>
      </x:c>
      <x:c r="H95" s="1141" t="str">
        <x:v>Learned prototypes / representative cases</x:v>
      </x:c>
      <x:c r="I95" s="1141" t="str">
        <x:v>Prototype/case examples or similarity evidence</x:v>
      </x:c>
      <x:c r="J95" s="1141" t="str">
        <x:v>Dataset and sample size not reported in abstract.</x:v>
      </x:c>
      <x:c r="K95" s="1141" t="str">
        <x:v>No dedicated explanation-quality metric is reported in the abstract; interpretability is supported by the model design and/or qualitative concept, prototype, case, or rule outputs.</x:v>
      </x:c>
      <x:c r="L95" s="1141" t="str">
        <x:v>No quantitative result is reported in the abstract.</x:v>
      </x:c>
      <x:c r="M95" s="1143" t="str">
        <x:v>NR: External validation is not reported in the available abstract evidence.</x:v>
      </x:c>
      <x:c r="N95" s="1143" t="str">
        <x:v>NR: Ophthalmologist involvement is not reported in the available abstract evidence.</x:v>
      </x:c>
      <x:c r="O95" s="1143" t="str">
        <x:v>NR: Code availability is not reported in the available abstract evidence.</x:v>
      </x:c>
      <x:c r="P95" s="1143" t="str">
        <x:v>Insufficiently reported</x:v>
      </x:c>
      <x:c r="Q95" s="1141" t="str">
        <x:v>No study-specific limitation is reported in the abstract.</x:v>
      </x:c>
      <x:c r="R95" s="1141" t="str">
        <x:v>https://arxiv.org/pdf/2302.03008</x:v>
      </x:c>
    </x:row>
    <x:row r="96" ht="103.5" customHeight="1">
      <x:c r="A96" s="1143" t="str">
        <x:v>ARXIV-02-014</x:v>
      </x:c>
      <x:c r="B96" s="1141" t="str">
        <x:v>Coarse Retinal Lesion Annotations Refinement via Prototypical Learning — Ory Yu. Kare Dang. Znyu Chou. Yorupwes Chen. Xiecwwes org Abstract Oeepiearning-basedt approactes for. © Mowe ‘Semiened 3 Apes. 2177: eriginly aneeunc Ad ve 7177 Ceemument es MiCTALY? wenetomay WA AM 7? 15 arkine2208.00457 (pel other] CEE Lo INSightR-Net: Interpretable Neural Network for Regression using Similarity-based Comparisons to Prototypical Examples (2022)</x:v>
      </x:c>
      <x:c r="C96" s="1141" t="str">
        <x:v>Direct retinal/ophthalmic evidence</x:v>
      </x:c>
      <x:c r="D96" s="1141" t="str">
        <x:v>Preprint</x:v>
      </x:c>
      <x:c r="E96" s="1141" t="str">
        <x:v>Modality not reported in abstract — Retinal disease / lesions</x:v>
      </x:c>
      <x:c r="F96" s="1141" t="str">
        <x:v>Prototype- or case-based</x:v>
      </x:c>
      <x:c r="G96" s="1141" t="str">
        <x:v>Prototype-based / prototypical learning (Segmentation model)</x:v>
      </x:c>
      <x:c r="H96" s="1141" t="str">
        <x:v>Learned prototypes / representative cases</x:v>
      </x:c>
      <x:c r="I96" s="1141" t="str">
        <x:v>Prototype/case examples or similarity evidence</x:v>
      </x:c>
      <x:c r="J96" s="1141" t="str">
        <x:v>IDRiD, DDR. The proposed method was trained on the publicly available IDRiD dataset and then generalized to the public DDR and our real-world private datasets.</x:v>
      </x:c>
      <x:c r="K96" s="1141" t="str">
        <x:v>No dedicated explanation-quality metric is reported in the abstract; interpretability is supported by the model design and/or qualitative concept, prototype, case, or rule outputs.</x:v>
      </x:c>
      <x:c r="L96" s="1141" t="str">
        <x:v>Experiments show that our approach substantially improved the initial coarse mask and outperformed the non-prototypical baseline by a large margin.</x:v>
      </x:c>
      <x:c r="M96" s="1143" t="str">
        <x:v>1: Internal held-out, cross-validation, or multi-dataset evaluation is reported, but institutional independence is unclear.</x:v>
      </x:c>
      <x:c r="N96" s="1143" t="str">
        <x:v>NR: Ophthalmologist involvement is not reported in the available abstract evidence.</x:v>
      </x:c>
      <x:c r="O96" s="1143" t="str">
        <x:v>NR: Code availability is not reported in the available abstract evidence.</x:v>
      </x:c>
      <x:c r="P96" s="1143" t="str">
        <x:v>Moderate strength / some concerns</x:v>
      </x:c>
      <x:c r="Q96" s="1141" t="str">
        <x:v>No study-specific limitation is reported in the abstract.</x:v>
      </x:c>
      <x:c r="R96" s="1141" t="str">
        <x:v>https://arxiv.org/abs/2208.14294</x:v>
      </x:c>
    </x:row>
    <x:row r="97" ht="103.5" customHeight="1">
      <x:c r="A97" s="1143" t="str">
        <x:v>ARXIV-02-015</x:v>
      </x:c>
      <x:c r="B97" s="1141" t="str">
        <x:v>INSightR-Net: Interpretable Neural Network for Regression using Similarity-based Comparisons to Prototypical Examples — Lnds S. Hesse Ang LL Nemburete Abstract In thet work we propate an Innereny Interpretatie CAN for regreescn utang simmarey Dates comparitons (INDENIN.Net) and demonstrate cur methods on the tark of ciabes retinopathy grading. A. 7 Mere ‘Seemed 3% bly, 2822: erigrty arneumend Ages 2022 Comment: Scxepoes at NICH 2012, code anatase at Sasaslieub som nsehene Sienst Net 16 aXe 2203.02493 (pet, other] QED Greedy Optimization of Electrode Arrangement for Epiretinal Prostheses (2022)</x:v>
      </x:c>
      <x:c r="C97" s="1141" t="str">
        <x:v>Contextual medical concept-XAI evidence</x:v>
      </x:c>
      <x:c r="D97" s="1141" t="str">
        <x:v>Preprint</x:v>
      </x:c>
      <x:c r="E97" s="1141" t="str">
        <x:v>Modality not reported in abstract — Diabetic retinopathy; Retinal disease / lesions</x:v>
      </x:c>
      <x:c r="F97" s="1141" t="str">
        <x:v>Prototype- or case-based</x:v>
      </x:c>
      <x:c r="G97" s="1141" t="str">
        <x:v>Prototype-based / prototypical learning; Self-explaining / interpretable-by-design model (CNN)</x:v>
      </x:c>
      <x:c r="H97" s="1141" t="str">
        <x:v>Learned prototypes / representative cases</x:v>
      </x:c>
      <x:c r="I97" s="1141" t="str">
        <x:v>Prototype/case examples or similarity evidence</x:v>
      </x:c>
      <x:c r="J97" s="1141" t="str">
        <x:v>Dataset and sample size not reported in abstract.</x:v>
      </x:c>
      <x:c r="K97" s="1141" t="str">
        <x:v>No dedicated explanation-quality metric is reported in the abstract; interpretability is supported by the model design and/or qualitative concept, prototype, case, or rule outputs.</x:v>
      </x:c>
      <x:c r="L97" s="1141" t="str">
        <x:v>We achieved competitive prediction performance with our INSightR-Net compared to a ResNet baseline, showing that it is not necessary to compromise performance for interpretability.</x:v>
      </x:c>
      <x:c r="M97" s="1143" t="str">
        <x:v>NR: External validation is not reported in the available abstract evidence.</x:v>
      </x:c>
      <x:c r="N97" s="1143" t="str">
        <x:v>NR: Ophthalmologist involvement is not reported in the available abstract evidence.</x:v>
      </x:c>
      <x:c r="O97" s="1143" t="str">
        <x:v>NR: Code availability is not reported in the available abstract evidence.</x:v>
      </x:c>
      <x:c r="P97" s="1143" t="str">
        <x:v>Insufficiently reported</x:v>
      </x:c>
      <x:c r="Q97" s="1141" t="str">
        <x:v>No study-specific limitation is reported in the abstract.</x:v>
      </x:c>
      <x:c r="R97" s="1141" t="str">
        <x:v>https://arxiv.org/abs/2208.00457</x:v>
      </x:c>
    </x:row>
    <x:row r="98" ht="103.5" customHeight="1">
      <x:c r="A98" s="1143" t="str">
        <x:v>ARXIV-04-001</x:v>
      </x:c>
      <x:c r="B98" s="1141" t="str">
        <x:v>Single Domain Generalization in Diabetic Retinopathy: A Neuro-Symbolic Learning Approach (2025)</x:v>
      </x:c>
      <x:c r="C98" s="1141" t="str">
        <x:v>Direct retinal/ophthalmic evidence</x:v>
      </x:c>
      <x:c r="D98" s="1141" t="str">
        <x:v>Preprint</x:v>
      </x:c>
      <x:c r="E98" s="1141" t="str">
        <x:v>Modality not reported in abstract — Diabetic retinopathy; Retinal disease / lesions</x:v>
      </x:c>
      <x:c r="F98" s="1141" t="str">
        <x:v>Neuro-symbolic / logic / knowledge graph</x:v>
      </x:c>
      <x:c r="G98" s="1141" t="str">
        <x:v>Neuro-symbolic AI; Ontology / knowledge-guided explanation (Vision Transformer, Transformer, Segmentation model)</x:v>
      </x:c>
      <x:c r="H98" s="1141" t="str">
        <x:v>Ontology, knowledge graph, or symbolic rules</x:v>
      </x:c>
      <x:c r="I98" s="1141" t="str">
        <x:v>Rules, symbolic relations, or graph explanation</x:v>
      </x:c>
      <x:c r="J98" s="1141" t="str">
        <x:v>APTOS, EyePACS, Messidor-1, Messidor-2. Extensive experiments across four public datasets (APTOS, EyePACS, Messidor-1, Messidor-2) demonstrate significant improvements: up to a 5.2% accuracy gain in cross-domain settings and a 6% improvement over baseline ViT models.</x:v>
      </x:c>
      <x:c r="K98" s="1141" t="str">
        <x:v>Ablation studies reveal that lesion-based features (84.65% accuracy) substantially outperform purely neural approaches, confirming that symbolic components act as effective regularizers beyond merely enhancing interpretability.</x:v>
      </x:c>
      <x:c r="L98" s="1141" t="str">
        <x:v>Notably, our symbolic-only model achieves a 63.67% average accuracy in MDG, while the complete neuro-symbolic integration achieves the highest accuracy compared to existing published baselines and benchmarks in challenging SDG scenarios. Ablation studies reveal that lesion-based features (84.65% accuracy) substantially outperform purely neural approaches, confirming that symbolic components act as effective regularizers beyond merely enhancing interpretability.</x:v>
      </x:c>
      <x:c r="M98" s="1143" t="str">
        <x:v>NR: External validation is not reported in the available abstract evidence.</x:v>
      </x:c>
      <x:c r="N98" s="1143" t="str">
        <x:v>NR: Ophthalmologist involvement is not reported in the available abstract evidence.</x:v>
      </x:c>
      <x:c r="O98" s="1143" t="str">
        <x:v>NR: Code availability is not reported in the available abstract evidence.</x:v>
      </x:c>
      <x:c r="P98" s="1143" t="str">
        <x:v>Low strength or major reporting gaps</x:v>
      </x:c>
      <x:c r="Q98" s="1141" t="str">
        <x:v>No study-specific limitation is reported in the abstract.</x:v>
      </x:c>
      <x:c r="R98" s="1141" t="str">
        <x:v>https://arxiv.org/pdf/2509.02918</x:v>
      </x:c>
    </x:row>
    <x:row r="99" ht="103.5" customHeight="1">
      <x:c r="A99" s="1143" t="str">
        <x:v>ARXIV-05-001</x:v>
      </x:c>
      <x:c r="B99" s="1141" t="str">
        <x:v>XAI-MeD: Explainable Knowledge Guided Neuro-Symbolic Framework for Domain Generalization and Rare Class Detection in Medical Imaging (2026)</x:v>
      </x:c>
      <x:c r="C99" s="1141" t="str">
        <x:v>Contextual medical concept-XAI evidence</x:v>
      </x:c>
      <x:c r="D99" s="1141" t="str">
        <x:v>Preprint</x:v>
      </x:c>
      <x:c r="E99" s="1141" t="str">
        <x:v>Modality not reported in abstract — Diabetic retinopathy; Retinal disease / lesions</x:v>
      </x:c>
      <x:c r="F99" s="1141" t="str">
        <x:v>Neuro-symbolic / logic / knowledge graph</x:v>
      </x:c>
      <x:c r="G99" s="1141" t="str">
        <x:v>Neuro-symbolic AI</x:v>
      </x:c>
      <x:c r="H99" s="1141" t="str">
        <x:v>Ontology, knowledge graph, or symbolic rules</x:v>
      </x:c>
      <x:c r="I99" s="1141" t="str">
        <x:v>Rules, symbolic relations, or graph explanation</x:v>
      </x:c>
      <x:c r="J99" s="1141" t="str">
        <x:v>Six multicentre diabetic-retinopathy datasets and an rs-fMRI seizure-onset localisation task; sample sizes are not reported in the abstract.</x:v>
      </x:c>
      <x:c r="K99" s="1141" t="str">
        <x:v>Ablation studies assess the contribution of clinically grounded symbolic rules under distribution shift; no dedicated explanation-quality metric is reported.</x:v>
      </x:c>
      <x:c r="L99" s="1141" t="str">
        <x:v>The abstract reports a 6 percentage-point gain in cross-domain generalisation and a 10 percentage-point improvement in rare-class F1 over deep-learning baselines; symbolic components improved robustness under distribution shift.</x:v>
      </x:c>
      <x:c r="M99" s="1143" t="str">
        <x:v>NR: External validation is not reported in the available abstract evidence.</x:v>
      </x:c>
      <x:c r="N99" s="1143" t="str">
        <x:v>NR: Ophthalmologist involvement is not reported in the available abstract evidence.</x:v>
      </x:c>
      <x:c r="O99" s="1143" t="str">
        <x:v>NR: Code availability is not reported in the available abstract evidence.</x:v>
      </x:c>
      <x:c r="P99" s="1143" t="str">
        <x:v>Low strength or major reporting gaps</x:v>
      </x:c>
      <x:c r="Q99" s="1141" t="str">
        <x:v>No study-specific limitation is reported in the abstract.</x:v>
      </x:c>
      <x:c r="R99" s="1141" t="str">
        <x:v>https://arxiv.org/pdf/2601.02008</x:v>
      </x:c>
    </x:row>
    <x:row r="100" ht="103.5" customHeight="1">
      <x:c r="A100" s="1143" t="str">
        <x:v>ARXIV-05-002</x:v>
      </x:c>
      <x:c r="B100" s="1141" t="str">
        <x:v>NEURO-GUARD: Neuro-Symbolic Generalization and Unbiased Adaptive Routing for Diagnostics -- Explainable Medical AI (2025)</x:v>
      </x:c>
      <x:c r="C100" s="1141" t="str">
        <x:v>Contextual medical concept-XAI evidence</x:v>
      </x:c>
      <x:c r="D100" s="1141" t="str">
        <x:v>Preprint</x:v>
      </x:c>
      <x:c r="E100" s="1141" t="str">
        <x:v>MRI — Diabetic retinopathy; Retinal disease / lesions</x:v>
      </x:c>
      <x:c r="F100" s="1141" t="str">
        <x:v>Vision-language / generative concept model</x:v>
      </x:c>
      <x:c r="G100" s="1141" t="str">
        <x:v>Neuro-symbolic AI; Concept-guided vision-language model (Vision Transformer, Transformer, Retrieval)</x:v>
      </x:c>
      <x:c r="H100" s="1141" t="str">
        <x:v>Text prompts, reports, or language-grounded concepts</x:v>
      </x:c>
      <x:c r="I100" s="1141" t="str">
        <x:v>Textual rationale and/or concept-grounded localisation</x:v>
      </x:c>
      <x:c r="J100" s="1141" t="str">
        <x:v>APTOS, EyePACS, Messidor-1 and Messidor-2 for diabetic-retinopathy classification; an additional MRI seizure-detection evaluation. Sample sizes are not reported in the abstract.</x:v>
      </x:c>
      <x:c r="K100" s="1141" t="str">
        <x:v>Interpretability is assessed through knowledge-grounded reasoning and cross-domain evaluations; no dedicated explanation-quality metric is reported in the abstract.</x:v>
      </x:c>
      <x:c r="L100" s="1141" t="str">
        <x:v>NEURO-GUARD improves accuracy by 6.2 percentage points over a ViT-only baseline (84.69% vs 78.4%) and reports a 5 percentage-point gain in domain generalisation; it also outperforms comparators on MRI seizure detection.</x:v>
      </x:c>
      <x:c r="M100" s="1143" t="str">
        <x:v>1: Internal held-out, cross-validation, or multi-dataset evaluation is reported, but institutional independence is unclear.</x:v>
      </x:c>
      <x:c r="N100" s="1143" t="str">
        <x:v>NR: Ophthalmologist involvement is not reported in the available abstract evidence.</x:v>
      </x:c>
      <x:c r="O100" s="1143" t="str">
        <x:v>NR: Code availability is not reported in the available abstract evidence.</x:v>
      </x:c>
      <x:c r="P100" s="1143" t="str">
        <x:v>Low strength or major reporting gaps</x:v>
      </x:c>
      <x:c r="Q100" s="1141" t="str">
        <x:v>No study-specific limitation is reported in the abstract.</x:v>
      </x:c>
      <x:c r="R100" s="1141" t="str">
        <x:v>https://arxiv.org/pdf/2512.18177</x:v>
      </x:c>
    </x:row>
    <x:row r="101" ht="103.5" customHeight="1">
      <x:c r="A101" s="1143" t="str">
        <x:v>ARXIV-06-001</x:v>
      </x:c>
      <x:c r="B101" s="1141" t="str">
        <x:v>In-hoc Concept Representations to Regularise Deep Learning in Medical Imaging (2025)</x:v>
      </x:c>
      <x:c r="C101" s="1141" t="str">
        <x:v>Contextual medical concept-XAI evidence</x:v>
      </x:c>
      <x:c r="D101" s="1141" t="str">
        <x:v>Preprint</x:v>
      </x:c>
      <x:c r="E101" s="1141" t="str">
        <x:v>Modality not reported in abstract — Diabetic retinopathy; Retinal disease / lesions</x:v>
      </x:c>
      <x:c r="F101" s="1141" t="str">
        <x:v>Concept activation / post-hoc vector</x:v>
      </x:c>
      <x:c r="G101" s="1141" t="str">
        <x:v>Concept activation vectors / TCAV; Other concept-based model (CNN)</x:v>
      </x:c>
      <x:c r="H101" s="1141" t="str">
        <x:v>Human-defined concept examples / activation vectors</x:v>
      </x:c>
      <x:c r="I101" s="1141" t="str">
        <x:v>Concept sensitivity / TCAV scores</x:v>
      </x:c>
      <x:c r="J101" s="1141" t="str">
        <x:v>Dataset and sample size not reported in abstract.</x:v>
      </x:c>
      <x:c r="K101" s="1141" t="str">
        <x:v>No dedicated explanation-quality metric is reported in the abstract; interpretability is supported by the model design and/or qualitative concept, prototype, case, or rule outputs.</x:v>
      </x:c>
      <x:c r="L101" s="1141" t="str">
        <x:v>On the diabetic retinopathy binary classification task, LCRReg enhances performance under both synthetic spurious perturbations and out-of-distribution (OOD) generalisation. Compared to baselines, including multitask learning, linear probing, and post-hoc concept-based models, LCRReg offers a lightweight, architecture-agnostic strategy for improving model robustness without requiring dense concept supervision.</x:v>
      </x:c>
      <x:c r="M101" s="1143" t="str">
        <x:v>NR: External validation is not reported in the available abstract evidence.</x:v>
      </x:c>
      <x:c r="N101" s="1143" t="str">
        <x:v>NR: Ophthalmologist involvement is not reported in the available abstract evidence.</x:v>
      </x:c>
      <x:c r="O101" s="1143" t="str">
        <x:v>2: Public code/repository availability is explicitly reported.</x:v>
      </x:c>
      <x:c r="P101" s="1143" t="str">
        <x:v>Low strength or major reporting gaps</x:v>
      </x:c>
      <x:c r="Q101" s="1141" t="str">
        <x:v>No study-specific limitation is reported in the abstract.</x:v>
      </x:c>
      <x:c r="R101" s="1141" t="str">
        <x:v>https://arxiv.org/abs/2508.13880</x:v>
      </x:c>
    </x:row>
    <x:row r="102" ht="103.5" customHeight="1">
      <x:c r="A102" s="1143" t="str">
        <x:v>ARXIV-10-001</x:v>
      </x:c>
      <x:c r="B102" s="1141" t="str">
        <x:v>RetiSEM: Generalising Causal Models for Fragmented Biomedical Data</x:v>
      </x:c>
      <x:c r="C102" s="1141" t="str">
        <x:v>Contextual medical concept-XAI evidence</x:v>
      </x:c>
      <x:c r="D102" s="1141" t="str">
        <x:v>Preprint</x:v>
      </x:c>
      <x:c r="E102" s="1141" t="str">
        <x:v>Modality not reported in abstract — Disease/task not reported in abstract</x:v>
      </x:c>
      <x:c r="F102" s="1141" t="str">
        <x:v>Other / method not specified in abstract</x:v>
      </x:c>
      <x:c r="G102" s="1141" t="str">
        <x:v>Concept-XAI method not specified in abstract</x:v>
      </x:c>
      <x:c r="H102" s="1141" t="str">
        <x:v>Ontology, knowledge graph, or symbolic rules</x:v>
      </x:c>
      <x:c r="I102" s="1141" t="str">
        <x:v>Rules, symbolic relations, or graph explanation</x:v>
      </x:c>
      <x:c r="J102" s="1141" t="str">
        <x:v>Dataset and sample size not reported in abstract.</x:v>
      </x:c>
      <x:c r="K102" s="1141" t="str">
        <x:v>No dedicated explanation-quality metric is reported in the abstract; interpretability is supported by the model design and/or qualitative concept, prototype, case, or rule outputs.</x:v>
      </x:c>
      <x:c r="L102" s="1141" t="str">
        <x:v>This approach achieves lower structural error and higher causal accuracy than unconstrained baselines across the synthetic benchmarks.</x:v>
      </x:c>
      <x:c r="M102" s="1143" t="str">
        <x:v>NR: External validation is not reported in the available abstract evidence.</x:v>
      </x:c>
      <x:c r="N102" s="1143" t="str">
        <x:v>NR: Ophthalmologist involvement is not reported in the available abstract evidence.</x:v>
      </x:c>
      <x:c r="O102" s="1143" t="str">
        <x:v>2: Public code/repository availability is explicitly reported.</x:v>
      </x:c>
      <x:c r="P102" s="1143" t="str">
        <x:v>Low strength or major reporting gaps</x:v>
      </x:c>
      <x:c r="Q102" s="1141" t="str">
        <x:v>No study-specific limitation is reported in the abstract.</x:v>
      </x:c>
      <x:c r="R102" s="1141" t="str">
        <x:v>https://arxiv.org/pdf/2606.24488</x:v>
      </x:c>
    </x:row>
    <x:row r="103" ht="103.5" customHeight="1">
      <x:c r="A103" s="1143" t="str">
        <x:v>ARXIV-10-002</x:v>
      </x:c>
      <x:c r="B103" s="1141" t="str">
        <x:v>A Dual Edge Spatial Jacobian Image Graph for Interpretable Diabetic Retinopathy Grading</x:v>
      </x:c>
      <x:c r="C103" s="1141" t="str">
        <x:v>Direct retinal/ophthalmic evidence</x:v>
      </x:c>
      <x:c r="D103" s="1141" t="str">
        <x:v>Preprint</x:v>
      </x:c>
      <x:c r="E103" s="1141" t="str">
        <x:v>Fundus photography — Diabetic retinopathy; Retinal disease / lesions</x:v>
      </x:c>
      <x:c r="F103" s="1141" t="str">
        <x:v>Other / method not specified in abstract</x:v>
      </x:c>
      <x:c r="G103" s="1141" t="str">
        <x:v>Concept-XAI method not specified in abstract</x:v>
      </x:c>
      <x:c r="H103" s="1141" t="str">
        <x:v>Not explicit in abstract</x:v>
      </x:c>
      <x:c r="I103" s="1141" t="str">
        <x:v>Not reported in abstract</x:v>
      </x:c>
      <x:c r="J103" s="1141" t="str">
        <x:v>APTOS. Each fundus image is represented as a graph node with four aligned evidence streams: AutoMorph vessel information ($X_1$), DR-XAI-style lesion evidence maps ($X_2$), a 128-dimensional lesion-based contrastive image embedding ($X_3$), and AutoMorph morphometric biomarkers ($X_4$).</x:v>
      </x:c>
      <x:c r="K103" s="1141" t="str">
        <x:v>No dedicated explanation-quality metric is reported in the abstract; interpretability is supported by the model design and/or qualitative concept, prototype, case, or rule outputs.</x:v>
      </x:c>
      <x:c r="L103" s="1141" t="str">
        <x:v>Automated diabetic retinopathy (DR) grading from colour fundus photographs can achieve strong predictive performance, but clinical interpretation requires more than an image-level label. On 2,910 matched non-augmented APTOS images, the full graph achieves 0.8076 accuracy, 0.8312 quadratic weighted kappa, 0.5915 macro-F1, and 0.9330 adjacent-grade accuracy; referable DR reaches 0.9055 accuracy and 0.9711 AUROC.</x:v>
      </x:c>
      <x:c r="M103" s="1143" t="str">
        <x:v>NR: External validation is not reported in the available abstract evidence.</x:v>
      </x:c>
      <x:c r="N103" s="1143" t="str">
        <x:v>NR: Ophthalmologist involvement is not reported in the available abstract evidence.</x:v>
      </x:c>
      <x:c r="O103" s="1143" t="str">
        <x:v>2: Public code/repository availability is explicitly reported.</x:v>
      </x:c>
      <x:c r="P103" s="1143" t="str">
        <x:v>Low strength or major reporting gaps</x:v>
      </x:c>
      <x:c r="Q103" s="1141" t="str">
        <x:v>No study-specific limitation is reported in the abstract.</x:v>
      </x:c>
      <x:c r="R103" s="1141" t="str">
        <x:v>https://arxiv.org/abs/2606.24168</x:v>
      </x:c>
    </x:row>
    <x:row r="104" ht="103.5" customHeight="1">
      <x:c r="A104" s="1143" t="str">
        <x:v>ARXIV-10-004</x:v>
      </x:c>
      <x:c r="B104" s="1141" t="str">
        <x:v>Explainable Multi-Task Retinal Imaging Reveals Microvascular Signals for Systemic Risk Stratification in Type 2 Diabetes: A Pilot Study</x:v>
      </x:c>
      <x:c r="C104" s="1141" t="str">
        <x:v>Direct retinal/ophthalmic evidence</x:v>
      </x:c>
      <x:c r="D104" s="1141" t="str">
        <x:v>Preprint</x:v>
      </x:c>
      <x:c r="E104" s="1141" t="str">
        <x:v>Fundus photography — Disease/task not reported in abstract</x:v>
      </x:c>
      <x:c r="F104" s="1141" t="str">
        <x:v>Other / method not specified in abstract</x:v>
      </x:c>
      <x:c r="G104" s="1141" t="str">
        <x:v>Concept-XAI method not specified in abstract</x:v>
      </x:c>
      <x:c r="H104" s="1141" t="str">
        <x:v>Ontology, knowledge graph, or symbolic rules</x:v>
      </x:c>
      <x:c r="I104" s="1141" t="str">
        <x:v>Rules, symbolic relations, or graph explanation</x:v>
      </x:c>
      <x:c r="J104" s="1141" t="str">
        <x:v>A total of 11,011 fundus images from 2,719 individuals were analysed using a shared neural network with task-specific heads for glycaemic status, kidney abnormality, and multi-system involvement.</x:v>
      </x:c>
      <x:c r="K104" s="1141" t="str">
        <x:v>No dedicated explanation-quality metric is reported in the abstract; interpretability is supported by the model design and/or qualitative concept, prototype, case, or rule outputs.</x:v>
      </x:c>
      <x:c r="L104" s="1141" t="str">
        <x:v>The framework demonstrated task-dependent predictive performance, with the best discrimination observed for kidney abnormality (AUC up to 0.63), whereas glycaemic status prediction showed limited performance (AUC = 0.49-0.61).</x:v>
      </x:c>
      <x:c r="M104" s="1143" t="str">
        <x:v>NR: External validation is not reported in the available abstract evidence.</x:v>
      </x:c>
      <x:c r="N104" s="1143" t="str">
        <x:v>NR: Ophthalmologist involvement is not reported in the available abstract evidence.</x:v>
      </x:c>
      <x:c r="O104" s="1143" t="str">
        <x:v>NR: Code availability is not reported in the available abstract evidence.</x:v>
      </x:c>
      <x:c r="P104" s="1143" t="str">
        <x:v>Low strength or major reporting gaps</x:v>
      </x:c>
      <x:c r="Q104" s="1141" t="str">
        <x:v>No study-specific limitation is reported in the abstract.</x:v>
      </x:c>
      <x:c r="R104" s="1141" t="str">
        <x:v>https://arxiv.org/pdf/2605.24913</x:v>
      </x:c>
    </x:row>
    <x:row r="105" ht="103.5" customHeight="1">
      <x:c r="A105" s="1143" t="str">
        <x:v>ARXIV-10-005</x:v>
      </x:c>
      <x:c r="B105" s="1141" t="str">
        <x:v>SAIL: Structure-Aware Interpretable Learning for Anatomy-Aligned Post-hoc Explanations in OCT</x:v>
      </x:c>
      <x:c r="C105" s="1141" t="str">
        <x:v>Direct retinal/ophthalmic evidence</x:v>
      </x:c>
      <x:c r="D105" s="1141" t="str">
        <x:v>Preprint</x:v>
      </x:c>
      <x:c r="E105" s="1141" t="str">
        <x:v>OCT — Retinal disease / lesions</x:v>
      </x:c>
      <x:c r="F105" s="1141" t="str">
        <x:v>Other / method not specified in abstract</x:v>
      </x:c>
      <x:c r="G105" s="1141" t="str">
        <x:v>Concept-XAI method not specified in abstract</x:v>
      </x:c>
      <x:c r="H105" s="1141" t="str">
        <x:v>Not explicit in abstract</x:v>
      </x:c>
      <x:c r="I105" s="1141" t="str">
        <x:v>Not reported in abstract</x:v>
      </x:c>
      <x:c r="J105" s="1141" t="str">
        <x:v>Dataset and sample size not reported in abstract.</x:v>
      </x:c>
      <x:c r="K105" s="1141" t="str">
        <x:v>Ablation studies further show that strong interpretability requires both structural priors and semantic features, and that properly fusing the two is critical to achieve the best explanation quality.</x:v>
      </x:c>
      <x:c r="L105" s="1141" t="str">
        <x:v>While deep learning (DL) has achieved expert-level accuracy in OCT-based retinal disease detection, its "black box" nature poses challenges for clinical adoption, where explainability is essential for clinical trust and regulatory approval. Ablation studies further show that strong interpretability requires both structural priors and semantic features, and that properly fusing the two is critical to achieve the best explanation quality.</x:v>
      </x:c>
      <x:c r="M105" s="1143" t="str">
        <x:v>NR: External validation is not reported in the available abstract evidence.</x:v>
      </x:c>
      <x:c r="N105" s="1143" t="str">
        <x:v>NR: Ophthalmologist involvement is not reported in the available abstract evidence.</x:v>
      </x:c>
      <x:c r="O105" s="1143" t="str">
        <x:v>NR: Code availability is not reported in the available abstract evidence.</x:v>
      </x:c>
      <x:c r="P105" s="1143" t="str">
        <x:v>Insufficiently reported</x:v>
      </x:c>
      <x:c r="Q105" s="1141" t="str">
        <x:v>No study-specific limitation is reported in the abstract.</x:v>
      </x:c>
      <x:c r="R105" s="1141" t="str">
        <x:v>https://arxiv.org/pdf/2605.02707</x:v>
      </x:c>
    </x:row>
    <x:row r="106" ht="103.5" customHeight="1">
      <x:c r="A106" s="1143" t="str">
        <x:v>ARXIV-10-025</x:v>
      </x:c>
      <x:c r="B106" s="1141" t="str">
        <x:v>Fine-tuning Vision Language Models with Graph-based Knowledge for Explainable Medical Image Analysis</x:v>
      </x:c>
      <x:c r="C106" s="1141" t="str">
        <x:v>Contextual medical concept-XAI evidence</x:v>
      </x:c>
      <x:c r="D106" s="1141" t="str">
        <x:v>Preprint</x:v>
      </x:c>
      <x:c r="E106" s="1141" t="str">
        <x:v>OCT — Diabetic retinopathy; Retinal disease / lesions</x:v>
      </x:c>
      <x:c r="F106" s="1141" t="str">
        <x:v>Vision-language / generative concept model</x:v>
      </x:c>
      <x:c r="G106" s="1141" t="str">
        <x:v>Concept-guided vision-language model (GNN, Knowledge distillation)</x:v>
      </x:c>
      <x:c r="H106" s="1141" t="str">
        <x:v>Text prompts, reports, or language-grounded concepts</x:v>
      </x:c>
      <x:c r="I106" s="1141" t="str">
        <x:v>Textual rationale and/or concept-grounded localisation</x:v>
      </x:c>
      <x:c r="J106" s="1141" t="str">
        <x:v>However, current staging models are hardly interpretable, and most public datasets contain no clinical reasoning or interpretation beyond image-level labels.</x:v>
      </x:c>
      <x:c r="K106" s="1141" t="str">
        <x:v>No dedicated explanation-quality metric is reported in the abstract; interpretability is supported by the model design and/or qualitative concept, prototype, case, or rule outputs.</x:v>
      </x:c>
      <x:c r="L106" s="1141" t="str">
        <x:v>Experimental evaluations on both proprietary and public datasets demonstrate that our method not only improves classification accuracy but also offers more clinically interpretable results.</x:v>
      </x:c>
      <x:c r="M106" s="1143" t="str">
        <x:v>NR: External validation is not reported in the available abstract evidence.</x:v>
      </x:c>
      <x:c r="N106" s="1143" t="str">
        <x:v>NR: Ophthalmologist involvement is not reported in the available abstract evidence.</x:v>
      </x:c>
      <x:c r="O106" s="1143" t="str">
        <x:v>NR: Code availability is not reported in the available abstract evidence.</x:v>
      </x:c>
      <x:c r="P106" s="1143" t="str">
        <x:v>Low strength or major reporting gaps</x:v>
      </x:c>
      <x:c r="Q106" s="1141" t="str">
        <x:v>No study-specific limitation is reported in the abstract.</x:v>
      </x:c>
      <x:c r="R106" s="1141" t="str">
        <x:v>https://arxiv.org/abs/2503.09808</x:v>
      </x:c>
    </x:row>
    <x:row r="107" ht="103.5" customHeight="1">
      <x:c r="A107" s="1143" t="str">
        <x:v>ARXIV-10-026</x:v>
      </x:c>
      <x:c r="B107" s="1141" t="str">
        <x:v>Interpretable Retinal Disease Prediction Using Biology-Informed Heterogeneous Graph Representations</x:v>
      </x:c>
      <x:c r="C107" s="1141" t="str">
        <x:v>Direct retinal/ophthalmic evidence</x:v>
      </x:c>
      <x:c r="D107" s="1141" t="str">
        <x:v>Preprint</x:v>
      </x:c>
      <x:c r="E107" s="1141" t="str">
        <x:v>OCT — Retinal disease / lesions</x:v>
      </x:c>
      <x:c r="F107" s="1141" t="str">
        <x:v>Other / method not specified in abstract</x:v>
      </x:c>
      <x:c r="G107" s="1141" t="str">
        <x:v>Concept-XAI method not specified in abstract (Vision Transformer, Transformer, CNN)</x:v>
      </x:c>
      <x:c r="H107" s="1141" t="str">
        <x:v>Not explicit in abstract</x:v>
      </x:c>
      <x:c r="I107" s="1141" t="str">
        <x:v>Not reported in abstract</x:v>
      </x:c>
      <x:c r="J107" s="1141" t="str">
        <x:v>Dataset and sample size not reported in abstract.</x:v>
      </x:c>
      <x:c r="K107" s="1141" t="str">
        <x:v>No dedicated explanation-quality metric is reported in the abstract; interpretability is supported by the model design and/or qualitative concept, prototype, case, or rule outputs.</x:v>
      </x:c>
      <x:c r="L107" s="1141" t="str">
        <x:v>Our model outperforms all baselines on two datasets. Our approach surpasses existing methods in precisely localizing and identifying critical vessels or intercapillary areas.</x:v>
      </x:c>
      <x:c r="M107" s="1143" t="str">
        <x:v>NR: External validation is not reported in the available abstract evidence.</x:v>
      </x:c>
      <x:c r="N107" s="1143" t="str">
        <x:v>1: Clinical-expert involvement or comparison is mentioned, but its role is limited or incompletely described.</x:v>
      </x:c>
      <x:c r="O107" s="1143" t="str">
        <x:v>NR: Code availability is not reported in the available abstract evidence.</x:v>
      </x:c>
      <x:c r="P107" s="1143" t="str">
        <x:v>Low strength or major reporting gaps</x:v>
      </x:c>
      <x:c r="Q107" s="1141" t="str">
        <x:v>No study-specific limitation is reported in the abstract.</x:v>
      </x:c>
      <x:c r="R107" s="1141" t="str">
        <x:v>https://arxiv.org/pdf/2502.16697</x:v>
      </x:c>
    </x:row>
    <x:row r="108" ht="103.5" customHeight="1">
      <x:c r="A108" s="1143" t="str">
        <x:v>ARXIV-10-030</x:v>
      </x:c>
      <x:c r="B108" s="1141" t="str">
        <x:v>Explainable and Interpretable Diabetic Retinopathy Classification Based on Neural-Symbolic Learning</x:v>
      </x:c>
      <x:c r="C108" s="1141" t="str">
        <x:v>Direct retinal/ophthalmic evidence</x:v>
      </x:c>
      <x:c r="D108" s="1141" t="str">
        <x:v>Preprint</x:v>
      </x:c>
      <x:c r="E108" s="1141" t="str">
        <x:v>Modality not reported in abstract — Diabetic retinopathy; Retinal disease / lesions</x:v>
      </x:c>
      <x:c r="F108" s="1141" t="str">
        <x:v>Other / method not specified in abstract</x:v>
      </x:c>
      <x:c r="G108" s="1141" t="str">
        <x:v>Concept-XAI method not specified in abstract</x:v>
      </x:c>
      <x:c r="H108" s="1141" t="str">
        <x:v>Ontology, knowledge graph, or symbolic rules</x:v>
      </x:c>
      <x:c r="I108" s="1141" t="str">
        <x:v>Rules, symbolic relations, or graph explanation</x:v>
      </x:c>
      <x:c r="J108" s="1141" t="str">
        <x:v>IDRiD</x:v>
      </x:c>
      <x:c r="K108" s="1141" t="str">
        <x:v>No dedicated explanation-quality metric is reported in the abstract; interpretability is supported by the model design and/or qualitative concept, prototype, case, or rule outputs.</x:v>
      </x:c>
      <x:c r="L108" s="1141" t="str">
        <x:v>Specifically, we introduce a human-readable symbolic representation, which follows a taxonomy style of diabetic retinopathy characteristics related to eye health conditions to achieve explainability. Experimental results on a diabetic retinopathy classification dataset show that our proposed ExplainDR method exhibits promising performance when compared to that from state-of-the-art methods applied to the IDRiD dataset, while also providing interpretability and explainability.</x:v>
      </x:c>
      <x:c r="M108" s="1143" t="str">
        <x:v>NR: External validation is not reported in the available abstract evidence.</x:v>
      </x:c>
      <x:c r="N108" s="1143" t="str">
        <x:v>NR: Ophthalmologist involvement is not reported in the available abstract evidence.</x:v>
      </x:c>
      <x:c r="O108" s="1143" t="str">
        <x:v>NR: Code availability is not reported in the available abstract evidence.</x:v>
      </x:c>
      <x:c r="P108" s="1143" t="str">
        <x:v>Low strength or major reporting gaps</x:v>
      </x:c>
      <x:c r="Q108" s="1141" t="str">
        <x:v>No study-specific limitation is reported in the abstract.</x:v>
      </x:c>
      <x:c r="R108" s="1141" t="str">
        <x:v>https://arxiv.org/pdf/2204.00624</x:v>
      </x:c>
    </x:row>
    <x:row r="109" ht="103.5" customHeight="1">
      <x:c r="A109" s="1143" t="str">
        <x:v>ARXIV-11-002</x:v>
      </x:c>
      <x:c r="B109" s="1141" t="str">
        <x:v>Discovery Radiomics With CLEAR-DR: Interpretable Computer Aided Diagnosis of Diabetic Retinopathy (2017)</x:v>
      </x:c>
      <x:c r="C109" s="1141" t="str">
        <x:v>Direct retinal/ophthalmic evidence</x:v>
      </x:c>
      <x:c r="D109" s="1141" t="str">
        <x:v>Preprint</x:v>
      </x:c>
      <x:c r="E109" s="1141" t="str">
        <x:v>Modality not reported in abstract — Diabetic retinopathy; Retinal disease / lesions</x:v>
      </x:c>
      <x:c r="F109" s="1141" t="str">
        <x:v>Other / method not specified in abstract</x:v>
      </x:c>
      <x:c r="G109" s="1141" t="str">
        <x:v>Concept-XAI method not specified in abstract</x:v>
      </x:c>
      <x:c r="H109" s="1141" t="str">
        <x:v>Not explicit in abstract</x:v>
      </x:c>
      <x:c r="I109" s="1141" t="str">
        <x:v>Not reported in abstract</x:v>
      </x:c>
      <x:c r="J109" s="1141" t="str">
        <x:v>Dataset and sample size not reported in abstract.</x:v>
      </x:c>
      <x:c r="K109" s="1141" t="str">
        <x:v>No dedicated explanation-quality metric is reported in the abstract; interpretability is supported by the model design and/or qualitative concept, prototype, case, or rule outputs.</x:v>
      </x:c>
      <x:c r="L109" s="1141" t="str">
        <x:v>Radiomics-driven computer aided diagnosis (CAD) has shown considerable promise in recent years as a potential tool for improving clinical decision support in medical oncology, particularly those based around the concept of discovery radiomics, where radiomic sequencers are discovered through the analysis of medical imaging data. One of the main limitations, with current CAD approaches, is that it is very difficult to gain insight or rationale as to how decisions are made, thus limiting their utility to clinicians.</x:v>
      </x:c>
      <x:c r="M109" s="1143" t="str">
        <x:v>NR: External validation is not reported in the available abstract evidence.</x:v>
      </x:c>
      <x:c r="N109" s="1143" t="str">
        <x:v>1: Clinical-expert involvement or comparison is mentioned, but its role is limited or incompletely described.</x:v>
      </x:c>
      <x:c r="O109" s="1143" t="str">
        <x:v>NR: Code availability is not reported in the available abstract evidence.</x:v>
      </x:c>
      <x:c r="P109" s="1143" t="str">
        <x:v>Low strength or major reporting gaps</x:v>
      </x:c>
      <x:c r="Q109" s="1141" t="str">
        <x:v>No study-specific limitation is reported in the abstract.</x:v>
      </x:c>
      <x:c r="R109" s="1141" t="str">
        <x:v>https://arxiv.org/pdf/1710.10675</x:v>
      </x:c>
    </x:row>
    <x:row r="110" ht="103.5" customHeight="1">
      <x:c r="A110" s="1143" t="str">
        <x:v>ARXIV-12-004</x:v>
      </x:c>
      <x:c r="B110" s="1141" t="str">
        <x:v>Unsupervised Identification of Disease Marker Candidates in Retinal OCT Imaging Data (2018)</x:v>
      </x:c>
      <x:c r="C110" s="1141" t="str">
        <x:v>Direct retinal/ophthalmic evidence</x:v>
      </x:c>
      <x:c r="D110" s="1141" t="str">
        <x:v>Preprint</x:v>
      </x:c>
      <x:c r="E110" s="1141" t="str">
        <x:v>OCT — Age-related macular degeneration</x:v>
      </x:c>
      <x:c r="F110" s="1141" t="str">
        <x:v>Other / method not specified in abstract</x:v>
      </x:c>
      <x:c r="G110" s="1141" t="str">
        <x:v>Concept-XAI method not specified in abstract</x:v>
      </x:c>
      <x:c r="H110" s="1141" t="str">
        <x:v>Automatically discovered latent concepts</x:v>
      </x:c>
      <x:c r="I110" s="1141" t="str">
        <x:v>Not reported in abstract</x:v>
      </x:c>
      <x:c r="J110" s="1141" t="str">
        <x:v>Using these markers to classify healthy-, early AMD- and late AMD cases yields an accuracy of 81.40%.</x:v>
      </x:c>
      <x:c r="K110" s="1141" t="str">
        <x:v>No dedicated explanation-quality metric is reported in the abstract; interpretability is supported by the model design and/or qualitative concept, prototype, case, or rule outputs.</x:v>
      </x:c>
      <x:c r="L110" s="1141" t="str">
        <x:v>Using these markers to classify healthy-, early AMD- and late AMD cases yields an accuracy of 81.40%. In a second binary classification experiment on a publicly available data set (healthy versus intermediate AMD), the model achieves an area under the ROC curve of 0.944.</x:v>
      </x:c>
      <x:c r="M110" s="1143" t="str">
        <x:v>NR: External validation is not reported in the available abstract evidence.</x:v>
      </x:c>
      <x:c r="N110" s="1143" t="str">
        <x:v>NR: Ophthalmologist involvement is not reported in the available abstract evidence.</x:v>
      </x:c>
      <x:c r="O110" s="1143" t="str">
        <x:v>NR: Code availability is not reported in the available abstract evidence.</x:v>
      </x:c>
      <x:c r="P110" s="1143" t="str">
        <x:v>Low strength or major reporting gaps</x:v>
      </x:c>
      <x:c r="Q110" s="1141" t="str">
        <x:v>No study-specific limitation is reported in the abstract.</x:v>
      </x:c>
      <x:c r="R110" s="1141" t="str">
        <x:v>https://arxiv.org/pdf/1810.13404</x:v>
      </x:c>
    </x:row>
    <x:row r="111" ht="103.5" customHeight="1">
      <x:c r="A111" s="1143" t="str">
        <x:v>ARXIV-14-001</x:v>
      </x:c>
      <x:c r="B111" s="1141" t="str">
        <x:v>Interpretable Few-Shot Retinal Disease Diagnosis with Concept-Guided Prompting of Vision-Language Models (2025)</x:v>
      </x:c>
      <x:c r="C111" s="1141" t="str">
        <x:v>Direct retinal/ophthalmic evidence</x:v>
      </x:c>
      <x:c r="D111" s="1141" t="str">
        <x:v>Preprint</x:v>
      </x:c>
      <x:c r="E111" s="1141" t="str">
        <x:v>Fundus photography — Retinal disease / lesions</x:v>
      </x:c>
      <x:c r="F111" s="1141" t="str">
        <x:v>Vision-language / generative concept model</x:v>
      </x:c>
      <x:c r="G111" s="1141" t="str">
        <x:v>Concept-guided vision-language model; Other concept-based model</x:v>
      </x:c>
      <x:c r="H111" s="1141" t="str">
        <x:v>Text prompts, reports, or language-grounded concepts</x:v>
      </x:c>
      <x:c r="I111" s="1141" t="str">
        <x:v>Textual rationale and/or concept-grounded localisation</x:v>
      </x:c>
      <x:c r="J111" s="1141" t="str">
        <x:v>Our extensive evaluation across two diverse retinal fundus image datasets illustrates substantial performance gains in VL-model based few-shot methodologies through our concept integration approach, demonstrating an average improvement of approximately 5.8% and 2.7% mean average precision for 16-shot learning and zero-shot (novel class) detection respectively.</x:v>
      </x:c>
      <x:c r="K111" s="1141" t="str">
        <x:v>No dedicated explanation-quality metric is reported in the abstract; interpretability is supported by the model design and/or qualitative concept, prototype, case, or rule outputs.</x:v>
      </x:c>
      <x:c r="L111" s="1141" t="str">
        <x:v>Our method not only improves retinal disease classification but also enriches few-shot and zero-shot detection (novel disease detection), while offering the added benefit of concept-based model interpretability. Our extensive evaluation across two diverse retinal fundus image datasets illustrates substantial performance gains in VL-model based few-shot methodologies through our concept integration approach, demonstrating an average improvement of approximately 5.8% and 2.7% mean average precision for 16-shot learning and zero-shot (novel class) detection respectively.</x:v>
      </x:c>
      <x:c r="M111" s="1143" t="str">
        <x:v>NR: External validation is not reported in the available abstract evidence.</x:v>
      </x:c>
      <x:c r="N111" s="1143" t="str">
        <x:v>NR: Ophthalmologist involvement is not reported in the available abstract evidence.</x:v>
      </x:c>
      <x:c r="O111" s="1143" t="str">
        <x:v>NR: Code availability is not reported in the available abstract evidence.</x:v>
      </x:c>
      <x:c r="P111" s="1143" t="str">
        <x:v>Low strength or major reporting gaps</x:v>
      </x:c>
      <x:c r="Q111" s="1141" t="str">
        <x:v>No study-specific limitation is reported in the abstract.</x:v>
      </x:c>
      <x:c r="R111" s="1141" t="str">
        <x:v>https://arxiv.org/abs/2503.02917</x:v>
      </x:c>
    </x:row>
    <x:row r="112" ht="103.5" customHeight="1">
      <x:c r="A112" s="1143" t="str">
        <x:v>CIT-071</x:v>
      </x:c>
      <x:c r="B112" s="1141" t="str">
        <x:v>Hybrid vision-language models for improved transparency in healthcare processes: The retinal diagnosis use case — La Rosa F; Dell'Acqua P; Fazio M; Villari M (2026)</x:v>
      </x:c>
      <x:c r="C112" s="1141" t="str">
        <x:v>Direct retinal/ophthalmic evidence</x:v>
      </x:c>
      <x:c r="D112" s="1141" t="str">
        <x:v>Journal article</x:v>
      </x:c>
      <x:c r="E112" s="1141" t="str">
        <x:v>Modality not reported in abstract — Retinal disease / lesions</x:v>
      </x:c>
      <x:c r="F112" s="1141" t="str">
        <x:v>Vision-language / generative concept model</x:v>
      </x:c>
      <x:c r="G112" s="1141" t="str">
        <x:v>Concept-guided vision-language model (CNN)</x:v>
      </x:c>
      <x:c r="H112" s="1141" t="str">
        <x:v>Text prompts, reports, or language-grounded concepts</x:v>
      </x:c>
      <x:c r="I112" s="1141" t="str">
        <x:v>Textual rationale and/or concept-grounded localisation</x:v>
      </x:c>
      <x:c r="J112" s="1141" t="str">
        <x:v>The approach is demonstrated on retinal diseases, where a ConvNeXt V2 model and Contrastive Language–Image Pretraining (CLIP) feature extraction approach are integrated for clinical classification and interpretation.</x:v>
      </x:c>
      <x:c r="K112" s="1141" t="str">
        <x:v>No dedicated explanation-quality metric is reported in the abstract; interpretability is supported by the model design and/or qualitative concept, prototype, case, or rule outputs.</x:v>
      </x:c>
      <x:c r="L112" s="1141" t="str">
        <x:v>Despite CNNs’ high accuracy in medical image analysis, their opaque nature limits widespread clinical adoption, as practitioners are skeptical of predictions lacking clear rationale. This hybrid Vision-Language strategy aims to deliver both high predictive accuracy and the necessary human-readable accountability to foster clinical trust.</x:v>
      </x:c>
      <x:c r="M112" s="1143" t="str">
        <x:v>NR: External validation is not reported in the available abstract evidence.</x:v>
      </x:c>
      <x:c r="N112" s="1143" t="str">
        <x:v>NR: Ophthalmologist involvement is not reported in the available abstract evidence.</x:v>
      </x:c>
      <x:c r="O112" s="1143" t="str">
        <x:v>NR: Code availability is not reported in the available abstract evidence.</x:v>
      </x:c>
      <x:c r="P112" s="1143" t="str">
        <x:v>Low strength or major reporting gaps</x:v>
      </x:c>
      <x:c r="Q112" s="1141" t="str">
        <x:v>No study-specific limitation is reported in the abstract.</x:v>
      </x:c>
      <x:c r="R112" s="1141" t="str">
        <x:v>https://www.sciencedirect.com/science/article/pii/S0950705126001991</x:v>
      </x:c>
    </x:row>
    <x:row r="113" ht="103.5" customHeight="1">
      <x:c r="A113" s="1143" t="str">
        <x:v>CIT-100</x:v>
      </x:c>
      <x:c r="B113" s="1141" t="str">
        <x:v>Enhancing ophthalmology medical record management with multi-modal knowledge graphs — Gao W; Rong F; Shao L; Deng Z; Xiao D; Zhang R; Chen C; Gong Z; Niu Z; Li F; Wei W; Ma L (2024)</x:v>
      </x:c>
      <x:c r="C113" s="1141" t="str">
        <x:v>Direct retinal/ophthalmic evidence</x:v>
      </x:c>
      <x:c r="D113" s="1141" t="str">
        <x:v>Journal article</x:v>
      </x:c>
      <x:c r="E113" s="1141" t="str">
        <x:v>Modality not reported in abstract — Ophthalmic disease</x:v>
      </x:c>
      <x:c r="F113" s="1141" t="str">
        <x:v>Neuro-symbolic / logic / knowledge graph</x:v>
      </x:c>
      <x:c r="G113" s="1141" t="str">
        <x:v>Ontology / knowledge-guided explanation (Retrieval)</x:v>
      </x:c>
      <x:c r="H113" s="1141" t="str">
        <x:v>Ontology, knowledge graph, or symbolic rules</x:v>
      </x:c>
      <x:c r="I113" s="1141" t="str">
        <x:v>Rules, symbolic relations, or graph explanation</x:v>
      </x:c>
      <x:c r="J113" s="1141" t="str">
        <x:v>By implementing contrastive methods and feature fusion of node types, text, and numerical information in medical records, the CGAT-ADM model achieved an average precision of 0.8563 for the top 20 similar case retrievals, indicating high performance in identifying analogous diagnoses.</x:v>
      </x:c>
      <x:c r="K113" s="1141" t="str">
        <x:v>Explanation evaluation not reported in abstract.</x:v>
      </x:c>
      <x:c r="L113" s="1141" t="str">
        <x:v>By implementing contrastive methods and feature fusion of node types, text, and numerical information in medical records, the CGAT-ADM model achieved an average precision of 0.8563 for the top 20 similar case retrievals, indicating high performance in identifying analogous diagnoses.</x:v>
      </x:c>
      <x:c r="M113" s="1143" t="str">
        <x:v>NR: External validation is not reported in the available abstract evidence.</x:v>
      </x:c>
      <x:c r="N113" s="1143" t="str">
        <x:v>NR: Ophthalmologist involvement is not reported in the available abstract evidence.</x:v>
      </x:c>
      <x:c r="O113" s="1143" t="str">
        <x:v>NR: Code availability is not reported in the available abstract evidence.</x:v>
      </x:c>
      <x:c r="P113" s="1143" t="str">
        <x:v>Insufficiently reported</x:v>
      </x:c>
      <x:c r="Q113" s="1141" t="str">
        <x:v>No study-specific limitation is reported in the abstract.</x:v>
      </x:c>
      <x:c r="R113" s="1141" t="str">
        <x:v>https://www.nature.com/articles/s41598-024-73316-9</x:v>
      </x:c>
    </x:row>
    <x:row r="114" ht="103.5" customHeight="1">
      <x:c r="A114" s="1144" t="str">
        <x:v>CIT-101</x:v>
      </x:c>
      <x:c r="B114" s="1142" t="str">
        <x:v>Semantic web ontology for structured knowledge representation and clinical decision support in eye diseases — Anjum F; Maqbool F; Razzaq MS; Shehzad HMF; Ali S; Shah D; Tahir M; Ilyas M (2025)</x:v>
      </x:c>
      <x:c r="C114" s="1142" t="str">
        <x:v>Contextual medical concept-XAI evidence</x:v>
      </x:c>
      <x:c r="D114" s="1142" t="str">
        <x:v>Journal article</x:v>
      </x:c>
      <x:c r="E114" s="1142" t="str">
        <x:v>Modality not reported in abstract — Ophthalmic disease</x:v>
      </x:c>
      <x:c r="F114" s="1142" t="str">
        <x:v>Neuro-symbolic / logic / knowledge graph</x:v>
      </x:c>
      <x:c r="G114" s="1142" t="str">
        <x:v>Ontology / knowledge-guided explanation</x:v>
      </x:c>
      <x:c r="H114" s="1142" t="str">
        <x:v>Ontology, knowledge graph, or symbolic rules</x:v>
      </x:c>
      <x:c r="I114" s="1142" t="str">
        <x:v>Rules, symbolic relations, or graph explanation</x:v>
      </x:c>
      <x:c r="J114" s="1142" t="str">
        <x:v>Dataset and sample size not reported in abstract.</x:v>
      </x:c>
      <x:c r="K114" s="1142" t="str">
        <x:v>Explanation evaluation not reported in abstract.</x:v>
      </x:c>
      <x:c r="L114" s="1142" t="str">
        <x:v>In this study, the ontology of eye diseases has the potential to improve clinical diagnosis, advance research, and enrich medical education, while improving patient care. Several competency questions were created to meet the demands of various stakeholders, and the ontology was validated using SPARQL queries, the Hermit Reasoner, and the OOPS Pitfalls Scanner.</x:v>
      </x:c>
      <x:c r="M114" s="1144" t="str">
        <x:v>NR: External validation is not reported in the available abstract evidence.</x:v>
      </x:c>
      <x:c r="N114" s="1144" t="str">
        <x:v>NR: Ophthalmologist involvement is not reported in the available abstract evidence.</x:v>
      </x:c>
      <x:c r="O114" s="1144" t="str">
        <x:v>NR: Code availability is not reported in the available abstract evidence.</x:v>
      </x:c>
      <x:c r="P114" s="1144" t="str">
        <x:v>Insufficiently reported</x:v>
      </x:c>
      <x:c r="Q114" s="1142" t="str">
        <x:v>No study-specific limitation is reported in the abstract.</x:v>
      </x:c>
      <x:c r="R114" s="1142" t="str">
        <x:v>https://www.nature.com/articles/s41598-025-15885-x</x:v>
      </x:c>
    </x:row>
  </x:sheetData>
  <x:mergeCells>
    <x:mergeCell ref="A1:R1"/>
    <x:mergeCell ref="A2:R2"/>
  </x:mergeCells>
  <x:conditionalFormatting sqref="C6:C114">
    <x:cfRule type="containsText" dxfId="57" priority="1" operator="containsText" text="Direct"/>
    <x:cfRule type="containsText" dxfId="58" priority="2" operator="containsText" text="Contextual"/>
  </x:conditionalFormatting>
  <x:conditionalFormatting sqref="M6:O114">
    <x:cfRule type="beginsWith" dxfId="59" priority="3" operator="beginsWith" text="NR"/>
  </x:conditionalFormatting>
  <x:pageMargins left="0.7" right="0.7" top="0.75" bottom="0.75" header="0.3" footer="0.3"/>
  <x:tableParts count="1">
    <x:tablePart xmlns:r="http://schemas.openxmlformats.org/officeDocument/2006/relationships" r:id="R0ac06808f5ef45e5"/>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4" hidden="0" customWidth="1"/>
    <x:col min="4" max="4" width="34" hidden="0" customWidth="1"/>
    <x:col min="5" max="5" width="18" hidden="0" customWidth="1"/>
    <x:col min="6" max="6" width="4" hidden="0" customWidth="1"/>
    <x:col min="7" max="7" width="36" hidden="0" customWidth="1"/>
    <x:col min="8" max="8" width="14" hidden="0" customWidth="1"/>
    <x:col min="9" max="9" width="14" hidden="0" customWidth="1"/>
    <x:col min="10" max="10" width="4" hidden="0" customWidth="1"/>
    <x:col min="11" max="11" width="28" hidden="0" customWidth="1"/>
    <x:col min="12" max="12" width="14" hidden="0" customWidth="1"/>
  </x:cols>
  <x:sheetData>
    <x:row r="1" ht="22.5" customHeight="1">
      <x:c r="A1" s="1127" t="str">
        <x:v>Final Evidence Synthesis — Concept-XAI in Retinal Imaging</x:v>
      </x:c>
      <x:c r="B1" s="1127"/>
      <x:c r="C1" s="1127"/>
      <x:c r="D1" s="1127"/>
      <x:c r="E1" s="1127"/>
      <x:c r="F1" s="1127"/>
      <x:c r="G1" s="1127"/>
      <x:c r="H1" s="1127"/>
      <x:c r="I1" s="1127"/>
      <x:c r="J1" s="1127"/>
      <x:c r="K1" s="1127"/>
      <x:c r="L1" s="1127"/>
    </x:row>
    <x:row r="2" ht="39" customHeight="1">
      <x:c r="A2" s="1094" t="str">
        <x:v>Counts describe 109 included reports (47 direct retinal/ophthalmic; 62 contextual). Modality and disease categories are multi-label, so their totals can exceed the number of reports. Quality values describe what was reported in available abstracts/indexed evidence.</x:v>
      </x:c>
      <x:c r="B2" s="1094"/>
      <x:c r="C2" s="1094"/>
      <x:c r="D2" s="1094"/>
      <x:c r="E2" s="1094"/>
      <x:c r="F2" s="1094"/>
      <x:c r="G2" s="1094"/>
      <x:c r="H2" s="1094"/>
      <x:c r="I2" s="1094"/>
      <x:c r="J2" s="1094"/>
      <x:c r="K2" s="1094"/>
      <x:c r="L2" s="1094"/>
    </x:row>
    <x:row r="4" ht="25.5" customHeight="1">
      <x:c r="A4" s="1154" t="str">
        <x:v>Included reports</x:v>
      </x:c>
      <x:c r="B4"/>
      <x:c r="C4" s="1154" t="str">
        <x:v>Direct retinal</x:v>
      </x:c>
      <x:c r="D4"/>
      <x:c r="E4" s="1154" t="str">
        <x:v>Contextual</x:v>
      </x:c>
      <x:c r="F4"/>
      <x:c r="G4" s="1154" t="str">
        <x:v>Dataset/sample reported</x:v>
      </x:c>
      <x:c r="H4"/>
      <x:c r="I4" s="1154" t="str">
        <x:v>External validation reported</x:v>
      </x:c>
      <x:c r="J4"/>
      <x:c r="K4" s="1154" t="str">
        <x:v>Clinical-expert involvement</x:v>
      </x:c>
      <x:c r="L4"/>
    </x:row>
    <x:row r="5" ht="25.5" customHeight="1">
      <x:c r="B5" s="1157" t="n">
        <x:f>COUNTA('Evidence Table Final'!A6:A114)</x:f>
        <x:v>109</x:v>
      </x:c>
      <x:c r="D5" s="1157" t="n">
        <x:f>COUNTIF('Evidence Table Final'!C6:C114,"Direct retinal/ophthalmic evidence")</x:f>
        <x:v>47</x:v>
      </x:c>
      <x:c r="F5" s="1157" t="n">
        <x:f>COUNTIF('Evidence Table Final'!C6:C114,"Contextual medical concept-XAI evidence")</x:f>
        <x:v>62</x:v>
      </x:c>
      <x:c r="H5" s="1157" t="n">
        <x:f>COUNT('Quality Appraisal 109'!E6:E114)</x:f>
        <x:v>53</x:v>
      </x:c>
      <x:c r="J5" s="1157" t="n">
        <x:f>COUNT('Quality Appraisal 109'!F6:F114)</x:f>
        <x:v>12</x:v>
      </x:c>
      <x:c r="L5" s="1157" t="n">
        <x:f>COUNT('Quality Appraisal 109'!I6:I114)</x:f>
        <x:v>28</x:v>
      </x:c>
    </x:row>
    <x:row r="8">
      <x:c r="A8" s="1154" t="str">
        <x:v>Method family</x:v>
      </x:c>
      <x:c r="B8" s="1154" t="str">
        <x:v>Reports</x:v>
      </x:c>
      <x:c r="D8" s="1154" t="str">
        <x:v>Direct retinal modality</x:v>
      </x:c>
      <x:c r="E8" s="1154" t="str">
        <x:v>Reports mentioning modality</x:v>
      </x:c>
      <x:c r="G8" s="1154" t="str">
        <x:v>Quality/reporting domain</x:v>
      </x:c>
      <x:c r="H8" s="1154" t="str">
        <x:v>Reported</x:v>
      </x:c>
      <x:c r="I8" s="1154" t="str">
        <x:v>NR</x:v>
      </x:c>
    </x:row>
    <x:row r="9">
      <x:c r="A9" s="1158" t="str">
        <x:v>Prototype- or case-based</x:v>
      </x:c>
      <x:c r="B9" s="1158" t="n">
        <x:v>29</x:v>
      </x:c>
      <x:c r="D9" s="1158" t="str">
        <x:v>Fundus photography</x:v>
      </x:c>
      <x:c r="E9" s="1158" t="n">
        <x:v>18</x:v>
      </x:c>
      <x:c r="G9" s="1158" t="str">
        <x:v>Dataset/sample</x:v>
      </x:c>
      <x:c r="H9" s="1158" t="n">
        <x:v>53</x:v>
      </x:c>
      <x:c r="I9" s="1158" t="n">
        <x:v>56</x:v>
      </x:c>
    </x:row>
    <x:row r="10">
      <x:c r="A10" s="1158" t="str">
        <x:v>Vision-language / generative concept model</x:v>
      </x:c>
      <x:c r="B10" s="1158" t="n">
        <x:v>23</x:v>
      </x:c>
      <x:c r="D10" s="1158" t="str">
        <x:v>OCT</x:v>
      </x:c>
      <x:c r="E10" s="1158" t="n">
        <x:v>16</x:v>
      </x:c>
      <x:c r="G10" s="1158" t="str">
        <x:v>External validation</x:v>
      </x:c>
      <x:c r="H10" s="1158" t="n">
        <x:v>12</x:v>
      </x:c>
      <x:c r="I10" s="1158" t="n">
        <x:v>97</x:v>
      </x:c>
    </x:row>
    <x:row r="11">
      <x:c r="A11" s="1158" t="str">
        <x:v>Other / method not specified in abstract</x:v>
      </x:c>
      <x:c r="B11" s="1158" t="n">
        <x:v>20</x:v>
      </x:c>
      <x:c r="D11" s="1158" t="str">
        <x:v>Unspecified/other modality</x:v>
      </x:c>
      <x:c r="E11" s="1158" t="n">
        <x:v>15</x:v>
      </x:c>
      <x:c r="G11" s="1158" t="str">
        <x:v>Patient-level split</x:v>
      </x:c>
      <x:c r="H11" s="1158" t="n">
        <x:v>3</x:v>
      </x:c>
      <x:c r="I11" s="1158" t="n">
        <x:v>106</x:v>
      </x:c>
    </x:row>
    <x:row r="12">
      <x:c r="A12" s="1158" t="str">
        <x:v>Concept bottleneck / embedding / self-explaining</x:v>
      </x:c>
      <x:c r="B12" s="1158" t="n">
        <x:v>18</x:v>
      </x:c>
      <x:c r="D12" s="1158" t="str">
        <x:v>Angiography</x:v>
      </x:c>
      <x:c r="E12" s="1158" t="n">
        <x:v>1</x:v>
      </x:c>
      <x:c r="G12" s="1158" t="str">
        <x:v>Annotation quality</x:v>
      </x:c>
      <x:c r="H12" s="1158" t="n">
        <x:v>30</x:v>
      </x:c>
      <x:c r="I12" s="1158" t="n">
        <x:v>79</x:v>
      </x:c>
    </x:row>
    <x:row r="13">
      <x:c r="A13" s="1158" t="str">
        <x:v>Neuro-symbolic / logic / knowledge graph</x:v>
      </x:c>
      <x:c r="B13" s="1158" t="n">
        <x:v>11</x:v>
      </x:c>
      <x:c r="D13" s="1158" t="str">
        <x:v>Histopathology</x:v>
      </x:c>
      <x:c r="E13" s="1158" t="n">
        <x:v>1</x:v>
      </x:c>
      <x:c r="G13" s="1158" t="str">
        <x:v>Ophthalmologist involvement</x:v>
      </x:c>
      <x:c r="H13" s="1158" t="n">
        <x:v>28</x:v>
      </x:c>
      <x:c r="I13" s="1158" t="n">
        <x:v>81</x:v>
      </x:c>
    </x:row>
    <x:row r="14">
      <x:c r="A14" s="1158" t="str">
        <x:v>Concept activation / post-hoc vector</x:v>
      </x:c>
      <x:c r="B14" s="1158" t="n">
        <x:v>8</x:v>
      </x:c>
      <x:c r="D14" s="1158" t="str">
        <x:v>Ultrasound</x:v>
      </x:c>
      <x:c r="E14" s="1158" t="n">
        <x:v>1</x:v>
      </x:c>
      <x:c r="G14" s="1158" t="str">
        <x:v>Code availability</x:v>
      </x:c>
      <x:c r="H14" s="1158" t="n">
        <x:v>14</x:v>
      </x:c>
      <x:c r="I14" s="1158" t="n">
        <x:v>95</x:v>
      </x:c>
    </x:row>
    <x:row r="15">
      <x:c r="A15" s="1159"/>
      <x:c r="B15" s="1159"/>
      <x:c r="D15" s="1159" t="str">
        <x:v>X-ray</x:v>
      </x:c>
      <x:c r="E15" s="1159" t="n">
        <x:v>1</x:v>
      </x:c>
      <x:c r="G15" s="1158" t="str">
        <x:v>Explanation faithfulness</x:v>
      </x:c>
      <x:c r="H15" s="1158" t="n">
        <x:v>93</x:v>
      </x:c>
      <x:c r="I15" s="1158" t="n">
        <x:v>16</x:v>
      </x:c>
    </x:row>
    <x:row r="16">
      <x:c r="G16" s="1158" t="str">
        <x:v>Robustness/stability</x:v>
      </x:c>
      <x:c r="H16" s="1158" t="n">
        <x:v>37</x:v>
      </x:c>
      <x:c r="I16" s="1158" t="n">
        <x:v>72</x:v>
      </x:c>
    </x:row>
    <x:row r="17">
      <x:c r="G17" s="1159" t="str">
        <x:v>Clinical usability</x:v>
      </x:c>
      <x:c r="H17" s="1159" t="n">
        <x:v>4</x:v>
      </x:c>
      <x:c r="I17" s="1159" t="n">
        <x:v>105</x:v>
      </x:c>
    </x:row>
    <x:row r="19">
      <x:c r="A19" s="1154" t="str">
        <x:v>Direct retinal disease/task</x:v>
      </x:c>
      <x:c r="B19" s="1154" t="str">
        <x:v>Reports mentioning category</x:v>
      </x:c>
      <x:c r="D19" s="1154" t="str">
        <x:v>Evidence indicator</x:v>
      </x:c>
      <x:c r="E19" s="1154" t="str">
        <x:v>Reports</x:v>
      </x:c>
    </x:row>
    <x:row r="20">
      <x:c r="A20" s="1158" t="str">
        <x:v>Other retinal disease/lesions</x:v>
      </x:c>
      <x:c r="B20" s="1158" t="n">
        <x:v>26</x:v>
      </x:c>
      <x:c r="D20" s="1158" t="str">
        <x:v>Dataset/sample reported</x:v>
      </x:c>
      <x:c r="E20" s="1158" t="n">
        <x:v>53</x:v>
      </x:c>
    </x:row>
    <x:row r="21">
      <x:c r="A21" s="1158" t="str">
        <x:v>Diabetic retinopathy</x:v>
      </x:c>
      <x:c r="B21" s="1158" t="n">
        <x:v>16</x:v>
      </x:c>
      <x:c r="D21" s="1158" t="str">
        <x:v>Dedicated explanation evaluation</x:v>
      </x:c>
      <x:c r="E21" s="1158" t="n">
        <x:v>13</x:v>
      </x:c>
    </x:row>
    <x:row r="22">
      <x:c r="A22" s="1158" t="str">
        <x:v>Disease/task not specified</x:v>
      </x:c>
      <x:c r="B22" s="1158" t="n">
        <x:v>8</x:v>
      </x:c>
      <x:c r="D22" s="1158" t="str">
        <x:v>External/multi-dataset validation</x:v>
      </x:c>
      <x:c r="E22" s="1158" t="n">
        <x:v>12</x:v>
      </x:c>
    </x:row>
    <x:row r="23">
      <x:c r="A23" s="1158" t="str">
        <x:v>Age-related macular degeneration</x:v>
      </x:c>
      <x:c r="B23" s="1158" t="n">
        <x:v>6</x:v>
      </x:c>
      <x:c r="D23" s="1158" t="str">
        <x:v>Patient-level split reported</x:v>
      </x:c>
      <x:c r="E23" s="1158" t="n">
        <x:v>3</x:v>
      </x:c>
    </x:row>
    <x:row r="24">
      <x:c r="A24" s="1158" t="str">
        <x:v>Glaucoma</x:v>
      </x:c>
      <x:c r="B24" s="1158" t="n">
        <x:v>3</x:v>
      </x:c>
      <x:c r="D24" s="1158" t="str">
        <x:v>Clinical-expert involvement</x:v>
      </x:c>
      <x:c r="E24" s="1158" t="n">
        <x:v>28</x:v>
      </x:c>
    </x:row>
    <x:row r="25">
      <x:c r="A25" s="1158" t="str">
        <x:v>Other ophthalmic disease</x:v>
      </x:c>
      <x:c r="B25" s="1158" t="n">
        <x:v>3</x:v>
      </x:c>
      <x:c r="D25" s="1158" t="str">
        <x:v>Code/implementation reported</x:v>
      </x:c>
      <x:c r="E25" s="1158" t="n">
        <x:v>14</x:v>
      </x:c>
    </x:row>
    <x:row r="26">
      <x:c r="A26" s="1158" t="str">
        <x:v>Cataract</x:v>
      </x:c>
      <x:c r="B26" s="1158" t="n">
        <x:v>1</x:v>
      </x:c>
      <x:c r="D26" s="1158" t="str">
        <x:v>Task-based clinical usability</x:v>
      </x:c>
      <x:c r="E26" s="1158" t="n">
        <x:v>4</x:v>
      </x:c>
    </x:row>
    <x:row r="27">
      <x:c r="A27" s="1159" t="str">
        <x:v>Macular oedema</x:v>
      </x:c>
      <x:c r="B27" s="1159" t="n">
        <x:v>1</x:v>
      </x:c>
      <x:c r="D27" s="1159" t="str">
        <x:v>Study-specific limitations</x:v>
      </x:c>
      <x:c r="E27" s="1159" t="n">
        <x:v>3</x:v>
      </x:c>
    </x:row>
    <x:row r="47">
      <x:c r="A47" s="1161" t="str">
        <x:v>Evidence-based conclusions</x:v>
      </x:c>
      <x:c r="B47" s="1161"/>
      <x:c r="C47" s="1161"/>
      <x:c r="D47" s="1161"/>
      <x:c r="E47" s="1161"/>
      <x:c r="F47" s="1161"/>
      <x:c r="G47" s="1161"/>
      <x:c r="H47" s="1161"/>
      <x:c r="I47" s="1161"/>
      <x:c r="J47" s="1161"/>
      <x:c r="K47" s="1161"/>
      <x:c r="L47" s="1161"/>
    </x:row>
    <x:row r="48" ht="33" customHeight="1">
      <x:c r="A48" s="1167" t="str">
        <x:v>1. The expanded corpus is substantially broader than the original nine-report synthesis, but contextual evidence (62/109) exceeds direct retinal/ophthalmic evidence (47/109); claims should remain proportional to this composition.</x:v>
      </x:c>
      <x:c r="B48" s="1167"/>
      <x:c r="C48" s="1167"/>
      <x:c r="D48" s="1167"/>
      <x:c r="E48" s="1167"/>
      <x:c r="F48" s="1167"/>
      <x:c r="G48" s="1167"/>
      <x:c r="H48" s="1167"/>
      <x:c r="I48" s="1167"/>
      <x:c r="J48" s="1167"/>
      <x:c r="K48" s="1167"/>
      <x:c r="L48" s="1167"/>
    </x:row>
    <x:row r="49" ht="33" customHeight="1">
      <x:c r="A49" s="1167" t="str">
        <x:v>2. Prototype/case-based and vision-language/generative approaches are the most common primary method families in the included corpus, while concept activation, bottleneck/embedding, and neuro-symbolic approaches form smaller but distinct groups.</x:v>
      </x:c>
      <x:c r="B49" s="1167"/>
      <x:c r="C49" s="1167"/>
      <x:c r="D49" s="1167"/>
      <x:c r="E49" s="1167"/>
      <x:c r="F49" s="1167"/>
      <x:c r="G49" s="1167"/>
      <x:c r="H49" s="1167"/>
      <x:c r="I49" s="1167"/>
      <x:c r="J49" s="1167"/>
      <x:c r="K49" s="1167"/>
      <x:c r="L49" s="1167"/>
    </x:row>
    <x:row r="50" ht="33" customHeight="1">
      <x:c r="A50" s="1167" t="str">
        <x:v>3. Fundus photography and OCT dominate direct retinal evidence. OCT-A and fluorescein-angiography evidence is absent or very sparse in the extracted abstracts, supporting modality-specific caution.</x:v>
      </x:c>
      <x:c r="B50" s="1167"/>
      <x:c r="C50" s="1167"/>
      <x:c r="D50" s="1167"/>
      <x:c r="E50" s="1167"/>
      <x:c r="F50" s="1167"/>
      <x:c r="G50" s="1167"/>
      <x:c r="H50" s="1167"/>
      <x:c r="I50" s="1167"/>
      <x:c r="J50" s="1167"/>
      <x:c r="K50" s="1167"/>
      <x:c r="L50" s="1167"/>
    </x:row>
    <x:row r="51" ht="33" customHeight="1">
      <x:c r="A51" s="1167" t="str">
        <x:v>4. Reporting and validation gaps are pronounced: external validation, patient-level splitting, code availability, task-based clinical usability, dedicated explanation evaluation, and explicit limitations are infrequently reported.</x:v>
      </x:c>
      <x:c r="B51" s="1167"/>
      <x:c r="C51" s="1167"/>
      <x:c r="D51" s="1167"/>
      <x:c r="E51" s="1167"/>
      <x:c r="F51" s="1167"/>
      <x:c r="G51" s="1167"/>
      <x:c r="H51" s="1167"/>
      <x:c r="I51" s="1167"/>
      <x:c r="J51" s="1167"/>
      <x:c r="K51" s="1167"/>
      <x:c r="L51" s="1167"/>
    </x:row>
    <x:row r="52" ht="33" customHeight="1">
      <x:c r="A52" s="1168" t="str">
        <x:v>5. The evidence supports a structured taxonomy and research agenda, but it does not establish that the proposed SMILE audit improves clinical outcomes; the framework should be presented as a testable design proposal.</x:v>
      </x:c>
      <x:c r="B52" s="1168"/>
      <x:c r="C52" s="1168"/>
      <x:c r="D52" s="1168"/>
      <x:c r="E52" s="1168"/>
      <x:c r="F52" s="1168"/>
      <x:c r="G52" s="1168"/>
      <x:c r="H52" s="1168"/>
      <x:c r="I52" s="1168"/>
      <x:c r="J52" s="1168"/>
      <x:c r="K52" s="1168"/>
      <x:c r="L52" s="1168"/>
    </x:row>
    <x:row r="54">
      <x:c r="A54" s="1170" t="str">
        <x:v>Appraisal/reporting references</x:v>
      </x:c>
      <x:c r="B54" s="1170"/>
      <x:c r="C54" s="1170"/>
      <x:c r="D54" s="1170"/>
      <x:c r="E54" s="1170"/>
      <x:c r="F54" s="1170"/>
      <x:c r="G54" s="1170"/>
      <x:c r="H54" s="1170"/>
      <x:c r="I54" s="1170"/>
      <x:c r="J54" s="1170"/>
      <x:c r="K54" s="1170"/>
      <x:c r="L54" s="1170"/>
    </x:row>
    <x:row r="55">
      <x:c r="A55" s="1172" t="str">
        <x:v>PRISMA 2020: https://www.bmj.com/content/372/bmj.n71</x:v>
      </x:c>
      <x:c r="B55" s="1172"/>
      <x:c r="C55" s="1172"/>
      <x:c r="D55" s="1172"/>
      <x:c r="E55" s="1172"/>
      <x:c r="F55" s="1172"/>
      <x:c r="G55" s="1172"/>
      <x:c r="H55" s="1172"/>
      <x:c r="I55" s="1172"/>
      <x:c r="J55" s="1172"/>
      <x:c r="K55" s="1172"/>
      <x:c r="L55" s="1172"/>
    </x:row>
    <x:row r="56">
      <x:c r="A56" s="1172" t="str">
        <x:v>CLAIM 2024 Update: https://pubs.rsna.org/doi/10.1148/ryai.240300</x:v>
      </x:c>
      <x:c r="B56" s="1172"/>
      <x:c r="C56" s="1172"/>
      <x:c r="D56" s="1172"/>
      <x:c r="E56" s="1172"/>
      <x:c r="F56" s="1172"/>
      <x:c r="G56" s="1172"/>
      <x:c r="H56" s="1172"/>
      <x:c r="I56" s="1172"/>
      <x:c r="J56" s="1172"/>
      <x:c r="K56" s="1172"/>
      <x:c r="L56" s="1172"/>
    </x:row>
    <x:row r="57">
      <x:c r="A57" s="1172" t="str">
        <x:v>MI-CLAIM: https://www.nature.com/articles/s41591-020-1041-y</x:v>
      </x:c>
      <x:c r="B57" s="1172"/>
      <x:c r="C57" s="1172"/>
      <x:c r="D57" s="1172"/>
      <x:c r="E57" s="1172"/>
      <x:c r="F57" s="1172"/>
      <x:c r="G57" s="1172"/>
      <x:c r="H57" s="1172"/>
      <x:c r="I57" s="1172"/>
      <x:c r="J57" s="1172"/>
      <x:c r="K57" s="1172"/>
      <x:c r="L57" s="1172"/>
    </x:row>
    <x:row r="58">
      <x:c r="A58" s="1172" t="str">
        <x:v>PROBAST+AI: https://www.bmj.com/content/388/bmj-2024-082505</x:v>
      </x:c>
      <x:c r="B58" s="1172"/>
      <x:c r="C58" s="1172"/>
      <x:c r="D58" s="1172"/>
      <x:c r="E58" s="1172"/>
      <x:c r="F58" s="1172"/>
      <x:c r="G58" s="1172"/>
      <x:c r="H58" s="1172"/>
      <x:c r="I58" s="1172"/>
      <x:c r="J58" s="1172"/>
      <x:c r="K58" s="1172"/>
      <x:c r="L58" s="1172"/>
    </x:row>
  </x:sheetData>
  <x:mergeCells>
    <x:mergeCell ref="A1:L1"/>
    <x:mergeCell ref="A2:L2"/>
    <x:mergeCell ref="A47:L47"/>
    <x:mergeCell ref="A48:L48"/>
    <x:mergeCell ref="A49:L49"/>
    <x:mergeCell ref="A50:L50"/>
    <x:mergeCell ref="A51:L51"/>
    <x:mergeCell ref="A52:L52"/>
    <x:mergeCell ref="A54:L54"/>
    <x:mergeCell ref="A55:L55"/>
    <x:mergeCell ref="A56:L56"/>
    <x:mergeCell ref="A57:L57"/>
    <x:mergeCell ref="A58:L58"/>
  </x:mergeCells>
  <x:pageMargins left="0.7" right="0.7" top="0.75" bottom="0.75" header="0.3" footer="0.3"/>
  <x:drawing xmlns:r="http://schemas.openxmlformats.org/officeDocument/2006/relationships" r:id="Rc891cb1beb8c44cd"/>
</x:worksheet>
</file>